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f\Downloads\"/>
    </mc:Choice>
  </mc:AlternateContent>
  <xr:revisionPtr revIDLastSave="0" documentId="8_{7039CC55-1AEC-4704-AB46-C2BB3B0C4BC9}" xr6:coauthVersionLast="47" xr6:coauthVersionMax="47" xr10:uidLastSave="{00000000-0000-0000-0000-000000000000}"/>
  <bookViews>
    <workbookView xWindow="-120" yWindow="-120" windowWidth="29040" windowHeight="15720" xr2:uid="{24471F34-1D5D-4C2A-8A3B-4F40A9EBC332}"/>
  </bookViews>
  <sheets>
    <sheet name="3_1952_fortunes" sheetId="2" r:id="rId1"/>
    <sheet name="4_1952_revenu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4" l="1"/>
  <c r="J48" i="4"/>
  <c r="J47" i="4"/>
  <c r="J46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5" i="4"/>
  <c r="K5" i="2"/>
  <c r="K6" i="2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5" i="4"/>
  <c r="J5" i="2"/>
  <c r="J4" i="4"/>
  <c r="J4" i="2"/>
  <c r="I5" i="4"/>
  <c r="I6" i="4"/>
  <c r="I7" i="4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" i="4"/>
  <c r="G6" i="4"/>
  <c r="G7" i="4"/>
  <c r="G8" i="4"/>
  <c r="G9" i="4"/>
  <c r="G10" i="4"/>
  <c r="G11" i="4"/>
  <c r="G12" i="4"/>
  <c r="G13" i="4"/>
  <c r="G14" i="4"/>
  <c r="G15" i="4"/>
  <c r="G22" i="4"/>
  <c r="G23" i="4"/>
  <c r="G24" i="4"/>
  <c r="G25" i="4"/>
  <c r="G26" i="4"/>
  <c r="G27" i="4"/>
  <c r="G28" i="4"/>
  <c r="G29" i="4"/>
  <c r="G30" i="4"/>
  <c r="G31" i="4"/>
  <c r="G38" i="4"/>
  <c r="G39" i="4"/>
  <c r="G40" i="4"/>
  <c r="G41" i="4"/>
  <c r="G42" i="4"/>
  <c r="G43" i="4"/>
  <c r="G44" i="4"/>
  <c r="G5" i="4"/>
  <c r="G4" i="4"/>
  <c r="F44" i="4"/>
  <c r="F12" i="4"/>
  <c r="F13" i="4"/>
  <c r="F14" i="4"/>
  <c r="F15" i="4"/>
  <c r="F16" i="4"/>
  <c r="F17" i="4"/>
  <c r="F18" i="4"/>
  <c r="F19" i="4"/>
  <c r="F20" i="4"/>
  <c r="F21" i="4"/>
  <c r="F27" i="4"/>
  <c r="F28" i="4"/>
  <c r="F29" i="4"/>
  <c r="F30" i="4"/>
  <c r="F31" i="4"/>
  <c r="F32" i="4"/>
  <c r="F33" i="4"/>
  <c r="F34" i="4"/>
  <c r="F35" i="4"/>
  <c r="F36" i="4"/>
  <c r="F37" i="4"/>
  <c r="F43" i="4"/>
  <c r="F5" i="4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" i="4"/>
  <c r="C46" i="4"/>
  <c r="G16" i="4" s="1"/>
  <c r="D46" i="4"/>
  <c r="F6" i="4" s="1"/>
  <c r="F5" i="2"/>
  <c r="O45" i="2"/>
  <c r="O4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" i="2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" i="2"/>
  <c r="J45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J42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4" i="2"/>
  <c r="C4" i="2"/>
  <c r="E4" i="2" s="1"/>
  <c r="F6" i="2"/>
  <c r="F7" i="2"/>
  <c r="F8" i="2"/>
  <c r="F38" i="2"/>
  <c r="F39" i="2"/>
  <c r="F40" i="2"/>
  <c r="F41" i="2"/>
  <c r="F42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D44" i="2"/>
  <c r="F13" i="2" s="1"/>
  <c r="F11" i="4" l="1"/>
  <c r="G37" i="4"/>
  <c r="G21" i="4"/>
  <c r="F42" i="4"/>
  <c r="F26" i="4"/>
  <c r="F10" i="4"/>
  <c r="G36" i="4"/>
  <c r="G20" i="4"/>
  <c r="F41" i="4"/>
  <c r="F25" i="4"/>
  <c r="F9" i="4"/>
  <c r="G35" i="4"/>
  <c r="G19" i="4"/>
  <c r="F40" i="4"/>
  <c r="F24" i="4"/>
  <c r="F8" i="4"/>
  <c r="G34" i="4"/>
  <c r="G18" i="4"/>
  <c r="F39" i="4"/>
  <c r="F23" i="4"/>
  <c r="F7" i="4"/>
  <c r="G33" i="4"/>
  <c r="G17" i="4"/>
  <c r="F38" i="4"/>
  <c r="F22" i="4"/>
  <c r="G32" i="4"/>
  <c r="J46" i="2"/>
  <c r="J47" i="2" s="1"/>
  <c r="F27" i="2"/>
  <c r="F25" i="2"/>
  <c r="F24" i="2"/>
  <c r="C44" i="2"/>
  <c r="G30" i="2" s="1"/>
  <c r="F28" i="2"/>
  <c r="F26" i="2"/>
  <c r="F23" i="2"/>
  <c r="G20" i="2"/>
  <c r="F22" i="2"/>
  <c r="F11" i="2"/>
  <c r="F12" i="2"/>
  <c r="F10" i="2"/>
  <c r="F9" i="2"/>
  <c r="F35" i="2"/>
  <c r="F19" i="2"/>
  <c r="G5" i="2"/>
  <c r="G27" i="2"/>
  <c r="G11" i="2"/>
  <c r="F37" i="2"/>
  <c r="F34" i="2"/>
  <c r="F18" i="2"/>
  <c r="F33" i="2"/>
  <c r="F17" i="2"/>
  <c r="G9" i="2"/>
  <c r="F21" i="2"/>
  <c r="F36" i="2"/>
  <c r="F32" i="2"/>
  <c r="F16" i="2"/>
  <c r="F31" i="2"/>
  <c r="F15" i="2"/>
  <c r="F30" i="2"/>
  <c r="F14" i="2"/>
  <c r="G38" i="2"/>
  <c r="G22" i="2"/>
  <c r="G6" i="2"/>
  <c r="F20" i="2"/>
  <c r="F4" i="2"/>
  <c r="F29" i="2"/>
  <c r="G28" i="2" l="1"/>
  <c r="G14" i="2"/>
  <c r="G31" i="2"/>
  <c r="G39" i="2"/>
  <c r="G35" i="2"/>
  <c r="G32" i="2"/>
  <c r="G13" i="2"/>
  <c r="G15" i="2"/>
  <c r="G16" i="2"/>
  <c r="G33" i="2"/>
  <c r="G23" i="2"/>
  <c r="G18" i="2"/>
  <c r="G37" i="2"/>
  <c r="G8" i="2"/>
  <c r="G34" i="2"/>
  <c r="G12" i="2"/>
  <c r="G26" i="2"/>
  <c r="G42" i="2"/>
  <c r="G29" i="2"/>
  <c r="G24" i="2"/>
  <c r="G4" i="2"/>
  <c r="G19" i="2"/>
  <c r="G25" i="2"/>
  <c r="G41" i="2"/>
  <c r="G7" i="2"/>
  <c r="G10" i="2"/>
  <c r="G21" i="2"/>
  <c r="G40" i="2"/>
  <c r="G17" i="2"/>
  <c r="G36" i="2"/>
</calcChain>
</file>

<file path=xl/sharedStrings.xml><?xml version="1.0" encoding="utf-8"?>
<sst xmlns="http://schemas.openxmlformats.org/spreadsheetml/2006/main" count="51" uniqueCount="36">
  <si>
    <t>Fortune totale du groupe</t>
  </si>
  <si>
    <t>et plus</t>
  </si>
  <si>
    <t>seuil supérieur du groupe</t>
  </si>
  <si>
    <t>TOTAL</t>
  </si>
  <si>
    <t>seuil inférieur du groupe</t>
  </si>
  <si>
    <t>nombre de contribuables du groupe</t>
  </si>
  <si>
    <t>revenu totale du groupe</t>
  </si>
  <si>
    <t>Fortune moyenne par groupe</t>
  </si>
  <si>
    <t>Nombre de contribuables du groupe</t>
  </si>
  <si>
    <t>Seuil supérieur du groupe</t>
  </si>
  <si>
    <t>Seuil inférieur du groupe</t>
  </si>
  <si>
    <t>Courbe de Lorenz</t>
  </si>
  <si>
    <t>ligne égalité parfaite x</t>
  </si>
  <si>
    <t>ligne égalité parfaite y</t>
  </si>
  <si>
    <t>Coefficient de Gini</t>
  </si>
  <si>
    <t>Aire des triangles sous la courbe</t>
  </si>
  <si>
    <t>Aire des rectangles sous la courbe</t>
  </si>
  <si>
    <t>Somme totale</t>
  </si>
  <si>
    <t>Somme aires triangles</t>
  </si>
  <si>
    <t>Somme aires rectangles</t>
  </si>
  <si>
    <t>Calcul des déciles et centiles</t>
  </si>
  <si>
    <t>Nombre de contribuables ayant une fortune supérieure au seuil inférieur du groupe</t>
  </si>
  <si>
    <t>Proportion de contribuables ayant une fortune supérieure au seuil inférieur du groupe</t>
  </si>
  <si>
    <t>Fortune totale possédée par les contribuables ayant une fortune supérieure au seuil inférieure du groupe</t>
  </si>
  <si>
    <t>Part du 0.1%</t>
  </si>
  <si>
    <t>Part du 1%</t>
  </si>
  <si>
    <t>Revenu moyen du groupe</t>
  </si>
  <si>
    <t>Nombre de contribuables ayant un revenu supérieur au seuil inférieur du groupe</t>
  </si>
  <si>
    <t>Proportion de contribuables ayant un revenu supérieur au seuil inférieur du groupe</t>
  </si>
  <si>
    <t>Revenu total gagné par les contribuables ayant un revenu supérieur au seuil inférieure du groupe</t>
  </si>
  <si>
    <t>Proportion du revenu total possédé par les contribuables ayant un revenu supérieur au seuil inférieur du groupe</t>
  </si>
  <si>
    <t>Proportion de la fortune totale possédée par les contribuables ayant une fortune supérieure au seuil inférieur du groupe</t>
  </si>
  <si>
    <t>Proportion cumulée des contribuables (Proportion des contribuables en-dessous du seuil de fortune supérieur du groupe)</t>
  </si>
  <si>
    <t>Proportion cumulée de la fortune (Proportion de fortune totale possédée par les contribuables sous le seuil supérieur de fortune du groupe)</t>
  </si>
  <si>
    <t>Proportion cumulée des contribuables (Proportion des contribuables en-dessous du seuil de revenu supérieur du groupe)</t>
  </si>
  <si>
    <t>Proportion cumulée du revenu (Proportion de revenu total possédé par les contribuables sous le seuil supérieur de revenu du groupe)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</si>
</sst>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"/>
    <numFmt numFmtId="165" formatCode="0.0"/>
    <numFmt numFmtId="166" formatCode="0.000%"/>
    <numFmt numFmtId="167" formatCode="0.0%"/>
    <numFmt numFmtId="168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165" fontId="0" fillId="0" borderId="0" xfId="0" applyNumberFormat="1"/>
    <xf numFmtId="1" fontId="0" fillId="0" borderId="0" xfId="0" applyNumberFormat="1"/>
    <xf numFmtId="0" fontId="2" fillId="2" borderId="0" xfId="0" applyFont="1" applyFill="1" applyAlignment="1">
      <alignment wrapText="1"/>
    </xf>
    <xf numFmtId="0" fontId="0" fillId="2" borderId="0" xfId="0" applyFill="1"/>
    <xf numFmtId="3" fontId="0" fillId="2" borderId="0" xfId="0" applyNumberFormat="1" applyFill="1"/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164" fontId="0" fillId="2" borderId="0" xfId="0" applyNumberFormat="1" applyFill="1"/>
    <xf numFmtId="0" fontId="2" fillId="2" borderId="1" xfId="0" applyFont="1" applyFill="1" applyBorder="1"/>
    <xf numFmtId="0" fontId="2" fillId="2" borderId="0" xfId="0" applyFont="1" applyFill="1" applyAlignment="1">
      <alignment horizontal="left" vertical="top" wrapText="1"/>
    </xf>
    <xf numFmtId="166" fontId="0" fillId="2" borderId="0" xfId="0" applyNumberFormat="1" applyFill="1"/>
    <xf numFmtId="9" fontId="0" fillId="2" borderId="0" xfId="1" applyFont="1" applyFill="1" applyBorder="1"/>
    <xf numFmtId="167" fontId="0" fillId="2" borderId="0" xfId="1" applyNumberFormat="1" applyFont="1" applyFill="1" applyBorder="1"/>
    <xf numFmtId="168" fontId="0" fillId="2" borderId="0" xfId="0" applyNumberFormat="1" applyFill="1"/>
    <xf numFmtId="166" fontId="0" fillId="0" borderId="0" xfId="0" applyNumberFormat="1"/>
    <xf numFmtId="0" fontId="2" fillId="2" borderId="0" xfId="0" applyFont="1" applyFill="1"/>
    <xf numFmtId="0" fontId="0" fillId="2" borderId="0" xfId="0" applyFill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wrapText="1"/>
    </xf>
    <xf numFmtId="9" fontId="0" fillId="2" borderId="2" xfId="1" applyFont="1" applyFill="1" applyBorder="1"/>
    <xf numFmtId="9" fontId="1" fillId="2" borderId="1" xfId="1" applyFont="1" applyFill="1" applyBorder="1"/>
    <xf numFmtId="9" fontId="1" fillId="2" borderId="0" xfId="1" applyFont="1" applyFill="1" applyBorder="1"/>
    <xf numFmtId="9" fontId="0" fillId="2" borderId="1" xfId="1" applyFont="1" applyFill="1" applyBorder="1"/>
    <xf numFmtId="0" fontId="0" fillId="0" borderId="0" xfId="0" applyAlignment="1">
      <alignment wrapText="1"/>
    </xf>
    <xf numFmtId="9" fontId="0" fillId="0" borderId="1" xfId="1" applyFont="1" applyFill="1" applyBorder="1" applyAlignment="1">
      <alignment wrapText="1"/>
    </xf>
    <xf numFmtId="9" fontId="0" fillId="0" borderId="0" xfId="1" applyFont="1" applyFill="1" applyBorder="1" applyAlignment="1">
      <alignment wrapText="1"/>
    </xf>
    <xf numFmtId="9" fontId="0" fillId="0" borderId="0" xfId="1" applyFont="1" applyFill="1" applyBorder="1"/>
    <xf numFmtId="9" fontId="0" fillId="0" borderId="2" xfId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477465382073E-2"/>
          <c:y val="2.2183631560527172E-2"/>
          <c:w val="0.90152815500063366"/>
          <c:h val="0.66322547779763075"/>
        </c:manualLayout>
      </c:layout>
      <c:scatterChart>
        <c:scatterStyle val="smoothMarker"/>
        <c:varyColors val="0"/>
        <c:ser>
          <c:idx val="0"/>
          <c:order val="0"/>
          <c:tx>
            <c:v>Courbe de Lorenz des fortunes 1952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'3_1952_fortunes'!$F$3:$F$42</c:f>
              <c:numCache>
                <c:formatCode>0%</c:formatCode>
                <c:ptCount val="40"/>
                <c:pt idx="0">
                  <c:v>0</c:v>
                </c:pt>
                <c:pt idx="1">
                  <c:v>0.60264045312078929</c:v>
                </c:pt>
                <c:pt idx="2">
                  <c:v>0.69931463781169656</c:v>
                </c:pt>
                <c:pt idx="3">
                  <c:v>0.77429175598872535</c:v>
                </c:pt>
                <c:pt idx="4">
                  <c:v>0.81705466631382939</c:v>
                </c:pt>
                <c:pt idx="5">
                  <c:v>0.84880274047764137</c:v>
                </c:pt>
                <c:pt idx="6">
                  <c:v>0.87090281840936734</c:v>
                </c:pt>
                <c:pt idx="7">
                  <c:v>0.88741171986336453</c:v>
                </c:pt>
                <c:pt idx="8">
                  <c:v>0.90133989157536187</c:v>
                </c:pt>
                <c:pt idx="9">
                  <c:v>0.91172836059325224</c:v>
                </c:pt>
                <c:pt idx="10">
                  <c:v>0.91991726127036</c:v>
                </c:pt>
                <c:pt idx="11">
                  <c:v>0.92778326725726457</c:v>
                </c:pt>
                <c:pt idx="12">
                  <c:v>0.93862330328551413</c:v>
                </c:pt>
                <c:pt idx="13">
                  <c:v>0.94631936469862754</c:v>
                </c:pt>
                <c:pt idx="14">
                  <c:v>0.9537022425400401</c:v>
                </c:pt>
                <c:pt idx="15">
                  <c:v>0.95875445194088837</c:v>
                </c:pt>
                <c:pt idx="16">
                  <c:v>0.96372654461409224</c:v>
                </c:pt>
                <c:pt idx="17">
                  <c:v>0.97153913944923387</c:v>
                </c:pt>
                <c:pt idx="18">
                  <c:v>0.97662290998521484</c:v>
                </c:pt>
                <c:pt idx="19">
                  <c:v>0.98043695177701329</c:v>
                </c:pt>
                <c:pt idx="20">
                  <c:v>0.9831439260595437</c:v>
                </c:pt>
                <c:pt idx="21">
                  <c:v>0.98692397893658401</c:v>
                </c:pt>
                <c:pt idx="22">
                  <c:v>0.98942701973056502</c:v>
                </c:pt>
                <c:pt idx="23">
                  <c:v>0.99129641004226765</c:v>
                </c:pt>
                <c:pt idx="24">
                  <c:v>0.99260255548083387</c:v>
                </c:pt>
                <c:pt idx="25">
                  <c:v>0.99365863961796463</c:v>
                </c:pt>
                <c:pt idx="26">
                  <c:v>0.99452535694429944</c:v>
                </c:pt>
                <c:pt idx="27">
                  <c:v>0.99563970779244426</c:v>
                </c:pt>
                <c:pt idx="28">
                  <c:v>0.99647243620402093</c:v>
                </c:pt>
                <c:pt idx="29">
                  <c:v>0.99706724221228993</c:v>
                </c:pt>
                <c:pt idx="30">
                  <c:v>0.99750424254489567</c:v>
                </c:pt>
                <c:pt idx="31">
                  <c:v>0.9978125705573454</c:v>
                </c:pt>
                <c:pt idx="32">
                  <c:v>0.99882738244084113</c:v>
                </c:pt>
                <c:pt idx="33">
                  <c:v>0.99928866056970278</c:v>
                </c:pt>
                <c:pt idx="34">
                  <c:v>0.9995848496840245</c:v>
                </c:pt>
                <c:pt idx="35">
                  <c:v>0.99976207759669244</c:v>
                </c:pt>
                <c:pt idx="36">
                  <c:v>0.99983005542620884</c:v>
                </c:pt>
                <c:pt idx="37">
                  <c:v>0.99994658884823706</c:v>
                </c:pt>
                <c:pt idx="38">
                  <c:v>0.9999562999667394</c:v>
                </c:pt>
                <c:pt idx="39">
                  <c:v>1</c:v>
                </c:pt>
              </c:numCache>
            </c:numRef>
          </c:xVal>
          <c:yVal>
            <c:numRef>
              <c:f>'3_1952_fortunes'!$G$3:$G$42</c:f>
              <c:numCache>
                <c:formatCode>0%</c:formatCode>
                <c:ptCount val="40"/>
                <c:pt idx="0">
                  <c:v>0</c:v>
                </c:pt>
                <c:pt idx="1">
                  <c:v>1.4098355720984017E-2</c:v>
                </c:pt>
                <c:pt idx="2">
                  <c:v>2.4955862236220597E-2</c:v>
                </c:pt>
                <c:pt idx="3">
                  <c:v>4.871735672656112E-2</c:v>
                </c:pt>
                <c:pt idx="4">
                  <c:v>7.2189076893848708E-2</c:v>
                </c:pt>
                <c:pt idx="5">
                  <c:v>9.7153515359544224E-2</c:v>
                </c:pt>
                <c:pt idx="6">
                  <c:v>0.11965277061908734</c:v>
                </c:pt>
                <c:pt idx="7">
                  <c:v>0.14038679930856279</c:v>
                </c:pt>
                <c:pt idx="8">
                  <c:v>0.16111185419501153</c:v>
                </c:pt>
                <c:pt idx="9">
                  <c:v>0.17904685148725166</c:v>
                </c:pt>
                <c:pt idx="10">
                  <c:v>0.1951132530859517</c:v>
                </c:pt>
                <c:pt idx="11">
                  <c:v>0.21236283357485927</c:v>
                </c:pt>
                <c:pt idx="12">
                  <c:v>0.23984379903111325</c:v>
                </c:pt>
                <c:pt idx="13">
                  <c:v>0.26300382153377627</c:v>
                </c:pt>
                <c:pt idx="14">
                  <c:v>0.2886357291967509</c:v>
                </c:pt>
                <c:pt idx="15">
                  <c:v>0.3085717709715079</c:v>
                </c:pt>
                <c:pt idx="16">
                  <c:v>0.33061506616333852</c:v>
                </c:pt>
                <c:pt idx="17">
                  <c:v>0.37116529659980901</c:v>
                </c:pt>
                <c:pt idx="18">
                  <c:v>0.40359309937265736</c:v>
                </c:pt>
                <c:pt idx="19">
                  <c:v>0.43243547026277623</c:v>
                </c:pt>
                <c:pt idx="20">
                  <c:v>0.45600658381801806</c:v>
                </c:pt>
                <c:pt idx="21">
                  <c:v>0.49537488488115816</c:v>
                </c:pt>
                <c:pt idx="22">
                  <c:v>0.52732775764825024</c:v>
                </c:pt>
                <c:pt idx="23">
                  <c:v>0.5555253778297653</c:v>
                </c:pt>
                <c:pt idx="24">
                  <c:v>0.57834076085922459</c:v>
                </c:pt>
                <c:pt idx="25">
                  <c:v>0.59925517434878162</c:v>
                </c:pt>
                <c:pt idx="26">
                  <c:v>0.61845320601892284</c:v>
                </c:pt>
                <c:pt idx="27">
                  <c:v>0.64686233533000448</c:v>
                </c:pt>
                <c:pt idx="28">
                  <c:v>0.6720936024451909</c:v>
                </c:pt>
                <c:pt idx="29">
                  <c:v>0.69285534769085022</c:v>
                </c:pt>
                <c:pt idx="30">
                  <c:v>0.71012287578581124</c:v>
                </c:pt>
                <c:pt idx="31">
                  <c:v>0.72380974288066458</c:v>
                </c:pt>
                <c:pt idx="32">
                  <c:v>0.78144961564576876</c:v>
                </c:pt>
                <c:pt idx="33">
                  <c:v>0.81872088661173903</c:v>
                </c:pt>
                <c:pt idx="34">
                  <c:v>0.85274500399135444</c:v>
                </c:pt>
                <c:pt idx="35">
                  <c:v>0.88117821490043191</c:v>
                </c:pt>
                <c:pt idx="36">
                  <c:v>0.8953944227814189</c:v>
                </c:pt>
                <c:pt idx="37">
                  <c:v>0.92820775830708635</c:v>
                </c:pt>
                <c:pt idx="38">
                  <c:v>0.93188713114048805</c:v>
                </c:pt>
                <c:pt idx="3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4-4426-9BD0-199280AD0934}"/>
            </c:ext>
          </c:extLst>
        </c:ser>
        <c:ser>
          <c:idx val="1"/>
          <c:order val="1"/>
          <c:tx>
            <c:v>Courbe d'égalité parfaite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'3_1952_fortunes'!$H$3:$H$42</c:f>
              <c:numCache>
                <c:formatCode>0%</c:formatCode>
                <c:ptCount val="40"/>
                <c:pt idx="0">
                  <c:v>0</c:v>
                </c:pt>
                <c:pt idx="1">
                  <c:v>2.564102564102564E-2</c:v>
                </c:pt>
                <c:pt idx="2">
                  <c:v>5.128205128205128E-2</c:v>
                </c:pt>
                <c:pt idx="3">
                  <c:v>7.6923076923076927E-2</c:v>
                </c:pt>
                <c:pt idx="4">
                  <c:v>0.10256410256410256</c:v>
                </c:pt>
                <c:pt idx="5">
                  <c:v>0.12820512820512819</c:v>
                </c:pt>
                <c:pt idx="6">
                  <c:v>0.15384615384615383</c:v>
                </c:pt>
                <c:pt idx="7">
                  <c:v>0.17948717948717946</c:v>
                </c:pt>
                <c:pt idx="8">
                  <c:v>0.20512820512820509</c:v>
                </c:pt>
                <c:pt idx="9">
                  <c:v>0.23076923076923073</c:v>
                </c:pt>
                <c:pt idx="10">
                  <c:v>0.25641025641025639</c:v>
                </c:pt>
                <c:pt idx="11">
                  <c:v>0.28205128205128205</c:v>
                </c:pt>
                <c:pt idx="12">
                  <c:v>0.30769230769230771</c:v>
                </c:pt>
                <c:pt idx="13">
                  <c:v>0.33333333333333337</c:v>
                </c:pt>
                <c:pt idx="14">
                  <c:v>0.35897435897435903</c:v>
                </c:pt>
                <c:pt idx="15">
                  <c:v>0.38461538461538469</c:v>
                </c:pt>
                <c:pt idx="16">
                  <c:v>0.41025641025641035</c:v>
                </c:pt>
                <c:pt idx="17">
                  <c:v>0.43589743589743601</c:v>
                </c:pt>
                <c:pt idx="18">
                  <c:v>0.46153846153846168</c:v>
                </c:pt>
                <c:pt idx="19">
                  <c:v>0.48717948717948734</c:v>
                </c:pt>
                <c:pt idx="20">
                  <c:v>0.512820512820513</c:v>
                </c:pt>
                <c:pt idx="21">
                  <c:v>0.53846153846153866</c:v>
                </c:pt>
                <c:pt idx="22">
                  <c:v>0.56410256410256432</c:v>
                </c:pt>
                <c:pt idx="23">
                  <c:v>0.58974358974358998</c:v>
                </c:pt>
                <c:pt idx="24">
                  <c:v>0.61538461538461564</c:v>
                </c:pt>
                <c:pt idx="25">
                  <c:v>0.6410256410256413</c:v>
                </c:pt>
                <c:pt idx="26">
                  <c:v>0.66666666666666696</c:v>
                </c:pt>
                <c:pt idx="27">
                  <c:v>0.69230769230769262</c:v>
                </c:pt>
                <c:pt idx="28">
                  <c:v>0.71794871794871828</c:v>
                </c:pt>
                <c:pt idx="29">
                  <c:v>0.74358974358974395</c:v>
                </c:pt>
                <c:pt idx="30">
                  <c:v>0.76923076923076961</c:v>
                </c:pt>
                <c:pt idx="31">
                  <c:v>0.79487179487179527</c:v>
                </c:pt>
                <c:pt idx="32">
                  <c:v>0.82051282051282093</c:v>
                </c:pt>
                <c:pt idx="33">
                  <c:v>0.84615384615384659</c:v>
                </c:pt>
                <c:pt idx="34">
                  <c:v>0.87179487179487225</c:v>
                </c:pt>
                <c:pt idx="35">
                  <c:v>0.89743589743589791</c:v>
                </c:pt>
                <c:pt idx="36">
                  <c:v>0.92307692307692357</c:v>
                </c:pt>
                <c:pt idx="37">
                  <c:v>0.94871794871794923</c:v>
                </c:pt>
                <c:pt idx="38">
                  <c:v>0.97435897435897489</c:v>
                </c:pt>
                <c:pt idx="39">
                  <c:v>1</c:v>
                </c:pt>
              </c:numCache>
            </c:numRef>
          </c:xVal>
          <c:yVal>
            <c:numRef>
              <c:f>'3_1952_fortunes'!$I$3:$I$42</c:f>
              <c:numCache>
                <c:formatCode>0%</c:formatCode>
                <c:ptCount val="40"/>
                <c:pt idx="0">
                  <c:v>0</c:v>
                </c:pt>
                <c:pt idx="1">
                  <c:v>2.564102564102564E-2</c:v>
                </c:pt>
                <c:pt idx="2">
                  <c:v>5.128205128205128E-2</c:v>
                </c:pt>
                <c:pt idx="3">
                  <c:v>7.6923076923076927E-2</c:v>
                </c:pt>
                <c:pt idx="4">
                  <c:v>0.10256410256410256</c:v>
                </c:pt>
                <c:pt idx="5">
                  <c:v>0.12820512820512819</c:v>
                </c:pt>
                <c:pt idx="6">
                  <c:v>0.15384615384615383</c:v>
                </c:pt>
                <c:pt idx="7">
                  <c:v>0.17948717948717946</c:v>
                </c:pt>
                <c:pt idx="8">
                  <c:v>0.20512820512820509</c:v>
                </c:pt>
                <c:pt idx="9">
                  <c:v>0.23076923076923073</c:v>
                </c:pt>
                <c:pt idx="10">
                  <c:v>0.25641025641025639</c:v>
                </c:pt>
                <c:pt idx="11">
                  <c:v>0.28205128205128205</c:v>
                </c:pt>
                <c:pt idx="12">
                  <c:v>0.30769230769230771</c:v>
                </c:pt>
                <c:pt idx="13">
                  <c:v>0.33333333333333337</c:v>
                </c:pt>
                <c:pt idx="14">
                  <c:v>0.35897435897435903</c:v>
                </c:pt>
                <c:pt idx="15">
                  <c:v>0.38461538461538469</c:v>
                </c:pt>
                <c:pt idx="16">
                  <c:v>0.41025641025641035</c:v>
                </c:pt>
                <c:pt idx="17">
                  <c:v>0.43589743589743601</c:v>
                </c:pt>
                <c:pt idx="18">
                  <c:v>0.46153846153846168</c:v>
                </c:pt>
                <c:pt idx="19">
                  <c:v>0.48717948717948734</c:v>
                </c:pt>
                <c:pt idx="20">
                  <c:v>0.512820512820513</c:v>
                </c:pt>
                <c:pt idx="21">
                  <c:v>0.53846153846153866</c:v>
                </c:pt>
                <c:pt idx="22">
                  <c:v>0.56410256410256432</c:v>
                </c:pt>
                <c:pt idx="23">
                  <c:v>0.58974358974358998</c:v>
                </c:pt>
                <c:pt idx="24">
                  <c:v>0.61538461538461564</c:v>
                </c:pt>
                <c:pt idx="25">
                  <c:v>0.6410256410256413</c:v>
                </c:pt>
                <c:pt idx="26">
                  <c:v>0.66666666666666696</c:v>
                </c:pt>
                <c:pt idx="27">
                  <c:v>0.69230769230769262</c:v>
                </c:pt>
                <c:pt idx="28">
                  <c:v>0.71794871794871828</c:v>
                </c:pt>
                <c:pt idx="29">
                  <c:v>0.74358974358974395</c:v>
                </c:pt>
                <c:pt idx="30">
                  <c:v>0.76923076923076961</c:v>
                </c:pt>
                <c:pt idx="31">
                  <c:v>0.79487179487179527</c:v>
                </c:pt>
                <c:pt idx="32">
                  <c:v>0.82051282051282093</c:v>
                </c:pt>
                <c:pt idx="33">
                  <c:v>0.84615384615384659</c:v>
                </c:pt>
                <c:pt idx="34">
                  <c:v>0.87179487179487225</c:v>
                </c:pt>
                <c:pt idx="35">
                  <c:v>0.89743589743589791</c:v>
                </c:pt>
                <c:pt idx="36">
                  <c:v>0.92307692307692357</c:v>
                </c:pt>
                <c:pt idx="37">
                  <c:v>0.94871794871794923</c:v>
                </c:pt>
                <c:pt idx="38">
                  <c:v>0.97435897435897489</c:v>
                </c:pt>
                <c:pt idx="3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F4-4426-9BD0-199280AD0934}"/>
            </c:ext>
          </c:extLst>
        </c:ser>
        <c:ser>
          <c:idx val="2"/>
          <c:order val="2"/>
          <c:tx>
            <c:v>Courbe de Lorenz des revenus 1952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'4_1952_revenu'!$F$3:$F$44</c:f>
              <c:numCache>
                <c:formatCode>General</c:formatCode>
                <c:ptCount val="42"/>
                <c:pt idx="0">
                  <c:v>0</c:v>
                </c:pt>
                <c:pt idx="1">
                  <c:v>0.14867722427099847</c:v>
                </c:pt>
                <c:pt idx="2">
                  <c:v>0.17827185790691408</c:v>
                </c:pt>
                <c:pt idx="3">
                  <c:v>0.21594614213678595</c:v>
                </c:pt>
                <c:pt idx="4">
                  <c:v>0.27197201255647624</c:v>
                </c:pt>
                <c:pt idx="5">
                  <c:v>0.33140648557049179</c:v>
                </c:pt>
                <c:pt idx="6">
                  <c:v>0.37790089318012426</c:v>
                </c:pt>
                <c:pt idx="7">
                  <c:v>0.42973641596604994</c:v>
                </c:pt>
                <c:pt idx="8">
                  <c:v>0.48039446563356553</c:v>
                </c:pt>
                <c:pt idx="9">
                  <c:v>0.59091427752920012</c:v>
                </c:pt>
                <c:pt idx="10">
                  <c:v>0.6871660285652551</c:v>
                </c:pt>
                <c:pt idx="11">
                  <c:v>0.76352455334924341</c:v>
                </c:pt>
                <c:pt idx="12">
                  <c:v>0.81896532887916695</c:v>
                </c:pt>
                <c:pt idx="13">
                  <c:v>0.85883675367019585</c:v>
                </c:pt>
                <c:pt idx="14">
                  <c:v>0.88724177528957338</c:v>
                </c:pt>
                <c:pt idx="15">
                  <c:v>0.9077273797702835</c:v>
                </c:pt>
                <c:pt idx="16">
                  <c:v>0.92383569758605877</c:v>
                </c:pt>
                <c:pt idx="17">
                  <c:v>0.93544048419636849</c:v>
                </c:pt>
                <c:pt idx="18">
                  <c:v>0.9454356529149136</c:v>
                </c:pt>
                <c:pt idx="19">
                  <c:v>0.95243979713473448</c:v>
                </c:pt>
                <c:pt idx="20">
                  <c:v>0.95830774048978029</c:v>
                </c:pt>
                <c:pt idx="21">
                  <c:v>0.96258063263081484</c:v>
                </c:pt>
                <c:pt idx="22">
                  <c:v>0.96647721892988325</c:v>
                </c:pt>
                <c:pt idx="23">
                  <c:v>0.96941726005647011</c:v>
                </c:pt>
                <c:pt idx="24">
                  <c:v>0.97970619010971138</c:v>
                </c:pt>
                <c:pt idx="25">
                  <c:v>0.98519782762279107</c:v>
                </c:pt>
                <c:pt idx="26">
                  <c:v>0.98871810807989335</c:v>
                </c:pt>
                <c:pt idx="27">
                  <c:v>0.99101235982607383</c:v>
                </c:pt>
                <c:pt idx="28">
                  <c:v>0.99272880002136443</c:v>
                </c:pt>
                <c:pt idx="29">
                  <c:v>0.99394754539340957</c:v>
                </c:pt>
                <c:pt idx="30">
                  <c:v>0.99557172996292775</c:v>
                </c:pt>
                <c:pt idx="31">
                  <c:v>0.99665451967593999</c:v>
                </c:pt>
                <c:pt idx="32">
                  <c:v>0.99743383693575371</c:v>
                </c:pt>
                <c:pt idx="33">
                  <c:v>0.99792910397937362</c:v>
                </c:pt>
                <c:pt idx="34">
                  <c:v>0.99825442644920237</c:v>
                </c:pt>
                <c:pt idx="35">
                  <c:v>0.99917455492730012</c:v>
                </c:pt>
                <c:pt idx="36">
                  <c:v>0.99949259405825219</c:v>
                </c:pt>
                <c:pt idx="37">
                  <c:v>0.99976693315594356</c:v>
                </c:pt>
                <c:pt idx="38">
                  <c:v>0.99986161656134154</c:v>
                </c:pt>
                <c:pt idx="39">
                  <c:v>0.99990531659460202</c:v>
                </c:pt>
                <c:pt idx="40">
                  <c:v>0.99995144440748829</c:v>
                </c:pt>
                <c:pt idx="41">
                  <c:v>1</c:v>
                </c:pt>
              </c:numCache>
            </c:numRef>
          </c:xVal>
          <c:yVal>
            <c:numRef>
              <c:f>'4_1952_revenu'!$G$3:$G$44</c:f>
              <c:numCache>
                <c:formatCode>General</c:formatCode>
                <c:ptCount val="42"/>
                <c:pt idx="0">
                  <c:v>0</c:v>
                </c:pt>
                <c:pt idx="1">
                  <c:v>6.5560012287449896E-3</c:v>
                </c:pt>
                <c:pt idx="2">
                  <c:v>1.4189359009596263E-2</c:v>
                </c:pt>
                <c:pt idx="3">
                  <c:v>2.6774808963959264E-2</c:v>
                </c:pt>
                <c:pt idx="4">
                  <c:v>4.9778135100217676E-2</c:v>
                </c:pt>
                <c:pt idx="5">
                  <c:v>7.8463671919208541E-2</c:v>
                </c:pt>
                <c:pt idx="6">
                  <c:v>0.1044356077363901</c:v>
                </c:pt>
                <c:pt idx="7">
                  <c:v>0.13737582106180618</c:v>
                </c:pt>
                <c:pt idx="8">
                  <c:v>0.17340737158806471</c:v>
                </c:pt>
                <c:pt idx="9">
                  <c:v>0.2644671494439047</c:v>
                </c:pt>
                <c:pt idx="10">
                  <c:v>0.3580850979395005</c:v>
                </c:pt>
                <c:pt idx="11">
                  <c:v>0.44390911402488942</c:v>
                </c:pt>
                <c:pt idx="12">
                  <c:v>0.51442268827650872</c:v>
                </c:pt>
                <c:pt idx="13">
                  <c:v>0.57118710582051802</c:v>
                </c:pt>
                <c:pt idx="14">
                  <c:v>0.61599330657334472</c:v>
                </c:pt>
                <c:pt idx="15">
                  <c:v>0.65138696795415429</c:v>
                </c:pt>
                <c:pt idx="16">
                  <c:v>0.68164848780588183</c:v>
                </c:pt>
                <c:pt idx="17">
                  <c:v>0.70519894351447521</c:v>
                </c:pt>
                <c:pt idx="18">
                  <c:v>0.72702643712456039</c:v>
                </c:pt>
                <c:pt idx="19">
                  <c:v>0.74337197902902685</c:v>
                </c:pt>
                <c:pt idx="20">
                  <c:v>0.75796700026015296</c:v>
                </c:pt>
                <c:pt idx="21">
                  <c:v>0.76923294565155087</c:v>
                </c:pt>
                <c:pt idx="22">
                  <c:v>0.78009874053638539</c:v>
                </c:pt>
                <c:pt idx="23">
                  <c:v>0.78875617495800077</c:v>
                </c:pt>
                <c:pt idx="24">
                  <c:v>0.82341714569593849</c:v>
                </c:pt>
                <c:pt idx="25">
                  <c:v>0.84605927077806309</c:v>
                </c:pt>
                <c:pt idx="26">
                  <c:v>0.86325067720604554</c:v>
                </c:pt>
                <c:pt idx="27">
                  <c:v>0.87618116051730754</c:v>
                </c:pt>
                <c:pt idx="28">
                  <c:v>0.88715829204446406</c:v>
                </c:pt>
                <c:pt idx="29">
                  <c:v>0.89589215558028068</c:v>
                </c:pt>
                <c:pt idx="30">
                  <c:v>0.90927165993747505</c:v>
                </c:pt>
                <c:pt idx="31">
                  <c:v>0.91985047819639054</c:v>
                </c:pt>
                <c:pt idx="32">
                  <c:v>0.92867216172400568</c:v>
                </c:pt>
                <c:pt idx="33">
                  <c:v>0.93500438732511326</c:v>
                </c:pt>
                <c:pt idx="34">
                  <c:v>0.93965113048948434</c:v>
                </c:pt>
                <c:pt idx="35">
                  <c:v>0.95642585126600421</c:v>
                </c:pt>
                <c:pt idx="36">
                  <c:v>0.96473788488305612</c:v>
                </c:pt>
                <c:pt idx="37">
                  <c:v>0.97478757850519349</c:v>
                </c:pt>
                <c:pt idx="38">
                  <c:v>0.97991347342398027</c:v>
                </c:pt>
                <c:pt idx="39">
                  <c:v>0.98278764905514504</c:v>
                </c:pt>
                <c:pt idx="40">
                  <c:v>0.9873131344902546</c:v>
                </c:pt>
                <c:pt idx="4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F4-4426-9BD0-199280AD0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066543"/>
        <c:axId val="420067503"/>
      </c:scatterChart>
      <c:valAx>
        <c:axId val="42006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20067503"/>
        <c:crosses val="autoZero"/>
        <c:crossBetween val="midCat"/>
      </c:valAx>
      <c:valAx>
        <c:axId val="42006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20066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282988500217398E-2"/>
          <c:y val="0.75439183536891419"/>
          <c:w val="0.86343369916500867"/>
          <c:h val="0.193327683066790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1065035</xdr:colOff>
      <xdr:row>4</xdr:row>
      <xdr:rowOff>38805</xdr:rowOff>
    </xdr:from>
    <xdr:to>
      <xdr:col>5</xdr:col>
      <xdr:colOff>1090082</xdr:colOff>
      <xdr:row>29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863BB75-C37C-1912-AC6C-75BFBEE00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44B2-0FCF-43AE-B3F1-3B6C9730B0E3}">
  <dimension ref="A1:Q61"/>
  <sheetViews>
    <sheetView tabSelected="1" zoomScale="90" zoomScaleNormal="90" workbookViewId="0">
      <selection activeCell="G30" sqref="G30"/>
    </sheetView>
  </sheetViews>
  <sheetFormatPr defaultColWidth="11.42578125" defaultRowHeight="15" x14ac:dyDescent="0.25"/>
  <cols>
    <col min="1" max="5" width="17.140625" customWidth="1"/>
    <col min="6" max="6" width="19.28515625" customWidth="1"/>
    <col min="7" max="7" width="21.42578125" customWidth="1"/>
    <col min="10" max="10" width="11.85546875" bestFit="1" customWidth="1"/>
    <col min="11" max="11" width="13.42578125" bestFit="1" customWidth="1"/>
  </cols>
  <sheetData>
    <row r="1" spans="1:17" x14ac:dyDescent="0.25">
      <c r="F1" s="32" t="s">
        <v>11</v>
      </c>
      <c r="G1" s="33"/>
      <c r="H1" s="33"/>
      <c r="I1" s="34"/>
      <c r="J1" s="35" t="s">
        <v>14</v>
      </c>
      <c r="K1" s="36"/>
      <c r="L1" s="37" t="s">
        <v>20</v>
      </c>
      <c r="M1" s="38"/>
      <c r="N1" s="38"/>
      <c r="O1" s="38"/>
      <c r="P1" s="38"/>
      <c r="Q1" s="38"/>
    </row>
    <row r="2" spans="1:17" ht="57" customHeight="1" x14ac:dyDescent="0.25">
      <c r="A2" s="3" t="s">
        <v>10</v>
      </c>
      <c r="B2" s="3" t="s">
        <v>9</v>
      </c>
      <c r="C2" s="3" t="s">
        <v>0</v>
      </c>
      <c r="D2" s="3" t="s">
        <v>8</v>
      </c>
      <c r="E2" s="3" t="s">
        <v>7</v>
      </c>
      <c r="F2" s="9" t="s">
        <v>32</v>
      </c>
      <c r="G2" s="6" t="s">
        <v>33</v>
      </c>
      <c r="H2" s="6" t="s">
        <v>12</v>
      </c>
      <c r="I2" s="22" t="s">
        <v>13</v>
      </c>
      <c r="J2" s="9" t="s">
        <v>15</v>
      </c>
      <c r="K2" s="6" t="s">
        <v>16</v>
      </c>
      <c r="L2" s="12" t="s">
        <v>21</v>
      </c>
      <c r="M2" s="6" t="s">
        <v>22</v>
      </c>
      <c r="N2" s="13" t="s">
        <v>23</v>
      </c>
      <c r="O2" s="6" t="s">
        <v>31</v>
      </c>
    </row>
    <row r="3" spans="1:17" ht="14.1" customHeight="1" x14ac:dyDescent="0.25">
      <c r="A3" s="3"/>
      <c r="B3" s="3"/>
      <c r="C3" s="3"/>
      <c r="D3" s="3"/>
      <c r="E3" s="3"/>
      <c r="F3" s="28">
        <v>0</v>
      </c>
      <c r="G3" s="29">
        <v>0</v>
      </c>
      <c r="H3" s="30">
        <v>0</v>
      </c>
      <c r="I3" s="31">
        <v>0</v>
      </c>
      <c r="J3" s="21"/>
      <c r="L3" s="10"/>
      <c r="M3" s="7"/>
      <c r="N3" s="7"/>
      <c r="O3" s="7"/>
    </row>
    <row r="4" spans="1:17" x14ac:dyDescent="0.25">
      <c r="A4">
        <v>0</v>
      </c>
      <c r="B4">
        <v>0.9</v>
      </c>
      <c r="C4" s="1">
        <f>0.5*D4</f>
        <v>124113.5</v>
      </c>
      <c r="D4">
        <v>248227</v>
      </c>
      <c r="E4" s="5">
        <f>C4/D4</f>
        <v>0.5</v>
      </c>
      <c r="F4" s="24">
        <f>D4/D44</f>
        <v>0.60264045312078929</v>
      </c>
      <c r="G4" s="25">
        <f>C4/C44</f>
        <v>1.4098355720984017E-2</v>
      </c>
      <c r="H4" s="15">
        <f>H3+(1/39)</f>
        <v>2.564102564102564E-2</v>
      </c>
      <c r="I4" s="23">
        <f>I3+(1/39)</f>
        <v>2.564102564102564E-2</v>
      </c>
      <c r="J4" s="10">
        <f>G4*F4/2</f>
        <v>4.2481197399759398E-3</v>
      </c>
      <c r="K4" s="7"/>
      <c r="L4" s="10">
        <f>SUM(D4:D$42)</f>
        <v>411899</v>
      </c>
      <c r="M4" s="14">
        <f>L4/$D$44</f>
        <v>1</v>
      </c>
      <c r="N4" s="8">
        <f>SUM(C4:C$42)</f>
        <v>8803402.5</v>
      </c>
      <c r="O4" s="15">
        <f>N4/C$44</f>
        <v>1</v>
      </c>
    </row>
    <row r="5" spans="1:17" x14ac:dyDescent="0.25">
      <c r="A5">
        <v>1</v>
      </c>
      <c r="B5">
        <v>4</v>
      </c>
      <c r="C5" s="1">
        <v>95583</v>
      </c>
      <c r="D5">
        <v>39820</v>
      </c>
      <c r="E5" s="5">
        <f t="shared" ref="E5:E42" si="0">C5/D5</f>
        <v>2.4003766951280765</v>
      </c>
      <c r="F5" s="26">
        <f>SUM($D$4:D5)/$D$44</f>
        <v>0.69931463781169656</v>
      </c>
      <c r="G5" s="15">
        <f>SUM($C$4:C5)/$C$44</f>
        <v>2.4955862236220597E-2</v>
      </c>
      <c r="H5" s="15">
        <f t="shared" ref="H5:I41" si="1">H4+(1/39)</f>
        <v>5.128205128205128E-2</v>
      </c>
      <c r="I5" s="23">
        <f t="shared" si="1"/>
        <v>5.128205128205128E-2</v>
      </c>
      <c r="J5" s="10">
        <f>((F5-F4)*(G5-G4))/2</f>
        <v>5.2482029506835512E-4</v>
      </c>
      <c r="K5" s="11">
        <f>(F5-F4)*G4</f>
        <v>1.362947044808518E-3</v>
      </c>
      <c r="L5" s="10">
        <f>SUM(D5:D$42)</f>
        <v>163672</v>
      </c>
      <c r="M5" s="14">
        <f t="shared" ref="M5:M42" si="2">L5/$D$44</f>
        <v>0.39735954687921066</v>
      </c>
      <c r="N5" s="8">
        <f>SUM(C5:C$42)</f>
        <v>8679289</v>
      </c>
      <c r="O5" s="15">
        <f t="shared" ref="O5:O42" si="3">N5/C$44</f>
        <v>0.98590164427901594</v>
      </c>
    </row>
    <row r="6" spans="1:17" x14ac:dyDescent="0.25">
      <c r="A6">
        <v>5</v>
      </c>
      <c r="B6">
        <v>9</v>
      </c>
      <c r="C6" s="1">
        <v>209182</v>
      </c>
      <c r="D6">
        <v>30883</v>
      </c>
      <c r="E6" s="5">
        <f t="shared" si="0"/>
        <v>6.7733704627141149</v>
      </c>
      <c r="F6" s="26">
        <f>SUM($D$4:D6)/$D$44</f>
        <v>0.77429175598872535</v>
      </c>
      <c r="G6" s="15">
        <f>SUM($C$4:C6)/$C$44</f>
        <v>4.871735672656112E-2</v>
      </c>
      <c r="H6" s="15">
        <f t="shared" si="1"/>
        <v>7.6923076923076927E-2</v>
      </c>
      <c r="I6" s="23">
        <f t="shared" si="1"/>
        <v>7.6923076923076927E-2</v>
      </c>
      <c r="J6" s="10">
        <f t="shared" ref="J6:J41" si="4">((F6-F5)*(G6-G5))/2</f>
        <v>8.9078419023253994E-4</v>
      </c>
      <c r="K6" s="11">
        <f>(F6-F5)*G5</f>
        <v>1.8711186320947617E-3</v>
      </c>
      <c r="L6" s="10">
        <f>SUM(D6:D$42)</f>
        <v>123852</v>
      </c>
      <c r="M6" s="14">
        <f t="shared" si="2"/>
        <v>0.30068536218830344</v>
      </c>
      <c r="N6" s="8">
        <f>SUM(C6:C$42)</f>
        <v>8583706</v>
      </c>
      <c r="O6" s="15">
        <f t="shared" si="3"/>
        <v>0.97504413776377941</v>
      </c>
    </row>
    <row r="7" spans="1:17" x14ac:dyDescent="0.25">
      <c r="A7">
        <v>10</v>
      </c>
      <c r="B7">
        <v>14</v>
      </c>
      <c r="C7" s="1">
        <v>206631</v>
      </c>
      <c r="D7">
        <v>17614</v>
      </c>
      <c r="E7" s="5">
        <f t="shared" si="0"/>
        <v>11.731066197343022</v>
      </c>
      <c r="F7" s="26">
        <f>SUM($D$4:D7)/$D$44</f>
        <v>0.81705466631382939</v>
      </c>
      <c r="G7" s="15">
        <f>SUM($C$4:C7)/$C$44</f>
        <v>7.2189076893848708E-2</v>
      </c>
      <c r="H7" s="15">
        <f t="shared" si="1"/>
        <v>0.10256410256410256</v>
      </c>
      <c r="I7" s="23">
        <f t="shared" si="1"/>
        <v>0.10256410256410256</v>
      </c>
      <c r="J7" s="10">
        <f t="shared" si="4"/>
        <v>5.0185953234482762E-4</v>
      </c>
      <c r="K7" s="11">
        <f t="shared" ref="K7:K42" si="5">(F7-F6)*G6</f>
        <v>2.0832959569740375E-3</v>
      </c>
      <c r="L7" s="10">
        <f>SUM(D7:D$42)</f>
        <v>92969</v>
      </c>
      <c r="M7" s="14">
        <f t="shared" si="2"/>
        <v>0.22570824401127462</v>
      </c>
      <c r="N7" s="8">
        <f>SUM(C7:C$42)</f>
        <v>8374524</v>
      </c>
      <c r="O7" s="15">
        <f t="shared" si="3"/>
        <v>0.95128264327343892</v>
      </c>
    </row>
    <row r="8" spans="1:17" x14ac:dyDescent="0.25">
      <c r="A8">
        <v>15</v>
      </c>
      <c r="B8">
        <v>19</v>
      </c>
      <c r="C8" s="1">
        <v>219772</v>
      </c>
      <c r="D8">
        <v>13077</v>
      </c>
      <c r="E8" s="5">
        <f t="shared" si="0"/>
        <v>16.805995258851418</v>
      </c>
      <c r="F8" s="26">
        <f>SUM($D$4:D8)/$D$44</f>
        <v>0.84880274047764137</v>
      </c>
      <c r="G8" s="15">
        <f>SUM($C$4:C8)/$C$44</f>
        <v>9.7153515359544224E-2</v>
      </c>
      <c r="H8" s="15">
        <f t="shared" si="1"/>
        <v>0.12820512820512819</v>
      </c>
      <c r="I8" s="23">
        <f t="shared" si="1"/>
        <v>0.12820512820512819</v>
      </c>
      <c r="J8" s="10">
        <f t="shared" si="4"/>
        <v>3.9628642193341088E-4</v>
      </c>
      <c r="K8" s="11">
        <f t="shared" si="5"/>
        <v>2.2918641670430346E-3</v>
      </c>
      <c r="L8" s="10">
        <f>SUM(D8:D$42)</f>
        <v>75355</v>
      </c>
      <c r="M8" s="14">
        <f t="shared" si="2"/>
        <v>0.18294533368617064</v>
      </c>
      <c r="N8" s="8">
        <f>SUM(C8:C$42)</f>
        <v>8167893</v>
      </c>
      <c r="O8" s="15">
        <f t="shared" si="3"/>
        <v>0.92781092310615132</v>
      </c>
    </row>
    <row r="9" spans="1:17" x14ac:dyDescent="0.25">
      <c r="A9">
        <v>20</v>
      </c>
      <c r="B9">
        <v>24</v>
      </c>
      <c r="C9" s="1">
        <v>198070</v>
      </c>
      <c r="D9">
        <v>9103</v>
      </c>
      <c r="E9" s="5">
        <f t="shared" si="0"/>
        <v>21.758760848072065</v>
      </c>
      <c r="F9" s="26">
        <f>SUM($D$4:D9)/$D$44</f>
        <v>0.87090281840936734</v>
      </c>
      <c r="G9" s="15">
        <f>SUM($C$4:C9)/$C$44</f>
        <v>0.11965277061908734</v>
      </c>
      <c r="H9" s="15">
        <f t="shared" si="1"/>
        <v>0.15384615384615383</v>
      </c>
      <c r="I9" s="23">
        <f t="shared" si="1"/>
        <v>0.15384615384615383</v>
      </c>
      <c r="J9" s="10">
        <f t="shared" si="4"/>
        <v>2.4861764732084918E-4</v>
      </c>
      <c r="K9" s="11">
        <f t="shared" si="5"/>
        <v>2.1471002607870633E-3</v>
      </c>
      <c r="L9" s="10">
        <f>SUM(D9:D$42)</f>
        <v>62278</v>
      </c>
      <c r="M9" s="14">
        <f t="shared" si="2"/>
        <v>0.15119725952235863</v>
      </c>
      <c r="N9" s="8">
        <f>SUM(C9:C$42)</f>
        <v>7948121</v>
      </c>
      <c r="O9" s="15">
        <f t="shared" si="3"/>
        <v>0.9028464846404558</v>
      </c>
    </row>
    <row r="10" spans="1:17" x14ac:dyDescent="0.25">
      <c r="A10">
        <v>25</v>
      </c>
      <c r="B10">
        <v>29</v>
      </c>
      <c r="C10" s="1">
        <v>182530</v>
      </c>
      <c r="D10">
        <v>6800</v>
      </c>
      <c r="E10" s="5">
        <f t="shared" si="0"/>
        <v>26.84264705882353</v>
      </c>
      <c r="F10" s="26">
        <f>SUM($D$4:D10)/$D$44</f>
        <v>0.88741171986336453</v>
      </c>
      <c r="G10" s="15">
        <f>SUM($C$4:C10)/$C$44</f>
        <v>0.14038679930856279</v>
      </c>
      <c r="H10" s="15">
        <f t="shared" si="1"/>
        <v>0.17948717948717946</v>
      </c>
      <c r="I10" s="23">
        <f t="shared" si="1"/>
        <v>0.17948717948717946</v>
      </c>
      <c r="J10" s="10">
        <f t="shared" si="4"/>
        <v>1.7114801818945039E-4</v>
      </c>
      <c r="K10" s="11">
        <f t="shared" si="5"/>
        <v>1.9753357988482436E-3</v>
      </c>
      <c r="L10" s="10">
        <f>SUM(D10:D$42)</f>
        <v>53175</v>
      </c>
      <c r="M10" s="14">
        <f t="shared" si="2"/>
        <v>0.12909718159063266</v>
      </c>
      <c r="N10" s="8">
        <f>SUM(C10:C$42)</f>
        <v>7750051</v>
      </c>
      <c r="O10" s="15">
        <f t="shared" si="3"/>
        <v>0.8803472293809127</v>
      </c>
    </row>
    <row r="11" spans="1:17" x14ac:dyDescent="0.25">
      <c r="A11">
        <v>30</v>
      </c>
      <c r="B11">
        <v>34</v>
      </c>
      <c r="C11" s="1">
        <v>182451</v>
      </c>
      <c r="D11">
        <v>5737</v>
      </c>
      <c r="E11" s="5">
        <f t="shared" si="0"/>
        <v>31.802510022659927</v>
      </c>
      <c r="F11" s="26">
        <f>SUM($D$4:D11)/$D$44</f>
        <v>0.90133989157536187</v>
      </c>
      <c r="G11" s="15">
        <f>SUM($C$4:C11)/$C$44</f>
        <v>0.16111185419501153</v>
      </c>
      <c r="H11" s="15">
        <f t="shared" si="1"/>
        <v>0.20512820512820509</v>
      </c>
      <c r="I11" s="23">
        <f t="shared" si="1"/>
        <v>0.20512820512820509</v>
      </c>
      <c r="J11" s="10">
        <f t="shared" si="4"/>
        <v>1.4433106159951378E-4</v>
      </c>
      <c r="K11" s="11">
        <f t="shared" si="5"/>
        <v>1.9553314468673719E-3</v>
      </c>
      <c r="L11" s="10">
        <f>SUM(D11:D$42)</f>
        <v>46375</v>
      </c>
      <c r="M11" s="14">
        <f t="shared" si="2"/>
        <v>0.11258828013663544</v>
      </c>
      <c r="N11" s="8">
        <f>SUM(C11:C$42)</f>
        <v>7567521</v>
      </c>
      <c r="O11" s="15">
        <f t="shared" si="3"/>
        <v>0.85961320069143721</v>
      </c>
    </row>
    <row r="12" spans="1:17" x14ac:dyDescent="0.25">
      <c r="A12">
        <v>35</v>
      </c>
      <c r="B12">
        <v>39</v>
      </c>
      <c r="C12" s="1">
        <v>157889</v>
      </c>
      <c r="D12">
        <v>4279</v>
      </c>
      <c r="E12" s="5">
        <f t="shared" si="0"/>
        <v>36.898574433278803</v>
      </c>
      <c r="F12" s="26">
        <f>SUM($D$4:D12)/$D$44</f>
        <v>0.91172836059325224</v>
      </c>
      <c r="G12" s="15">
        <f>SUM($C$4:C12)/$C$44</f>
        <v>0.17904685148725166</v>
      </c>
      <c r="H12" s="15">
        <f t="shared" si="1"/>
        <v>0.23076923076923073</v>
      </c>
      <c r="I12" s="23">
        <f t="shared" si="1"/>
        <v>0.23076923076923073</v>
      </c>
      <c r="J12" s="10">
        <f t="shared" si="4"/>
        <v>9.3158581853192097E-5</v>
      </c>
      <c r="K12" s="11">
        <f t="shared" si="5"/>
        <v>1.6737055057197475E-3</v>
      </c>
      <c r="L12" s="10">
        <f>SUM(D12:D$42)</f>
        <v>40638</v>
      </c>
      <c r="M12" s="14">
        <f t="shared" si="2"/>
        <v>9.8660108424638085E-2</v>
      </c>
      <c r="N12" s="8">
        <f>SUM(C12:C$42)</f>
        <v>7385070</v>
      </c>
      <c r="O12" s="15">
        <f t="shared" si="3"/>
        <v>0.83888814580498849</v>
      </c>
    </row>
    <row r="13" spans="1:17" x14ac:dyDescent="0.25">
      <c r="A13">
        <v>40</v>
      </c>
      <c r="B13">
        <v>44</v>
      </c>
      <c r="C13" s="1">
        <v>141439</v>
      </c>
      <c r="D13">
        <v>3373</v>
      </c>
      <c r="E13" s="5">
        <f t="shared" si="0"/>
        <v>41.932700859768751</v>
      </c>
      <c r="F13" s="26">
        <f>SUM($D$4:D13)/$D$44</f>
        <v>0.91991726127036</v>
      </c>
      <c r="G13" s="15">
        <f>SUM($C$4:C13)/$C$44</f>
        <v>0.1951132530859517</v>
      </c>
      <c r="H13" s="15">
        <f t="shared" si="1"/>
        <v>0.25641025641025639</v>
      </c>
      <c r="I13" s="23">
        <f t="shared" si="1"/>
        <v>0.25641025641025639</v>
      </c>
      <c r="J13" s="10">
        <f t="shared" si="4"/>
        <v>6.5783083465139968E-5</v>
      </c>
      <c r="K13" s="11">
        <f t="shared" si="5"/>
        <v>1.4661968833779673E-3</v>
      </c>
      <c r="L13" s="10">
        <f>SUM(D13:D$42)</f>
        <v>36359</v>
      </c>
      <c r="M13" s="14">
        <f t="shared" si="2"/>
        <v>8.8271639406747773E-2</v>
      </c>
      <c r="N13" s="8">
        <f>SUM(C13:C$42)</f>
        <v>7227181</v>
      </c>
      <c r="O13" s="15">
        <f t="shared" si="3"/>
        <v>0.82095314851274837</v>
      </c>
    </row>
    <row r="14" spans="1:17" x14ac:dyDescent="0.25">
      <c r="A14">
        <v>45</v>
      </c>
      <c r="B14">
        <v>49</v>
      </c>
      <c r="C14" s="1">
        <v>151855</v>
      </c>
      <c r="D14">
        <v>3240</v>
      </c>
      <c r="E14" s="5">
        <f t="shared" si="0"/>
        <v>46.868827160493829</v>
      </c>
      <c r="F14" s="26">
        <f>SUM($D$4:D14)/$D$44</f>
        <v>0.92778326725726457</v>
      </c>
      <c r="G14" s="15">
        <f>SUM($C$4:C14)/$C$44</f>
        <v>0.21236283357485927</v>
      </c>
      <c r="H14" s="15">
        <f t="shared" si="1"/>
        <v>0.28205128205128205</v>
      </c>
      <c r="I14" s="23">
        <f t="shared" si="1"/>
        <v>0.28205128205128205</v>
      </c>
      <c r="J14" s="10">
        <f t="shared" si="4"/>
        <v>6.7842651698669576E-5</v>
      </c>
      <c r="K14" s="11">
        <f t="shared" si="5"/>
        <v>1.5347620168985221E-3</v>
      </c>
      <c r="L14" s="10">
        <f>SUM(D14:D$42)</f>
        <v>32986</v>
      </c>
      <c r="M14" s="14">
        <f t="shared" si="2"/>
        <v>8.0082738729640029E-2</v>
      </c>
      <c r="N14" s="8">
        <f>SUM(C14:C$42)</f>
        <v>7085742</v>
      </c>
      <c r="O14" s="15">
        <f t="shared" si="3"/>
        <v>0.80488674691404827</v>
      </c>
    </row>
    <row r="15" spans="1:17" x14ac:dyDescent="0.25">
      <c r="A15">
        <v>50</v>
      </c>
      <c r="B15">
        <v>59</v>
      </c>
      <c r="C15" s="1">
        <v>241926</v>
      </c>
      <c r="D15">
        <v>4465</v>
      </c>
      <c r="E15" s="5">
        <f t="shared" si="0"/>
        <v>54.18275475923852</v>
      </c>
      <c r="F15" s="26">
        <f>SUM($D$4:D15)/$D$44</f>
        <v>0.93862330328551413</v>
      </c>
      <c r="G15" s="15">
        <f>SUM($C$4:C15)/$C$44</f>
        <v>0.23984379903111325</v>
      </c>
      <c r="H15" s="15">
        <f t="shared" si="1"/>
        <v>0.30769230769230771</v>
      </c>
      <c r="I15" s="23">
        <f t="shared" si="1"/>
        <v>0.30769230769230771</v>
      </c>
      <c r="J15" s="10">
        <f t="shared" si="4"/>
        <v>1.4894732781843743E-4</v>
      </c>
      <c r="K15" s="11">
        <f t="shared" si="5"/>
        <v>2.3020207670126414E-3</v>
      </c>
      <c r="L15" s="10">
        <f>SUM(D15:D$42)</f>
        <v>29746</v>
      </c>
      <c r="M15" s="14">
        <f t="shared" si="2"/>
        <v>7.2216732742735476E-2</v>
      </c>
      <c r="N15" s="8">
        <f>SUM(C15:C$42)</f>
        <v>6933887</v>
      </c>
      <c r="O15" s="15">
        <f t="shared" si="3"/>
        <v>0.7876371664251407</v>
      </c>
    </row>
    <row r="16" spans="1:17" x14ac:dyDescent="0.25">
      <c r="A16">
        <v>60</v>
      </c>
      <c r="B16">
        <v>69</v>
      </c>
      <c r="C16" s="1">
        <v>203887</v>
      </c>
      <c r="D16">
        <v>3170</v>
      </c>
      <c r="E16" s="5">
        <f t="shared" si="0"/>
        <v>64.317665615141962</v>
      </c>
      <c r="F16" s="26">
        <f>SUM($D$4:D16)/$D$44</f>
        <v>0.94631936469862754</v>
      </c>
      <c r="G16" s="15">
        <f>SUM($C$4:C16)/$C$44</f>
        <v>0.26300382153377627</v>
      </c>
      <c r="H16" s="15">
        <f t="shared" si="1"/>
        <v>0.33333333333333337</v>
      </c>
      <c r="I16" s="23">
        <f t="shared" si="1"/>
        <v>0.33333333333333337</v>
      </c>
      <c r="J16" s="10">
        <f t="shared" si="4"/>
        <v>8.9120477754791566E-5</v>
      </c>
      <c r="K16" s="11">
        <f t="shared" si="5"/>
        <v>1.8458526068978779E-3</v>
      </c>
      <c r="L16" s="10">
        <f>SUM(D16:D$42)</f>
        <v>25281</v>
      </c>
      <c r="M16" s="14">
        <f t="shared" si="2"/>
        <v>6.1376696714485833E-2</v>
      </c>
      <c r="N16" s="8">
        <f>SUM(C16:C$42)</f>
        <v>6691961</v>
      </c>
      <c r="O16" s="15">
        <f t="shared" si="3"/>
        <v>0.7601562009688867</v>
      </c>
    </row>
    <row r="17" spans="1:15" x14ac:dyDescent="0.25">
      <c r="A17">
        <v>70</v>
      </c>
      <c r="B17">
        <v>79</v>
      </c>
      <c r="C17" s="1">
        <v>225648</v>
      </c>
      <c r="D17">
        <v>3041</v>
      </c>
      <c r="E17" s="5">
        <f t="shared" si="0"/>
        <v>74.201907267346272</v>
      </c>
      <c r="F17" s="26">
        <f>SUM($D$4:D17)/$D$44</f>
        <v>0.9537022425400401</v>
      </c>
      <c r="G17" s="15">
        <f>SUM($C$4:C17)/$C$44</f>
        <v>0.2886357291967509</v>
      </c>
      <c r="H17" s="15">
        <f t="shared" si="1"/>
        <v>0.35897435897435903</v>
      </c>
      <c r="I17" s="23">
        <f t="shared" si="1"/>
        <v>0.35897435897435903</v>
      </c>
      <c r="J17" s="10">
        <f t="shared" si="4"/>
        <v>9.4618621559054098E-5</v>
      </c>
      <c r="K17" s="11">
        <f t="shared" si="5"/>
        <v>1.9417250862085406E-3</v>
      </c>
      <c r="L17" s="10">
        <f>SUM(D17:D$42)</f>
        <v>22111</v>
      </c>
      <c r="M17" s="14">
        <f t="shared" si="2"/>
        <v>5.3680635301372424E-2</v>
      </c>
      <c r="N17" s="8">
        <f>SUM(C17:C$42)</f>
        <v>6488074</v>
      </c>
      <c r="O17" s="15">
        <f t="shared" si="3"/>
        <v>0.73699617846622367</v>
      </c>
    </row>
    <row r="18" spans="1:15" x14ac:dyDescent="0.25">
      <c r="A18">
        <v>80</v>
      </c>
      <c r="B18">
        <v>89</v>
      </c>
      <c r="C18" s="1">
        <v>175505</v>
      </c>
      <c r="D18">
        <v>2081</v>
      </c>
      <c r="E18" s="5">
        <f t="shared" si="0"/>
        <v>84.336857280153765</v>
      </c>
      <c r="F18" s="26">
        <f>SUM($D$4:D18)/$D$44</f>
        <v>0.95875445194088837</v>
      </c>
      <c r="G18" s="15">
        <f>SUM($C$4:C18)/$C$44</f>
        <v>0.3085717709715079</v>
      </c>
      <c r="H18" s="15">
        <f t="shared" si="1"/>
        <v>0.38461538461538469</v>
      </c>
      <c r="I18" s="23">
        <f t="shared" si="1"/>
        <v>0.38461538461538469</v>
      </c>
      <c r="J18" s="10">
        <f t="shared" si="4"/>
        <v>5.0360528835065595E-5</v>
      </c>
      <c r="K18" s="11">
        <f t="shared" si="5"/>
        <v>1.4582481444685212E-3</v>
      </c>
      <c r="L18" s="10">
        <f>SUM(D18:D$42)</f>
        <v>19070</v>
      </c>
      <c r="M18" s="14">
        <f t="shared" si="2"/>
        <v>4.6297757459959843E-2</v>
      </c>
      <c r="N18" s="8">
        <f>SUM(C18:C$42)</f>
        <v>6262426</v>
      </c>
      <c r="O18" s="15">
        <f t="shared" si="3"/>
        <v>0.71136427080324904</v>
      </c>
    </row>
    <row r="19" spans="1:15" x14ac:dyDescent="0.25">
      <c r="A19">
        <v>90</v>
      </c>
      <c r="B19">
        <v>99</v>
      </c>
      <c r="C19" s="1">
        <v>194056</v>
      </c>
      <c r="D19">
        <v>2048</v>
      </c>
      <c r="E19" s="5">
        <f t="shared" si="0"/>
        <v>94.75390625</v>
      </c>
      <c r="F19" s="26">
        <f>SUM($D$4:D19)/$D$44</f>
        <v>0.96372654461409224</v>
      </c>
      <c r="G19" s="15">
        <f>SUM($C$4:C19)/$C$44</f>
        <v>0.33061506616333852</v>
      </c>
      <c r="H19" s="15">
        <f t="shared" si="1"/>
        <v>0.41025641025641035</v>
      </c>
      <c r="I19" s="23">
        <f t="shared" si="1"/>
        <v>0.41025641025641035</v>
      </c>
      <c r="J19" s="10">
        <f t="shared" si="4"/>
        <v>5.4800653258285516E-5</v>
      </c>
      <c r="K19" s="11">
        <f t="shared" si="5"/>
        <v>1.5342474416049755E-3</v>
      </c>
      <c r="L19" s="10">
        <f>SUM(D19:D$42)</f>
        <v>16989</v>
      </c>
      <c r="M19" s="14">
        <f t="shared" si="2"/>
        <v>4.1245548059111577E-2</v>
      </c>
      <c r="N19" s="8">
        <f>SUM(C19:C$42)</f>
        <v>6086921</v>
      </c>
      <c r="O19" s="15">
        <f t="shared" si="3"/>
        <v>0.6914282290284921</v>
      </c>
    </row>
    <row r="20" spans="1:15" x14ac:dyDescent="0.25">
      <c r="A20">
        <v>100</v>
      </c>
      <c r="B20">
        <v>124</v>
      </c>
      <c r="C20" s="1">
        <v>356980</v>
      </c>
      <c r="D20">
        <v>3218</v>
      </c>
      <c r="E20" s="5">
        <f t="shared" si="0"/>
        <v>110.93225605966438</v>
      </c>
      <c r="F20" s="26">
        <f>SUM($D$4:D20)/$D$44</f>
        <v>0.97153913944923387</v>
      </c>
      <c r="G20" s="15">
        <f>SUM($C$4:C20)/$C$44</f>
        <v>0.37116529659980901</v>
      </c>
      <c r="H20" s="15">
        <f t="shared" si="1"/>
        <v>0.43589743589743601</v>
      </c>
      <c r="I20" s="23">
        <f t="shared" si="1"/>
        <v>0.43589743589743601</v>
      </c>
      <c r="J20" s="10">
        <f t="shared" si="4"/>
        <v>1.5840126043588612E-4</v>
      </c>
      <c r="K20" s="11">
        <f t="shared" si="5"/>
        <v>2.5829615583277065E-3</v>
      </c>
      <c r="L20" s="10">
        <f>SUM(D20:D$42)</f>
        <v>14941</v>
      </c>
      <c r="M20" s="14">
        <f t="shared" si="2"/>
        <v>3.6273455385907712E-2</v>
      </c>
      <c r="N20" s="8">
        <f>SUM(C20:C$42)</f>
        <v>5892865</v>
      </c>
      <c r="O20" s="15">
        <f t="shared" si="3"/>
        <v>0.66938493383666142</v>
      </c>
    </row>
    <row r="21" spans="1:15" x14ac:dyDescent="0.25">
      <c r="A21">
        <v>125</v>
      </c>
      <c r="B21">
        <v>149</v>
      </c>
      <c r="C21" s="1">
        <v>285475</v>
      </c>
      <c r="D21">
        <v>2094</v>
      </c>
      <c r="E21" s="5">
        <f t="shared" si="0"/>
        <v>136.32999044890161</v>
      </c>
      <c r="F21" s="26">
        <f>SUM($D$4:D21)/$D$44</f>
        <v>0.97662290998521484</v>
      </c>
      <c r="G21" s="15">
        <f>SUM($C$4:C21)/$C$44</f>
        <v>0.40359309937265736</v>
      </c>
      <c r="H21" s="15">
        <f t="shared" si="1"/>
        <v>0.46153846153846168</v>
      </c>
      <c r="I21" s="23">
        <f t="shared" si="1"/>
        <v>0.46153846153846168</v>
      </c>
      <c r="J21" s="10">
        <f t="shared" si="4"/>
        <v>8.2427754141604201E-5</v>
      </c>
      <c r="K21" s="11">
        <f t="shared" si="5"/>
        <v>1.8869191988327464E-3</v>
      </c>
      <c r="L21" s="10">
        <f>SUM(D21:D$42)</f>
        <v>11723</v>
      </c>
      <c r="M21" s="14">
        <f t="shared" si="2"/>
        <v>2.8460860550766087E-2</v>
      </c>
      <c r="N21" s="8">
        <f>SUM(C21:C$42)</f>
        <v>5535885</v>
      </c>
      <c r="O21" s="15">
        <f t="shared" si="3"/>
        <v>0.62883470340019099</v>
      </c>
    </row>
    <row r="22" spans="1:15" x14ac:dyDescent="0.25">
      <c r="A22">
        <v>150</v>
      </c>
      <c r="B22">
        <v>174</v>
      </c>
      <c r="C22" s="1">
        <v>253911</v>
      </c>
      <c r="D22">
        <v>1571</v>
      </c>
      <c r="E22" s="5">
        <f t="shared" si="0"/>
        <v>161.62380649267982</v>
      </c>
      <c r="F22" s="26">
        <f>SUM($D$4:D22)/$D$44</f>
        <v>0.98043695177701329</v>
      </c>
      <c r="G22" s="15">
        <f>SUM($C$4:C22)/$C$44</f>
        <v>0.43243547026277623</v>
      </c>
      <c r="H22" s="15">
        <f t="shared" si="1"/>
        <v>0.48717948717948734</v>
      </c>
      <c r="I22" s="23">
        <f t="shared" si="1"/>
        <v>0.48717948717948734</v>
      </c>
      <c r="J22" s="10">
        <f t="shared" si="4"/>
        <v>5.5003003974732227E-5</v>
      </c>
      <c r="K22" s="11">
        <f t="shared" si="5"/>
        <v>1.5393209478887801E-3</v>
      </c>
      <c r="L22" s="10">
        <f>SUM(D22:D$42)</f>
        <v>9629</v>
      </c>
      <c r="M22" s="14">
        <f t="shared" si="2"/>
        <v>2.3377090014785176E-2</v>
      </c>
      <c r="N22" s="8">
        <f>SUM(C22:C$42)</f>
        <v>5250410</v>
      </c>
      <c r="O22" s="15">
        <f t="shared" si="3"/>
        <v>0.5964069006273427</v>
      </c>
    </row>
    <row r="23" spans="1:15" x14ac:dyDescent="0.25">
      <c r="A23">
        <v>175</v>
      </c>
      <c r="B23">
        <v>199</v>
      </c>
      <c r="C23" s="1">
        <v>207506</v>
      </c>
      <c r="D23">
        <v>1115</v>
      </c>
      <c r="E23" s="5">
        <f t="shared" si="0"/>
        <v>186.10403587443946</v>
      </c>
      <c r="F23" s="26">
        <f>SUM($D$4:D23)/$D$44</f>
        <v>0.9831439260595437</v>
      </c>
      <c r="G23" s="15">
        <f>SUM($C$4:C23)/$C$44</f>
        <v>0.45600658381801806</v>
      </c>
      <c r="H23" s="15">
        <f t="shared" si="1"/>
        <v>0.512820512820513</v>
      </c>
      <c r="I23" s="23">
        <f t="shared" si="1"/>
        <v>0.512820512820513</v>
      </c>
      <c r="J23" s="10">
        <f t="shared" si="4"/>
        <v>3.1903199102321865E-5</v>
      </c>
      <c r="K23" s="11">
        <f t="shared" si="5"/>
        <v>1.1705916968552819E-3</v>
      </c>
      <c r="L23" s="10">
        <f>SUM(D23:D$42)</f>
        <v>8058</v>
      </c>
      <c r="M23" s="14">
        <f t="shared" si="2"/>
        <v>1.9563048222986702E-2</v>
      </c>
      <c r="N23" s="8">
        <f>SUM(C23:C$42)</f>
        <v>4996499</v>
      </c>
      <c r="O23" s="15">
        <f t="shared" si="3"/>
        <v>0.56756452973722371</v>
      </c>
    </row>
    <row r="24" spans="1:15" x14ac:dyDescent="0.25">
      <c r="A24">
        <v>200</v>
      </c>
      <c r="B24">
        <v>249</v>
      </c>
      <c r="C24" s="1">
        <v>346575</v>
      </c>
      <c r="D24">
        <v>1557</v>
      </c>
      <c r="E24" s="5">
        <f t="shared" si="0"/>
        <v>222.59152215799614</v>
      </c>
      <c r="F24" s="26">
        <f>SUM($D$4:D24)/$D$44</f>
        <v>0.98692397893658401</v>
      </c>
      <c r="G24" s="15">
        <f>SUM($C$4:C24)/$C$44</f>
        <v>0.49537488488115816</v>
      </c>
      <c r="H24" s="15">
        <f t="shared" si="1"/>
        <v>0.53846153846153866</v>
      </c>
      <c r="I24" s="23">
        <f t="shared" si="1"/>
        <v>0.53846153846153866</v>
      </c>
      <c r="J24" s="10">
        <f t="shared" si="4"/>
        <v>7.4407129848955868E-5</v>
      </c>
      <c r="K24" s="11">
        <f t="shared" si="5"/>
        <v>1.7237289991106214E-3</v>
      </c>
      <c r="L24" s="10">
        <f>SUM(D24:D$42)</f>
        <v>6943</v>
      </c>
      <c r="M24" s="14">
        <f t="shared" si="2"/>
        <v>1.6856073940456278E-2</v>
      </c>
      <c r="N24" s="8">
        <f>SUM(C24:C$42)</f>
        <v>4788993</v>
      </c>
      <c r="O24" s="15">
        <f t="shared" si="3"/>
        <v>0.54399341618198194</v>
      </c>
    </row>
    <row r="25" spans="1:15" x14ac:dyDescent="0.25">
      <c r="A25">
        <v>250</v>
      </c>
      <c r="B25">
        <v>299</v>
      </c>
      <c r="C25" s="1">
        <v>281294</v>
      </c>
      <c r="D25">
        <v>1031</v>
      </c>
      <c r="E25" s="5">
        <f t="shared" si="0"/>
        <v>272.8360814742968</v>
      </c>
      <c r="F25" s="26">
        <f>SUM($D$4:D25)/$D$44</f>
        <v>0.98942701973056502</v>
      </c>
      <c r="G25" s="15">
        <f>SUM($C$4:C25)/$C$44</f>
        <v>0.52732775764825024</v>
      </c>
      <c r="H25" s="15">
        <f t="shared" si="1"/>
        <v>0.56410256410256432</v>
      </c>
      <c r="I25" s="23">
        <f t="shared" si="1"/>
        <v>0.56410256410256432</v>
      </c>
      <c r="J25" s="10">
        <f t="shared" si="4"/>
        <v>3.9989672010458076E-5</v>
      </c>
      <c r="K25" s="11">
        <f t="shared" si="5"/>
        <v>1.2399435451711826E-3</v>
      </c>
      <c r="L25" s="10">
        <f>SUM(D25:D$42)</f>
        <v>5386</v>
      </c>
      <c r="M25" s="14">
        <f t="shared" si="2"/>
        <v>1.3076021063416031E-2</v>
      </c>
      <c r="N25" s="8">
        <f>SUM(C25:C$42)</f>
        <v>4442418</v>
      </c>
      <c r="O25" s="15">
        <f t="shared" si="3"/>
        <v>0.50462511511884178</v>
      </c>
    </row>
    <row r="26" spans="1:15" x14ac:dyDescent="0.25">
      <c r="A26">
        <v>300</v>
      </c>
      <c r="B26">
        <v>349</v>
      </c>
      <c r="C26" s="1">
        <v>248235</v>
      </c>
      <c r="D26">
        <v>770</v>
      </c>
      <c r="E26" s="5">
        <f t="shared" si="0"/>
        <v>322.38311688311688</v>
      </c>
      <c r="F26" s="26">
        <f>SUM($D$4:D26)/$D$44</f>
        <v>0.99129641004226765</v>
      </c>
      <c r="G26" s="15">
        <f>SUM($C$4:C26)/$C$44</f>
        <v>0.5555253778297653</v>
      </c>
      <c r="H26" s="15">
        <f t="shared" si="1"/>
        <v>0.58974358974358998</v>
      </c>
      <c r="I26" s="23">
        <f t="shared" si="1"/>
        <v>0.58974358974358998</v>
      </c>
      <c r="J26" s="10">
        <f t="shared" si="4"/>
        <v>2.6356178990197467E-5</v>
      </c>
      <c r="K26" s="11">
        <f t="shared" si="5"/>
        <v>9.8578140123951386E-4</v>
      </c>
      <c r="L26" s="10">
        <f>SUM(D26:D$42)</f>
        <v>4355</v>
      </c>
      <c r="M26" s="14">
        <f t="shared" si="2"/>
        <v>1.0572980269434982E-2</v>
      </c>
      <c r="N26" s="8">
        <f>SUM(C26:C$42)</f>
        <v>4161124</v>
      </c>
      <c r="O26" s="15">
        <f t="shared" si="3"/>
        <v>0.47267224235174982</v>
      </c>
    </row>
    <row r="27" spans="1:15" x14ac:dyDescent="0.25">
      <c r="A27">
        <v>350</v>
      </c>
      <c r="B27">
        <v>399</v>
      </c>
      <c r="C27" s="1">
        <v>200853</v>
      </c>
      <c r="D27">
        <v>538</v>
      </c>
      <c r="E27" s="5">
        <f t="shared" si="0"/>
        <v>373.33271375464682</v>
      </c>
      <c r="F27" s="26">
        <f>SUM($D$4:D27)/$D$44</f>
        <v>0.99260255548083387</v>
      </c>
      <c r="G27" s="15">
        <f>SUM($C$4:C27)/$C$44</f>
        <v>0.57834076085922459</v>
      </c>
      <c r="H27" s="15">
        <f t="shared" si="1"/>
        <v>0.61538461538461564</v>
      </c>
      <c r="I27" s="23">
        <f t="shared" si="1"/>
        <v>0.61538461538461564</v>
      </c>
      <c r="J27" s="10">
        <f t="shared" si="4"/>
        <v>1.4900104236534695E-5</v>
      </c>
      <c r="K27" s="11">
        <f t="shared" si="5"/>
        <v>7.2559693826012369E-4</v>
      </c>
      <c r="L27" s="10">
        <f>SUM(D27:D$42)</f>
        <v>3585</v>
      </c>
      <c r="M27" s="14">
        <f t="shared" si="2"/>
        <v>8.7035899577323564E-3</v>
      </c>
      <c r="N27" s="8">
        <f>SUM(C27:C$42)</f>
        <v>3912889</v>
      </c>
      <c r="O27" s="15">
        <f t="shared" si="3"/>
        <v>0.44447462217023476</v>
      </c>
    </row>
    <row r="28" spans="1:15" x14ac:dyDescent="0.25">
      <c r="A28">
        <v>400</v>
      </c>
      <c r="B28">
        <v>449</v>
      </c>
      <c r="C28" s="1">
        <v>184118</v>
      </c>
      <c r="D28">
        <v>435</v>
      </c>
      <c r="E28" s="5">
        <f t="shared" si="0"/>
        <v>423.25977011494251</v>
      </c>
      <c r="F28" s="26">
        <f>SUM($D$4:D28)/$D$44</f>
        <v>0.99365863961796463</v>
      </c>
      <c r="G28" s="15">
        <f>SUM($C$4:C28)/$C$44</f>
        <v>0.59925517434878162</v>
      </c>
      <c r="H28" s="15">
        <f t="shared" si="1"/>
        <v>0.6410256410256413</v>
      </c>
      <c r="I28" s="23">
        <f t="shared" si="1"/>
        <v>0.6410256410256413</v>
      </c>
      <c r="J28" s="10">
        <f t="shared" si="4"/>
        <v>1.104369016185742E-5</v>
      </c>
      <c r="K28" s="11">
        <f t="shared" si="5"/>
        <v>6.1077650339956362E-4</v>
      </c>
      <c r="L28" s="10">
        <f>SUM(D28:D$42)</f>
        <v>3047</v>
      </c>
      <c r="M28" s="14">
        <f t="shared" si="2"/>
        <v>7.3974445191661064E-3</v>
      </c>
      <c r="N28" s="8">
        <f>SUM(C28:C$42)</f>
        <v>3712036</v>
      </c>
      <c r="O28" s="15">
        <f t="shared" si="3"/>
        <v>0.42165923914077541</v>
      </c>
    </row>
    <row r="29" spans="1:15" x14ac:dyDescent="0.25">
      <c r="A29">
        <v>450</v>
      </c>
      <c r="B29">
        <v>499</v>
      </c>
      <c r="C29" s="1">
        <v>169008</v>
      </c>
      <c r="D29">
        <v>357</v>
      </c>
      <c r="E29" s="5">
        <f t="shared" si="0"/>
        <v>473.41176470588238</v>
      </c>
      <c r="F29" s="26">
        <f>SUM($D$4:D29)/$D$44</f>
        <v>0.99452535694429944</v>
      </c>
      <c r="G29" s="15">
        <f>SUM($C$4:C29)/$C$44</f>
        <v>0.61845320601892284</v>
      </c>
      <c r="H29" s="15">
        <f t="shared" si="1"/>
        <v>0.66666666666666696</v>
      </c>
      <c r="I29" s="23">
        <f t="shared" si="1"/>
        <v>0.66666666666666696</v>
      </c>
      <c r="J29" s="10">
        <f t="shared" si="4"/>
        <v>8.319633340017898E-6</v>
      </c>
      <c r="K29" s="11">
        <f t="shared" si="5"/>
        <v>5.1938484250387603E-4</v>
      </c>
      <c r="L29" s="10">
        <f>SUM(D29:D$42)</f>
        <v>2612</v>
      </c>
      <c r="M29" s="14">
        <f t="shared" si="2"/>
        <v>6.3413603820354015E-3</v>
      </c>
      <c r="N29" s="8">
        <f>SUM(C29:C$42)</f>
        <v>3527918</v>
      </c>
      <c r="O29" s="15">
        <f t="shared" si="3"/>
        <v>0.40074482565121838</v>
      </c>
    </row>
    <row r="30" spans="1:15" x14ac:dyDescent="0.25">
      <c r="A30">
        <v>500</v>
      </c>
      <c r="B30">
        <v>599</v>
      </c>
      <c r="C30" s="1">
        <v>250097</v>
      </c>
      <c r="D30">
        <v>459</v>
      </c>
      <c r="E30" s="5">
        <f t="shared" si="0"/>
        <v>544.87363834422661</v>
      </c>
      <c r="F30" s="26">
        <f>SUM($D$4:D30)/$D$44</f>
        <v>0.99563970779244426</v>
      </c>
      <c r="G30" s="15">
        <f>SUM($C$4:C30)/$C$44</f>
        <v>0.64686233533000448</v>
      </c>
      <c r="H30" s="15">
        <f t="shared" si="1"/>
        <v>0.69230769230769262</v>
      </c>
      <c r="I30" s="23">
        <f t="shared" si="1"/>
        <v>0.69230769230769262</v>
      </c>
      <c r="J30" s="10">
        <f t="shared" si="4"/>
        <v>1.582886867142982E-5</v>
      </c>
      <c r="K30" s="11">
        <f t="shared" si="5"/>
        <v>6.8917385466506871E-4</v>
      </c>
      <c r="L30" s="10">
        <f>SUM(D30:D$42)</f>
        <v>2255</v>
      </c>
      <c r="M30" s="14">
        <f t="shared" si="2"/>
        <v>5.4746430557005479E-3</v>
      </c>
      <c r="N30" s="8">
        <f>SUM(C30:C$42)</f>
        <v>3358910</v>
      </c>
      <c r="O30" s="15">
        <f t="shared" si="3"/>
        <v>0.38154679398107721</v>
      </c>
    </row>
    <row r="31" spans="1:15" x14ac:dyDescent="0.25">
      <c r="A31">
        <v>600</v>
      </c>
      <c r="B31">
        <v>699</v>
      </c>
      <c r="C31" s="1">
        <v>222121</v>
      </c>
      <c r="D31">
        <v>343</v>
      </c>
      <c r="E31" s="5">
        <f t="shared" si="0"/>
        <v>647.58309037900869</v>
      </c>
      <c r="F31" s="26">
        <f>SUM($D$4:D31)/$D$44</f>
        <v>0.99647243620402093</v>
      </c>
      <c r="G31" s="15">
        <f>SUM($C$4:C31)/$C$44</f>
        <v>0.6720936024451909</v>
      </c>
      <c r="H31" s="15">
        <f t="shared" si="1"/>
        <v>0.71794871794871828</v>
      </c>
      <c r="I31" s="23">
        <f t="shared" si="1"/>
        <v>0.71794871794871828</v>
      </c>
      <c r="J31" s="10">
        <f t="shared" si="4"/>
        <v>1.0505396493447882E-5</v>
      </c>
      <c r="K31" s="11">
        <f t="shared" si="5"/>
        <v>5.3866064500812758E-4</v>
      </c>
      <c r="L31" s="10">
        <f>SUM(D31:D$42)</f>
        <v>1796</v>
      </c>
      <c r="M31" s="14">
        <f t="shared" si="2"/>
        <v>4.3602922075557356E-3</v>
      </c>
      <c r="N31" s="8">
        <f>SUM(C31:C$42)</f>
        <v>3108813</v>
      </c>
      <c r="O31" s="15">
        <f t="shared" si="3"/>
        <v>0.35313766466999547</v>
      </c>
    </row>
    <row r="32" spans="1:15" x14ac:dyDescent="0.25">
      <c r="A32">
        <v>700</v>
      </c>
      <c r="B32">
        <v>799</v>
      </c>
      <c r="C32" s="1">
        <v>182774</v>
      </c>
      <c r="D32">
        <v>245</v>
      </c>
      <c r="E32" s="5">
        <f t="shared" si="0"/>
        <v>746.01632653061222</v>
      </c>
      <c r="F32" s="26">
        <f>SUM($D$4:D32)/$D$44</f>
        <v>0.99706724221228993</v>
      </c>
      <c r="G32" s="15">
        <f>SUM($C$4:C32)/$C$44</f>
        <v>0.69285534769085022</v>
      </c>
      <c r="H32" s="15">
        <f t="shared" si="1"/>
        <v>0.74358974358974395</v>
      </c>
      <c r="I32" s="23">
        <f t="shared" si="1"/>
        <v>0.74358974358974395</v>
      </c>
      <c r="J32" s="10">
        <f t="shared" si="4"/>
        <v>6.1746054071342547E-6</v>
      </c>
      <c r="K32" s="11">
        <f t="shared" si="5"/>
        <v>3.9976531285355611E-4</v>
      </c>
      <c r="L32" s="10">
        <f>SUM(D32:D$42)</f>
        <v>1453</v>
      </c>
      <c r="M32" s="14">
        <f t="shared" si="2"/>
        <v>3.5275637959791112E-3</v>
      </c>
      <c r="N32" s="8">
        <f>SUM(C32:C$42)</f>
        <v>2886692</v>
      </c>
      <c r="O32" s="15">
        <f t="shared" si="3"/>
        <v>0.32790639755480905</v>
      </c>
    </row>
    <row r="33" spans="1:15" x14ac:dyDescent="0.25">
      <c r="A33">
        <v>800</v>
      </c>
      <c r="B33">
        <v>899</v>
      </c>
      <c r="C33" s="1">
        <v>152013</v>
      </c>
      <c r="D33">
        <v>180</v>
      </c>
      <c r="E33" s="5">
        <f t="shared" si="0"/>
        <v>844.51666666666665</v>
      </c>
      <c r="F33" s="26">
        <f>SUM($D$4:D33)/$D$44</f>
        <v>0.99750424254489567</v>
      </c>
      <c r="G33" s="15">
        <f>SUM($C$4:C33)/$C$44</f>
        <v>0.71012287578581124</v>
      </c>
      <c r="H33" s="15">
        <f t="shared" si="1"/>
        <v>0.76923076923076961</v>
      </c>
      <c r="I33" s="23">
        <f t="shared" si="1"/>
        <v>0.76923076923076961</v>
      </c>
      <c r="J33" s="10">
        <f t="shared" si="4"/>
        <v>3.7729577603884745E-6</v>
      </c>
      <c r="K33" s="11">
        <f t="shared" si="5"/>
        <v>3.027780173885682E-4</v>
      </c>
      <c r="L33" s="10">
        <f>SUM(D33:D$42)</f>
        <v>1208</v>
      </c>
      <c r="M33" s="14">
        <f t="shared" si="2"/>
        <v>2.932757787710094E-3</v>
      </c>
      <c r="N33" s="8">
        <f>SUM(C33:C$42)</f>
        <v>2703918</v>
      </c>
      <c r="O33" s="15">
        <f t="shared" si="3"/>
        <v>0.30714465230914978</v>
      </c>
    </row>
    <row r="34" spans="1:15" x14ac:dyDescent="0.25">
      <c r="A34">
        <v>900</v>
      </c>
      <c r="B34">
        <v>999</v>
      </c>
      <c r="C34" s="1">
        <v>120491</v>
      </c>
      <c r="D34">
        <v>127</v>
      </c>
      <c r="E34" s="5">
        <f t="shared" si="0"/>
        <v>948.74803149606294</v>
      </c>
      <c r="F34" s="26">
        <f>SUM($D$4:D34)/$D$44</f>
        <v>0.9978125705573454</v>
      </c>
      <c r="G34" s="15">
        <f>SUM($C$4:C34)/$C$44</f>
        <v>0.72380974288066458</v>
      </c>
      <c r="H34" s="15">
        <f t="shared" si="1"/>
        <v>0.79487179487179527</v>
      </c>
      <c r="I34" s="23">
        <f t="shared" si="1"/>
        <v>0.79487179487179527</v>
      </c>
      <c r="J34" s="10">
        <f t="shared" si="4"/>
        <v>2.1100222640098857E-6</v>
      </c>
      <c r="K34" s="11">
        <f t="shared" si="5"/>
        <v>2.1895077488612731E-4</v>
      </c>
      <c r="L34" s="10">
        <f>SUM(D34:D$42)</f>
        <v>1028</v>
      </c>
      <c r="M34" s="14">
        <f t="shared" si="2"/>
        <v>2.4957574551042853E-3</v>
      </c>
      <c r="N34" s="8">
        <f>SUM(C34:C$42)</f>
        <v>2551905</v>
      </c>
      <c r="O34" s="15">
        <f t="shared" si="3"/>
        <v>0.28987712421418876</v>
      </c>
    </row>
    <row r="35" spans="1:15" x14ac:dyDescent="0.25">
      <c r="A35">
        <v>1000</v>
      </c>
      <c r="B35">
        <v>1499</v>
      </c>
      <c r="C35" s="1">
        <v>507427</v>
      </c>
      <c r="D35">
        <v>418</v>
      </c>
      <c r="E35" s="5">
        <f t="shared" si="0"/>
        <v>1213.9401913875597</v>
      </c>
      <c r="F35" s="26">
        <f>SUM($D$4:D35)/$D$44</f>
        <v>0.99882738244084113</v>
      </c>
      <c r="G35" s="15">
        <f>SUM($C$4:C35)/$C$44</f>
        <v>0.78144961564576876</v>
      </c>
      <c r="H35" s="15">
        <f t="shared" si="1"/>
        <v>0.82051282051282093</v>
      </c>
      <c r="I35" s="23">
        <f t="shared" si="1"/>
        <v>0.82051282051282093</v>
      </c>
      <c r="J35" s="10">
        <f t="shared" si="4"/>
        <v>2.9246813922604669E-5</v>
      </c>
      <c r="K35" s="11">
        <f t="shared" si="5"/>
        <v>7.3453072846528392E-4</v>
      </c>
      <c r="L35" s="10">
        <f>SUM(D35:D$42)</f>
        <v>901</v>
      </c>
      <c r="M35" s="14">
        <f t="shared" si="2"/>
        <v>2.1874294426546315E-3</v>
      </c>
      <c r="N35" s="8">
        <f>SUM(C35:C$42)</f>
        <v>2431414</v>
      </c>
      <c r="O35" s="15">
        <f t="shared" si="3"/>
        <v>0.27619025711933537</v>
      </c>
    </row>
    <row r="36" spans="1:15" x14ac:dyDescent="0.25">
      <c r="A36">
        <v>1500</v>
      </c>
      <c r="B36">
        <v>1999</v>
      </c>
      <c r="C36" s="1">
        <v>328114</v>
      </c>
      <c r="D36">
        <v>190</v>
      </c>
      <c r="E36" s="5">
        <f t="shared" si="0"/>
        <v>1726.9157894736843</v>
      </c>
      <c r="F36" s="26">
        <f>SUM($D$4:D36)/$D$44</f>
        <v>0.99928866056970278</v>
      </c>
      <c r="G36" s="15">
        <f>SUM($C$4:C36)/$C$44</f>
        <v>0.81872088661173903</v>
      </c>
      <c r="H36" s="15">
        <f t="shared" si="1"/>
        <v>0.84615384615384659</v>
      </c>
      <c r="I36" s="23">
        <f t="shared" si="1"/>
        <v>0.84615384615384659</v>
      </c>
      <c r="J36" s="10">
        <f t="shared" si="4"/>
        <v>8.5962110657392105E-6</v>
      </c>
      <c r="K36" s="11">
        <f t="shared" si="5"/>
        <v>3.6046561650473813E-4</v>
      </c>
      <c r="L36" s="10">
        <f>SUM(D36:D$42)</f>
        <v>483</v>
      </c>
      <c r="M36" s="17">
        <f t="shared" si="2"/>
        <v>1.1726175591589201E-3</v>
      </c>
      <c r="N36" s="8">
        <f>SUM(C36:C$42)</f>
        <v>1923987</v>
      </c>
      <c r="O36" s="16">
        <f t="shared" si="3"/>
        <v>0.21855038435423121</v>
      </c>
    </row>
    <row r="37" spans="1:15" x14ac:dyDescent="0.25">
      <c r="A37">
        <v>2000</v>
      </c>
      <c r="B37">
        <v>2999</v>
      </c>
      <c r="C37" s="1">
        <v>299528</v>
      </c>
      <c r="D37">
        <v>122</v>
      </c>
      <c r="E37" s="5">
        <f t="shared" si="0"/>
        <v>2455.1475409836066</v>
      </c>
      <c r="F37" s="26">
        <f>SUM($D$4:D37)/$D$44</f>
        <v>0.9995848496840245</v>
      </c>
      <c r="G37" s="15">
        <f>SUM($C$4:C37)/$C$44</f>
        <v>0.85274500399135444</v>
      </c>
      <c r="H37" s="15">
        <f t="shared" si="1"/>
        <v>0.87179487179487225</v>
      </c>
      <c r="I37" s="23">
        <f t="shared" si="1"/>
        <v>0.87179487179487225</v>
      </c>
      <c r="J37" s="10">
        <f t="shared" si="4"/>
        <v>5.0387865961232823E-6</v>
      </c>
      <c r="K37" s="11">
        <f t="shared" si="5"/>
        <v>2.4249621428222516E-4</v>
      </c>
      <c r="L37" s="10">
        <f>SUM(D37:D$42)</f>
        <v>293</v>
      </c>
      <c r="M37" s="17">
        <f t="shared" si="2"/>
        <v>7.1133943029723303E-4</v>
      </c>
      <c r="N37" s="8">
        <f>SUM(C37:C$42)</f>
        <v>1595873</v>
      </c>
      <c r="O37" s="16">
        <f t="shared" si="3"/>
        <v>0.18127911338826097</v>
      </c>
    </row>
    <row r="38" spans="1:15" x14ac:dyDescent="0.25">
      <c r="A38">
        <v>3000</v>
      </c>
      <c r="B38">
        <v>3999</v>
      </c>
      <c r="C38" s="1">
        <v>250309</v>
      </c>
      <c r="D38">
        <v>73</v>
      </c>
      <c r="E38" s="5">
        <f t="shared" si="0"/>
        <v>3428.8904109589039</v>
      </c>
      <c r="F38" s="26">
        <f>SUM($D$4:D38)/$D$44</f>
        <v>0.99976207759669244</v>
      </c>
      <c r="G38" s="15">
        <f>SUM($C$4:C38)/$C$44</f>
        <v>0.88117821490043191</v>
      </c>
      <c r="H38" s="15">
        <f t="shared" si="1"/>
        <v>0.89743589743589791</v>
      </c>
      <c r="I38" s="23">
        <f t="shared" si="1"/>
        <v>0.89743589743589791</v>
      </c>
      <c r="J38" s="10">
        <f t="shared" si="4"/>
        <v>2.5195793099315963E-6</v>
      </c>
      <c r="K38" s="11">
        <f t="shared" si="5"/>
        <v>1.5113021709540467E-4</v>
      </c>
      <c r="L38" s="10">
        <f>SUM(D38:D$42)</f>
        <v>171</v>
      </c>
      <c r="M38" s="14">
        <f t="shared" si="2"/>
        <v>4.1515031597551825E-4</v>
      </c>
      <c r="N38" s="8">
        <f>SUM(C38:C$42)</f>
        <v>1296345</v>
      </c>
      <c r="O38" s="15">
        <f t="shared" si="3"/>
        <v>0.14725499600864553</v>
      </c>
    </row>
    <row r="39" spans="1:15" x14ac:dyDescent="0.25">
      <c r="A39">
        <v>4000</v>
      </c>
      <c r="B39">
        <v>4999</v>
      </c>
      <c r="C39" s="1">
        <v>125151</v>
      </c>
      <c r="D39">
        <v>28</v>
      </c>
      <c r="E39" s="5">
        <f t="shared" si="0"/>
        <v>4469.6785714285716</v>
      </c>
      <c r="F39" s="26">
        <f>SUM($D$4:D39)/$D$44</f>
        <v>0.99983005542620884</v>
      </c>
      <c r="G39" s="15">
        <f>SUM($C$4:C39)/$C$44</f>
        <v>0.8953944227814189</v>
      </c>
      <c r="H39" s="15">
        <f t="shared" si="1"/>
        <v>0.92307692307692357</v>
      </c>
      <c r="I39" s="23">
        <f t="shared" si="1"/>
        <v>0.92307692307692357</v>
      </c>
      <c r="J39" s="10">
        <f t="shared" si="4"/>
        <v>4.8319347785169537E-7</v>
      </c>
      <c r="K39" s="11">
        <f t="shared" si="5"/>
        <v>5.9900582466064475E-5</v>
      </c>
      <c r="L39" s="10">
        <f>SUM(D39:D$42)</f>
        <v>98</v>
      </c>
      <c r="M39" s="14">
        <f t="shared" si="2"/>
        <v>2.3792240330760696E-4</v>
      </c>
      <c r="N39" s="8">
        <f>SUM(C39:C$42)</f>
        <v>1046036</v>
      </c>
      <c r="O39" s="15">
        <f t="shared" si="3"/>
        <v>0.11882178509956803</v>
      </c>
    </row>
    <row r="40" spans="1:15" x14ac:dyDescent="0.25">
      <c r="A40">
        <v>5000</v>
      </c>
      <c r="B40">
        <v>7499</v>
      </c>
      <c r="C40" s="1">
        <v>288869</v>
      </c>
      <c r="D40">
        <v>48</v>
      </c>
      <c r="E40" s="5">
        <f t="shared" si="0"/>
        <v>6018.104166666667</v>
      </c>
      <c r="F40" s="26">
        <f>SUM($D$4:D40)/$D$44</f>
        <v>0.99994658884823706</v>
      </c>
      <c r="G40" s="15">
        <f>SUM($C$4:C40)/$C$44</f>
        <v>0.92820775830708635</v>
      </c>
      <c r="H40" s="15">
        <f t="shared" si="1"/>
        <v>0.94871794871794923</v>
      </c>
      <c r="I40" s="23">
        <f t="shared" si="1"/>
        <v>0.94871794871794923</v>
      </c>
      <c r="J40" s="10">
        <f t="shared" si="4"/>
        <v>1.9119251384830936E-6</v>
      </c>
      <c r="K40" s="11">
        <f t="shared" si="5"/>
        <v>1.0434337615170146E-4</v>
      </c>
      <c r="L40" s="10">
        <f>SUM(D40:D$42)</f>
        <v>70</v>
      </c>
      <c r="M40" s="14">
        <f t="shared" si="2"/>
        <v>1.6994457379114784E-4</v>
      </c>
      <c r="N40" s="8">
        <f>SUM(C40:C$42)</f>
        <v>920885</v>
      </c>
      <c r="O40" s="15">
        <f t="shared" si="3"/>
        <v>0.10460557721858112</v>
      </c>
    </row>
    <row r="41" spans="1:15" x14ac:dyDescent="0.25">
      <c r="A41">
        <v>7500</v>
      </c>
      <c r="B41">
        <v>9999</v>
      </c>
      <c r="C41" s="1">
        <v>32391</v>
      </c>
      <c r="D41">
        <v>4</v>
      </c>
      <c r="E41" s="5">
        <f t="shared" si="0"/>
        <v>8097.75</v>
      </c>
      <c r="F41" s="26">
        <f>SUM($D$4:D41)/$D$44</f>
        <v>0.9999562999667394</v>
      </c>
      <c r="G41" s="15">
        <f>SUM($C$4:C41)/$C$44</f>
        <v>0.93188713114048805</v>
      </c>
      <c r="H41" s="15">
        <f t="shared" si="1"/>
        <v>0.97435897435897489</v>
      </c>
      <c r="I41" s="23">
        <f t="shared" si="1"/>
        <v>0.97435897435897489</v>
      </c>
      <c r="J41" s="10">
        <f t="shared" si="4"/>
        <v>1.7865412799731607E-8</v>
      </c>
      <c r="K41" s="11">
        <f t="shared" si="5"/>
        <v>9.0139355357137168E-6</v>
      </c>
      <c r="L41" s="10">
        <f>SUM(D41:D$42)</f>
        <v>22</v>
      </c>
      <c r="M41" s="14">
        <f t="shared" si="2"/>
        <v>5.3411151762932178E-5</v>
      </c>
      <c r="N41" s="8">
        <f>SUM(C41:C$42)</f>
        <v>632016</v>
      </c>
      <c r="O41" s="15">
        <f t="shared" si="3"/>
        <v>7.1792241692913622E-2</v>
      </c>
    </row>
    <row r="42" spans="1:15" x14ac:dyDescent="0.25">
      <c r="A42">
        <v>10000</v>
      </c>
      <c r="B42" t="s">
        <v>1</v>
      </c>
      <c r="C42" s="1">
        <v>599625</v>
      </c>
      <c r="D42">
        <v>18</v>
      </c>
      <c r="E42" s="5">
        <f t="shared" si="0"/>
        <v>33312.5</v>
      </c>
      <c r="F42" s="26">
        <f>SUM($D$4:D42)/$D$44</f>
        <v>1</v>
      </c>
      <c r="G42" s="15">
        <f>SUM($C$4:C42)/$C$44</f>
        <v>1</v>
      </c>
      <c r="H42" s="15">
        <v>1</v>
      </c>
      <c r="I42" s="23">
        <v>1</v>
      </c>
      <c r="J42" s="10">
        <f>((F42-F41)*(G42-G41))/2</f>
        <v>1.4882673173176549E-6</v>
      </c>
      <c r="K42" s="11">
        <f t="shared" si="5"/>
        <v>4.072349862596104E-5</v>
      </c>
      <c r="L42" s="10">
        <f>SUM(D42:D$42)</f>
        <v>18</v>
      </c>
      <c r="M42" s="14">
        <f t="shared" si="2"/>
        <v>4.3700033260580872E-5</v>
      </c>
      <c r="N42" s="8">
        <f>SUM(C42:C$42)</f>
        <v>599625</v>
      </c>
      <c r="O42" s="15">
        <f t="shared" si="3"/>
        <v>6.8112868859511996E-2</v>
      </c>
    </row>
    <row r="43" spans="1:15" x14ac:dyDescent="0.25">
      <c r="C43" s="1"/>
    </row>
    <row r="44" spans="1:15" x14ac:dyDescent="0.25">
      <c r="B44" t="s">
        <v>3</v>
      </c>
      <c r="C44" s="8">
        <f>SUM(C4:C42)</f>
        <v>8803402.5</v>
      </c>
      <c r="D44" s="7">
        <f>SUM(D4:D42)</f>
        <v>411899</v>
      </c>
      <c r="I44" t="s">
        <v>18</v>
      </c>
      <c r="J44" s="7">
        <f>SUM(J4:J42)</f>
        <v>8.381044951987349E-3</v>
      </c>
      <c r="N44" t="s">
        <v>24</v>
      </c>
      <c r="O44" s="17">
        <f>O37+((O36-O37)*(0.001-M37)/(M36-M37))</f>
        <v>0.20460288626501305</v>
      </c>
    </row>
    <row r="45" spans="1:15" x14ac:dyDescent="0.25">
      <c r="I45" t="s">
        <v>19</v>
      </c>
      <c r="J45" s="7">
        <f>SUM(K4:K42)</f>
        <v>4.4280690165129762E-2</v>
      </c>
      <c r="N45" t="s">
        <v>25</v>
      </c>
      <c r="O45" s="17">
        <f>O27+((O26-O27)*(0.01-M27)/(M26-M27))</f>
        <v>0.46402948866468574</v>
      </c>
    </row>
    <row r="46" spans="1:15" x14ac:dyDescent="0.25">
      <c r="I46" t="s">
        <v>17</v>
      </c>
      <c r="J46" s="7">
        <f>J44+J45</f>
        <v>5.2661735117117109E-2</v>
      </c>
    </row>
    <row r="47" spans="1:15" x14ac:dyDescent="0.25">
      <c r="I47" t="s">
        <v>14</v>
      </c>
      <c r="J47" s="7">
        <f>1-(2*J46)</f>
        <v>0.89467652976576573</v>
      </c>
      <c r="O47" s="18"/>
    </row>
    <row r="48" spans="1:15" x14ac:dyDescent="0.25">
      <c r="O48" s="18"/>
    </row>
    <row r="49" spans="1:15" x14ac:dyDescent="0.25">
      <c r="A49" s="2"/>
      <c r="O49" s="18"/>
    </row>
    <row r="50" spans="1:15" x14ac:dyDescent="0.25">
      <c r="O50" s="4"/>
    </row>
    <row r="54" spans="1:15" x14ac:dyDescent="0.25">
      <c r="A54" s="2"/>
    </row>
    <row r="61" spans="1:15" x14ac:dyDescent="0.25">
      <c r="A61" s="2"/>
    </row>
  </sheetData>
  <mergeCells count="3">
    <mergeCell ref="F1:I1"/>
    <mergeCell ref="J1:K1"/>
    <mergeCell ref="L1:Q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1F4E-FE64-44D0-AB8A-07D4FB52CC8B}">
  <dimension ref="A1:Q49"/>
  <sheetViews>
    <sheetView workbookViewId="0">
      <selection activeCell="C19" sqref="C19"/>
    </sheetView>
  </sheetViews>
  <sheetFormatPr defaultColWidth="11.42578125" defaultRowHeight="15" x14ac:dyDescent="0.25"/>
  <cols>
    <col min="1" max="15" width="15" customWidth="1"/>
  </cols>
  <sheetData>
    <row r="1" spans="1:17" x14ac:dyDescent="0.25">
      <c r="F1" s="33" t="s">
        <v>11</v>
      </c>
      <c r="G1" s="33"/>
      <c r="H1" s="33"/>
      <c r="I1" s="33"/>
      <c r="J1" s="35" t="s">
        <v>14</v>
      </c>
      <c r="K1" s="36"/>
      <c r="L1" s="37" t="s">
        <v>20</v>
      </c>
      <c r="M1" s="38"/>
      <c r="N1" s="38"/>
      <c r="O1" s="38"/>
      <c r="P1" s="38"/>
      <c r="Q1" s="38"/>
    </row>
    <row r="2" spans="1:17" ht="60.95" customHeight="1" x14ac:dyDescent="0.25">
      <c r="A2" s="3" t="s">
        <v>4</v>
      </c>
      <c r="B2" s="3" t="s">
        <v>2</v>
      </c>
      <c r="C2" s="3" t="s">
        <v>6</v>
      </c>
      <c r="D2" s="3" t="s">
        <v>5</v>
      </c>
      <c r="E2" s="3" t="s">
        <v>26</v>
      </c>
      <c r="F2" s="6" t="s">
        <v>34</v>
      </c>
      <c r="G2" s="6" t="s">
        <v>35</v>
      </c>
      <c r="H2" s="6" t="s">
        <v>12</v>
      </c>
      <c r="I2" s="6" t="s">
        <v>13</v>
      </c>
      <c r="J2" s="9" t="s">
        <v>15</v>
      </c>
      <c r="K2" s="6" t="s">
        <v>16</v>
      </c>
      <c r="L2" s="12" t="s">
        <v>27</v>
      </c>
      <c r="M2" s="6" t="s">
        <v>28</v>
      </c>
      <c r="N2" s="13" t="s">
        <v>29</v>
      </c>
      <c r="O2" s="6" t="s">
        <v>30</v>
      </c>
    </row>
    <row r="3" spans="1:17" ht="14.45" customHeight="1" x14ac:dyDescent="0.25">
      <c r="A3" s="3"/>
      <c r="B3" s="3"/>
      <c r="C3" s="3"/>
      <c r="D3" s="3"/>
      <c r="E3" s="3"/>
      <c r="F3" s="27">
        <v>0</v>
      </c>
      <c r="G3" s="27">
        <v>0</v>
      </c>
      <c r="H3" s="27">
        <v>0</v>
      </c>
      <c r="I3" s="27">
        <v>0</v>
      </c>
      <c r="J3" s="3"/>
      <c r="K3" s="3"/>
      <c r="L3" s="19"/>
      <c r="M3" s="6"/>
      <c r="N3" s="13"/>
      <c r="O3" s="6"/>
    </row>
    <row r="4" spans="1:17" x14ac:dyDescent="0.25">
      <c r="A4">
        <v>0</v>
      </c>
      <c r="B4">
        <v>1.4</v>
      </c>
      <c r="C4" s="1">
        <v>17842</v>
      </c>
      <c r="D4" s="1">
        <v>61240</v>
      </c>
      <c r="E4" s="5">
        <f>C4/D4</f>
        <v>0.29134552580013062</v>
      </c>
      <c r="F4" s="20">
        <f>D4/D46</f>
        <v>0.14867722427099847</v>
      </c>
      <c r="G4" s="20">
        <f>C4/C46</f>
        <v>6.5560012287449896E-3</v>
      </c>
      <c r="H4" s="7">
        <f>H3+1/41</f>
        <v>2.4390243902439025E-2</v>
      </c>
      <c r="I4" s="7">
        <f>I3+1/41</f>
        <v>2.4390243902439025E-2</v>
      </c>
      <c r="J4" s="20">
        <f>F4*G4/2</f>
        <v>4.873640325035302E-4</v>
      </c>
      <c r="K4" s="6"/>
      <c r="L4" s="19"/>
      <c r="M4" s="6"/>
      <c r="N4" s="13"/>
      <c r="O4" s="6"/>
    </row>
    <row r="5" spans="1:17" x14ac:dyDescent="0.25">
      <c r="A5">
        <v>1.5</v>
      </c>
      <c r="B5">
        <v>1.9</v>
      </c>
      <c r="C5" s="1">
        <v>20774</v>
      </c>
      <c r="D5" s="1">
        <v>12190</v>
      </c>
      <c r="E5" s="5">
        <f t="shared" ref="E5:E44" si="0">C5/D5</f>
        <v>1.7041837571780147</v>
      </c>
      <c r="F5" s="7">
        <f>SUM($D$4:D5)/$D$46</f>
        <v>0.17827185790691408</v>
      </c>
      <c r="G5" s="7">
        <f>SUM($C$4:C5)/$C$46</f>
        <v>1.4189359009596263E-2</v>
      </c>
      <c r="H5" s="7">
        <f t="shared" ref="H5:H44" si="1">H4+1/41</f>
        <v>4.878048780487805E-2</v>
      </c>
      <c r="I5" s="7">
        <f t="shared" ref="I5:I44" si="2">I4+1/41</f>
        <v>4.878048780487805E-2</v>
      </c>
      <c r="J5" s="7">
        <f>((F5-F4)*(G5-G4))*2</f>
        <v>4.5181285387231845E-4</v>
      </c>
      <c r="K5" s="7">
        <f>(F5-F4)*G4</f>
        <v>1.9402245448132052E-4</v>
      </c>
      <c r="L5" s="7"/>
      <c r="M5" s="7"/>
      <c r="N5" s="7"/>
      <c r="O5" s="7"/>
    </row>
    <row r="6" spans="1:17" x14ac:dyDescent="0.25">
      <c r="A6">
        <v>2</v>
      </c>
      <c r="B6">
        <v>2.4</v>
      </c>
      <c r="C6" s="1">
        <v>34251</v>
      </c>
      <c r="D6" s="1">
        <v>15518</v>
      </c>
      <c r="E6" s="5">
        <f t="shared" si="0"/>
        <v>2.2071787601495036</v>
      </c>
      <c r="F6" s="7">
        <f>SUM($D$4:D6)/$D$46</f>
        <v>0.21594614213678595</v>
      </c>
      <c r="G6" s="7">
        <f>SUM($C$4:C6)/$C$46</f>
        <v>2.6774808963959264E-2</v>
      </c>
      <c r="H6" s="7">
        <f t="shared" si="1"/>
        <v>7.3170731707317083E-2</v>
      </c>
      <c r="I6" s="7">
        <f t="shared" si="2"/>
        <v>7.3170731707317083E-2</v>
      </c>
      <c r="J6" s="7">
        <f t="shared" ref="J6:J44" si="3">((F6-F5)*(G6-G5))*2</f>
        <v>9.4829563748299937E-4</v>
      </c>
      <c r="K6" s="7">
        <f t="shared" ref="K6:K44" si="4">(F6-F5)*G5</f>
        <v>5.3457394436722287E-4</v>
      </c>
      <c r="L6" s="7"/>
      <c r="M6" s="7"/>
      <c r="N6" s="7"/>
      <c r="O6" s="7"/>
    </row>
    <row r="7" spans="1:17" x14ac:dyDescent="0.25">
      <c r="A7">
        <v>2.5</v>
      </c>
      <c r="B7">
        <v>2.9</v>
      </c>
      <c r="C7" s="1">
        <v>62603</v>
      </c>
      <c r="D7" s="1">
        <v>23077</v>
      </c>
      <c r="E7" s="5">
        <f t="shared" si="0"/>
        <v>2.7127876240412534</v>
      </c>
      <c r="F7" s="7">
        <f>SUM($D$4:D7)/$D$46</f>
        <v>0.27197201255647624</v>
      </c>
      <c r="G7" s="7">
        <f>SUM($C$4:C7)/$C$46</f>
        <v>4.9778135100217676E-2</v>
      </c>
      <c r="H7" s="7">
        <f t="shared" si="1"/>
        <v>9.7560975609756101E-2</v>
      </c>
      <c r="I7" s="7">
        <f t="shared" si="2"/>
        <v>9.7560975609756101E-2</v>
      </c>
      <c r="J7" s="7">
        <f t="shared" si="3"/>
        <v>2.5775627386637771E-3</v>
      </c>
      <c r="K7" s="7">
        <f t="shared" si="4"/>
        <v>1.5000819775267437E-3</v>
      </c>
      <c r="L7" s="7"/>
      <c r="M7" s="7"/>
      <c r="N7" s="7"/>
      <c r="O7" s="7"/>
    </row>
    <row r="8" spans="1:17" x14ac:dyDescent="0.25">
      <c r="A8">
        <v>3</v>
      </c>
      <c r="B8">
        <v>3.4</v>
      </c>
      <c r="C8" s="1">
        <v>78067</v>
      </c>
      <c r="D8" s="1">
        <v>24481</v>
      </c>
      <c r="E8" s="5">
        <f t="shared" si="0"/>
        <v>3.1888811731546913</v>
      </c>
      <c r="F8" s="7">
        <f>SUM($D$4:D8)/$D$46</f>
        <v>0.33140648557049179</v>
      </c>
      <c r="G8" s="7">
        <f>SUM($C$4:C8)/$C$46</f>
        <v>7.8463671919208541E-2</v>
      </c>
      <c r="H8" s="7">
        <f t="shared" si="1"/>
        <v>0.12195121951219512</v>
      </c>
      <c r="I8" s="7">
        <f t="shared" si="2"/>
        <v>0.12195121951219512</v>
      </c>
      <c r="J8" s="7">
        <f t="shared" si="3"/>
        <v>3.4098195279217243E-3</v>
      </c>
      <c r="K8" s="7">
        <f t="shared" si="4"/>
        <v>2.958537227301908E-3</v>
      </c>
      <c r="L8" s="7"/>
      <c r="M8" s="7"/>
      <c r="N8" s="7"/>
      <c r="O8" s="7"/>
    </row>
    <row r="9" spans="1:17" x14ac:dyDescent="0.25">
      <c r="A9">
        <v>3.5</v>
      </c>
      <c r="B9">
        <v>3.9</v>
      </c>
      <c r="C9" s="1">
        <v>70682</v>
      </c>
      <c r="D9" s="1">
        <v>19151</v>
      </c>
      <c r="E9" s="5">
        <f t="shared" si="0"/>
        <v>3.690773327763563</v>
      </c>
      <c r="F9" s="7">
        <f>SUM($D$4:D9)/$D$46</f>
        <v>0.37790089318012426</v>
      </c>
      <c r="G9" s="7">
        <f>SUM($C$4:C9)/$C$46</f>
        <v>0.1044356077363901</v>
      </c>
      <c r="H9" s="7">
        <f t="shared" si="1"/>
        <v>0.14634146341463414</v>
      </c>
      <c r="I9" s="7">
        <f t="shared" si="2"/>
        <v>0.14634146341463414</v>
      </c>
      <c r="J9" s="7">
        <f t="shared" si="3"/>
        <v>2.4150995405905051E-3</v>
      </c>
      <c r="K9" s="7">
        <f t="shared" si="4"/>
        <v>3.6481219447601554E-3</v>
      </c>
      <c r="L9" s="7"/>
      <c r="M9" s="7"/>
      <c r="N9" s="7"/>
      <c r="O9" s="7"/>
    </row>
    <row r="10" spans="1:17" x14ac:dyDescent="0.25">
      <c r="A10">
        <v>4</v>
      </c>
      <c r="B10">
        <v>4.4000000000000004</v>
      </c>
      <c r="C10" s="1">
        <v>89646</v>
      </c>
      <c r="D10" s="1">
        <v>21351</v>
      </c>
      <c r="E10" s="5">
        <f t="shared" si="0"/>
        <v>4.1986792187719546</v>
      </c>
      <c r="F10" s="7">
        <f>SUM($D$4:D10)/$D$46</f>
        <v>0.42973641596604994</v>
      </c>
      <c r="G10" s="7">
        <f>SUM($C$4:C10)/$C$46</f>
        <v>0.13737582106180618</v>
      </c>
      <c r="H10" s="7">
        <f t="shared" si="1"/>
        <v>0.17073170731707316</v>
      </c>
      <c r="I10" s="7">
        <f t="shared" si="2"/>
        <v>0.17073170731707316</v>
      </c>
      <c r="J10" s="7">
        <f t="shared" si="3"/>
        <v>3.4149463568057159E-3</v>
      </c>
      <c r="K10" s="7">
        <f t="shared" si="4"/>
        <v>5.4134743244816453E-3</v>
      </c>
      <c r="L10" s="7"/>
      <c r="M10" s="7"/>
      <c r="N10" s="7"/>
      <c r="O10" s="7"/>
    </row>
    <row r="11" spans="1:17" x14ac:dyDescent="0.25">
      <c r="A11">
        <v>4.5</v>
      </c>
      <c r="B11">
        <v>4.9000000000000004</v>
      </c>
      <c r="C11" s="1">
        <v>98059</v>
      </c>
      <c r="D11" s="1">
        <v>20866</v>
      </c>
      <c r="E11" s="5">
        <f t="shared" si="0"/>
        <v>4.6994632416371127</v>
      </c>
      <c r="F11" s="7">
        <f>SUM($D$4:D11)/$D$46</f>
        <v>0.48039446563356553</v>
      </c>
      <c r="G11" s="7">
        <f>SUM($C$4:C11)/$C$46</f>
        <v>0.17340737158806471</v>
      </c>
      <c r="H11" s="7">
        <f t="shared" si="1"/>
        <v>0.19512195121951217</v>
      </c>
      <c r="I11" s="7">
        <f t="shared" si="2"/>
        <v>0.19512195121951217</v>
      </c>
      <c r="J11" s="7">
        <f t="shared" si="3"/>
        <v>3.650576152313604E-3</v>
      </c>
      <c r="K11" s="7">
        <f t="shared" si="4"/>
        <v>6.9591911664647109E-3</v>
      </c>
      <c r="L11" s="7"/>
      <c r="M11" s="7"/>
      <c r="N11" s="7"/>
      <c r="O11" s="7"/>
    </row>
    <row r="12" spans="1:17" x14ac:dyDescent="0.25">
      <c r="A12">
        <v>5</v>
      </c>
      <c r="B12">
        <v>5.9</v>
      </c>
      <c r="C12" s="1">
        <v>247817</v>
      </c>
      <c r="D12" s="1">
        <v>45523</v>
      </c>
      <c r="E12" s="5">
        <f t="shared" si="0"/>
        <v>5.4437756738352041</v>
      </c>
      <c r="F12" s="7">
        <f>SUM($D$4:D12)/$D$46</f>
        <v>0.59091427752920012</v>
      </c>
      <c r="G12" s="7">
        <f>SUM($C$4:C12)/$C$46</f>
        <v>0.2644671494439047</v>
      </c>
      <c r="H12" s="7">
        <f t="shared" si="1"/>
        <v>0.21951219512195119</v>
      </c>
      <c r="I12" s="7">
        <f t="shared" si="2"/>
        <v>0.21951219512195119</v>
      </c>
      <c r="J12" s="7">
        <f t="shared" si="3"/>
        <v>2.0127819039771417E-2</v>
      </c>
      <c r="K12" s="7">
        <f t="shared" si="4"/>
        <v>1.9164950089229322E-2</v>
      </c>
      <c r="L12" s="7"/>
      <c r="M12" s="7"/>
      <c r="N12" s="7"/>
      <c r="O12" s="7"/>
    </row>
    <row r="13" spans="1:17" x14ac:dyDescent="0.25">
      <c r="A13">
        <v>6</v>
      </c>
      <c r="B13">
        <v>6.9</v>
      </c>
      <c r="C13" s="1">
        <v>254779</v>
      </c>
      <c r="D13" s="1">
        <v>39646</v>
      </c>
      <c r="E13" s="5">
        <f t="shared" si="0"/>
        <v>6.4263481814054382</v>
      </c>
      <c r="F13" s="7">
        <f>SUM($D$4:D13)/$D$46</f>
        <v>0.6871660285652551</v>
      </c>
      <c r="G13" s="7">
        <f>SUM($C$4:C13)/$C$46</f>
        <v>0.3580850979395005</v>
      </c>
      <c r="H13" s="7">
        <f t="shared" si="1"/>
        <v>0.24390243902439021</v>
      </c>
      <c r="I13" s="7">
        <f t="shared" si="2"/>
        <v>0.24390243902439021</v>
      </c>
      <c r="J13" s="7">
        <f t="shared" si="3"/>
        <v>1.802178294220861E-2</v>
      </c>
      <c r="K13" s="7">
        <f t="shared" si="4"/>
        <v>2.5455426225489863E-2</v>
      </c>
      <c r="L13" s="7"/>
      <c r="M13" s="7"/>
      <c r="N13" s="7"/>
      <c r="O13" s="7"/>
    </row>
    <row r="14" spans="1:17" x14ac:dyDescent="0.25">
      <c r="A14">
        <v>7</v>
      </c>
      <c r="B14">
        <v>7.9</v>
      </c>
      <c r="C14" s="1">
        <v>233568</v>
      </c>
      <c r="D14" s="1">
        <v>31452</v>
      </c>
      <c r="E14" s="5">
        <f t="shared" si="0"/>
        <v>7.4261732163296452</v>
      </c>
      <c r="F14" s="7">
        <f>SUM($D$4:D14)/$D$46</f>
        <v>0.76352455334924341</v>
      </c>
      <c r="G14" s="7">
        <f>SUM($C$4:C14)/$C$46</f>
        <v>0.44390911402488942</v>
      </c>
      <c r="H14" s="7">
        <f t="shared" si="1"/>
        <v>0.26829268292682923</v>
      </c>
      <c r="I14" s="7">
        <f t="shared" si="2"/>
        <v>0.26829268292682923</v>
      </c>
      <c r="J14" s="7">
        <f t="shared" si="3"/>
        <v>1.3106790518635161E-2</v>
      </c>
      <c r="K14" s="7">
        <f t="shared" si="4"/>
        <v>2.7342849825790227E-2</v>
      </c>
      <c r="L14" s="7"/>
      <c r="M14" s="7"/>
      <c r="N14" s="7"/>
      <c r="O14" s="7"/>
    </row>
    <row r="15" spans="1:17" x14ac:dyDescent="0.25">
      <c r="A15">
        <v>8</v>
      </c>
      <c r="B15">
        <v>8.9</v>
      </c>
      <c r="C15" s="1">
        <v>191901</v>
      </c>
      <c r="D15" s="1">
        <v>22836</v>
      </c>
      <c r="E15" s="5">
        <f t="shared" si="0"/>
        <v>8.4034419337887538</v>
      </c>
      <c r="F15" s="7">
        <f>SUM($D$4:D15)/$D$46</f>
        <v>0.81896532887916695</v>
      </c>
      <c r="G15" s="7">
        <f>SUM($C$4:C15)/$C$46</f>
        <v>0.51442268827650872</v>
      </c>
      <c r="H15" s="7">
        <f t="shared" si="1"/>
        <v>0.29268292682926828</v>
      </c>
      <c r="I15" s="7">
        <f t="shared" si="2"/>
        <v>0.29268292682926828</v>
      </c>
      <c r="J15" s="7">
        <f t="shared" si="3"/>
        <v>7.8186544837932446E-3</v>
      </c>
      <c r="K15" s="7">
        <f t="shared" si="4"/>
        <v>2.4610665546341132E-2</v>
      </c>
      <c r="L15" s="7"/>
      <c r="M15" s="7"/>
      <c r="N15" s="7"/>
      <c r="O15" s="7"/>
    </row>
    <row r="16" spans="1:17" x14ac:dyDescent="0.25">
      <c r="A16">
        <v>9</v>
      </c>
      <c r="B16">
        <v>9.9</v>
      </c>
      <c r="C16" s="1">
        <v>154483</v>
      </c>
      <c r="D16" s="1">
        <v>16423</v>
      </c>
      <c r="E16" s="5">
        <f t="shared" si="0"/>
        <v>9.4065030749558538</v>
      </c>
      <c r="F16" s="7">
        <f>SUM($D$4:D16)/$D$46</f>
        <v>0.85883675367019585</v>
      </c>
      <c r="G16" s="7">
        <f>SUM($C$4:C16)/$C$46</f>
        <v>0.57118710582051802</v>
      </c>
      <c r="H16" s="7">
        <f t="shared" si="1"/>
        <v>0.31707317073170732</v>
      </c>
      <c r="I16" s="7">
        <f t="shared" si="2"/>
        <v>0.31707317073170732</v>
      </c>
      <c r="J16" s="7">
        <f t="shared" si="3"/>
        <v>4.526556409825056E-3</v>
      </c>
      <c r="K16" s="7">
        <f t="shared" si="4"/>
        <v>2.051076552641572E-2</v>
      </c>
      <c r="L16" s="7"/>
      <c r="M16" s="7"/>
      <c r="N16" s="7"/>
      <c r="O16" s="7"/>
    </row>
    <row r="17" spans="1:15" x14ac:dyDescent="0.25">
      <c r="A17">
        <v>10</v>
      </c>
      <c r="B17">
        <v>10.9</v>
      </c>
      <c r="C17" s="1">
        <v>121939</v>
      </c>
      <c r="D17" s="1">
        <v>11700</v>
      </c>
      <c r="E17" s="5">
        <f t="shared" si="0"/>
        <v>10.422136752136753</v>
      </c>
      <c r="F17" s="7">
        <f>SUM($D$4:D17)/$D$46</f>
        <v>0.88724177528957338</v>
      </c>
      <c r="G17" s="7">
        <f>SUM($C$4:C17)/$C$46</f>
        <v>0.61599330657334472</v>
      </c>
      <c r="H17" s="7">
        <f t="shared" si="1"/>
        <v>0.34146341463414637</v>
      </c>
      <c r="I17" s="7">
        <f t="shared" si="2"/>
        <v>0.34146341463414637</v>
      </c>
      <c r="J17" s="7">
        <f t="shared" si="3"/>
        <v>2.5454422021324243E-3</v>
      </c>
      <c r="K17" s="7">
        <f t="shared" si="4"/>
        <v>1.622458208954149E-2</v>
      </c>
      <c r="L17" s="7"/>
      <c r="M17" s="7"/>
      <c r="N17" s="7"/>
      <c r="O17" s="7"/>
    </row>
    <row r="18" spans="1:15" x14ac:dyDescent="0.25">
      <c r="A18">
        <v>11</v>
      </c>
      <c r="B18">
        <v>11.9</v>
      </c>
      <c r="C18" s="1">
        <v>96323</v>
      </c>
      <c r="D18" s="1">
        <v>8438</v>
      </c>
      <c r="E18" s="5">
        <f t="shared" si="0"/>
        <v>11.415382792130837</v>
      </c>
      <c r="F18" s="7">
        <f>SUM($D$4:D18)/$D$46</f>
        <v>0.9077273797702835</v>
      </c>
      <c r="G18" s="7">
        <f>SUM($C$4:C18)/$C$46</f>
        <v>0.65138696795415429</v>
      </c>
      <c r="H18" s="7">
        <f t="shared" si="1"/>
        <v>0.36585365853658541</v>
      </c>
      <c r="I18" s="7">
        <f t="shared" si="2"/>
        <v>0.36585365853658541</v>
      </c>
      <c r="J18" s="7">
        <f t="shared" si="3"/>
        <v>1.4501210963428991E-3</v>
      </c>
      <c r="K18" s="7">
        <f t="shared" si="4"/>
        <v>1.2618995241226359E-2</v>
      </c>
      <c r="L18" s="7"/>
      <c r="M18" s="7"/>
      <c r="N18" s="7"/>
      <c r="O18" s="7"/>
    </row>
    <row r="19" spans="1:15" x14ac:dyDescent="0.25">
      <c r="A19">
        <v>12</v>
      </c>
      <c r="B19">
        <v>12.9</v>
      </c>
      <c r="C19" s="1">
        <v>82356</v>
      </c>
      <c r="D19" s="1">
        <v>6635</v>
      </c>
      <c r="E19" s="5">
        <f t="shared" si="0"/>
        <v>12.412358703843255</v>
      </c>
      <c r="F19" s="7">
        <f>SUM($D$4:D19)/$D$46</f>
        <v>0.92383569758605877</v>
      </c>
      <c r="G19" s="7">
        <f>SUM($C$4:C19)/$C$46</f>
        <v>0.68164848780588183</v>
      </c>
      <c r="H19" s="7">
        <f t="shared" si="1"/>
        <v>0.39024390243902446</v>
      </c>
      <c r="I19" s="7">
        <f t="shared" si="2"/>
        <v>0.39024390243902446</v>
      </c>
      <c r="J19" s="7">
        <f t="shared" si="3"/>
        <v>9.7492435872003898E-4</v>
      </c>
      <c r="K19" s="7">
        <f t="shared" si="4"/>
        <v>1.0492748300859734E-2</v>
      </c>
      <c r="L19" s="7"/>
      <c r="M19" s="7"/>
      <c r="N19" s="7"/>
      <c r="O19" s="7"/>
    </row>
    <row r="20" spans="1:15" x14ac:dyDescent="0.25">
      <c r="A20">
        <v>13</v>
      </c>
      <c r="B20">
        <v>13.9</v>
      </c>
      <c r="C20" s="1">
        <v>64092</v>
      </c>
      <c r="D20" s="1">
        <v>4780</v>
      </c>
      <c r="E20" s="5">
        <f t="shared" si="0"/>
        <v>13.40836820083682</v>
      </c>
      <c r="F20" s="7">
        <f>SUM($D$4:D20)/$D$46</f>
        <v>0.93544048419636849</v>
      </c>
      <c r="G20" s="7">
        <f>SUM($C$4:C20)/$C$46</f>
        <v>0.70519894351447521</v>
      </c>
      <c r="H20" s="7">
        <f t="shared" si="1"/>
        <v>0.41463414634146351</v>
      </c>
      <c r="I20" s="7">
        <f t="shared" si="2"/>
        <v>0.41463414634146351</v>
      </c>
      <c r="J20" s="7">
        <f t="shared" si="3"/>
        <v>5.465960261475533E-4</v>
      </c>
      <c r="K20" s="7">
        <f t="shared" si="4"/>
        <v>7.9103852442275694E-3</v>
      </c>
      <c r="L20" s="7"/>
      <c r="M20" s="7"/>
      <c r="N20" s="7"/>
      <c r="O20" s="7"/>
    </row>
    <row r="21" spans="1:15" x14ac:dyDescent="0.25">
      <c r="A21">
        <v>14</v>
      </c>
      <c r="B21">
        <v>14.9</v>
      </c>
      <c r="C21" s="1">
        <v>59403</v>
      </c>
      <c r="D21" s="1">
        <v>4117</v>
      </c>
      <c r="E21" s="5">
        <f t="shared" si="0"/>
        <v>14.42871022589264</v>
      </c>
      <c r="F21" s="7">
        <f>SUM($D$4:D21)/$D$46</f>
        <v>0.9454356529149136</v>
      </c>
      <c r="G21" s="7">
        <f>SUM($C$4:C21)/$C$46</f>
        <v>0.72702643712456039</v>
      </c>
      <c r="H21" s="7">
        <f t="shared" si="1"/>
        <v>0.43902439024390255</v>
      </c>
      <c r="I21" s="7">
        <f t="shared" si="2"/>
        <v>0.43902439024390255</v>
      </c>
      <c r="J21" s="7">
        <f t="shared" si="3"/>
        <v>4.363389626715334E-4</v>
      </c>
      <c r="K21" s="7">
        <f t="shared" si="4"/>
        <v>7.0485824205669435E-3</v>
      </c>
      <c r="L21" s="7"/>
      <c r="M21" s="7"/>
      <c r="N21" s="7"/>
      <c r="O21" s="7"/>
    </row>
    <row r="22" spans="1:15" x14ac:dyDescent="0.25">
      <c r="A22">
        <v>15</v>
      </c>
      <c r="B22">
        <v>15.9</v>
      </c>
      <c r="C22" s="1">
        <v>44484</v>
      </c>
      <c r="D22" s="1">
        <v>2885</v>
      </c>
      <c r="E22" s="5">
        <f t="shared" si="0"/>
        <v>15.419064124783363</v>
      </c>
      <c r="F22" s="7">
        <f>SUM($D$4:D22)/$D$46</f>
        <v>0.95243979713473448</v>
      </c>
      <c r="G22" s="7">
        <f>SUM($C$4:C22)/$C$46</f>
        <v>0.74337197902902685</v>
      </c>
      <c r="H22" s="7">
        <f t="shared" si="1"/>
        <v>0.4634146341463416</v>
      </c>
      <c r="I22" s="7">
        <f t="shared" si="2"/>
        <v>0.4634146341463416</v>
      </c>
      <c r="J22" s="7">
        <f t="shared" si="3"/>
        <v>2.2897306570001733E-4</v>
      </c>
      <c r="K22" s="7">
        <f t="shared" si="4"/>
        <v>5.0921980172429536E-3</v>
      </c>
      <c r="L22" s="7"/>
      <c r="M22" s="7"/>
      <c r="N22" s="7"/>
      <c r="O22" s="7"/>
    </row>
    <row r="23" spans="1:15" x14ac:dyDescent="0.25">
      <c r="A23">
        <v>16</v>
      </c>
      <c r="B23">
        <v>16.899999999999999</v>
      </c>
      <c r="C23" s="1">
        <v>39720</v>
      </c>
      <c r="D23" s="1">
        <v>2417</v>
      </c>
      <c r="E23" s="5">
        <f t="shared" si="0"/>
        <v>16.433595366156393</v>
      </c>
      <c r="F23" s="7">
        <f>SUM($D$4:D23)/$D$46</f>
        <v>0.95830774048978029</v>
      </c>
      <c r="G23" s="7">
        <f>SUM($C$4:C23)/$C$46</f>
        <v>0.75796700026015296</v>
      </c>
      <c r="H23" s="7">
        <f t="shared" si="1"/>
        <v>0.48780487804878064</v>
      </c>
      <c r="I23" s="7">
        <f t="shared" si="2"/>
        <v>0.48780487804878064</v>
      </c>
      <c r="J23" s="7">
        <f t="shared" si="3"/>
        <v>1.7128551569987795E-4</v>
      </c>
      <c r="K23" s="7">
        <f t="shared" si="4"/>
        <v>4.3620646646706333E-3</v>
      </c>
      <c r="L23" s="7"/>
      <c r="M23" s="7"/>
      <c r="N23" s="7"/>
      <c r="O23" s="7"/>
    </row>
    <row r="24" spans="1:15" x14ac:dyDescent="0.25">
      <c r="A24">
        <v>17</v>
      </c>
      <c r="B24">
        <v>17.899999999999999</v>
      </c>
      <c r="C24" s="1">
        <v>30660</v>
      </c>
      <c r="D24" s="1">
        <v>1760</v>
      </c>
      <c r="E24" s="5">
        <f t="shared" si="0"/>
        <v>17.420454545454547</v>
      </c>
      <c r="F24" s="7">
        <f>SUM($D$4:D24)/$D$46</f>
        <v>0.96258063263081484</v>
      </c>
      <c r="G24" s="7">
        <f>SUM($C$4:C24)/$C$46</f>
        <v>0.76923294565155087</v>
      </c>
      <c r="H24" s="7">
        <f t="shared" si="1"/>
        <v>0.51219512195121963</v>
      </c>
      <c r="I24" s="7">
        <f t="shared" si="2"/>
        <v>0.51219512195121963</v>
      </c>
      <c r="J24" s="7">
        <f t="shared" si="3"/>
        <v>9.6276339048457005E-5</v>
      </c>
      <c r="K24" s="7">
        <f t="shared" si="4"/>
        <v>3.2387112385751371E-3</v>
      </c>
      <c r="L24" s="7"/>
      <c r="M24" s="7"/>
      <c r="N24" s="7"/>
      <c r="O24" s="7"/>
    </row>
    <row r="25" spans="1:15" x14ac:dyDescent="0.25">
      <c r="A25">
        <v>18</v>
      </c>
      <c r="B25">
        <v>18.899999999999999</v>
      </c>
      <c r="C25" s="1">
        <v>29571</v>
      </c>
      <c r="D25" s="1">
        <v>1605</v>
      </c>
      <c r="E25" s="5">
        <f t="shared" si="0"/>
        <v>18.424299065420559</v>
      </c>
      <c r="F25" s="7">
        <f>SUM($D$4:D25)/$D$46</f>
        <v>0.96647721892988325</v>
      </c>
      <c r="G25" s="7">
        <f>SUM($C$4:C25)/$C$46</f>
        <v>0.78009874053638539</v>
      </c>
      <c r="H25" s="7">
        <f t="shared" si="1"/>
        <v>0.53658536585365868</v>
      </c>
      <c r="I25" s="7">
        <f t="shared" si="2"/>
        <v>0.53658536585365868</v>
      </c>
      <c r="J25" s="7">
        <f t="shared" si="3"/>
        <v>8.4679014953467765E-5</v>
      </c>
      <c r="K25" s="7">
        <f t="shared" si="4"/>
        <v>2.9973825568178729E-3</v>
      </c>
      <c r="L25" s="7"/>
      <c r="M25" s="7"/>
      <c r="N25" s="7"/>
      <c r="O25" s="7"/>
    </row>
    <row r="26" spans="1:15" x14ac:dyDescent="0.25">
      <c r="A26">
        <v>19</v>
      </c>
      <c r="B26">
        <v>19.899999999999999</v>
      </c>
      <c r="C26" s="1">
        <v>23561</v>
      </c>
      <c r="D26" s="1">
        <v>1211</v>
      </c>
      <c r="E26" s="5">
        <f t="shared" si="0"/>
        <v>19.455821635012388</v>
      </c>
      <c r="F26" s="7">
        <f>SUM($D$4:D26)/$D$46</f>
        <v>0.96941726005647011</v>
      </c>
      <c r="G26" s="7">
        <f>SUM($C$4:C26)/$C$46</f>
        <v>0.78875617495800077</v>
      </c>
      <c r="H26" s="7">
        <f t="shared" si="1"/>
        <v>0.56097560975609773</v>
      </c>
      <c r="I26" s="7">
        <f t="shared" si="2"/>
        <v>0.56097560975609773</v>
      </c>
      <c r="J26" s="7">
        <f t="shared" si="3"/>
        <v>5.0906426500555783E-5</v>
      </c>
      <c r="K26" s="7">
        <f t="shared" si="4"/>
        <v>2.2935223799755823E-3</v>
      </c>
      <c r="L26" s="7"/>
      <c r="M26" s="7"/>
      <c r="N26" s="7"/>
      <c r="O26" s="7"/>
    </row>
    <row r="27" spans="1:15" x14ac:dyDescent="0.25">
      <c r="A27">
        <v>20</v>
      </c>
      <c r="B27">
        <v>24.9</v>
      </c>
      <c r="C27" s="1">
        <v>94329</v>
      </c>
      <c r="D27" s="1">
        <v>4238</v>
      </c>
      <c r="E27" s="5">
        <f t="shared" si="0"/>
        <v>22.257904672015101</v>
      </c>
      <c r="F27" s="7">
        <f>SUM($D$4:D27)/$D$46</f>
        <v>0.97970619010971138</v>
      </c>
      <c r="G27" s="7">
        <f>SUM($C$4:C27)/$C$46</f>
        <v>0.82341714569593849</v>
      </c>
      <c r="H27" s="7">
        <f t="shared" si="1"/>
        <v>0.58536585365853677</v>
      </c>
      <c r="I27" s="7">
        <f t="shared" si="2"/>
        <v>0.58536585365853677</v>
      </c>
      <c r="J27" s="7">
        <f t="shared" si="3"/>
        <v>7.1324860700016767E-4</v>
      </c>
      <c r="K27" s="7">
        <f t="shared" si="4"/>
        <v>8.1154571132050074E-3</v>
      </c>
      <c r="L27" s="7"/>
      <c r="M27" s="7"/>
      <c r="N27" s="7"/>
      <c r="O27" s="7"/>
    </row>
    <row r="28" spans="1:15" x14ac:dyDescent="0.25">
      <c r="A28">
        <v>25</v>
      </c>
      <c r="B28">
        <v>29.9</v>
      </c>
      <c r="C28" s="1">
        <v>61620</v>
      </c>
      <c r="D28" s="1">
        <v>2262</v>
      </c>
      <c r="E28" s="5">
        <f t="shared" si="0"/>
        <v>27.241379310344829</v>
      </c>
      <c r="F28" s="7">
        <f>SUM($D$4:D28)/$D$46</f>
        <v>0.98519782762279107</v>
      </c>
      <c r="G28" s="7">
        <f>SUM($C$4:C28)/$C$46</f>
        <v>0.84605927077806309</v>
      </c>
      <c r="H28" s="7">
        <f t="shared" si="1"/>
        <v>0.60975609756097582</v>
      </c>
      <c r="I28" s="7">
        <f t="shared" si="2"/>
        <v>0.60975609756097582</v>
      </c>
      <c r="J28" s="7">
        <f t="shared" si="3"/>
        <v>2.4868468695367569E-4</v>
      </c>
      <c r="K28" s="7">
        <f t="shared" si="4"/>
        <v>4.5219084862168149E-3</v>
      </c>
      <c r="L28" s="7"/>
      <c r="M28" s="7"/>
      <c r="N28" s="7"/>
      <c r="O28" s="7"/>
    </row>
    <row r="29" spans="1:15" x14ac:dyDescent="0.25">
      <c r="A29">
        <v>30</v>
      </c>
      <c r="B29">
        <v>34.9</v>
      </c>
      <c r="C29" s="1">
        <v>46786</v>
      </c>
      <c r="D29" s="1">
        <v>1450</v>
      </c>
      <c r="E29" s="5">
        <f t="shared" si="0"/>
        <v>32.266206896551722</v>
      </c>
      <c r="F29" s="7">
        <f>SUM($D$4:D29)/$D$46</f>
        <v>0.98871810807989335</v>
      </c>
      <c r="G29" s="7">
        <f>SUM($C$4:C29)/$C$46</f>
        <v>0.86325067720604554</v>
      </c>
      <c r="H29" s="7">
        <f t="shared" si="1"/>
        <v>0.63414634146341486</v>
      </c>
      <c r="I29" s="7">
        <f t="shared" si="2"/>
        <v>0.63414634146341486</v>
      </c>
      <c r="J29" s="7">
        <f t="shared" si="3"/>
        <v>1.210371441570585E-4</v>
      </c>
      <c r="K29" s="7">
        <f t="shared" si="4"/>
        <v>2.9783659164702276E-3</v>
      </c>
      <c r="L29" s="7"/>
      <c r="M29" s="7"/>
      <c r="N29" s="7"/>
      <c r="O29" s="7"/>
    </row>
    <row r="30" spans="1:15" x14ac:dyDescent="0.25">
      <c r="A30">
        <v>35</v>
      </c>
      <c r="B30">
        <v>39.9</v>
      </c>
      <c r="C30" s="1">
        <v>35190</v>
      </c>
      <c r="D30" s="1">
        <v>945</v>
      </c>
      <c r="E30" s="5">
        <f t="shared" si="0"/>
        <v>37.238095238095241</v>
      </c>
      <c r="F30" s="7">
        <f>SUM($D$4:D30)/$D$46</f>
        <v>0.99101235982607383</v>
      </c>
      <c r="G30" s="7">
        <f>SUM($C$4:C30)/$C$46</f>
        <v>0.87618116051730754</v>
      </c>
      <c r="H30" s="7">
        <f t="shared" si="1"/>
        <v>0.65853658536585391</v>
      </c>
      <c r="I30" s="7">
        <f t="shared" si="2"/>
        <v>0.65853658536585391</v>
      </c>
      <c r="J30" s="7">
        <f t="shared" si="3"/>
        <v>5.9331567831640728E-5</v>
      </c>
      <c r="K30" s="7">
        <f t="shared" si="4"/>
        <v>1.9805143735714481E-3</v>
      </c>
      <c r="L30" s="7"/>
      <c r="M30" s="7"/>
      <c r="N30" s="7"/>
      <c r="O30" s="7"/>
    </row>
    <row r="31" spans="1:15" x14ac:dyDescent="0.25">
      <c r="A31">
        <v>40</v>
      </c>
      <c r="B31">
        <v>44.9</v>
      </c>
      <c r="C31" s="1">
        <v>29874</v>
      </c>
      <c r="D31" s="1">
        <v>707</v>
      </c>
      <c r="E31" s="5">
        <f t="shared" si="0"/>
        <v>42.254596888260252</v>
      </c>
      <c r="F31" s="7">
        <f>SUM($D$4:D31)/$D$46</f>
        <v>0.99272880002136443</v>
      </c>
      <c r="G31" s="7">
        <f>SUM($C$4:C31)/$C$46</f>
        <v>0.88715829204446406</v>
      </c>
      <c r="H31" s="7">
        <f t="shared" si="1"/>
        <v>0.68292682926829296</v>
      </c>
      <c r="I31" s="7">
        <f t="shared" si="2"/>
        <v>0.68292682926829296</v>
      </c>
      <c r="J31" s="7">
        <f t="shared" si="3"/>
        <v>3.7683179564406318E-5</v>
      </c>
      <c r="K31" s="7">
        <f t="shared" si="4"/>
        <v>1.5039125622682743E-3</v>
      </c>
      <c r="L31" s="7"/>
      <c r="M31" s="7"/>
      <c r="N31" s="7"/>
      <c r="O31" s="7"/>
    </row>
    <row r="32" spans="1:15" x14ac:dyDescent="0.25">
      <c r="A32">
        <v>45</v>
      </c>
      <c r="B32">
        <v>49.9</v>
      </c>
      <c r="C32" s="1">
        <v>23769</v>
      </c>
      <c r="D32" s="1">
        <v>502</v>
      </c>
      <c r="E32" s="5">
        <f t="shared" si="0"/>
        <v>47.348605577689241</v>
      </c>
      <c r="F32" s="7">
        <f>SUM($D$4:D32)/$D$46</f>
        <v>0.99394754539340957</v>
      </c>
      <c r="G32" s="7">
        <f>SUM($C$4:C32)/$C$46</f>
        <v>0.89589215558028068</v>
      </c>
      <c r="H32" s="7">
        <f t="shared" si="1"/>
        <v>0.707317073170732</v>
      </c>
      <c r="I32" s="7">
        <f t="shared" si="2"/>
        <v>0.707317073170732</v>
      </c>
      <c r="J32" s="7">
        <f t="shared" si="3"/>
        <v>2.1288711528700586E-5</v>
      </c>
      <c r="K32" s="7">
        <f t="shared" si="4"/>
        <v>1.0812200627006595E-3</v>
      </c>
      <c r="L32" s="7"/>
      <c r="M32" s="7"/>
      <c r="N32" s="7"/>
      <c r="O32" s="7"/>
    </row>
    <row r="33" spans="1:15" x14ac:dyDescent="0.25">
      <c r="A33">
        <v>50</v>
      </c>
      <c r="B33">
        <v>59.9</v>
      </c>
      <c r="C33" s="1">
        <v>36412</v>
      </c>
      <c r="D33" s="1">
        <v>669</v>
      </c>
      <c r="E33" s="5">
        <f t="shared" si="0"/>
        <v>54.427503736920777</v>
      </c>
      <c r="F33" s="7">
        <f>SUM($D$4:D33)/$D$46</f>
        <v>0.99557172996292775</v>
      </c>
      <c r="G33" s="7">
        <f>SUM($C$4:C33)/$C$46</f>
        <v>0.90927165993747505</v>
      </c>
      <c r="H33" s="7">
        <f t="shared" si="1"/>
        <v>0.73170731707317105</v>
      </c>
      <c r="I33" s="7">
        <f t="shared" si="2"/>
        <v>0.73170731707317105</v>
      </c>
      <c r="J33" s="7">
        <f t="shared" si="3"/>
        <v>4.3461569049512795E-5</v>
      </c>
      <c r="K33" s="7">
        <f t="shared" si="4"/>
        <v>1.4550942150458755E-3</v>
      </c>
      <c r="L33" s="7"/>
      <c r="M33" s="7"/>
      <c r="N33" s="7"/>
      <c r="O33" s="7"/>
    </row>
    <row r="34" spans="1:15" x14ac:dyDescent="0.25">
      <c r="A34">
        <v>60</v>
      </c>
      <c r="B34">
        <v>69.900000000000006</v>
      </c>
      <c r="C34" s="1">
        <v>28790</v>
      </c>
      <c r="D34" s="1">
        <v>446</v>
      </c>
      <c r="E34" s="5">
        <f t="shared" si="0"/>
        <v>64.551569506726452</v>
      </c>
      <c r="F34" s="7">
        <f>SUM($D$4:D34)/$D$46</f>
        <v>0.99665451967593999</v>
      </c>
      <c r="G34" s="7">
        <f>SUM($C$4:C34)/$C$46</f>
        <v>0.91985047819639054</v>
      </c>
      <c r="H34" s="7">
        <f t="shared" si="1"/>
        <v>0.75609756097561009</v>
      </c>
      <c r="I34" s="7">
        <f t="shared" si="2"/>
        <v>0.75609756097561009</v>
      </c>
      <c r="J34" s="7">
        <f t="shared" si="3"/>
        <v>2.2909271173159354E-5</v>
      </c>
      <c r="K34" s="7">
        <f t="shared" si="4"/>
        <v>9.8454999971385546E-4</v>
      </c>
      <c r="L34" s="7"/>
      <c r="M34" s="7"/>
      <c r="N34" s="7"/>
      <c r="O34" s="7"/>
    </row>
    <row r="35" spans="1:15" x14ac:dyDescent="0.25">
      <c r="A35">
        <v>70</v>
      </c>
      <c r="B35">
        <v>79.900000000000006</v>
      </c>
      <c r="C35" s="1">
        <v>24008</v>
      </c>
      <c r="D35" s="1">
        <v>321</v>
      </c>
      <c r="E35" s="5">
        <f t="shared" si="0"/>
        <v>74.791277258566979</v>
      </c>
      <c r="F35" s="7">
        <f>SUM($D$4:D35)/$D$46</f>
        <v>0.99743383693575371</v>
      </c>
      <c r="G35" s="7">
        <f>SUM($C$4:C35)/$C$46</f>
        <v>0.92867216172400568</v>
      </c>
      <c r="H35" s="7">
        <f t="shared" si="1"/>
        <v>0.78048780487804914</v>
      </c>
      <c r="I35" s="7">
        <f t="shared" si="2"/>
        <v>0.78048780487804914</v>
      </c>
      <c r="J35" s="7">
        <f t="shared" si="3"/>
        <v>1.3749780467369863E-5</v>
      </c>
      <c r="K35" s="7">
        <f t="shared" si="4"/>
        <v>7.1685535410635813E-4</v>
      </c>
      <c r="L35" s="7"/>
      <c r="M35" s="7"/>
      <c r="N35" s="7"/>
      <c r="O35" s="7"/>
    </row>
    <row r="36" spans="1:15" x14ac:dyDescent="0.25">
      <c r="A36">
        <v>80</v>
      </c>
      <c r="B36">
        <v>89.9</v>
      </c>
      <c r="C36" s="1">
        <v>17233</v>
      </c>
      <c r="D36" s="1">
        <v>204</v>
      </c>
      <c r="E36" s="5">
        <f t="shared" si="0"/>
        <v>84.475490196078425</v>
      </c>
      <c r="F36" s="7">
        <f>SUM($D$4:D36)/$D$46</f>
        <v>0.99792910397937362</v>
      </c>
      <c r="G36" s="7">
        <f>SUM($C$4:C36)/$C$46</f>
        <v>0.93500438732511326</v>
      </c>
      <c r="H36" s="7">
        <f t="shared" si="1"/>
        <v>0.80487804878048819</v>
      </c>
      <c r="I36" s="7">
        <f t="shared" si="2"/>
        <v>0.80487804878048819</v>
      </c>
      <c r="J36" s="7">
        <f t="shared" si="3"/>
        <v>6.2722853059896754E-6</v>
      </c>
      <c r="K36" s="7">
        <f t="shared" si="4"/>
        <v>4.5994071602915637E-4</v>
      </c>
      <c r="L36" s="7"/>
      <c r="M36" s="7"/>
      <c r="N36" s="7"/>
      <c r="O36" s="7"/>
    </row>
    <row r="37" spans="1:15" x14ac:dyDescent="0.25">
      <c r="A37">
        <v>90</v>
      </c>
      <c r="B37">
        <v>99.9</v>
      </c>
      <c r="C37" s="1">
        <v>12646</v>
      </c>
      <c r="D37" s="1">
        <v>134</v>
      </c>
      <c r="E37" s="5">
        <f t="shared" si="0"/>
        <v>94.373134328358205</v>
      </c>
      <c r="F37" s="7">
        <f>SUM($D$4:D37)/$D$46</f>
        <v>0.99825442644920237</v>
      </c>
      <c r="G37" s="7">
        <f>SUM($C$4:C37)/$C$46</f>
        <v>0.93965113048948434</v>
      </c>
      <c r="H37" s="7">
        <f t="shared" si="1"/>
        <v>0.82926829268292723</v>
      </c>
      <c r="I37" s="7">
        <f t="shared" si="2"/>
        <v>0.82926829268292723</v>
      </c>
      <c r="J37" s="7">
        <f t="shared" si="3"/>
        <v>3.0233799257861063E-6</v>
      </c>
      <c r="K37" s="7">
        <f t="shared" si="4"/>
        <v>3.0417793658532138E-4</v>
      </c>
      <c r="L37" s="7"/>
      <c r="M37" s="7"/>
      <c r="N37" s="7"/>
      <c r="O37" s="7"/>
    </row>
    <row r="38" spans="1:15" x14ac:dyDescent="0.25">
      <c r="A38">
        <v>100</v>
      </c>
      <c r="B38">
        <v>149.9</v>
      </c>
      <c r="C38" s="1">
        <v>45652</v>
      </c>
      <c r="D38" s="1">
        <v>379</v>
      </c>
      <c r="E38" s="5">
        <f t="shared" si="0"/>
        <v>120.45382585751979</v>
      </c>
      <c r="F38" s="7">
        <f>SUM($D$4:D38)/$D$46</f>
        <v>0.99917455492730012</v>
      </c>
      <c r="G38" s="7">
        <f>SUM($C$4:C38)/$C$46</f>
        <v>0.95642585126600421</v>
      </c>
      <c r="H38" s="7">
        <f t="shared" si="1"/>
        <v>0.85365853658536628</v>
      </c>
      <c r="I38" s="7">
        <f t="shared" si="2"/>
        <v>0.85365853658536628</v>
      </c>
      <c r="J38" s="7">
        <f t="shared" si="3"/>
        <v>3.0869796597227803E-5</v>
      </c>
      <c r="K38" s="7">
        <f t="shared" si="4"/>
        <v>8.6459976464011779E-4</v>
      </c>
      <c r="L38" s="7"/>
      <c r="M38" s="7"/>
      <c r="N38" s="7"/>
      <c r="O38" s="7"/>
    </row>
    <row r="39" spans="1:15" x14ac:dyDescent="0.25">
      <c r="A39">
        <v>150</v>
      </c>
      <c r="B39">
        <v>199.9</v>
      </c>
      <c r="C39" s="1">
        <v>22621</v>
      </c>
      <c r="D39" s="1">
        <v>131</v>
      </c>
      <c r="E39" s="5">
        <f t="shared" si="0"/>
        <v>172.67938931297709</v>
      </c>
      <c r="F39" s="7">
        <f>SUM($D$4:D39)/$D$46</f>
        <v>0.99949259405825219</v>
      </c>
      <c r="G39" s="7">
        <f>SUM($C$4:C39)/$C$46</f>
        <v>0.96473788488305612</v>
      </c>
      <c r="H39" s="7">
        <f t="shared" si="1"/>
        <v>0.87804878048780532</v>
      </c>
      <c r="I39" s="7">
        <f t="shared" si="2"/>
        <v>0.87804878048780532</v>
      </c>
      <c r="J39" s="7">
        <f t="shared" si="3"/>
        <v>5.2871038960232361E-6</v>
      </c>
      <c r="K39" s="7">
        <f t="shared" si="4"/>
        <v>3.0418084655673821E-4</v>
      </c>
      <c r="L39" s="7"/>
      <c r="M39" s="7"/>
      <c r="N39" s="7"/>
      <c r="O39" s="7"/>
    </row>
    <row r="40" spans="1:15" x14ac:dyDescent="0.25">
      <c r="A40">
        <v>200</v>
      </c>
      <c r="B40">
        <v>299.89999999999998</v>
      </c>
      <c r="C40" s="1">
        <v>27350</v>
      </c>
      <c r="D40" s="1">
        <v>113</v>
      </c>
      <c r="E40" s="5">
        <f t="shared" si="0"/>
        <v>242.0353982300885</v>
      </c>
      <c r="F40" s="7">
        <f>SUM($D$4:D40)/$D$46</f>
        <v>0.99976693315594356</v>
      </c>
      <c r="G40" s="7">
        <f>SUM($C$4:C40)/$C$46</f>
        <v>0.97478757850519349</v>
      </c>
      <c r="H40" s="7">
        <f t="shared" si="1"/>
        <v>0.90243902439024437</v>
      </c>
      <c r="I40" s="7">
        <f t="shared" si="2"/>
        <v>0.90243902439024437</v>
      </c>
      <c r="J40" s="7">
        <f t="shared" si="3"/>
        <v>5.514047760743709E-6</v>
      </c>
      <c r="K40" s="7">
        <f t="shared" si="4"/>
        <v>2.6466532084749584E-4</v>
      </c>
      <c r="L40" s="7"/>
      <c r="M40" s="7"/>
      <c r="N40" s="7"/>
      <c r="O40" s="7"/>
    </row>
    <row r="41" spans="1:15" x14ac:dyDescent="0.25">
      <c r="A41">
        <v>300</v>
      </c>
      <c r="B41">
        <v>399.9</v>
      </c>
      <c r="C41" s="1">
        <v>13950</v>
      </c>
      <c r="D41" s="1">
        <v>39</v>
      </c>
      <c r="E41" s="5">
        <f t="shared" si="0"/>
        <v>357.69230769230768</v>
      </c>
      <c r="F41" s="7">
        <f>SUM($D$4:D41)/$D$46</f>
        <v>0.99986161656134154</v>
      </c>
      <c r="G41" s="7">
        <f>SUM($C$4:C41)/$C$46</f>
        <v>0.97991347342398027</v>
      </c>
      <c r="H41" s="7">
        <f t="shared" si="1"/>
        <v>0.92682926829268342</v>
      </c>
      <c r="I41" s="7">
        <f t="shared" si="2"/>
        <v>0.92682926829268342</v>
      </c>
      <c r="J41" s="7">
        <f t="shared" si="3"/>
        <v>9.706743732458424E-7</v>
      </c>
      <c r="K41" s="7">
        <f t="shared" si="4"/>
        <v>9.2296207472519821E-5</v>
      </c>
      <c r="L41" s="7"/>
      <c r="M41" s="7"/>
      <c r="N41" s="7"/>
      <c r="O41" s="7"/>
    </row>
    <row r="42" spans="1:15" x14ac:dyDescent="0.25">
      <c r="A42">
        <v>400</v>
      </c>
      <c r="B42">
        <v>499.9</v>
      </c>
      <c r="C42" s="1">
        <v>7822</v>
      </c>
      <c r="D42" s="1">
        <v>18</v>
      </c>
      <c r="E42" s="5">
        <f t="shared" si="0"/>
        <v>434.55555555555554</v>
      </c>
      <c r="F42" s="7">
        <f>SUM($D$4:D42)/$D$46</f>
        <v>0.99990531659460202</v>
      </c>
      <c r="G42" s="7">
        <f>SUM($C$4:C42)/$C$46</f>
        <v>0.98278764905514504</v>
      </c>
      <c r="H42" s="7">
        <f t="shared" si="1"/>
        <v>0.95121951219512246</v>
      </c>
      <c r="I42" s="7">
        <f t="shared" si="2"/>
        <v>0.95121951219512246</v>
      </c>
      <c r="J42" s="7">
        <f t="shared" si="3"/>
        <v>2.5120314135675337E-7</v>
      </c>
      <c r="K42" s="7">
        <f t="shared" si="4"/>
        <v>4.2822251381025639E-5</v>
      </c>
      <c r="L42" s="7"/>
      <c r="M42" s="7"/>
      <c r="N42" s="7"/>
      <c r="O42" s="7"/>
    </row>
    <row r="43" spans="1:15" x14ac:dyDescent="0.25">
      <c r="A43">
        <v>500</v>
      </c>
      <c r="B43">
        <v>999.9</v>
      </c>
      <c r="C43" s="1">
        <v>12316</v>
      </c>
      <c r="D43" s="1">
        <v>19</v>
      </c>
      <c r="E43" s="5">
        <f t="shared" si="0"/>
        <v>648.21052631578948</v>
      </c>
      <c r="F43" s="7">
        <f>SUM($D$4:D43)/$D$46</f>
        <v>0.99995144440748829</v>
      </c>
      <c r="G43" s="7">
        <f>SUM($C$4:C43)/$C$46</f>
        <v>0.9873131344902546</v>
      </c>
      <c r="H43" s="7">
        <f t="shared" si="1"/>
        <v>0.97560975609756151</v>
      </c>
      <c r="I43" s="7">
        <f t="shared" si="2"/>
        <v>0.97560975609756151</v>
      </c>
      <c r="J43" s="7">
        <f t="shared" si="3"/>
        <v>4.1750149074050419E-7</v>
      </c>
      <c r="K43" s="7">
        <f t="shared" si="4"/>
        <v>4.5333844782548217E-5</v>
      </c>
      <c r="L43" s="7"/>
      <c r="M43" s="7"/>
      <c r="N43" s="7"/>
      <c r="O43" s="7"/>
    </row>
    <row r="44" spans="1:15" x14ac:dyDescent="0.25">
      <c r="A44">
        <v>1000</v>
      </c>
      <c r="B44" t="s">
        <v>1</v>
      </c>
      <c r="C44" s="1">
        <v>34527</v>
      </c>
      <c r="D44" s="1">
        <v>20</v>
      </c>
      <c r="E44" s="5">
        <f t="shared" si="0"/>
        <v>1726.35</v>
      </c>
      <c r="F44" s="7">
        <f>SUM($D$4:D44)/$D$46</f>
        <v>1</v>
      </c>
      <c r="G44" s="7">
        <f>SUM($C$4:C44)/$C$46</f>
        <v>1</v>
      </c>
      <c r="H44" s="7">
        <f t="shared" si="1"/>
        <v>1.0000000000000004</v>
      </c>
      <c r="I44" s="7">
        <f t="shared" si="2"/>
        <v>1.0000000000000004</v>
      </c>
      <c r="J44" s="7">
        <f t="shared" si="3"/>
        <v>1.2320365438841835E-6</v>
      </c>
      <c r="K44" s="7">
        <f t="shared" si="4"/>
        <v>4.7939574239769948E-5</v>
      </c>
      <c r="L44" s="7"/>
      <c r="M44" s="7"/>
      <c r="N44" s="7"/>
      <c r="O44" s="7"/>
    </row>
    <row r="46" spans="1:15" x14ac:dyDescent="0.25">
      <c r="B46" t="s">
        <v>3</v>
      </c>
      <c r="C46" s="8">
        <f>SUM(C4:C44)</f>
        <v>2721476</v>
      </c>
      <c r="D46" s="8">
        <f>SUM(D4:D44)</f>
        <v>411899</v>
      </c>
      <c r="I46" t="s">
        <v>18</v>
      </c>
      <c r="J46" s="7">
        <f>SUM(J4:J44)</f>
        <v>8.887785578906518E-2</v>
      </c>
    </row>
    <row r="47" spans="1:15" x14ac:dyDescent="0.25">
      <c r="I47" t="s">
        <v>19</v>
      </c>
      <c r="J47" s="7">
        <f>SUM(K4:K44)</f>
        <v>0.23633566695218747</v>
      </c>
      <c r="N47" t="s">
        <v>25</v>
      </c>
      <c r="O47" s="17"/>
    </row>
    <row r="48" spans="1:15" x14ac:dyDescent="0.25">
      <c r="I48" t="s">
        <v>17</v>
      </c>
      <c r="J48" s="7">
        <f>J46+J47</f>
        <v>0.32521352274125265</v>
      </c>
    </row>
    <row r="49" spans="9:10" x14ac:dyDescent="0.25">
      <c r="I49" t="s">
        <v>14</v>
      </c>
      <c r="J49" s="7">
        <f>1-(2*J48)</f>
        <v>0.34957295451749471</v>
      </c>
    </row>
  </sheetData>
  <mergeCells count="3">
    <mergeCell ref="F1:I1"/>
    <mergeCell ref="J1:K1"/>
    <mergeCell ref="L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3_1952_fortunes</vt:lpstr>
      <vt:lpstr>4_1952_revenu</vt:lpstr>
    </vt:vector>
  </TitlesOfParts>
  <Company>University of Zurich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 Legentilhomme</dc:creator>
  <cp:lastModifiedBy>Geoffroy Legentilhomme</cp:lastModifiedBy>
  <dcterms:created xsi:type="dcterms:W3CDTF">2025-02-18T11:23:51Z</dcterms:created>
  <dcterms:modified xsi:type="dcterms:W3CDTF">2025-04-16T21:29:22Z</dcterms:modified>
</cp:coreProperties>
</file>
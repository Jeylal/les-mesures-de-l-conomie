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al\Documents\GitHub\les-mesures-de-l-conomie\exercices\"/>
    </mc:Choice>
  </mc:AlternateContent>
  <xr:revisionPtr revIDLastSave="0" documentId="13_ncr:1_{26A75E2D-06AB-4722-86A4-4FD730F712D3}" xr6:coauthVersionLast="47" xr6:coauthVersionMax="47" xr10:uidLastSave="{00000000-0000-0000-0000-000000000000}"/>
  <bookViews>
    <workbookView xWindow="14317" yWindow="0" windowWidth="14565" windowHeight="15563" xr2:uid="{4B094D14-38C3-40CB-84C2-D4E41A726E94}"/>
  </bookViews>
  <sheets>
    <sheet name="Sheet2" sheetId="1" r:id="rId1"/>
    <sheet name="Sheet1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2" i="1" l="1"/>
  <c r="E11" i="1"/>
  <c r="E12" i="1"/>
  <c r="E10" i="1"/>
  <c r="C10" i="1"/>
  <c r="C10" i="2"/>
  <c r="E10" i="2"/>
  <c r="G10" i="2"/>
  <c r="I10" i="2"/>
  <c r="C11" i="2"/>
  <c r="E11" i="2"/>
  <c r="G11" i="2"/>
  <c r="G12" i="2" s="1"/>
  <c r="G13" i="2" s="1"/>
  <c r="I13" i="2" s="1"/>
  <c r="I11" i="2"/>
  <c r="I12" i="2" s="1"/>
  <c r="E12" i="2"/>
  <c r="C14" i="2"/>
  <c r="E14" i="2"/>
  <c r="E15" i="2" s="1"/>
  <c r="G14" i="2"/>
  <c r="G15" i="2" s="1"/>
  <c r="I14" i="2"/>
  <c r="I15" i="2" s="1"/>
  <c r="J5" i="1"/>
  <c r="K5" i="1"/>
  <c r="L5" i="1"/>
  <c r="J6" i="1"/>
  <c r="K6" i="1"/>
  <c r="L6" i="1"/>
  <c r="J7" i="1"/>
  <c r="K7" i="1"/>
  <c r="L7" i="1"/>
  <c r="G10" i="1"/>
  <c r="C11" i="1"/>
  <c r="C12" i="1" s="1"/>
  <c r="G11" i="1"/>
  <c r="G12" i="1" s="1"/>
  <c r="C13" i="1"/>
  <c r="C14" i="1" s="1"/>
  <c r="E13" i="1"/>
  <c r="E14" i="1" s="1"/>
  <c r="G13" i="1"/>
  <c r="G14" i="1" s="1"/>
  <c r="E15" i="1"/>
  <c r="G15" i="1"/>
  <c r="E16" i="1"/>
  <c r="G16" i="1"/>
  <c r="C20" i="1"/>
  <c r="C22" i="1" s="1"/>
  <c r="E20" i="1"/>
  <c r="G20" i="1"/>
  <c r="C21" i="1"/>
  <c r="E21" i="1"/>
  <c r="G21" i="1"/>
  <c r="G22" i="1"/>
  <c r="C23" i="1"/>
  <c r="C24" i="1" s="1"/>
  <c r="E23" i="1"/>
  <c r="E24" i="1" s="1"/>
  <c r="G23" i="1"/>
  <c r="G24" i="1" s="1"/>
  <c r="C12" i="3"/>
  <c r="D12" i="3"/>
  <c r="E12" i="3"/>
  <c r="F12" i="3"/>
  <c r="C20" i="3"/>
</calcChain>
</file>

<file path=xl/sharedStrings.xml><?xml version="1.0" encoding="utf-8"?>
<sst xmlns="http://schemas.openxmlformats.org/spreadsheetml/2006/main" count="68" uniqueCount="45">
  <si>
    <t>Understanding national accounts (ocde), exercice 1 chapitre 2</t>
  </si>
  <si>
    <t>Period 1</t>
  </si>
  <si>
    <t>Period 2</t>
  </si>
  <si>
    <t>Period 3</t>
  </si>
  <si>
    <t>coefficient prix/quantité</t>
  </si>
  <si>
    <t>quantité</t>
  </si>
  <si>
    <t>prix</t>
  </si>
  <si>
    <t>A</t>
  </si>
  <si>
    <t>a</t>
  </si>
  <si>
    <t>B</t>
  </si>
  <si>
    <t>b</t>
  </si>
  <si>
    <t>C</t>
  </si>
  <si>
    <t>c</t>
  </si>
  <si>
    <t>Indice de Laspeyres</t>
  </si>
  <si>
    <t>Comptes à prix courants</t>
  </si>
  <si>
    <t>Comptes aux quantité de la période 1</t>
  </si>
  <si>
    <t>Indice base période 1</t>
  </si>
  <si>
    <t>Comptes aux quantité de la période 2</t>
  </si>
  <si>
    <t>Indice base période 2</t>
  </si>
  <si>
    <t>comptes aux quantités de l'année t-1</t>
  </si>
  <si>
    <t>na</t>
  </si>
  <si>
    <t>Indice en chaine base periode 1</t>
  </si>
  <si>
    <t>Indice de Paasche</t>
  </si>
  <si>
    <t>Comptes aux prix de la période 1</t>
  </si>
  <si>
    <t>Comptes aux prix de la période 2</t>
  </si>
  <si>
    <t>quantity</t>
  </si>
  <si>
    <t>price</t>
  </si>
  <si>
    <t>Aggrégat A + B +C</t>
  </si>
  <si>
    <t>Comptes aux prix de l’année précédente</t>
  </si>
  <si>
    <t>taux de croissance</t>
  </si>
  <si>
    <t>comptes aux prix de l’année précédente, indice en chaîne base 2010</t>
  </si>
  <si>
    <t>Comptes aux prix de 2010</t>
  </si>
  <si>
    <t>Taux de croissance</t>
  </si>
  <si>
    <t>Exercice 6: chained accounts and the loss of additivity</t>
  </si>
  <si>
    <t>GDP in volume, imports and total resources (GDP + imports) chain linked at previous year’s price base 2005</t>
  </si>
  <si>
    <t>gdp</t>
  </si>
  <si>
    <t>gdp growth (%)</t>
  </si>
  <si>
    <t>imports</t>
  </si>
  <si>
    <t>imports growth (%)</t>
  </si>
  <si>
    <t>total resources</t>
  </si>
  <si>
    <t>total resources growth (%)</t>
  </si>
  <si>
    <t xml:space="preserve"> total resources own calculation</t>
  </si>
  <si>
    <t>Knowing that in 2011, gdp = 2001.4 and imports = 597.6 compute growth rates</t>
  </si>
  <si>
    <r>
      <rPr>
        <b/>
        <sz val="10"/>
        <color theme="1"/>
        <rFont val="Liberation Sans"/>
        <family val="2"/>
      </rPr>
      <t xml:space="preserve">L'indice de Laspeyres </t>
    </r>
    <r>
      <rPr>
        <sz val="10"/>
        <color theme="1"/>
        <rFont val="Liberation Sans"/>
        <family val="2"/>
      </rPr>
      <t>prend la forme suivante, avec p_it et q_it les prix et quantités du bien i à la période t, avec 0 la période de base. L'indice de Laspeyres fixe les quantité à la période de base et laisse varier les prix:</t>
    </r>
  </si>
  <si>
    <r>
      <rPr>
        <b/>
        <sz val="10"/>
        <color theme="1"/>
        <rFont val="Liberation Sans"/>
        <family val="2"/>
      </rPr>
      <t>L'indice de Paache</t>
    </r>
    <r>
      <rPr>
        <sz val="10"/>
        <color theme="1"/>
        <rFont val="Liberation Sans"/>
        <family val="2"/>
      </rPr>
      <t xml:space="preserve"> fixe quant à lui les prix et fait varier les quantités: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</si>
</sst>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Liberation Sans"/>
      <family val="2"/>
    </font>
    <font>
      <sz val="10"/>
      <color indexed="8"/>
      <name val="Liberation Sans"/>
      <family val="2"/>
    </font>
    <font>
      <sz val="10"/>
      <color indexed="60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theme="1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13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3" fillId="0" borderId="0"/>
    <xf numFmtId="0" fontId="4" fillId="8" borderId="0"/>
    <xf numFmtId="0" fontId="4" fillId="9" borderId="0"/>
    <xf numFmtId="0" fontId="3" fillId="2" borderId="0"/>
    <xf numFmtId="0" fontId="5" fillId="10" borderId="0"/>
    <xf numFmtId="0" fontId="1" fillId="0" borderId="0" applyNumberFormat="0" applyFont="0" applyFill="0" applyBorder="0" applyAlignment="0" applyProtection="0"/>
    <xf numFmtId="0" fontId="4" fillId="11" borderId="0"/>
    <xf numFmtId="0" fontId="6" fillId="0" borderId="0"/>
    <xf numFmtId="0" fontId="7" fillId="12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2" fillId="13" borderId="0"/>
    <xf numFmtId="0" fontId="13" fillId="13" borderId="15"/>
    <xf numFmtId="0" fontId="14" fillId="0" borderId="0"/>
    <xf numFmtId="0" fontId="12" fillId="0" borderId="0"/>
    <xf numFmtId="0" fontId="12" fillId="0" borderId="0"/>
    <xf numFmtId="0" fontId="5" fillId="0" borderId="0"/>
  </cellStyleXfs>
  <cellXfs count="35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1" xfId="0" applyBorder="1"/>
    <xf numFmtId="0" fontId="0" fillId="0" borderId="10" xfId="0" applyBorder="1"/>
    <xf numFmtId="0" fontId="0" fillId="3" borderId="0" xfId="0" applyFill="1"/>
    <xf numFmtId="0" fontId="0" fillId="4" borderId="11" xfId="0" applyFill="1" applyBorder="1" applyAlignment="1">
      <alignment horizontal="centerContinuous"/>
    </xf>
    <xf numFmtId="0" fontId="0" fillId="4" borderId="11" xfId="0" applyFill="1" applyBorder="1"/>
    <xf numFmtId="0" fontId="0" fillId="0" borderId="0" xfId="0" applyAlignment="1">
      <alignment horizontal="centerContinuous"/>
    </xf>
    <xf numFmtId="0" fontId="0" fillId="5" borderId="11" xfId="0" applyFill="1" applyBorder="1" applyAlignment="1">
      <alignment horizontal="centerContinuous"/>
    </xf>
    <xf numFmtId="0" fontId="0" fillId="5" borderId="11" xfId="0" applyFill="1" applyBorder="1"/>
    <xf numFmtId="0" fontId="0" fillId="6" borderId="11" xfId="0" applyFill="1" applyBorder="1"/>
    <xf numFmtId="0" fontId="0" fillId="7" borderId="11" xfId="0" applyFill="1" applyBorder="1"/>
    <xf numFmtId="0" fontId="0" fillId="5" borderId="12" xfId="0" applyFill="1" applyBorder="1" applyAlignment="1">
      <alignment horizontal="centerContinuous"/>
    </xf>
    <xf numFmtId="0" fontId="0" fillId="5" borderId="13" xfId="0" applyFill="1" applyBorder="1" applyAlignment="1">
      <alignment horizontal="centerContinuous"/>
    </xf>
    <xf numFmtId="0" fontId="0" fillId="5" borderId="14" xfId="0" applyFill="1" applyBorder="1" applyAlignment="1">
      <alignment horizontal="centerContinuous"/>
    </xf>
    <xf numFmtId="0" fontId="0" fillId="0" borderId="0" xfId="0" applyAlignment="1">
      <alignment horizontal="left" vertical="top" wrapText="1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0" fontId="0" fillId="14" borderId="11" xfId="0" applyFill="1" applyBorder="1"/>
    <xf numFmtId="0" fontId="0" fillId="14" borderId="11" xfId="0" applyFill="1" applyBorder="1" applyAlignment="1">
      <alignment horizontal="center"/>
    </xf>
  </cellXfs>
  <cellStyles count="20">
    <cellStyle name="Accent" xfId="1" xr:uid="{918E2697-F530-4248-9F95-37B9209E7543}"/>
    <cellStyle name="Accent 1" xfId="2" xr:uid="{8C48C578-90CF-401C-A808-59F9802C55B2}"/>
    <cellStyle name="Accent 2" xfId="3" xr:uid="{D895478D-4B0C-4ECB-B9F3-CE009783E1C2}"/>
    <cellStyle name="Accent 3" xfId="4" xr:uid="{F35437A9-2052-477D-A66F-B6B85114F10D}"/>
    <cellStyle name="Bad" xfId="5" xr:uid="{7AEC3F95-D4B6-4DCB-AA2C-3C3C9CE4DFCD}"/>
    <cellStyle name="Default" xfId="6" xr:uid="{E7B7AEFA-246E-499D-B1EB-7BDBB1F5358D}"/>
    <cellStyle name="Error" xfId="7" xr:uid="{63CE679C-09AB-4EB4-89D8-D73FF75C996B}"/>
    <cellStyle name="Footnote" xfId="8" xr:uid="{E4ACE595-FE7E-47B5-9C92-6AB9429DA804}"/>
    <cellStyle name="Good" xfId="9" xr:uid="{86D313F0-E489-4838-AE6B-6D386265321D}"/>
    <cellStyle name="Heading" xfId="10" xr:uid="{1A0865AC-9D32-46E4-B810-643ECC35EDD7}"/>
    <cellStyle name="Heading 1" xfId="11" xr:uid="{6262C398-BBC3-4223-BCB8-846865702297}"/>
    <cellStyle name="Heading 2" xfId="12" xr:uid="{7C6C7555-3629-453A-AA62-DC93CA54C6A7}"/>
    <cellStyle name="Hyperlink" xfId="13" xr:uid="{516CC1EA-A631-4732-A5EC-B16D12048628}"/>
    <cellStyle name="Neutral" xfId="14" xr:uid="{A61BE0BA-1D14-4F45-B674-842AFA985518}"/>
    <cellStyle name="Normal" xfId="0" builtinId="0" customBuiltin="1"/>
    <cellStyle name="Note" xfId="15" builtinId="10" customBuiltin="1"/>
    <cellStyle name="Result" xfId="16" xr:uid="{02C69811-3E3E-4543-AF44-8BAB13F48F2B}"/>
    <cellStyle name="Status" xfId="17" xr:uid="{E46CFF4D-3311-4727-B4E4-8622538743F6}"/>
    <cellStyle name="Text" xfId="18" xr:uid="{49AA7466-534B-46C7-9AC6-7B7E8F6B79A7}"/>
    <cellStyle name="Warning" xfId="19" xr:uid="{026F6EDA-8135-479D-966E-4BA894020B3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52388</xdr:colOff>
      <xdr:row>9</xdr:row>
      <xdr:rowOff>52388</xdr:rowOff>
    </xdr:from>
    <xdr:to>
      <xdr:col>8</xdr:col>
      <xdr:colOff>719138</xdr:colOff>
      <xdr:row>9</xdr:row>
      <xdr:rowOff>423863</xdr:rowOff>
    </xdr:to>
    <xdr:sp macro="" textlink="">
      <xdr:nvSpPr>
        <xdr:cNvPr id="1117" name="ZoneTexte 3">
          <a:extLst>
            <a:ext uri="{FF2B5EF4-FFF2-40B4-BE49-F238E27FC236}">
              <a16:creationId xmlns:a16="http://schemas.microsoft.com/office/drawing/2014/main" id="{46224611-652F-67DE-817D-383E7F30C4AA}"/>
            </a:ext>
          </a:extLst>
        </xdr:cNvPr>
        <xdr:cNvSpPr txBox="1">
          <a:spLocks noChangeArrowheads="1"/>
        </xdr:cNvSpPr>
      </xdr:nvSpPr>
      <xdr:spPr bwMode="auto">
        <a:xfrm>
          <a:off x="8262938" y="1509713"/>
          <a:ext cx="666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612648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???p_it q_it ?</a:t>
          </a:r>
        </a:p>
      </xdr:txBody>
    </xdr:sp>
    <xdr:clientData/>
  </xdr:twoCellAnchor>
  <xdr:twoCellAnchor editAs="oneCell">
    <xdr:from>
      <xdr:col>8</xdr:col>
      <xdr:colOff>85725</xdr:colOff>
      <xdr:row>10</xdr:row>
      <xdr:rowOff>33338</xdr:rowOff>
    </xdr:from>
    <xdr:to>
      <xdr:col>8</xdr:col>
      <xdr:colOff>752475</xdr:colOff>
      <xdr:row>10</xdr:row>
      <xdr:rowOff>400050</xdr:rowOff>
    </xdr:to>
    <xdr:sp macro="" textlink="">
      <xdr:nvSpPr>
        <xdr:cNvPr id="1118" name="ZoneTexte 4">
          <a:extLst>
            <a:ext uri="{FF2B5EF4-FFF2-40B4-BE49-F238E27FC236}">
              <a16:creationId xmlns:a16="http://schemas.microsoft.com/office/drawing/2014/main" id="{E874788A-A0F2-509A-6C70-46D68B21D8E6}"/>
            </a:ext>
          </a:extLst>
        </xdr:cNvPr>
        <xdr:cNvSpPr txBox="1">
          <a:spLocks noChangeArrowheads="1"/>
        </xdr:cNvSpPr>
      </xdr:nvSpPr>
      <xdr:spPr bwMode="auto">
        <a:xfrm>
          <a:off x="8296275" y="1957388"/>
          <a:ext cx="666750" cy="366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???p_it q_(it=1) ?</a:t>
          </a:r>
        </a:p>
      </xdr:txBody>
    </xdr:sp>
    <xdr:clientData/>
  </xdr:twoCellAnchor>
  <xdr:twoCellAnchor editAs="oneCell">
    <xdr:from>
      <xdr:col>7</xdr:col>
      <xdr:colOff>771525</xdr:colOff>
      <xdr:row>11</xdr:row>
      <xdr:rowOff>133350</xdr:rowOff>
    </xdr:from>
    <xdr:to>
      <xdr:col>8</xdr:col>
      <xdr:colOff>904875</xdr:colOff>
      <xdr:row>12</xdr:row>
      <xdr:rowOff>33338</xdr:rowOff>
    </xdr:to>
    <xdr:sp macro="" textlink="">
      <xdr:nvSpPr>
        <xdr:cNvPr id="1119" name="ZoneTexte 5">
          <a:extLst>
            <a:ext uri="{FF2B5EF4-FFF2-40B4-BE49-F238E27FC236}">
              <a16:creationId xmlns:a16="http://schemas.microsoft.com/office/drawing/2014/main" id="{80FE834D-64EA-EB08-A48F-17EBAC16EA81}"/>
            </a:ext>
          </a:extLst>
        </xdr:cNvPr>
        <xdr:cNvSpPr txBox="1">
          <a:spLocks noChangeArrowheads="1"/>
        </xdr:cNvSpPr>
      </xdr:nvSpPr>
      <xdr:spPr bwMode="auto">
        <a:xfrm>
          <a:off x="8153400" y="2495550"/>
          <a:ext cx="962025" cy="481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(???p_it q_(it=1) ?)/(</a:t>
          </a:r>
          <a:r>
            <a:rPr lang="LID4096" sz="1100" b="0" i="0" u="none" strike="noStrike" baseline="0">
              <a:solidFill>
                <a:srgbClr val="000000"/>
              </a:solidFill>
              <a:latin typeface="Aptos Narrow"/>
              <a:ea typeface="Cambria Math"/>
            </a:rPr>
            <a:t>??</a:t>
          </a:r>
          <a:r>
            <a:rPr lang="LID4096" sz="1100" b="0" i="0" u="none" strike="noStrike" baseline="0">
              <a:solidFill>
                <a:srgbClr val="000000"/>
              </a:solidFill>
              <a:latin typeface="Liberation Sans"/>
              <a:ea typeface="Liberation Sans"/>
              <a:cs typeface="Liberation Sans"/>
            </a:rPr>
            <a:t>?</a:t>
          </a:r>
          <a:r>
            <a:rPr lang="LID4096" sz="1100" b="0" i="0" u="none" strike="noStrike" baseline="0">
              <a:solidFill>
                <a:srgbClr val="000000"/>
              </a:solidFill>
              <a:latin typeface="Aptos Narrow"/>
              <a:ea typeface="Liberation Sans"/>
              <a:cs typeface="Liberation Sans"/>
            </a:rPr>
            <a:t>p_(it</a:t>
          </a: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  <a:cs typeface="Liberation Sans"/>
            </a:rPr>
            <a:t>=1</a:t>
          </a:r>
          <a:r>
            <a:rPr lang="LID4096" sz="1100" b="0" i="0" u="none" strike="noStrike" baseline="0">
              <a:solidFill>
                <a:srgbClr val="000000"/>
              </a:solidFill>
              <a:latin typeface="Aptos Narrow"/>
              <a:ea typeface="Cambria Math"/>
              <a:cs typeface="Liberation Sans"/>
            </a:rPr>
            <a:t>) q_(it=1) </a:t>
          </a:r>
          <a:r>
            <a:rPr lang="LID4096" sz="1100" b="0" i="0" u="none" strike="noStrike" baseline="0">
              <a:solidFill>
                <a:srgbClr val="000000"/>
              </a:solidFill>
              <a:latin typeface="Liberation Sans"/>
              <a:ea typeface="Liberation Sans"/>
              <a:cs typeface="Liberation Sans"/>
            </a:rPr>
            <a:t>?</a:t>
          </a: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  <a:cs typeface="Liberation Sans"/>
            </a:rPr>
            <a:t>)</a:t>
          </a:r>
          <a:endParaRPr lang="LID4096" sz="1100" b="0" i="0" u="none" strike="noStrike" baseline="0">
            <a:solidFill>
              <a:srgbClr val="000000"/>
            </a:solidFill>
            <a:latin typeface="Cambria Math"/>
            <a:ea typeface="Cambria Math"/>
          </a:endParaRPr>
        </a:p>
      </xdr:txBody>
    </xdr:sp>
    <xdr:clientData/>
  </xdr:twoCellAnchor>
  <xdr:twoCellAnchor editAs="oneCell">
    <xdr:from>
      <xdr:col>8</xdr:col>
      <xdr:colOff>52388</xdr:colOff>
      <xdr:row>19</xdr:row>
      <xdr:rowOff>52388</xdr:rowOff>
    </xdr:from>
    <xdr:to>
      <xdr:col>8</xdr:col>
      <xdr:colOff>723900</xdr:colOff>
      <xdr:row>20</xdr:row>
      <xdr:rowOff>14288</xdr:rowOff>
    </xdr:to>
    <xdr:sp macro="" textlink="">
      <xdr:nvSpPr>
        <xdr:cNvPr id="1120" name="ZoneTexte 10">
          <a:extLst>
            <a:ext uri="{FF2B5EF4-FFF2-40B4-BE49-F238E27FC236}">
              <a16:creationId xmlns:a16="http://schemas.microsoft.com/office/drawing/2014/main" id="{F4CC6828-203D-0E6D-84B1-9C1144E4F8A6}"/>
            </a:ext>
          </a:extLst>
        </xdr:cNvPr>
        <xdr:cNvSpPr txBox="1">
          <a:spLocks noChangeArrowheads="1"/>
        </xdr:cNvSpPr>
      </xdr:nvSpPr>
      <xdr:spPr bwMode="auto">
        <a:xfrm>
          <a:off x="8262938" y="4129088"/>
          <a:ext cx="67151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???p_it q_it ?</a:t>
          </a:r>
        </a:p>
      </xdr:txBody>
    </xdr:sp>
    <xdr:clientData/>
  </xdr:twoCellAnchor>
  <xdr:twoCellAnchor editAs="oneCell">
    <xdr:from>
      <xdr:col>8</xdr:col>
      <xdr:colOff>90488</xdr:colOff>
      <xdr:row>20</xdr:row>
      <xdr:rowOff>0</xdr:rowOff>
    </xdr:from>
    <xdr:to>
      <xdr:col>8</xdr:col>
      <xdr:colOff>757238</xdr:colOff>
      <xdr:row>21</xdr:row>
      <xdr:rowOff>0</xdr:rowOff>
    </xdr:to>
    <xdr:sp macro="" textlink="">
      <xdr:nvSpPr>
        <xdr:cNvPr id="1121" name="ZoneTexte 11">
          <a:extLst>
            <a:ext uri="{FF2B5EF4-FFF2-40B4-BE49-F238E27FC236}">
              <a16:creationId xmlns:a16="http://schemas.microsoft.com/office/drawing/2014/main" id="{33D4DCDC-3818-E04B-8F5C-1319775D9FA2}"/>
            </a:ext>
          </a:extLst>
        </xdr:cNvPr>
        <xdr:cNvSpPr txBox="1">
          <a:spLocks noChangeArrowheads="1"/>
        </xdr:cNvSpPr>
      </xdr:nvSpPr>
      <xdr:spPr bwMode="auto">
        <a:xfrm>
          <a:off x="8301038" y="4476750"/>
          <a:ext cx="666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???p_(it=1) q_it ?</a:t>
          </a:r>
        </a:p>
      </xdr:txBody>
    </xdr:sp>
    <xdr:clientData/>
  </xdr:twoCellAnchor>
  <xdr:oneCellAnchor>
    <xdr:from>
      <xdr:col>9</xdr:col>
      <xdr:colOff>394469</xdr:colOff>
      <xdr:row>10</xdr:row>
      <xdr:rowOff>394965</xdr:rowOff>
    </xdr:from>
    <xdr:ext cx="779317" cy="4709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8C8C82ED-42AE-8510-0D3E-8E52F79A3F9F}"/>
                </a:ext>
              </a:extLst>
            </xdr:cNvPr>
            <xdr:cNvSpPr txBox="1"/>
          </xdr:nvSpPr>
          <xdr:spPr>
            <a:xfrm>
              <a:off x="9630833" y="2333640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8C8C82ED-42AE-8510-0D3E-8E52F79A3F9F}"/>
                </a:ext>
              </a:extLst>
            </xdr:cNvPr>
            <xdr:cNvSpPr txBox="1"/>
          </xdr:nvSpPr>
          <xdr:spPr>
            <a:xfrm>
              <a:off x="9630833" y="2333640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fr-CH" sz="1100" i="0">
                  <a:latin typeface="Cambria Math" panose="02040503050406030204" pitchFamily="18" charset="0"/>
                </a:rPr>
                <a:t>(∑</a:t>
              </a:r>
              <a:r>
                <a:rPr lang="fr-CH" sz="1100" b="0" i="0">
                  <a:latin typeface="Cambria Math" panose="02040503050406030204" pitchFamily="18" charset="0"/>
                </a:rPr>
                <a:t>_(𝑖=1)^𝑘▒〖𝑝_𝑖𝑡 𝑞_𝑖0 〗)/(∑_(𝑖=1)^𝑘▒〖𝑝_𝑖0 𝑞_𝑖0 〗)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9</xdr:col>
      <xdr:colOff>1024660</xdr:colOff>
      <xdr:row>20</xdr:row>
      <xdr:rowOff>153939</xdr:rowOff>
    </xdr:from>
    <xdr:ext cx="779317" cy="4709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64D2D9E8-180D-45EE-8620-C976C6405980}"/>
                </a:ext>
              </a:extLst>
            </xdr:cNvPr>
            <xdr:cNvSpPr txBox="1"/>
          </xdr:nvSpPr>
          <xdr:spPr>
            <a:xfrm>
              <a:off x="10261024" y="4656666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64D2D9E8-180D-45EE-8620-C976C6405980}"/>
                </a:ext>
              </a:extLst>
            </xdr:cNvPr>
            <xdr:cNvSpPr txBox="1"/>
          </xdr:nvSpPr>
          <xdr:spPr>
            <a:xfrm>
              <a:off x="10261024" y="4656666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fr-CH" sz="1100" i="0">
                  <a:latin typeface="Cambria Math" panose="02040503050406030204" pitchFamily="18" charset="0"/>
                </a:rPr>
                <a:t>(∑</a:t>
              </a:r>
              <a:r>
                <a:rPr lang="fr-CH" sz="1100" b="0" i="0">
                  <a:latin typeface="Cambria Math" panose="02040503050406030204" pitchFamily="18" charset="0"/>
                </a:rPr>
                <a:t>_(𝑖=1)^𝑘▒〖𝑝_𝑖𝑡 𝑞_𝑖𝑡 〗)/(∑_(𝑖=1)^𝑘▒〖𝑝_0𝑡 𝑞_𝑖𝑡 〗)</a:t>
              </a:r>
              <a:endParaRPr lang="LID4096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D87-4114-4768-9854-07DA7BBB678F}">
  <dimension ref="A1:L24"/>
  <sheetViews>
    <sheetView tabSelected="1" zoomScale="68" zoomScaleNormal="68" workbookViewId="0">
      <selection activeCell="E23" sqref="E23:F23"/>
    </sheetView>
  </sheetViews>
  <sheetFormatPr baseColWidth="10" defaultRowHeight="12.75" x14ac:dyDescent="0.35"/>
  <cols>
    <col min="1" max="1" width="11.59765625" customWidth="1"/>
    <col min="2" max="2" width="33.73046875" customWidth="1"/>
    <col min="3" max="8" width="11.59765625" customWidth="1"/>
    <col min="9" max="9" width="14.46484375" customWidth="1"/>
    <col min="10" max="10" width="37.59765625" customWidth="1"/>
    <col min="11" max="11" width="33" customWidth="1"/>
  </cols>
  <sheetData>
    <row r="1" spans="1:12" x14ac:dyDescent="0.35">
      <c r="A1" t="s">
        <v>0</v>
      </c>
    </row>
    <row r="3" spans="1:12" x14ac:dyDescent="0.35">
      <c r="C3" s="14" t="s">
        <v>1</v>
      </c>
      <c r="D3" s="14"/>
      <c r="E3" s="14" t="s">
        <v>2</v>
      </c>
      <c r="F3" s="14"/>
      <c r="G3" s="14" t="s">
        <v>3</v>
      </c>
      <c r="H3" s="14"/>
      <c r="J3" s="16" t="s">
        <v>4</v>
      </c>
      <c r="K3" s="16"/>
      <c r="L3" s="16"/>
    </row>
    <row r="4" spans="1:12" x14ac:dyDescent="0.35">
      <c r="C4" s="15" t="s">
        <v>5</v>
      </c>
      <c r="D4" s="15" t="s">
        <v>6</v>
      </c>
      <c r="E4" s="15" t="s">
        <v>5</v>
      </c>
      <c r="F4" s="15" t="s">
        <v>6</v>
      </c>
      <c r="G4" s="15" t="s">
        <v>5</v>
      </c>
      <c r="H4" s="15" t="s">
        <v>6</v>
      </c>
      <c r="J4" s="16"/>
      <c r="K4" s="16"/>
      <c r="L4" s="16"/>
    </row>
    <row r="5" spans="1:12" x14ac:dyDescent="0.35">
      <c r="B5" s="15" t="s">
        <v>7</v>
      </c>
      <c r="C5" s="15">
        <v>20</v>
      </c>
      <c r="D5" s="15">
        <v>5</v>
      </c>
      <c r="E5" s="15">
        <v>40</v>
      </c>
      <c r="F5" s="15">
        <v>3</v>
      </c>
      <c r="G5" s="15">
        <v>60</v>
      </c>
      <c r="H5" s="15">
        <v>2</v>
      </c>
      <c r="I5" t="s">
        <v>8</v>
      </c>
      <c r="J5">
        <f>D5/C5</f>
        <v>0.25</v>
      </c>
      <c r="K5">
        <f>F5/E5</f>
        <v>7.4999999999999997E-2</v>
      </c>
      <c r="L5">
        <f>H5/G5</f>
        <v>3.3333333333333333E-2</v>
      </c>
    </row>
    <row r="6" spans="1:12" x14ac:dyDescent="0.35">
      <c r="B6" s="15" t="s">
        <v>9</v>
      </c>
      <c r="C6" s="15">
        <v>150</v>
      </c>
      <c r="D6" s="15">
        <v>0.2</v>
      </c>
      <c r="E6" s="15">
        <v>145</v>
      </c>
      <c r="F6" s="15">
        <v>0.25</v>
      </c>
      <c r="G6" s="15">
        <v>160</v>
      </c>
      <c r="H6" s="15">
        <v>0.25</v>
      </c>
      <c r="I6" t="s">
        <v>10</v>
      </c>
      <c r="J6">
        <f>D6/C6</f>
        <v>1.3333333333333335E-3</v>
      </c>
      <c r="K6">
        <f>F6/E6</f>
        <v>1.7241379310344827E-3</v>
      </c>
      <c r="L6">
        <f>H6/G6</f>
        <v>1.5625000000000001E-3</v>
      </c>
    </row>
    <row r="7" spans="1:12" x14ac:dyDescent="0.35">
      <c r="B7" s="15" t="s">
        <v>11</v>
      </c>
      <c r="C7" s="15">
        <v>12</v>
      </c>
      <c r="D7" s="15">
        <v>25</v>
      </c>
      <c r="E7" s="15">
        <v>6</v>
      </c>
      <c r="F7" s="15">
        <v>40</v>
      </c>
      <c r="G7" s="15">
        <v>5</v>
      </c>
      <c r="H7" s="15">
        <v>35</v>
      </c>
      <c r="I7" t="s">
        <v>12</v>
      </c>
      <c r="J7">
        <f>D7/C7</f>
        <v>2.0833333333333335</v>
      </c>
      <c r="K7">
        <f>F7/E7</f>
        <v>6.666666666666667</v>
      </c>
      <c r="L7">
        <f>H7/G7</f>
        <v>7</v>
      </c>
    </row>
    <row r="9" spans="1:12" x14ac:dyDescent="0.35">
      <c r="C9" s="21" t="s">
        <v>13</v>
      </c>
      <c r="D9" s="23"/>
      <c r="E9" s="23"/>
      <c r="F9" s="23"/>
      <c r="G9" s="23"/>
      <c r="H9" s="22"/>
    </row>
    <row r="10" spans="1:12" ht="37.049999999999997" customHeight="1" x14ac:dyDescent="0.35">
      <c r="B10" s="18" t="s">
        <v>14</v>
      </c>
      <c r="C10" s="25">
        <f>C5*D5+C6*D6+C7*D7</f>
        <v>430</v>
      </c>
      <c r="D10" s="26"/>
      <c r="E10" s="25">
        <f>E5*F5+E6*F6+E7*F7</f>
        <v>396.25</v>
      </c>
      <c r="F10" s="26"/>
      <c r="G10" s="25">
        <f>G5*H5+G6*H6+G7*H7</f>
        <v>335</v>
      </c>
      <c r="H10" s="26"/>
      <c r="J10" s="24" t="s">
        <v>43</v>
      </c>
    </row>
    <row r="11" spans="1:12" ht="34.5" customHeight="1" x14ac:dyDescent="0.35">
      <c r="B11" s="18" t="s">
        <v>15</v>
      </c>
      <c r="C11" s="25">
        <f>C5*D5+C6*D6+C7*D7</f>
        <v>430</v>
      </c>
      <c r="D11" s="26"/>
      <c r="E11" s="25">
        <f>C5*F5+C6*F6+C7*F7</f>
        <v>577.5</v>
      </c>
      <c r="F11" s="26"/>
      <c r="G11" s="25">
        <f>C5*H5+C6*H6+C7*H7</f>
        <v>497.5</v>
      </c>
      <c r="H11" s="26"/>
      <c r="J11" s="24"/>
    </row>
    <row r="12" spans="1:12" ht="46.05" customHeight="1" x14ac:dyDescent="0.35">
      <c r="B12" s="19" t="s">
        <v>16</v>
      </c>
      <c r="C12" s="27">
        <f>C11/C10*100</f>
        <v>100</v>
      </c>
      <c r="D12" s="28"/>
      <c r="E12" s="27">
        <f>E11/C10*100</f>
        <v>134.30232558139534</v>
      </c>
      <c r="F12" s="28"/>
      <c r="G12" s="27">
        <f>G11/C10*100</f>
        <v>115.69767441860466</v>
      </c>
      <c r="H12" s="28"/>
      <c r="J12" s="24"/>
    </row>
    <row r="13" spans="1:12" x14ac:dyDescent="0.35">
      <c r="B13" s="18" t="s">
        <v>17</v>
      </c>
      <c r="C13" s="25">
        <f>E5*D5+E6*D6+E7*D7</f>
        <v>379</v>
      </c>
      <c r="D13" s="26"/>
      <c r="E13" s="25">
        <f>E5*F5+E6*F6+E7*F7</f>
        <v>396.25</v>
      </c>
      <c r="F13" s="26"/>
      <c r="G13" s="25">
        <f>E5*H5+E6*H6+E7*H7</f>
        <v>326.25</v>
      </c>
      <c r="H13" s="26"/>
      <c r="J13" s="16"/>
      <c r="K13" s="16"/>
    </row>
    <row r="14" spans="1:12" x14ac:dyDescent="0.35">
      <c r="B14" s="33" t="s">
        <v>18</v>
      </c>
      <c r="C14" s="34">
        <f>C13/E13*100</f>
        <v>95.646687697160885</v>
      </c>
      <c r="D14" s="34"/>
      <c r="E14" s="34">
        <f>E13/E13*100</f>
        <v>100</v>
      </c>
      <c r="F14" s="34"/>
      <c r="G14" s="34">
        <f>G13/E13*100</f>
        <v>82.33438485804416</v>
      </c>
      <c r="H14" s="34"/>
    </row>
    <row r="15" spans="1:12" x14ac:dyDescent="0.35">
      <c r="B15" s="31" t="s">
        <v>19</v>
      </c>
      <c r="C15" s="32" t="s">
        <v>20</v>
      </c>
      <c r="D15" s="32"/>
      <c r="E15" s="32">
        <f>F5*C5+F6*C6+F7*C7</f>
        <v>577.5</v>
      </c>
      <c r="F15" s="32"/>
      <c r="G15" s="32">
        <f>H5*E5+H6*E6+H7*E7</f>
        <v>326.25</v>
      </c>
      <c r="H15" s="32"/>
    </row>
    <row r="16" spans="1:12" x14ac:dyDescent="0.35">
      <c r="B16" s="31" t="s">
        <v>21</v>
      </c>
      <c r="C16" s="32">
        <v>100</v>
      </c>
      <c r="D16" s="32"/>
      <c r="E16" s="32">
        <f>100*E15/C10</f>
        <v>134.30232558139534</v>
      </c>
      <c r="F16" s="32"/>
      <c r="G16" s="32">
        <f>100*(G15/E10)</f>
        <v>82.33438485804416</v>
      </c>
      <c r="H16" s="32"/>
    </row>
    <row r="17" spans="2:10" x14ac:dyDescent="0.35">
      <c r="C17" s="16"/>
      <c r="D17" s="16"/>
      <c r="E17" s="16"/>
      <c r="F17" s="16"/>
      <c r="G17" s="16"/>
      <c r="H17" s="16"/>
    </row>
    <row r="18" spans="2:10" x14ac:dyDescent="0.35">
      <c r="C18" s="16"/>
      <c r="D18" s="16"/>
      <c r="E18" s="16"/>
      <c r="F18" s="16"/>
      <c r="G18" s="16"/>
      <c r="H18" s="16"/>
    </row>
    <row r="19" spans="2:10" x14ac:dyDescent="0.35">
      <c r="C19" s="17" t="s">
        <v>22</v>
      </c>
      <c r="D19" s="17"/>
      <c r="E19" s="17"/>
      <c r="F19" s="17"/>
      <c r="G19" s="17"/>
      <c r="H19" s="17"/>
    </row>
    <row r="20" spans="2:10" ht="31.5" customHeight="1" x14ac:dyDescent="0.35">
      <c r="B20" s="18" t="s">
        <v>14</v>
      </c>
      <c r="C20" s="25">
        <f>C5*D5+C6*D6+C7*D7</f>
        <v>430</v>
      </c>
      <c r="D20" s="26"/>
      <c r="E20" s="25">
        <f>E5*F5+E6*F6+E7*F7</f>
        <v>396.25</v>
      </c>
      <c r="F20" s="26"/>
      <c r="G20" s="25">
        <f>G5*H5+G6*H6+G7*H7</f>
        <v>335</v>
      </c>
      <c r="H20" s="26"/>
      <c r="J20" s="24" t="s">
        <v>44</v>
      </c>
    </row>
    <row r="21" spans="2:10" ht="29.55" customHeight="1" x14ac:dyDescent="0.35">
      <c r="B21" s="18" t="s">
        <v>23</v>
      </c>
      <c r="C21" s="25">
        <f>C5*D5+C6*D6+C7*D7</f>
        <v>430</v>
      </c>
      <c r="D21" s="26"/>
      <c r="E21" s="25">
        <f>E5*D5+E6*D6+E7*D7</f>
        <v>379</v>
      </c>
      <c r="F21" s="26"/>
      <c r="G21" s="25">
        <f>G5*D5+G6*D6+G7*D7</f>
        <v>457</v>
      </c>
      <c r="H21" s="26"/>
      <c r="J21" s="24"/>
    </row>
    <row r="22" spans="2:10" ht="45.5" customHeight="1" x14ac:dyDescent="0.35">
      <c r="B22" s="19" t="s">
        <v>16</v>
      </c>
      <c r="C22" s="27">
        <f>C20/C21*100</f>
        <v>100</v>
      </c>
      <c r="D22" s="28"/>
      <c r="E22" s="27">
        <f>E20/E21*100</f>
        <v>104.55145118733509</v>
      </c>
      <c r="F22" s="28"/>
      <c r="G22" s="27">
        <f>G20/G21*100</f>
        <v>73.304157549234134</v>
      </c>
      <c r="H22" s="28"/>
      <c r="J22" s="24"/>
    </row>
    <row r="23" spans="2:10" x14ac:dyDescent="0.35">
      <c r="B23" s="18" t="s">
        <v>24</v>
      </c>
      <c r="C23" s="25">
        <f>C5*F5+C6*F6+C7*F7</f>
        <v>577.5</v>
      </c>
      <c r="D23" s="26"/>
      <c r="E23" s="25">
        <f>E5*F5+E6*F6+E7*F7</f>
        <v>396.25</v>
      </c>
      <c r="F23" s="26"/>
      <c r="G23" s="25">
        <f>G5*F5+G6*F6+G7*F7</f>
        <v>420</v>
      </c>
      <c r="H23" s="26"/>
    </row>
    <row r="24" spans="2:10" x14ac:dyDescent="0.35">
      <c r="B24" s="20" t="s">
        <v>18</v>
      </c>
      <c r="C24" s="29">
        <f>C23/C20*100</f>
        <v>134.30232558139534</v>
      </c>
      <c r="D24" s="30"/>
      <c r="E24" s="29">
        <f>E23/E20*100</f>
        <v>100</v>
      </c>
      <c r="F24" s="30"/>
      <c r="G24" s="29">
        <f>G23/G20*100</f>
        <v>125.37313432835822</v>
      </c>
      <c r="H24" s="30"/>
    </row>
  </sheetData>
  <mergeCells count="38">
    <mergeCell ref="C24:D24"/>
    <mergeCell ref="E24:F24"/>
    <mergeCell ref="G24:H24"/>
    <mergeCell ref="J20:J22"/>
    <mergeCell ref="C22:D22"/>
    <mergeCell ref="E22:F22"/>
    <mergeCell ref="G22:H22"/>
    <mergeCell ref="C23:D23"/>
    <mergeCell ref="E23:F23"/>
    <mergeCell ref="G23:H23"/>
    <mergeCell ref="C20:D20"/>
    <mergeCell ref="E20:F20"/>
    <mergeCell ref="G20:H20"/>
    <mergeCell ref="C21:D21"/>
    <mergeCell ref="E21:F21"/>
    <mergeCell ref="G21:H21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J10:J12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</mergeCells>
  <pageMargins left="0" right="0" top="0.39370000000000011" bottom="0.39370000000000011" header="0" footer="0"/>
  <pageSetup paperSize="9" orientation="portrait" verticalDpi="0" r:id="rId1"/>
  <headerFooter alignWithMargins="0"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F956-3EEF-49B8-95B1-AE0961983601}">
  <dimension ref="B4:K16"/>
  <sheetViews>
    <sheetView workbookViewId="0"/>
  </sheetViews>
  <sheetFormatPr baseColWidth="10" defaultRowHeight="12.75" x14ac:dyDescent="0.35"/>
  <cols>
    <col min="1" max="1" width="11.59765625" customWidth="1"/>
    <col min="2" max="2" width="58.53125" customWidth="1"/>
    <col min="3" max="11" width="11.59765625" customWidth="1"/>
  </cols>
  <sheetData>
    <row r="4" spans="2:11" x14ac:dyDescent="0.35">
      <c r="C4" s="8">
        <v>2009</v>
      </c>
      <c r="D4" s="8"/>
      <c r="E4" s="9">
        <v>2010</v>
      </c>
      <c r="F4" s="9"/>
      <c r="G4" s="9">
        <v>2011</v>
      </c>
      <c r="H4" s="9"/>
      <c r="I4" s="9">
        <v>2012</v>
      </c>
      <c r="J4" s="9"/>
    </row>
    <row r="5" spans="2:11" x14ac:dyDescent="0.35">
      <c r="B5" s="2"/>
      <c r="C5" s="2" t="s">
        <v>25</v>
      </c>
      <c r="D5" s="2" t="s">
        <v>26</v>
      </c>
      <c r="E5" s="3" t="s">
        <v>25</v>
      </c>
      <c r="F5" s="4" t="s">
        <v>26</v>
      </c>
      <c r="G5" s="3" t="s">
        <v>25</v>
      </c>
      <c r="H5" s="4" t="s">
        <v>26</v>
      </c>
      <c r="I5" s="3" t="s">
        <v>25</v>
      </c>
      <c r="J5" s="4" t="s">
        <v>26</v>
      </c>
      <c r="K5" s="2"/>
    </row>
    <row r="6" spans="2:11" x14ac:dyDescent="0.35">
      <c r="B6" t="s">
        <v>7</v>
      </c>
      <c r="C6">
        <v>20</v>
      </c>
      <c r="D6">
        <v>5</v>
      </c>
      <c r="E6" s="5">
        <v>40</v>
      </c>
      <c r="F6" s="6">
        <v>4</v>
      </c>
      <c r="G6" s="5">
        <v>60</v>
      </c>
      <c r="H6" s="6">
        <v>2</v>
      </c>
      <c r="I6" s="5">
        <v>90</v>
      </c>
      <c r="J6" s="6">
        <v>1</v>
      </c>
    </row>
    <row r="7" spans="2:11" x14ac:dyDescent="0.35">
      <c r="B7" t="s">
        <v>9</v>
      </c>
      <c r="C7">
        <v>150</v>
      </c>
      <c r="D7">
        <v>0.2</v>
      </c>
      <c r="E7" s="5">
        <v>145</v>
      </c>
      <c r="F7" s="6">
        <v>0.25</v>
      </c>
      <c r="G7" s="5">
        <v>160</v>
      </c>
      <c r="H7" s="6">
        <v>0.25</v>
      </c>
      <c r="I7" s="5">
        <v>175</v>
      </c>
      <c r="J7" s="6">
        <v>0.3</v>
      </c>
    </row>
    <row r="8" spans="2:11" x14ac:dyDescent="0.35">
      <c r="B8" t="s">
        <v>11</v>
      </c>
      <c r="C8">
        <v>12</v>
      </c>
      <c r="D8">
        <v>25</v>
      </c>
      <c r="E8" s="5">
        <v>6</v>
      </c>
      <c r="F8" s="6">
        <v>40</v>
      </c>
      <c r="G8" s="5">
        <v>5</v>
      </c>
      <c r="H8" s="6">
        <v>40</v>
      </c>
      <c r="I8" s="5">
        <v>7</v>
      </c>
      <c r="J8" s="6">
        <v>36</v>
      </c>
    </row>
    <row r="9" spans="2:11" x14ac:dyDescent="0.35">
      <c r="B9" s="7" t="s">
        <v>27</v>
      </c>
      <c r="C9" s="10">
        <v>2009</v>
      </c>
      <c r="D9" s="10"/>
      <c r="E9" s="1">
        <v>2010</v>
      </c>
      <c r="F9" s="1"/>
      <c r="G9" s="1">
        <v>2011</v>
      </c>
      <c r="H9" s="1"/>
      <c r="I9" s="11">
        <v>2012</v>
      </c>
      <c r="J9" s="11"/>
    </row>
    <row r="10" spans="2:11" x14ac:dyDescent="0.35">
      <c r="B10" t="s">
        <v>14</v>
      </c>
      <c r="C10">
        <f>C6*D6+C7*D7+C8*D8</f>
        <v>430</v>
      </c>
      <c r="E10">
        <f>E6*F6+E7*F7+E8*F8</f>
        <v>436.25</v>
      </c>
      <c r="G10">
        <f>G6*H6+G7*H7+G8*H8</f>
        <v>360</v>
      </c>
      <c r="I10">
        <f>I6*J6+I7*J7+I8*J8</f>
        <v>394.5</v>
      </c>
    </row>
    <row r="11" spans="2:11" x14ac:dyDescent="0.35">
      <c r="B11" t="s">
        <v>28</v>
      </c>
      <c r="C11">
        <f>C6*$D$6+C7*$D$7+C8*$D$8</f>
        <v>430</v>
      </c>
      <c r="E11">
        <f>E6*D6+E7*D7+E8*D8</f>
        <v>379</v>
      </c>
      <c r="G11">
        <f>G6*F6+G7*F7+G8*F8</f>
        <v>480</v>
      </c>
      <c r="I11">
        <f>I6*H6+I7*H7+I8*H8</f>
        <v>503.75</v>
      </c>
    </row>
    <row r="12" spans="2:11" x14ac:dyDescent="0.35">
      <c r="B12" t="s">
        <v>29</v>
      </c>
      <c r="E12" s="5">
        <f>LOG(E11)-LOG(C11)</f>
        <v>-5.4829245611514477E-2</v>
      </c>
      <c r="F12" s="5"/>
      <c r="G12" s="5">
        <f>LOG(G11)-LOG(E11)</f>
        <v>0.10260202740751501</v>
      </c>
      <c r="H12" s="5"/>
      <c r="I12" s="5">
        <f>LOG(I11)-LOG(G11)</f>
        <v>2.0973821773578649E-2</v>
      </c>
      <c r="J12" s="5"/>
    </row>
    <row r="13" spans="2:11" x14ac:dyDescent="0.35">
      <c r="B13" t="s">
        <v>30</v>
      </c>
      <c r="E13" s="5">
        <v>100</v>
      </c>
      <c r="F13" s="5"/>
      <c r="G13" s="5">
        <f>E13*(1+G12)</f>
        <v>110.2602027407515</v>
      </c>
      <c r="H13" s="5"/>
      <c r="I13" s="5">
        <f>G13*(1+I12)</f>
        <v>112.57278058175467</v>
      </c>
      <c r="J13" s="5"/>
    </row>
    <row r="14" spans="2:11" x14ac:dyDescent="0.35">
      <c r="B14" t="s">
        <v>31</v>
      </c>
      <c r="C14" s="5">
        <f>C6*$F$6+C7*$F$7+C8*$F$8</f>
        <v>597.5</v>
      </c>
      <c r="D14" s="5"/>
      <c r="E14" s="5">
        <f>E6*$F$6+E7*$F$7+E8*$F$8</f>
        <v>436.25</v>
      </c>
      <c r="F14" s="5"/>
      <c r="G14" s="5">
        <f>G6*$F$6+G7*$F$7+G8*$F$8</f>
        <v>480</v>
      </c>
      <c r="H14" s="5"/>
      <c r="I14" s="5">
        <f>I6*$F$6+I7*$F$7+I8*$F$8</f>
        <v>683.75</v>
      </c>
      <c r="J14" s="5"/>
    </row>
    <row r="15" spans="2:11" x14ac:dyDescent="0.35">
      <c r="B15" t="s">
        <v>32</v>
      </c>
      <c r="E15" s="5">
        <f>LOG(E14)-LOG(C14)</f>
        <v>-0.1366024696529391</v>
      </c>
      <c r="F15" s="5"/>
      <c r="G15" s="5">
        <f>LOG(G14)-LOG(E14)</f>
        <v>4.1505797408350809E-2</v>
      </c>
      <c r="H15" s="5"/>
      <c r="I15" s="5">
        <f>LOG(I14)-LOG(G14)</f>
        <v>0.15365610196589996</v>
      </c>
      <c r="J15" s="5"/>
    </row>
    <row r="16" spans="2:11" x14ac:dyDescent="0.35">
      <c r="E16" s="5"/>
      <c r="F16" s="5"/>
      <c r="G16" s="5"/>
      <c r="H16" s="5"/>
      <c r="I16" s="12"/>
      <c r="J16" s="12"/>
    </row>
  </sheetData>
  <pageMargins left="0" right="0" top="0.39370000000000011" bottom="0.39370000000000011" header="0" footer="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E6C7-D81A-41C7-B45F-FBF19338F4F6}">
  <dimension ref="A1:F21"/>
  <sheetViews>
    <sheetView workbookViewId="0"/>
  </sheetViews>
  <sheetFormatPr baseColWidth="10" defaultRowHeight="12.75" x14ac:dyDescent="0.35"/>
  <cols>
    <col min="1" max="1" width="11.59765625" customWidth="1"/>
    <col min="2" max="2" width="23.265625" customWidth="1"/>
    <col min="3" max="6" width="11.59765625" customWidth="1"/>
  </cols>
  <sheetData>
    <row r="1" spans="1:6" x14ac:dyDescent="0.35">
      <c r="A1" t="s">
        <v>33</v>
      </c>
    </row>
    <row r="2" spans="1:6" x14ac:dyDescent="0.35">
      <c r="A2" t="s">
        <v>34</v>
      </c>
    </row>
    <row r="4" spans="1:6" x14ac:dyDescent="0.35">
      <c r="C4">
        <v>2009</v>
      </c>
      <c r="D4">
        <v>2010</v>
      </c>
      <c r="E4">
        <v>2011</v>
      </c>
      <c r="F4">
        <v>2012</v>
      </c>
    </row>
    <row r="5" spans="1:6" x14ac:dyDescent="0.35">
      <c r="B5" t="s">
        <v>35</v>
      </c>
      <c r="C5">
        <v>1742.58</v>
      </c>
      <c r="D5">
        <v>1772.64</v>
      </c>
      <c r="E5">
        <v>1808.57</v>
      </c>
      <c r="F5">
        <v>1808.82</v>
      </c>
    </row>
    <row r="6" spans="1:6" x14ac:dyDescent="0.35">
      <c r="B6" t="s">
        <v>36</v>
      </c>
      <c r="D6">
        <v>1.7250000000000001</v>
      </c>
      <c r="E6">
        <v>2.0270000000000001</v>
      </c>
      <c r="F6">
        <v>1.4E-2</v>
      </c>
    </row>
    <row r="7" spans="1:6" x14ac:dyDescent="0.35">
      <c r="B7" t="s">
        <v>37</v>
      </c>
      <c r="C7">
        <v>468.75</v>
      </c>
      <c r="D7">
        <v>510.48</v>
      </c>
      <c r="E7">
        <v>536.67999999999995</v>
      </c>
      <c r="F7">
        <v>531.02</v>
      </c>
    </row>
    <row r="8" spans="1:6" x14ac:dyDescent="0.35">
      <c r="B8" t="s">
        <v>38</v>
      </c>
      <c r="D8">
        <v>8.9019999999999992</v>
      </c>
      <c r="E8">
        <v>5.1319999999999997</v>
      </c>
      <c r="F8">
        <v>-1.0529999999999999</v>
      </c>
    </row>
    <row r="9" spans="1:6" x14ac:dyDescent="0.35">
      <c r="B9" t="s">
        <v>39</v>
      </c>
      <c r="C9">
        <v>2211.2800000000002</v>
      </c>
      <c r="D9">
        <v>2281.36</v>
      </c>
      <c r="E9">
        <v>2343.0100000000002</v>
      </c>
      <c r="F9">
        <v>2337.59</v>
      </c>
    </row>
    <row r="10" spans="1:6" x14ac:dyDescent="0.35">
      <c r="B10" t="s">
        <v>40</v>
      </c>
      <c r="D10">
        <v>3.169</v>
      </c>
      <c r="E10">
        <v>2.702</v>
      </c>
      <c r="F10">
        <v>-0.23200000000000001</v>
      </c>
    </row>
    <row r="12" spans="1:6" x14ac:dyDescent="0.35">
      <c r="B12" t="s">
        <v>41</v>
      </c>
      <c r="C12">
        <f>C5+C7</f>
        <v>2211.33</v>
      </c>
      <c r="D12">
        <f>D5+D7</f>
        <v>2283.12</v>
      </c>
      <c r="E12">
        <f>E5+E7</f>
        <v>2345.25</v>
      </c>
      <c r="F12">
        <f>F5+F7</f>
        <v>2339.84</v>
      </c>
    </row>
    <row r="14" spans="1:6" x14ac:dyDescent="0.35">
      <c r="B14" t="s">
        <v>42</v>
      </c>
    </row>
    <row r="15" spans="1:6" x14ac:dyDescent="0.35">
      <c r="C15">
        <v>2011</v>
      </c>
      <c r="D15">
        <v>2012</v>
      </c>
    </row>
    <row r="16" spans="1:6" x14ac:dyDescent="0.35">
      <c r="B16" t="s">
        <v>35</v>
      </c>
      <c r="C16" s="13">
        <v>2001.4</v>
      </c>
      <c r="D16">
        <v>1808.82</v>
      </c>
    </row>
    <row r="17" spans="2:4" x14ac:dyDescent="0.35">
      <c r="B17" t="s">
        <v>36</v>
      </c>
      <c r="D17">
        <v>1.4E-2</v>
      </c>
    </row>
    <row r="18" spans="2:4" x14ac:dyDescent="0.35">
      <c r="B18" t="s">
        <v>37</v>
      </c>
      <c r="C18" s="13">
        <v>597.6</v>
      </c>
      <c r="D18">
        <v>531.02</v>
      </c>
    </row>
    <row r="19" spans="2:4" x14ac:dyDescent="0.35">
      <c r="B19" t="s">
        <v>38</v>
      </c>
      <c r="D19">
        <v>-1.0529999999999999</v>
      </c>
    </row>
    <row r="20" spans="2:4" x14ac:dyDescent="0.35">
      <c r="B20" t="s">
        <v>39</v>
      </c>
      <c r="C20">
        <f>C18+C16</f>
        <v>2599</v>
      </c>
      <c r="D20">
        <v>2337.59</v>
      </c>
    </row>
    <row r="21" spans="2:4" x14ac:dyDescent="0.35">
      <c r="B21" t="s">
        <v>40</v>
      </c>
      <c r="D21">
        <v>-0.23200000000000001</v>
      </c>
    </row>
  </sheetData>
  <pageMargins left="0" right="0" top="0.39370000000000011" bottom="0.39370000000000011" header="0" footer="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Celâl Guney</cp:lastModifiedBy>
  <cp:revision>3</cp:revision>
  <dcterms:created xsi:type="dcterms:W3CDTF">2026-02-06T11:00:31Z</dcterms:created>
  <dcterms:modified xsi:type="dcterms:W3CDTF">2026-03-05T19:52:12Z</dcterms:modified>
</cp:coreProperties>
</file>
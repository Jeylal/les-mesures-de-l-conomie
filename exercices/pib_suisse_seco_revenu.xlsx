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DieseArbeitsmappe"/>
  <mc:AlternateContent xmlns:mc="http://schemas.openxmlformats.org/markup-compatibility/2006">
    <mc:Choice Requires="x15">
      <x15ac:absPath xmlns:x15ac="http://schemas.microsoft.com/office/spreadsheetml/2010/11/ac" url="C:\Users\celal\Documents\GitHub\les-mesures-de-l-conomie\exercices\"/>
    </mc:Choice>
  </mc:AlternateContent>
  <xr:revisionPtr revIDLastSave="0" documentId="13_ncr:1_{6278A2FB-3B41-4C61-9E9E-5EBE8DE39713}" xr6:coauthVersionLast="47" xr6:coauthVersionMax="47" xr10:uidLastSave="{00000000-0000-0000-0000-000000000000}"/>
  <bookViews>
    <workbookView xWindow="-98" yWindow="-98" windowWidth="28996" windowHeight="15675" activeTab="3" xr2:uid="{00000000-000D-0000-FFFF-FFFF00000000}"/>
  </bookViews>
  <sheets>
    <sheet name="swiss_qna" sheetId="22080" r:id="rId1"/>
    <sheet name="nom_q" sheetId="22085" r:id="rId2"/>
    <sheet name="nom_y" sheetId="22089" r:id="rId3"/>
    <sheet name="Feuil1" sheetId="22090" r:id="rId4"/>
    <sheet name="beschriftung" sheetId="22045" state="veryHidden" r:id="rId5"/>
  </sheets>
  <calcPr calcId="191029"/>
</workbook>
</file>

<file path=xl/calcChain.xml><?xml version="1.0" encoding="utf-8"?>
<calcChain xmlns="http://schemas.openxmlformats.org/spreadsheetml/2006/main">
  <c r="AH22" i="22090" l="1"/>
  <c r="AG22" i="22090"/>
  <c r="AI22" i="22090"/>
  <c r="AH23" i="22090"/>
  <c r="AI23" i="22090" s="1"/>
  <c r="AH24" i="22090"/>
  <c r="AH25" i="22090"/>
  <c r="AH26" i="22090"/>
  <c r="AH27" i="22090"/>
  <c r="AH28" i="22090"/>
  <c r="AH29" i="22090"/>
  <c r="AH30" i="22090"/>
  <c r="AH31" i="22090"/>
  <c r="AI31" i="22090" s="1"/>
  <c r="AH32" i="22090"/>
  <c r="AI32" i="22090" s="1"/>
  <c r="AH33" i="22090"/>
  <c r="AI33" i="22090" s="1"/>
  <c r="AH34" i="22090"/>
  <c r="AI34" i="22090" s="1"/>
  <c r="AH35" i="22090"/>
  <c r="AI35" i="22090" s="1"/>
  <c r="AH36" i="22090"/>
  <c r="AI36" i="22090" s="1"/>
  <c r="AH37" i="22090"/>
  <c r="AI37" i="22090" s="1"/>
  <c r="AH38" i="22090"/>
  <c r="AH39" i="22090"/>
  <c r="AH40" i="22090"/>
  <c r="AH41" i="22090"/>
  <c r="AH42" i="22090"/>
  <c r="AH43" i="22090"/>
  <c r="AH44" i="22090"/>
  <c r="AH45" i="22090"/>
  <c r="AI45" i="22090" s="1"/>
  <c r="AH46" i="22090"/>
  <c r="AI46" i="22090" s="1"/>
  <c r="AH47" i="22090"/>
  <c r="AI47" i="22090" s="1"/>
  <c r="AH48" i="22090"/>
  <c r="AI48" i="22090" s="1"/>
  <c r="AH49" i="22090"/>
  <c r="AI49" i="22090" s="1"/>
  <c r="AH50" i="22090"/>
  <c r="AI50" i="22090" s="1"/>
  <c r="AH51" i="22090"/>
  <c r="AI51" i="22090" s="1"/>
  <c r="AH52" i="22090"/>
  <c r="AH53" i="22090"/>
  <c r="AH54" i="22090"/>
  <c r="AH55" i="22090"/>
  <c r="AH56" i="22090"/>
  <c r="AI24" i="22090"/>
  <c r="AI25" i="22090"/>
  <c r="AI26" i="22090"/>
  <c r="AI27" i="22090"/>
  <c r="AI28" i="22090"/>
  <c r="AI29" i="22090"/>
  <c r="AI30" i="22090"/>
  <c r="AI38" i="22090"/>
  <c r="AI39" i="22090"/>
  <c r="AI40" i="22090"/>
  <c r="AI41" i="22090"/>
  <c r="AI42" i="22090"/>
  <c r="AI43" i="22090"/>
  <c r="AI44" i="22090"/>
  <c r="AI52" i="22090"/>
  <c r="AI53" i="22090"/>
  <c r="AI54" i="22090"/>
  <c r="AI55" i="22090"/>
  <c r="AI56" i="22090"/>
  <c r="AG23" i="22090"/>
  <c r="AG24" i="22090"/>
  <c r="AG25" i="22090"/>
  <c r="AG26" i="22090"/>
  <c r="AG27" i="22090"/>
  <c r="AG28" i="22090"/>
  <c r="AG29" i="22090"/>
  <c r="AG30" i="22090"/>
  <c r="AG31" i="22090"/>
  <c r="AG32" i="22090"/>
  <c r="AG33" i="22090"/>
  <c r="AG34" i="22090"/>
  <c r="AG35" i="22090"/>
  <c r="AG36" i="22090"/>
  <c r="AG37" i="22090"/>
  <c r="AG38" i="22090"/>
  <c r="AG39" i="22090"/>
  <c r="AG40" i="22090"/>
  <c r="AG41" i="22090"/>
  <c r="AG42" i="22090"/>
  <c r="AG43" i="22090"/>
  <c r="AG44" i="22090"/>
  <c r="AG45" i="22090"/>
  <c r="AG46" i="22090"/>
  <c r="AG47" i="22090"/>
  <c r="AG48" i="22090"/>
  <c r="AG49" i="22090"/>
  <c r="AG50" i="22090"/>
  <c r="AG51" i="22090"/>
  <c r="AG52" i="22090"/>
  <c r="AG53" i="22090"/>
  <c r="AG54" i="22090"/>
  <c r="AG55" i="22090"/>
  <c r="AG56" i="22090"/>
  <c r="M4" i="22090"/>
  <c r="T4" i="22090"/>
  <c r="AE5" i="22085"/>
  <c r="A2" i="22085"/>
  <c r="Q4" i="22089"/>
  <c r="AB5" i="22089"/>
  <c r="M5" i="22085"/>
  <c r="H4" i="22089"/>
  <c r="S4" i="22089"/>
  <c r="AA4" i="22085"/>
  <c r="P4" i="22089"/>
  <c r="Z4" i="22090"/>
  <c r="Y4" i="22090"/>
  <c r="S4" i="22090"/>
  <c r="O4" i="22085"/>
  <c r="AA4" i="22089"/>
  <c r="AE5" i="22089"/>
  <c r="Z4" i="22089"/>
  <c r="E4" i="22089"/>
  <c r="W4" i="22089"/>
  <c r="D4" i="22089"/>
  <c r="X4" i="22089"/>
  <c r="P5" i="22089"/>
  <c r="I4" i="22090"/>
  <c r="X4" i="22090"/>
  <c r="P4" i="22090"/>
  <c r="G5" i="22089"/>
  <c r="A1" i="22085"/>
  <c r="K4" i="22089"/>
  <c r="J4" i="22089"/>
  <c r="I5" i="22085"/>
  <c r="Q5" i="22085"/>
  <c r="M5" i="22089"/>
  <c r="J4" i="22090"/>
  <c r="H4" i="22090"/>
  <c r="W4" i="22090"/>
  <c r="K4" i="22090"/>
  <c r="M4" i="22089"/>
  <c r="O5" i="22089"/>
  <c r="R4" i="22089"/>
  <c r="W5" i="22085"/>
  <c r="A2" i="22089"/>
  <c r="F4" i="22089"/>
  <c r="O4" i="22089"/>
  <c r="F4" i="22090"/>
  <c r="G4" i="22090"/>
  <c r="E4" i="22090"/>
  <c r="D4" i="22090"/>
  <c r="O6" i="22089"/>
  <c r="C4" i="22085"/>
  <c r="AG5" i="22089"/>
  <c r="A1" i="22089"/>
  <c r="S5" i="22085"/>
  <c r="Y4" i="22089"/>
  <c r="G5" i="22085"/>
  <c r="Q5" i="22089"/>
  <c r="Y5" i="22089"/>
  <c r="R4" i="22090"/>
  <c r="Q4" i="22090"/>
  <c r="I5" i="22089"/>
  <c r="E5" i="22089"/>
  <c r="AB5" i="22085"/>
  <c r="AC5" i="22089"/>
  <c r="G4" i="22089"/>
  <c r="I4" i="22089"/>
  <c r="W5" i="22089"/>
  <c r="K5" i="22085"/>
  <c r="K5" i="22089"/>
  <c r="U5" i="22089"/>
  <c r="N4" i="22090"/>
  <c r="L4" i="22090"/>
  <c r="N4" i="22089"/>
  <c r="L4" i="22089"/>
  <c r="Y5" i="22085"/>
  <c r="C4" i="22089"/>
  <c r="T4" i="22089"/>
  <c r="U5" i="22085"/>
  <c r="S5" i="22089"/>
  <c r="E5" i="22085"/>
  <c r="AC5" i="22085"/>
</calcChain>
</file>

<file path=xl/sharedStrings.xml><?xml version="1.0" encoding="utf-8"?>
<sst xmlns="http://schemas.openxmlformats.org/spreadsheetml/2006/main" count="203" uniqueCount="122">
  <si>
    <t>Produit intérieur brut</t>
  </si>
  <si>
    <t xml:space="preserve"> </t>
  </si>
  <si>
    <t>Bruttoinlandprodukt</t>
  </si>
  <si>
    <t>deutsch</t>
  </si>
  <si>
    <t>français</t>
  </si>
  <si>
    <t>italiano</t>
  </si>
  <si>
    <t>english</t>
  </si>
  <si>
    <t>Jahr</t>
  </si>
  <si>
    <t>Quartal</t>
  </si>
  <si>
    <t>Année</t>
  </si>
  <si>
    <t>Trimestre</t>
  </si>
  <si>
    <t>Prodotto interno lordo</t>
  </si>
  <si>
    <t>Anno</t>
  </si>
  <si>
    <t>In Mio. Swiss Francs, at current prices, percentage change to previous year</t>
  </si>
  <si>
    <t>Year</t>
  </si>
  <si>
    <t>Quarter</t>
  </si>
  <si>
    <t>NA</t>
  </si>
  <si>
    <t xml:space="preserve">                                                                                           Staatssekretariat für Wirtschaft SECO</t>
  </si>
  <si>
    <t xml:space="preserve">                                                                                           Secrétariat d'Etat à l'économie SECO</t>
  </si>
  <si>
    <t xml:space="preserve">                                                                                           Secretariat da stadi per l'economia SECO</t>
  </si>
  <si>
    <t xml:space="preserve">                                                                                           State Secretariat for Economic Affairs SECO</t>
  </si>
  <si>
    <t>Pages labelled at the end with "_q" contain quarterly data, pages with "_y" contain yearly figures.</t>
  </si>
  <si>
    <t>Seiten mit der Endbezeichnung "_q" enthalten Quartalszahlen, diejenigen mit "_y" Jahreszahlen.</t>
  </si>
  <si>
    <t>Les feuilles du présent fichier excel avec l'extension "_q" contiennent les résultats trimestriels, celles avec l'extension "_y" les résultats annuels.</t>
  </si>
  <si>
    <t>Le pagine contrassegnate alla fine con "_q" contengono dati trimestrali, le pagine con "_y" contengono dati annuali.</t>
  </si>
  <si>
    <t>En mio. de francs, aux prix courants, variations en % par rapport de l'année précédente</t>
  </si>
  <si>
    <t>In milioni di franchi, a prezzi correnti, variazione in % rispetto all'anno precedente</t>
  </si>
  <si>
    <t>Arbeitnehmerentgelt</t>
  </si>
  <si>
    <t>Abschreibungen</t>
  </si>
  <si>
    <t>Produktions und Importabgaben</t>
  </si>
  <si>
    <t>Subventionen</t>
  </si>
  <si>
    <t xml:space="preserve">Bruttonationaleinkommen </t>
  </si>
  <si>
    <t>Arbeitnehmerentgelt aus der übrigen Welt</t>
  </si>
  <si>
    <t>Arbeitnehmerentgelt an die übrige Welt</t>
  </si>
  <si>
    <t>Vermögenseinkommen aus der übrigen Welt</t>
  </si>
  <si>
    <t>Vermögenseinkommen an die übrige Welt</t>
  </si>
  <si>
    <t>Verfügbares Bruttoeinkommen</t>
  </si>
  <si>
    <t>Transfers aus der übrigen Welt</t>
  </si>
  <si>
    <t>Transfers an die übrige Welt</t>
  </si>
  <si>
    <t>Rémunération des salariés</t>
  </si>
  <si>
    <t>Consommation de capital fixe</t>
  </si>
  <si>
    <t>Impôts sur la production et les importations</t>
  </si>
  <si>
    <t>Subventions</t>
  </si>
  <si>
    <t>Revenu national brut</t>
  </si>
  <si>
    <t>Rémunération des salariés reçue du reste du monde</t>
  </si>
  <si>
    <t>Rémunération des salariés versée au reste du monde</t>
  </si>
  <si>
    <t>Revenus de la propriété reçus du reste du monde</t>
  </si>
  <si>
    <t>Revenus de la propriété versés au reste du monde</t>
  </si>
  <si>
    <t>Revenu disponible brut</t>
  </si>
  <si>
    <t>Transferts courants à recevoir du reste du monde</t>
  </si>
  <si>
    <t>Transferts courants à payer au reste du monde</t>
  </si>
  <si>
    <t>Sovvenzioni</t>
  </si>
  <si>
    <t>Reddito nazionale lordo</t>
  </si>
  <si>
    <t>Redditi da lavoro dipendente</t>
  </si>
  <si>
    <t>Reddito disponibile lordo</t>
  </si>
  <si>
    <t>Ammortamenti (consumo di capitale fisso)</t>
  </si>
  <si>
    <t>Imposte sulla produzione e sulle importazioni</t>
  </si>
  <si>
    <t>Redditi da lavoro dipendente ricevuti dal resto del mondo</t>
  </si>
  <si>
    <t>Redditi da lavoro dipendente versati al resto del mondo</t>
  </si>
  <si>
    <t>Redditi da capitale ricevuti dal resto del mondo</t>
  </si>
  <si>
    <t>Redditi da capitale versati al resto del mondo</t>
  </si>
  <si>
    <t>Trasferimenti correnti ricevuti dal resto del mondo</t>
  </si>
  <si>
    <t>Trasferimenti correnti versati al resto del mondo</t>
  </si>
  <si>
    <t xml:space="preserve">Gross domestic product </t>
  </si>
  <si>
    <t>Compensation of employees</t>
  </si>
  <si>
    <t>Subsidies</t>
  </si>
  <si>
    <t xml:space="preserve">Consumption of fixed capital </t>
  </si>
  <si>
    <t>Taxes on production and imports</t>
  </si>
  <si>
    <t>Gross national income</t>
  </si>
  <si>
    <t>Compensation of employees received from the rest of the world</t>
  </si>
  <si>
    <t>Compensation of employees paid to the rest of the world</t>
  </si>
  <si>
    <t>Property income received from the rest of the world</t>
  </si>
  <si>
    <t>Property income paid to the rest of the world</t>
  </si>
  <si>
    <t>Disposable income, gross</t>
  </si>
  <si>
    <t>Current transfers receivable from the rest of the world</t>
  </si>
  <si>
    <t>Current transfers payable to the rest of the world</t>
  </si>
  <si>
    <t>In Mio. Franken, zu laufenden Preisen und Veränderungsraten in % gegenüber dem Vorjahr</t>
  </si>
  <si>
    <t>In Mio. Franken, zu laufenden Preisen und Veränderungsraten in % gegenüber dem gleichen Quartal des Vorjahres</t>
  </si>
  <si>
    <t>En mio. de francs, aux prix courants, variations en % par rapport au même trimestre de l'année précédente</t>
  </si>
  <si>
    <t>ESVG 2010, Jahresaggregate des Bruttoinlandproduktes, Einkommensansatz (BFS, SECO), unbereinigte Daten</t>
  </si>
  <si>
    <t>SEC 2010, PIB annuel et ses composantes, approche par les revenus (OFS, SECO), données brutes</t>
  </si>
  <si>
    <t>SEC 2010, Prodotto Interno Lordo e aggregati trimestrali, ottica dei redditi distribuiti, dati grezzi</t>
  </si>
  <si>
    <t>SEC 2010, Prodotto Interno Lordo e aggregati annuali, ottica dei redditi distribuiti (UST, SECO), dati grezzi</t>
  </si>
  <si>
    <t>ESA 2010, Quarterly aggregates of Gross Domestic Product, income approach, raw data</t>
  </si>
  <si>
    <t>ESA 2010, Annual aggregates of Gross Domestic Product, income approach (SFSO, SECO), raw data</t>
  </si>
  <si>
    <t>ESVG 2010, Quartalsaggregate des Bruttoinlandprodukts, Einkommensansatz, unbereinigte Daten</t>
  </si>
  <si>
    <t>SEC 2010, PIB trimestriel et ses composantes, approche par les revenus, données brutes</t>
  </si>
  <si>
    <r>
      <t xml:space="preserve">You may </t>
    </r>
    <r>
      <rPr>
        <b/>
        <sz val="10"/>
        <color indexed="10"/>
        <rFont val="Arial"/>
        <family val="2"/>
      </rPr>
      <t>choose the language</t>
    </r>
    <r>
      <rPr>
        <sz val="10"/>
        <rFont val="Arial"/>
        <family val="2"/>
      </rPr>
      <t xml:space="preserve"> to label the Swiss GDP and its income components in the dropdown-menu below.</t>
    </r>
  </si>
  <si>
    <t>Pages labelled at the beginning with "nom" contain figures at current prices.</t>
  </si>
  <si>
    <r>
      <t xml:space="preserve">Sie können im Dropdown-Menu die </t>
    </r>
    <r>
      <rPr>
        <b/>
        <sz val="10"/>
        <color indexed="10"/>
        <rFont val="Arial"/>
        <family val="2"/>
      </rPr>
      <t>Sprache wählen</t>
    </r>
    <r>
      <rPr>
        <sz val="10"/>
        <rFont val="Arial"/>
        <family val="2"/>
      </rPr>
      <t>, im welcher Sie das BIP der Schweiz gemäss Einkommensseite beschriftet haben möchten.</t>
    </r>
  </si>
  <si>
    <t>Seiten mit der Anfangsbezeichnung "nom" enthalten Werte zu laufenden Preisen.</t>
  </si>
  <si>
    <r>
      <t xml:space="preserve">Vous pouvez </t>
    </r>
    <r>
      <rPr>
        <b/>
        <sz val="10"/>
        <color indexed="10"/>
        <rFont val="Arial"/>
        <family val="2"/>
      </rPr>
      <t>choisir</t>
    </r>
    <r>
      <rPr>
        <sz val="10"/>
        <rFont val="Arial"/>
        <family val="2"/>
      </rPr>
      <t xml:space="preserve"> ci-dessous </t>
    </r>
    <r>
      <rPr>
        <b/>
        <sz val="10"/>
        <color indexed="10"/>
        <rFont val="Arial"/>
        <family val="2"/>
      </rPr>
      <t>la langue</t>
    </r>
    <r>
      <rPr>
        <sz val="10"/>
        <rFont val="Arial"/>
        <family val="2"/>
      </rPr>
      <t xml:space="preserve"> avec laquelle vous souhaitez visualiser le PIB de la Suisse selon l'approche par les revenus.</t>
    </r>
  </si>
  <si>
    <t>Les feuilles dénommées "nom" contiennent les résultats aux prix courants.</t>
  </si>
  <si>
    <r>
      <t xml:space="preserve">Potete </t>
    </r>
    <r>
      <rPr>
        <b/>
        <sz val="10"/>
        <color indexed="10"/>
        <rFont val="Arial"/>
        <family val="2"/>
      </rPr>
      <t>scegliere</t>
    </r>
    <r>
      <rPr>
        <sz val="10"/>
        <rFont val="Arial"/>
        <family val="2"/>
      </rPr>
      <t xml:space="preserve"> qui sotto in quale </t>
    </r>
    <r>
      <rPr>
        <b/>
        <sz val="10"/>
        <color indexed="10"/>
        <rFont val="Arial"/>
        <family val="2"/>
      </rPr>
      <t>lingua</t>
    </r>
    <r>
      <rPr>
        <sz val="10"/>
        <rFont val="Arial"/>
        <family val="2"/>
      </rPr>
      <t xml:space="preserve"> visualizzare il PIL della Svizzera secondo l'ottica dei redditi distribuiti.</t>
    </r>
  </si>
  <si>
    <t>Le pagine contrassegnate all'inizio con "nom" contengono dati ai prezzi correnti.</t>
  </si>
  <si>
    <t xml:space="preserve">                                                                                           Segreteria di Stato dell’economia SECO</t>
  </si>
  <si>
    <t>Produktions- und Importabgaben aus der übrigen Welt</t>
  </si>
  <si>
    <t>Impôts sur la production et les importations reçus du reste du monde</t>
  </si>
  <si>
    <t>Taxes on production and imports received from the rest of the world</t>
  </si>
  <si>
    <t>B1GQ</t>
  </si>
  <si>
    <t>D1</t>
  </si>
  <si>
    <t>P51C</t>
  </si>
  <si>
    <t>D2</t>
  </si>
  <si>
    <t>D3</t>
  </si>
  <si>
    <t>B5GQ</t>
  </si>
  <si>
    <t>D1r</t>
  </si>
  <si>
    <t>D1p</t>
  </si>
  <si>
    <t>D2r</t>
  </si>
  <si>
    <t>D4r</t>
  </si>
  <si>
    <t>D4p</t>
  </si>
  <si>
    <t>B6G</t>
  </si>
  <si>
    <t>D5r_D6r_D7r</t>
  </si>
  <si>
    <t>D5p_D6p_D7p</t>
  </si>
  <si>
    <t>Imposte sulla produzione e sulle importazioni ricevute dal resto del mondo</t>
  </si>
  <si>
    <t>Nettobetriebs- überschuss und Nettoselbständigen- einkommen</t>
  </si>
  <si>
    <t>Excédent net d'exploitation et revenu mixte net</t>
  </si>
  <si>
    <t>Risultato di gestione netto e reddito misto netto</t>
  </si>
  <si>
    <t>Net operating surplus and net mixed income</t>
  </si>
  <si>
    <t>B2_B3N</t>
  </si>
  <si>
    <t/>
  </si>
  <si>
    <t>part salaire</t>
  </si>
  <si>
    <t>part profits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</si>
</sst>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8" x14ac:knownFonts="1">
    <font>
      <sz val="8"/>
      <color rgb="FF000000"/>
      <name val="Arial"/>
    </font>
    <font>
      <sz val="10"/>
      <color rgb="FF000000"/>
      <name val="Arial"/>
      <family val="2"/>
    </font>
    <font>
      <b/>
      <sz val="12"/>
      <color rgb="FF000000"/>
      <name val="Arial"/>
      <family val="2"/>
    </font>
    <font>
      <sz val="8"/>
      <color rgb="FF000000"/>
      <name val="Arial"/>
      <family val="2"/>
    </font>
    <font>
      <b/>
      <sz val="8"/>
      <color rgb="FF000000"/>
      <name val="Arial"/>
      <family val="2"/>
    </font>
    <font>
      <sz val="8"/>
      <color rgb="FF0000FF"/>
      <name val="Arial"/>
      <family val="2"/>
    </font>
    <font>
      <b/>
      <sz val="10"/>
      <color indexed="10"/>
      <name val="Arial"/>
      <family val="2"/>
    </font>
    <font>
      <sz val="10"/>
      <name val="Arial"/>
      <family val="2"/>
    </font>
  </fonts>
  <fills count="3">
    <fill>
      <patternFill patternType="none"/>
    </fill>
    <fill>
      <patternFill patternType="gray125"/>
    </fill>
    <fill>
      <patternFill patternType="solid">
        <fgColor theme="0"/>
        <bgColor indexed="64"/>
      </patternFill>
    </fill>
  </fills>
  <borders count="21">
    <border>
      <left/>
      <right/>
      <top/>
      <bottom/>
      <diagonal/>
    </border>
    <border>
      <left style="thin">
        <color indexed="64"/>
      </left>
      <right/>
      <top/>
      <bottom/>
      <diagonal/>
    </border>
    <border>
      <left/>
      <right style="thin">
        <color indexed="64"/>
      </right>
      <top/>
      <bottom/>
      <diagonal/>
    </border>
    <border>
      <left style="thin">
        <color theme="1"/>
      </left>
      <right/>
      <top style="thin">
        <color theme="0"/>
      </top>
      <bottom style="thin">
        <color indexed="64"/>
      </bottom>
      <diagonal/>
    </border>
    <border>
      <left/>
      <right style="thin">
        <color theme="1"/>
      </right>
      <top style="thin">
        <color theme="0"/>
      </top>
      <bottom style="thin">
        <color indexed="64"/>
      </bottom>
      <diagonal/>
    </border>
    <border>
      <left style="thin">
        <color theme="1"/>
      </left>
      <right/>
      <top/>
      <bottom/>
      <diagonal/>
    </border>
    <border>
      <left/>
      <right style="thin">
        <color theme="1"/>
      </right>
      <top/>
      <bottom/>
      <diagonal/>
    </border>
    <border>
      <left style="thin">
        <color rgb="FF0000FF"/>
      </left>
      <right/>
      <top style="thin">
        <color theme="0"/>
      </top>
      <bottom/>
      <diagonal/>
    </border>
    <border>
      <left/>
      <right/>
      <top style="thin">
        <color theme="0"/>
      </top>
      <bottom/>
      <diagonal/>
    </border>
    <border>
      <left style="thin">
        <color rgb="FF0000FF"/>
      </left>
      <right/>
      <top/>
      <bottom/>
      <diagonal/>
    </border>
    <border>
      <left style="thin">
        <color rgb="FF0000FF"/>
      </left>
      <right/>
      <top/>
      <bottom style="thin">
        <color theme="0"/>
      </bottom>
      <diagonal/>
    </border>
    <border>
      <left/>
      <right/>
      <top/>
      <bottom style="thin">
        <color theme="0"/>
      </bottom>
      <diagonal/>
    </border>
    <border>
      <left style="thin">
        <color indexed="64"/>
      </left>
      <right/>
      <top style="thin">
        <color theme="0"/>
      </top>
      <bottom/>
      <diagonal/>
    </border>
    <border>
      <left style="thin">
        <color indexed="64"/>
      </left>
      <right/>
      <top/>
      <bottom style="thin">
        <color theme="0"/>
      </bottom>
      <diagonal/>
    </border>
    <border>
      <left style="thin">
        <color indexed="64"/>
      </left>
      <right/>
      <top style="thin">
        <color theme="0"/>
      </top>
      <bottom style="thin">
        <color indexed="64"/>
      </bottom>
      <diagonal/>
    </border>
    <border>
      <left style="thin">
        <color theme="1"/>
      </left>
      <right/>
      <top style="thin">
        <color theme="0"/>
      </top>
      <bottom style="thin">
        <color theme="1"/>
      </bottom>
      <diagonal/>
    </border>
    <border>
      <left/>
      <right style="thin">
        <color theme="1"/>
      </right>
      <top style="thin">
        <color theme="0"/>
      </top>
      <bottom style="thin">
        <color theme="1"/>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style="thin">
        <color theme="0"/>
      </bottom>
      <diagonal/>
    </border>
    <border>
      <left/>
      <right/>
      <top style="thin">
        <color indexed="64"/>
      </top>
      <bottom/>
      <diagonal/>
    </border>
  </borders>
  <cellStyleXfs count="1">
    <xf numFmtId="0" fontId="0" fillId="0" borderId="0"/>
  </cellStyleXfs>
  <cellXfs count="45">
    <xf numFmtId="0" fontId="0" fillId="0" borderId="0" xfId="0"/>
    <xf numFmtId="0" fontId="1" fillId="0" borderId="0" xfId="0" applyFont="1" applyAlignment="1" applyProtection="1">
      <alignment vertical="top" wrapText="1"/>
      <protection hidden="1"/>
    </xf>
    <xf numFmtId="0" fontId="2" fillId="0" borderId="0" xfId="0" applyFont="1" applyProtection="1">
      <protection hidden="1"/>
    </xf>
    <xf numFmtId="0" fontId="3" fillId="0" borderId="0" xfId="0" applyFont="1" applyProtection="1">
      <protection hidden="1"/>
    </xf>
    <xf numFmtId="0" fontId="3" fillId="0" borderId="0" xfId="0" applyFont="1" applyAlignment="1" applyProtection="1">
      <alignment vertical="top"/>
      <protection hidden="1"/>
    </xf>
    <xf numFmtId="1" fontId="3" fillId="0" borderId="0" xfId="0" applyNumberFormat="1" applyFont="1" applyAlignment="1" applyProtection="1">
      <alignment vertical="top"/>
      <protection hidden="1"/>
    </xf>
    <xf numFmtId="0" fontId="4" fillId="0" borderId="0" xfId="0" applyFont="1" applyProtection="1">
      <protection hidden="1"/>
    </xf>
    <xf numFmtId="164" fontId="3" fillId="0" borderId="0" xfId="0" applyNumberFormat="1" applyFont="1" applyAlignment="1" applyProtection="1">
      <alignment vertical="top"/>
      <protection hidden="1"/>
    </xf>
    <xf numFmtId="3" fontId="3" fillId="0" borderId="1" xfId="0" applyNumberFormat="1" applyFont="1" applyBorder="1" applyAlignment="1" applyProtection="1">
      <alignment vertical="top"/>
      <protection hidden="1"/>
    </xf>
    <xf numFmtId="3" fontId="3" fillId="0" borderId="0" xfId="0" applyNumberFormat="1" applyFont="1" applyProtection="1">
      <protection hidden="1"/>
    </xf>
    <xf numFmtId="165" fontId="3" fillId="0" borderId="0" xfId="0" applyNumberFormat="1" applyFont="1" applyProtection="1">
      <protection hidden="1"/>
    </xf>
    <xf numFmtId="165" fontId="3" fillId="0" borderId="2" xfId="0" applyNumberFormat="1" applyFont="1" applyBorder="1" applyAlignment="1" applyProtection="1">
      <alignment vertical="top"/>
      <protection hidden="1"/>
    </xf>
    <xf numFmtId="0" fontId="4" fillId="0" borderId="0" xfId="0" applyFont="1"/>
    <xf numFmtId="0" fontId="0" fillId="0" borderId="0" xfId="0" applyProtection="1">
      <protection locked="0"/>
    </xf>
    <xf numFmtId="0" fontId="3" fillId="0" borderId="0" xfId="0" applyFont="1" applyProtection="1">
      <protection locked="0"/>
    </xf>
    <xf numFmtId="0" fontId="3" fillId="0" borderId="0" xfId="0" applyFont="1"/>
    <xf numFmtId="0" fontId="3" fillId="2" borderId="0" xfId="0" applyFont="1" applyFill="1" applyProtection="1">
      <protection hidden="1"/>
    </xf>
    <xf numFmtId="1" fontId="5" fillId="0" borderId="0" xfId="0" applyNumberFormat="1" applyFont="1"/>
    <xf numFmtId="3" fontId="0" fillId="0" borderId="0" xfId="0" applyNumberFormat="1"/>
    <xf numFmtId="165" fontId="5" fillId="0" borderId="0" xfId="0" applyNumberFormat="1" applyFont="1"/>
    <xf numFmtId="0" fontId="5" fillId="0" borderId="0" xfId="0" applyFont="1"/>
    <xf numFmtId="164" fontId="3" fillId="2" borderId="3" xfId="0" applyNumberFormat="1" applyFont="1" applyFill="1" applyBorder="1" applyAlignment="1" applyProtection="1">
      <alignment horizontal="left"/>
      <protection locked="0"/>
    </xf>
    <xf numFmtId="0" fontId="3" fillId="0" borderId="4" xfId="0" applyFont="1" applyBorder="1" applyAlignment="1">
      <alignment horizontal="left"/>
    </xf>
    <xf numFmtId="0" fontId="3" fillId="0" borderId="5" xfId="0" applyFont="1" applyBorder="1" applyAlignment="1" applyProtection="1">
      <alignment vertical="top"/>
      <protection hidden="1"/>
    </xf>
    <xf numFmtId="0" fontId="3" fillId="0" borderId="6" xfId="0" applyFont="1" applyBorder="1" applyAlignment="1" applyProtection="1">
      <alignment vertical="top"/>
      <protection hidden="1"/>
    </xf>
    <xf numFmtId="0" fontId="3" fillId="0" borderId="7" xfId="0" applyFont="1" applyBorder="1" applyAlignment="1" applyProtection="1">
      <alignment vertical="top"/>
      <protection hidden="1"/>
    </xf>
    <xf numFmtId="0" fontId="3" fillId="0" borderId="8" xfId="0" applyFont="1" applyBorder="1" applyAlignment="1" applyProtection="1">
      <alignment vertical="top"/>
      <protection hidden="1"/>
    </xf>
    <xf numFmtId="0" fontId="3" fillId="0" borderId="9" xfId="0" applyFont="1" applyBorder="1" applyAlignment="1" applyProtection="1">
      <alignment vertical="top"/>
      <protection hidden="1"/>
    </xf>
    <xf numFmtId="0" fontId="3" fillId="0" borderId="0" xfId="0" applyFont="1" applyAlignment="1" applyProtection="1">
      <alignment vertical="top"/>
      <protection hidden="1"/>
    </xf>
    <xf numFmtId="0" fontId="3" fillId="0" borderId="10" xfId="0" applyFont="1" applyBorder="1" applyAlignment="1" applyProtection="1">
      <alignment vertical="top"/>
      <protection hidden="1"/>
    </xf>
    <xf numFmtId="0" fontId="3" fillId="0" borderId="11" xfId="0" applyFont="1" applyBorder="1" applyAlignment="1" applyProtection="1">
      <alignment vertical="top"/>
      <protection hidden="1"/>
    </xf>
    <xf numFmtId="0" fontId="3" fillId="0" borderId="12" xfId="0" applyFont="1" applyBorder="1" applyAlignment="1" applyProtection="1">
      <alignment vertical="top"/>
      <protection hidden="1"/>
    </xf>
    <xf numFmtId="0" fontId="3" fillId="0" borderId="1" xfId="0" applyFont="1" applyBorder="1" applyAlignment="1" applyProtection="1">
      <alignment vertical="top"/>
      <protection hidden="1"/>
    </xf>
    <xf numFmtId="0" fontId="3" fillId="0" borderId="13" xfId="0" applyFont="1" applyBorder="1" applyAlignment="1" applyProtection="1">
      <alignment vertical="top"/>
      <protection hidden="1"/>
    </xf>
    <xf numFmtId="164" fontId="3" fillId="0" borderId="14" xfId="0" applyNumberFormat="1" applyFont="1" applyBorder="1" applyAlignment="1" applyProtection="1">
      <alignment horizontal="left" vertical="top"/>
      <protection hidden="1"/>
    </xf>
    <xf numFmtId="0" fontId="3" fillId="0" borderId="4" xfId="0" applyFont="1" applyBorder="1" applyAlignment="1" applyProtection="1">
      <alignment horizontal="left" vertical="top"/>
      <protection hidden="1"/>
    </xf>
    <xf numFmtId="164" fontId="3" fillId="0" borderId="15" xfId="0" applyNumberFormat="1" applyFont="1" applyBorder="1" applyAlignment="1" applyProtection="1">
      <alignment horizontal="left" vertical="top"/>
      <protection hidden="1"/>
    </xf>
    <xf numFmtId="0" fontId="3" fillId="0" borderId="16" xfId="0" applyFont="1" applyBorder="1" applyAlignment="1" applyProtection="1">
      <alignment horizontal="left" vertical="top"/>
      <protection hidden="1"/>
    </xf>
    <xf numFmtId="0" fontId="3" fillId="0" borderId="17" xfId="0" applyFont="1" applyBorder="1" applyAlignment="1" applyProtection="1">
      <alignment vertical="top" wrapText="1"/>
      <protection hidden="1"/>
    </xf>
    <xf numFmtId="0" fontId="3" fillId="0" borderId="18" xfId="0" applyFont="1" applyBorder="1" applyAlignment="1">
      <alignment vertical="top" wrapText="1"/>
    </xf>
    <xf numFmtId="0" fontId="3" fillId="0" borderId="1" xfId="0" applyFont="1" applyBorder="1" applyAlignment="1">
      <alignment vertical="top" wrapText="1"/>
    </xf>
    <xf numFmtId="0" fontId="3" fillId="0" borderId="2" xfId="0" applyFont="1" applyBorder="1" applyAlignment="1">
      <alignment vertical="top" wrapText="1"/>
    </xf>
    <xf numFmtId="0" fontId="3" fillId="0" borderId="13" xfId="0" applyFont="1" applyBorder="1" applyAlignment="1">
      <alignment vertical="top" wrapText="1"/>
    </xf>
    <xf numFmtId="0" fontId="3" fillId="0" borderId="19" xfId="0" applyFont="1" applyBorder="1" applyAlignment="1">
      <alignment vertical="top" wrapText="1"/>
    </xf>
    <xf numFmtId="0" fontId="3" fillId="0" borderId="20" xfId="0" applyFont="1" applyBorder="1" applyAlignment="1">
      <alignment vertical="top" wrapText="1"/>
    </xf>
  </cellXfs>
  <cellStyles count="1">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E3E3E3"/>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ctrlProps/ctrlProp1.xml><?xml version="1.0" encoding="utf-8"?>
<formControlPr xmlns="http://schemas.microsoft.com/office/spreadsheetml/2009/9/main" objectType="Drop" dropLines="4" dropStyle="combo" dx="31" fmlaLink="beschriftung!$C$1" fmlaRange="beschriftung!$A$1:$A$4" noThreeD="1" sel="4" val="0"/>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3400425</xdr:colOff>
      <xdr:row>4</xdr:row>
      <xdr:rowOff>161925</xdr:rowOff>
    </xdr:to>
    <xdr:pic>
      <xdr:nvPicPr>
        <xdr:cNvPr id="4444" name="Picture 3">
          <a:extLst>
            <a:ext uri="{FF2B5EF4-FFF2-40B4-BE49-F238E27FC236}">
              <a16:creationId xmlns:a16="http://schemas.microsoft.com/office/drawing/2014/main" id="{00000000-0008-0000-0000-00005C1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3400425" cy="962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0</xdr:col>
      <xdr:colOff>0</xdr:colOff>
      <xdr:row>0</xdr:row>
      <xdr:rowOff>0</xdr:rowOff>
    </xdr:from>
    <xdr:to>
      <xdr:col>0</xdr:col>
      <xdr:colOff>3400425</xdr:colOff>
      <xdr:row>4</xdr:row>
      <xdr:rowOff>161925</xdr:rowOff>
    </xdr:to>
    <xdr:pic>
      <xdr:nvPicPr>
        <xdr:cNvPr id="4445" name="Picture 4">
          <a:extLst>
            <a:ext uri="{FF2B5EF4-FFF2-40B4-BE49-F238E27FC236}">
              <a16:creationId xmlns:a16="http://schemas.microsoft.com/office/drawing/2014/main" id="{00000000-0008-0000-0000-00005D1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3400425" cy="962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0</xdr:col>
      <xdr:colOff>0</xdr:colOff>
      <xdr:row>24</xdr:row>
      <xdr:rowOff>0</xdr:rowOff>
    </xdr:from>
    <xdr:to>
      <xdr:col>0</xdr:col>
      <xdr:colOff>1079500</xdr:colOff>
      <xdr:row>25</xdr:row>
      <xdr:rowOff>57150</xdr:rowOff>
    </xdr:to>
    <xdr:sp macro="" textlink="">
      <xdr:nvSpPr>
        <xdr:cNvPr id="4097" name="Drop Down 1" hidden="1">
          <a:extLst>
            <a:ext uri="{63B3BB69-23CF-44E3-9099-C40C66FF867C}">
              <a14:compatExt xmlns:a14="http://schemas.microsoft.com/office/drawing/2010/main" spid="_x0000_s4097"/>
            </a:ext>
            <a:ext uri="{FF2B5EF4-FFF2-40B4-BE49-F238E27FC236}">
              <a16:creationId xmlns:a16="http://schemas.microsoft.com/office/drawing/2014/main" id="{00000000-0008-0000-0000-0000011000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twoCellAnchor>
  <mc:AlternateContent xmlns:mc="http://schemas.openxmlformats.org/markup-compatibility/2006">
    <mc:Choice xmlns:a14="http://schemas.microsoft.com/office/drawing/2010/main" Requires="a14">
      <xdr:twoCellAnchor editAs="oneCell">
        <xdr:from>
          <xdr:col>0</xdr:col>
          <xdr:colOff>0</xdr:colOff>
          <xdr:row>24</xdr:row>
          <xdr:rowOff>0</xdr:rowOff>
        </xdr:from>
        <xdr:to>
          <xdr:col>0</xdr:col>
          <xdr:colOff>1081088</xdr:colOff>
          <xdr:row>25</xdr:row>
          <xdr:rowOff>57150</xdr:rowOff>
        </xdr:to>
        <xdr:sp macro="" textlink="">
          <xdr:nvSpPr>
            <xdr:cNvPr id="2" name="Drop Down 1025" hidden="1">
              <a:extLst>
                <a:ext uri="{63B3BB69-23CF-44E3-9099-C40C66FF867C}">
                  <a14:compatExt spid="_x0000_s4097"/>
                </a:ext>
                <a:ext uri="{FF2B5EF4-FFF2-40B4-BE49-F238E27FC236}">
                  <a16:creationId xmlns:a16="http://schemas.microsoft.com/office/drawing/2014/main" id="{00000000-0008-0000-0000-0000020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theme/theme1.xml><?xml version="1.0" encoding="utf-8"?>
<a:theme xmlns:a="http://schemas.openxmlformats.org/drawingml/2006/main" name="Larissa-Design">
  <a:themeElements>
    <a:clrScheme name="Larissa">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Larissa">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Larissa">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trlProp" Target="../ctrlProps/ctrlProp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Table02">
    <pageSetUpPr fitToPage="1"/>
  </sheetPr>
  <dimension ref="A1:A26"/>
  <sheetViews>
    <sheetView showGridLines="0" showRowColHeaders="0" workbookViewId="0">
      <selection activeCell="A24" sqref="A24"/>
    </sheetView>
  </sheetViews>
  <sheetFormatPr baseColWidth="10" defaultRowHeight="10.15" x14ac:dyDescent="0.3"/>
  <cols>
    <col min="1" max="1" width="150.75" customWidth="1"/>
  </cols>
  <sheetData>
    <row r="1" spans="1:1" ht="15.5" customHeight="1" x14ac:dyDescent="0.4">
      <c r="A1" s="2"/>
    </row>
    <row r="2" spans="1:1" ht="15.5" customHeight="1" x14ac:dyDescent="0.4">
      <c r="A2" s="2" t="s">
        <v>17</v>
      </c>
    </row>
    <row r="3" spans="1:1" ht="15.5" customHeight="1" x14ac:dyDescent="0.4">
      <c r="A3" s="2" t="s">
        <v>18</v>
      </c>
    </row>
    <row r="4" spans="1:1" ht="15.5" customHeight="1" x14ac:dyDescent="0.4">
      <c r="A4" s="2" t="s">
        <v>95</v>
      </c>
    </row>
    <row r="5" spans="1:1" ht="15.5" customHeight="1" x14ac:dyDescent="0.4">
      <c r="A5" s="2" t="s">
        <v>19</v>
      </c>
    </row>
    <row r="6" spans="1:1" ht="15.5" customHeight="1" x14ac:dyDescent="0.4">
      <c r="A6" s="2" t="s">
        <v>20</v>
      </c>
    </row>
    <row r="7" spans="1:1" ht="10.050000000000001" customHeight="1" x14ac:dyDescent="0.3">
      <c r="A7" s="3"/>
    </row>
    <row r="8" spans="1:1" ht="13.05" customHeight="1" x14ac:dyDescent="0.3">
      <c r="A8" s="1" t="s">
        <v>87</v>
      </c>
    </row>
    <row r="9" spans="1:1" ht="12.5" customHeight="1" x14ac:dyDescent="0.3">
      <c r="A9" s="1" t="s">
        <v>21</v>
      </c>
    </row>
    <row r="10" spans="1:1" ht="12.5" customHeight="1" x14ac:dyDescent="0.3">
      <c r="A10" s="1" t="s">
        <v>88</v>
      </c>
    </row>
    <row r="11" spans="1:1" ht="10.050000000000001" customHeight="1" x14ac:dyDescent="0.3">
      <c r="A11" s="4"/>
    </row>
    <row r="12" spans="1:1" ht="13.05" customHeight="1" x14ac:dyDescent="0.3">
      <c r="A12" s="1" t="s">
        <v>89</v>
      </c>
    </row>
    <row r="13" spans="1:1" ht="12.5" customHeight="1" x14ac:dyDescent="0.3">
      <c r="A13" s="1" t="s">
        <v>22</v>
      </c>
    </row>
    <row r="14" spans="1:1" ht="12.5" customHeight="1" x14ac:dyDescent="0.3">
      <c r="A14" s="1" t="s">
        <v>90</v>
      </c>
    </row>
    <row r="15" spans="1:1" ht="10.050000000000001" customHeight="1" x14ac:dyDescent="0.3">
      <c r="A15" s="4"/>
    </row>
    <row r="16" spans="1:1" ht="13.05" customHeight="1" x14ac:dyDescent="0.3">
      <c r="A16" s="1" t="s">
        <v>91</v>
      </c>
    </row>
    <row r="17" spans="1:1" ht="12.5" customHeight="1" x14ac:dyDescent="0.3">
      <c r="A17" s="1" t="s">
        <v>23</v>
      </c>
    </row>
    <row r="18" spans="1:1" ht="12.5" customHeight="1" x14ac:dyDescent="0.3">
      <c r="A18" s="1" t="s">
        <v>92</v>
      </c>
    </row>
    <row r="19" spans="1:1" ht="10.050000000000001" customHeight="1" x14ac:dyDescent="0.3">
      <c r="A19" s="4"/>
    </row>
    <row r="20" spans="1:1" ht="13.05" customHeight="1" x14ac:dyDescent="0.3">
      <c r="A20" s="1" t="s">
        <v>93</v>
      </c>
    </row>
    <row r="21" spans="1:1" ht="12.5" customHeight="1" x14ac:dyDescent="0.3">
      <c r="A21" s="1" t="s">
        <v>24</v>
      </c>
    </row>
    <row r="22" spans="1:1" ht="12.5" customHeight="1" x14ac:dyDescent="0.3">
      <c r="A22" s="1" t="s">
        <v>94</v>
      </c>
    </row>
    <row r="23" spans="1:1" ht="11.25" customHeight="1" x14ac:dyDescent="0.3">
      <c r="A23" s="3"/>
    </row>
    <row r="24" spans="1:1" ht="11.25" customHeight="1" x14ac:dyDescent="0.3">
      <c r="A24" s="3"/>
    </row>
    <row r="25" spans="1:1" ht="11.25" customHeight="1" x14ac:dyDescent="0.3">
      <c r="A25" s="3"/>
    </row>
    <row r="26" spans="1:1" ht="11.25" customHeight="1" x14ac:dyDescent="0.3">
      <c r="A26" s="3"/>
    </row>
  </sheetData>
  <pageMargins left="0.78740157480314965" right="0.78740157480314965" top="0.98425196850393704" bottom="0.98425196850393704" header="0.51181102362204722" footer="0.51181102362204722"/>
  <pageSetup paperSize="9" orientation="landscape"/>
  <drawing r:id="rId1"/>
  <legacyDrawing r:id="rId2"/>
  <mc:AlternateContent xmlns:mc="http://schemas.openxmlformats.org/markup-compatibility/2006">
    <mc:Choice Requires="x14">
      <controls>
        <mc:AlternateContent xmlns:mc="http://schemas.openxmlformats.org/markup-compatibility/2006">
          <mc:Choice Requires="x14">
            <control shapeId="2" r:id="rId3" name="Drop Down 1025">
              <controlPr defaultSize="0" autoLine="0" autoPict="0">
                <anchor moveWithCells="1">
                  <from>
                    <xdr:col>0</xdr:col>
                    <xdr:colOff>0</xdr:colOff>
                    <xdr:row>24</xdr:row>
                    <xdr:rowOff>0</xdr:rowOff>
                  </from>
                  <to>
                    <xdr:col>0</xdr:col>
                    <xdr:colOff>1081088</xdr:colOff>
                    <xdr:row>25</xdr:row>
                    <xdr:rowOff>57150</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Table03"/>
  <dimension ref="A1:AH195"/>
  <sheetViews>
    <sheetView showGridLines="0" zoomScaleNormal="100" workbookViewId="0">
      <pane xSplit="2" ySplit="11" topLeftCell="I39" activePane="bottomRight" state="frozen"/>
      <selection pane="topRight"/>
      <selection pane="bottomLeft"/>
      <selection pane="bottomRight" activeCell="AH56" sqref="AH56"/>
    </sheetView>
  </sheetViews>
  <sheetFormatPr baseColWidth="10" defaultRowHeight="10.15" x14ac:dyDescent="0.3"/>
  <cols>
    <col min="1" max="1" width="9.75" customWidth="1"/>
    <col min="2" max="2" width="2.6640625" customWidth="1"/>
    <col min="3" max="34" width="9.75" customWidth="1"/>
  </cols>
  <sheetData>
    <row r="1" spans="1:34" ht="11.25" customHeight="1" x14ac:dyDescent="0.3">
      <c r="A1" s="6" t="str">
        <f ca="1">INDIRECT("beschriftung!"&amp;ADDRESS(beschriftung!$C$1*12+ROW(beschriftung!$A1)-1,COLUMN(beschriftung!A$1)))</f>
        <v>ESA 2010, Quarterly aggregates of Gross Domestic Product, income approach, raw data</v>
      </c>
      <c r="C1" s="9"/>
      <c r="D1" s="10"/>
      <c r="E1" s="9"/>
      <c r="F1" s="10"/>
      <c r="G1" s="9"/>
      <c r="H1" s="10"/>
      <c r="I1" s="9"/>
      <c r="J1" s="10"/>
      <c r="K1" s="9"/>
      <c r="L1" s="10"/>
      <c r="M1" s="9"/>
      <c r="N1" s="10"/>
      <c r="O1" s="9"/>
      <c r="P1" s="10"/>
      <c r="Q1" s="9"/>
      <c r="R1" s="10"/>
      <c r="S1" s="9"/>
      <c r="T1" s="10"/>
      <c r="U1" s="10"/>
      <c r="V1" s="10"/>
      <c r="W1" s="9"/>
      <c r="X1" s="10"/>
      <c r="Y1" s="9"/>
      <c r="Z1" s="10"/>
      <c r="AA1" s="9"/>
      <c r="AB1" s="10"/>
      <c r="AC1" s="9"/>
      <c r="AD1" s="10"/>
      <c r="AE1" s="9"/>
      <c r="AF1" s="10"/>
    </row>
    <row r="2" spans="1:34" ht="11.25" customHeight="1" x14ac:dyDescent="0.3">
      <c r="A2" s="3" t="str">
        <f ca="1">INDIRECT("beschriftung!"&amp;ADDRESS(beschriftung!$C$1*12+ROW(beschriftung!$A2)-1,COLUMN(beschriftung!A$1)))</f>
        <v>In Mio. Swiss Francs, at current prices, percentage change to previous year</v>
      </c>
      <c r="C2" s="9"/>
      <c r="D2" s="10"/>
      <c r="E2" s="9"/>
      <c r="F2" s="10"/>
      <c r="G2" s="9"/>
      <c r="H2" s="10"/>
      <c r="I2" s="9"/>
      <c r="J2" s="10"/>
      <c r="K2" s="9"/>
      <c r="L2" s="10"/>
      <c r="M2" s="9"/>
      <c r="N2" s="10"/>
      <c r="O2" s="9"/>
      <c r="P2" s="10"/>
      <c r="Q2" s="9"/>
      <c r="R2" s="10"/>
      <c r="S2" s="9"/>
      <c r="T2" s="10"/>
      <c r="U2" s="10"/>
      <c r="V2" s="10"/>
      <c r="W2" s="9"/>
      <c r="X2" s="10"/>
      <c r="Y2" s="9"/>
      <c r="Z2" s="10"/>
      <c r="AA2" s="9"/>
      <c r="AB2" s="10"/>
      <c r="AC2" s="9"/>
      <c r="AD2" s="10"/>
      <c r="AE2" s="9"/>
      <c r="AF2" s="10"/>
    </row>
    <row r="3" spans="1:34" ht="11.25" customHeight="1" x14ac:dyDescent="0.3">
      <c r="C3" s="9"/>
      <c r="D3" s="10"/>
      <c r="E3" s="9"/>
      <c r="F3" s="10"/>
      <c r="G3" s="9"/>
      <c r="H3" s="10"/>
      <c r="I3" s="9"/>
      <c r="J3" s="10"/>
      <c r="K3" s="9"/>
      <c r="L3" s="10"/>
      <c r="M3" s="9"/>
      <c r="N3" s="10"/>
      <c r="O3" s="9"/>
      <c r="P3" s="10"/>
      <c r="Q3" s="9"/>
      <c r="R3" s="10"/>
      <c r="S3" s="9"/>
      <c r="T3" s="10"/>
      <c r="U3" s="10"/>
      <c r="V3" s="10"/>
      <c r="W3" s="9"/>
      <c r="X3" s="10"/>
      <c r="Y3" s="9"/>
      <c r="Z3" s="10"/>
      <c r="AA3" s="9"/>
      <c r="AB3" s="10"/>
      <c r="AC3" s="9"/>
      <c r="AD3" s="10"/>
      <c r="AE3" s="9"/>
      <c r="AF3" s="10"/>
    </row>
    <row r="4" spans="1:34" ht="11.25" customHeight="1" x14ac:dyDescent="0.3">
      <c r="A4" s="5"/>
      <c r="C4" s="38" t="str">
        <f ca="1">INDIRECT("beschriftung!"&amp;ADDRESS(beschriftung!$C$1*12+ROW(beschriftung!$A5)-1,COLUMN(beschriftung!C$1)))</f>
        <v xml:space="preserve">Gross domestic product </v>
      </c>
      <c r="D4" s="44"/>
      <c r="E4" s="44"/>
      <c r="F4" s="44"/>
      <c r="G4" s="44"/>
      <c r="H4" s="44"/>
      <c r="I4" s="44"/>
      <c r="J4" s="44"/>
      <c r="K4" s="44"/>
      <c r="L4" s="44"/>
      <c r="M4" s="44"/>
      <c r="N4" s="39"/>
      <c r="O4" s="38" t="str">
        <f ca="1">INDIRECT("beschriftung!"&amp;ADDRESS(beschriftung!$C$1*12+ROW(beschriftung!$A5)-1,COLUMN(beschriftung!O$1)))</f>
        <v>Gross national income</v>
      </c>
      <c r="P4" s="44"/>
      <c r="Q4" s="44"/>
      <c r="R4" s="44"/>
      <c r="S4" s="44"/>
      <c r="T4" s="44"/>
      <c r="U4" s="44"/>
      <c r="V4" s="44"/>
      <c r="W4" s="44"/>
      <c r="X4" s="44"/>
      <c r="Y4" s="44"/>
      <c r="Z4" s="39"/>
      <c r="AA4" s="38" t="str">
        <f ca="1">INDIRECT("beschriftung!"&amp;ADDRESS(beschriftung!$C$1*12+ROW(beschriftung!$A5)-1,COLUMN(beschriftung!AA$1)))</f>
        <v>Disposable income, gross</v>
      </c>
      <c r="AB4" s="44"/>
      <c r="AC4" s="44"/>
      <c r="AD4" s="44"/>
      <c r="AE4" s="44"/>
      <c r="AF4" s="39"/>
    </row>
    <row r="5" spans="1:34" ht="11.25" customHeight="1" x14ac:dyDescent="0.3">
      <c r="A5" s="5"/>
      <c r="C5" s="31"/>
      <c r="D5" s="26"/>
      <c r="E5" s="38" t="str">
        <f ca="1">INDIRECT("beschriftung!"&amp;ADDRESS(beschriftung!$C$1*12+ROW(beschriftung!$A7)-1,COLUMN(beschriftung!E$1)))</f>
        <v>Compensation of employees</v>
      </c>
      <c r="F5" s="39"/>
      <c r="G5" s="38" t="str">
        <f ca="1">INDIRECT("beschriftung!"&amp;ADDRESS(beschriftung!$C$1*12+ROW(beschriftung!$A7)-1,COLUMN(beschriftung!G$1)))</f>
        <v>Net operating surplus and net mixed income</v>
      </c>
      <c r="H5" s="39"/>
      <c r="I5" s="38" t="str">
        <f ca="1">INDIRECT("beschriftung!"&amp;ADDRESS(beschriftung!$C$1*12+ROW(beschriftung!$A7)-1,COLUMN(beschriftung!I$1)))</f>
        <v xml:space="preserve">Consumption of fixed capital </v>
      </c>
      <c r="J5" s="39"/>
      <c r="K5" s="38" t="str">
        <f ca="1">INDIRECT("beschriftung!"&amp;ADDRESS(beschriftung!$C$1*12+ROW(beschriftung!$A7)-1,COLUMN(beschriftung!K$1)))</f>
        <v>Taxes on production and imports</v>
      </c>
      <c r="L5" s="39"/>
      <c r="M5" s="38" t="str">
        <f ca="1">INDIRECT("beschriftung!"&amp;ADDRESS(beschriftung!$C$1*12+ROW(beschriftung!$A7)-1,COLUMN(beschriftung!M$1)))</f>
        <v>Subsidies</v>
      </c>
      <c r="N5" s="39"/>
      <c r="O5" s="25"/>
      <c r="P5" s="26"/>
      <c r="Q5" s="38" t="str">
        <f ca="1">INDIRECT("beschriftung!"&amp;ADDRESS(beschriftung!$C$1*12+ROW(beschriftung!$A7)-1,COLUMN(beschriftung!Q$1)))</f>
        <v>Compensation of employees received from the rest of the world</v>
      </c>
      <c r="R5" s="39"/>
      <c r="S5" s="38" t="str">
        <f ca="1">INDIRECT("beschriftung!"&amp;ADDRESS(beschriftung!$C$1*12+ROW(beschriftung!$A7)-1,COLUMN(beschriftung!S$1)))</f>
        <v>Compensation of employees paid to the rest of the world</v>
      </c>
      <c r="T5" s="39"/>
      <c r="U5" s="38" t="str">
        <f ca="1">INDIRECT("beschriftung!"&amp;ADDRESS(beschriftung!$C$1*12+ROW(beschriftung!$A7)-1,COLUMN(beschriftung!U$1)))</f>
        <v>Taxes on production and imports received from the rest of the world</v>
      </c>
      <c r="V5" s="39"/>
      <c r="W5" s="38" t="str">
        <f ca="1">INDIRECT("beschriftung!"&amp;ADDRESS(beschriftung!$C$1*12+ROW(beschriftung!$A7)-1,COLUMN(beschriftung!W$1)))</f>
        <v>Property income received from the rest of the world</v>
      </c>
      <c r="X5" s="39"/>
      <c r="Y5" s="38" t="str">
        <f ca="1">INDIRECT("beschriftung!"&amp;ADDRESS(beschriftung!$C$1*12+ROW(beschriftung!$A7)-1,COLUMN(beschriftung!Y$1)))</f>
        <v>Property income paid to the rest of the world</v>
      </c>
      <c r="Z5" s="39"/>
      <c r="AA5" s="8"/>
      <c r="AB5" s="11" t="str">
        <f ca="1">IF(INDIRECT("beschriftung!"&amp;ADDRESS(beschriftung!$C$1*12+ROW($A6)-1,COLUMN(AB$1)))="","",INDIRECT("beschriftung!"&amp;ADDRESS(beschriftung!$C$1*12+ROW($A6)-1,COLUMN(AB$1))))</f>
        <v/>
      </c>
      <c r="AC5" s="38" t="str">
        <f ca="1">INDIRECT("beschriftung!"&amp;ADDRESS(beschriftung!$C$1*12+ROW(beschriftung!$A7)-1,COLUMN(beschriftung!AC$1)))</f>
        <v>Current transfers receivable from the rest of the world</v>
      </c>
      <c r="AD5" s="39"/>
      <c r="AE5" s="38" t="str">
        <f ca="1">INDIRECT("beschriftung!"&amp;ADDRESS(beschriftung!$C$1*12+ROW(beschriftung!$A7)-1,COLUMN(beschriftung!AE$1)))</f>
        <v>Current transfers payable to the rest of the world</v>
      </c>
      <c r="AF5" s="39"/>
    </row>
    <row r="6" spans="1:34" ht="11.25" customHeight="1" x14ac:dyDescent="0.3">
      <c r="A6" s="5"/>
      <c r="C6" s="32"/>
      <c r="D6" s="28"/>
      <c r="E6" s="40"/>
      <c r="F6" s="41"/>
      <c r="G6" s="40"/>
      <c r="H6" s="41"/>
      <c r="I6" s="40"/>
      <c r="J6" s="41"/>
      <c r="K6" s="40"/>
      <c r="L6" s="41"/>
      <c r="M6" s="40"/>
      <c r="N6" s="41"/>
      <c r="O6" s="27"/>
      <c r="P6" s="28"/>
      <c r="Q6" s="40"/>
      <c r="R6" s="41"/>
      <c r="S6" s="40"/>
      <c r="T6" s="41"/>
      <c r="U6" s="40"/>
      <c r="V6" s="41"/>
      <c r="W6" s="40"/>
      <c r="X6" s="41"/>
      <c r="Y6" s="40"/>
      <c r="Z6" s="41"/>
      <c r="AA6" s="23"/>
      <c r="AB6" s="24"/>
      <c r="AC6" s="40"/>
      <c r="AD6" s="41"/>
      <c r="AE6" s="40"/>
      <c r="AF6" s="41"/>
    </row>
    <row r="7" spans="1:34" ht="11.25" customHeight="1" x14ac:dyDescent="0.3">
      <c r="A7" s="7"/>
      <c r="B7" s="7"/>
      <c r="C7" s="32"/>
      <c r="D7" s="28"/>
      <c r="E7" s="40"/>
      <c r="F7" s="41"/>
      <c r="G7" s="40"/>
      <c r="H7" s="41"/>
      <c r="I7" s="40"/>
      <c r="J7" s="41"/>
      <c r="K7" s="40"/>
      <c r="L7" s="41"/>
      <c r="M7" s="40"/>
      <c r="N7" s="41"/>
      <c r="O7" s="27"/>
      <c r="P7" s="28"/>
      <c r="Q7" s="40"/>
      <c r="R7" s="41"/>
      <c r="S7" s="40"/>
      <c r="T7" s="41"/>
      <c r="U7" s="40"/>
      <c r="V7" s="41"/>
      <c r="W7" s="40"/>
      <c r="X7" s="41"/>
      <c r="Y7" s="40"/>
      <c r="Z7" s="41"/>
      <c r="AA7" s="23"/>
      <c r="AB7" s="24"/>
      <c r="AC7" s="40"/>
      <c r="AD7" s="41"/>
      <c r="AE7" s="40"/>
      <c r="AF7" s="41"/>
    </row>
    <row r="8" spans="1:34" ht="11.25" customHeight="1" x14ac:dyDescent="0.3">
      <c r="A8" s="4"/>
      <c r="B8" s="4"/>
      <c r="C8" s="32"/>
      <c r="D8" s="28"/>
      <c r="E8" s="40"/>
      <c r="F8" s="41"/>
      <c r="G8" s="40"/>
      <c r="H8" s="41"/>
      <c r="I8" s="40"/>
      <c r="J8" s="41"/>
      <c r="K8" s="40"/>
      <c r="L8" s="41"/>
      <c r="M8" s="40"/>
      <c r="N8" s="41"/>
      <c r="O8" s="27"/>
      <c r="P8" s="28"/>
      <c r="Q8" s="40"/>
      <c r="R8" s="41"/>
      <c r="S8" s="40"/>
      <c r="T8" s="41"/>
      <c r="U8" s="40"/>
      <c r="V8" s="41"/>
      <c r="W8" s="40"/>
      <c r="X8" s="41"/>
      <c r="Y8" s="40"/>
      <c r="Z8" s="41"/>
      <c r="AA8" s="23"/>
      <c r="AB8" s="24"/>
      <c r="AC8" s="40"/>
      <c r="AD8" s="41"/>
      <c r="AE8" s="40"/>
      <c r="AF8" s="41"/>
    </row>
    <row r="9" spans="1:34" ht="11.25" customHeight="1" x14ac:dyDescent="0.3">
      <c r="A9" s="4"/>
      <c r="B9" s="4"/>
      <c r="C9" s="32"/>
      <c r="D9" s="28"/>
      <c r="E9" s="40"/>
      <c r="F9" s="41"/>
      <c r="G9" s="40"/>
      <c r="H9" s="41"/>
      <c r="I9" s="40"/>
      <c r="J9" s="41"/>
      <c r="K9" s="40"/>
      <c r="L9" s="41"/>
      <c r="M9" s="40"/>
      <c r="N9" s="41"/>
      <c r="O9" s="27"/>
      <c r="P9" s="28"/>
      <c r="Q9" s="40"/>
      <c r="R9" s="41"/>
      <c r="S9" s="40"/>
      <c r="T9" s="41"/>
      <c r="U9" s="40"/>
      <c r="V9" s="41"/>
      <c r="W9" s="40"/>
      <c r="X9" s="41"/>
      <c r="Y9" s="40"/>
      <c r="Z9" s="41"/>
      <c r="AA9" s="23"/>
      <c r="AB9" s="24"/>
      <c r="AC9" s="40"/>
      <c r="AD9" s="41"/>
      <c r="AE9" s="40"/>
      <c r="AF9" s="41"/>
    </row>
    <row r="10" spans="1:34" ht="11.25" customHeight="1" x14ac:dyDescent="0.3">
      <c r="A10" s="4"/>
      <c r="B10" s="7"/>
      <c r="C10" s="33"/>
      <c r="D10" s="30"/>
      <c r="E10" s="42"/>
      <c r="F10" s="43"/>
      <c r="G10" s="42"/>
      <c r="H10" s="43"/>
      <c r="I10" s="42"/>
      <c r="J10" s="43"/>
      <c r="K10" s="42"/>
      <c r="L10" s="43"/>
      <c r="M10" s="42"/>
      <c r="N10" s="43"/>
      <c r="O10" s="29"/>
      <c r="P10" s="30"/>
      <c r="Q10" s="42"/>
      <c r="R10" s="43"/>
      <c r="S10" s="42"/>
      <c r="T10" s="43"/>
      <c r="U10" s="42"/>
      <c r="V10" s="43"/>
      <c r="W10" s="42"/>
      <c r="X10" s="43"/>
      <c r="Y10" s="42"/>
      <c r="Z10" s="43"/>
      <c r="AA10" s="23"/>
      <c r="AB10" s="24"/>
      <c r="AC10" s="42"/>
      <c r="AD10" s="43"/>
      <c r="AE10" s="42"/>
      <c r="AF10" s="43"/>
    </row>
    <row r="11" spans="1:34" ht="11.25" customHeight="1" x14ac:dyDescent="0.3">
      <c r="A11" s="4"/>
      <c r="B11" s="7"/>
      <c r="C11" s="34" t="s">
        <v>99</v>
      </c>
      <c r="D11" s="35"/>
      <c r="E11" s="36" t="s">
        <v>100</v>
      </c>
      <c r="F11" s="37"/>
      <c r="G11" s="36" t="s">
        <v>118</v>
      </c>
      <c r="H11" s="37"/>
      <c r="I11" s="36" t="s">
        <v>101</v>
      </c>
      <c r="J11" s="37"/>
      <c r="K11" s="36" t="s">
        <v>102</v>
      </c>
      <c r="L11" s="37"/>
      <c r="M11" s="36" t="s">
        <v>103</v>
      </c>
      <c r="N11" s="37"/>
      <c r="O11" s="21" t="s">
        <v>104</v>
      </c>
      <c r="P11" s="22"/>
      <c r="Q11" s="21" t="s">
        <v>105</v>
      </c>
      <c r="R11" s="22"/>
      <c r="S11" s="21" t="s">
        <v>106</v>
      </c>
      <c r="T11" s="22"/>
      <c r="U11" s="21" t="s">
        <v>107</v>
      </c>
      <c r="V11" s="22"/>
      <c r="W11" s="21" t="s">
        <v>108</v>
      </c>
      <c r="X11" s="22"/>
      <c r="Y11" s="21" t="s">
        <v>109</v>
      </c>
      <c r="Z11" s="22"/>
      <c r="AA11" s="21" t="s">
        <v>110</v>
      </c>
      <c r="AB11" s="22"/>
      <c r="AC11" s="21" t="s">
        <v>111</v>
      </c>
      <c r="AD11" s="22"/>
      <c r="AE11" s="21" t="s">
        <v>112</v>
      </c>
      <c r="AF11" s="22"/>
    </row>
    <row r="12" spans="1:34" x14ac:dyDescent="0.3">
      <c r="A12" s="17">
        <v>1980</v>
      </c>
      <c r="B12" s="17">
        <v>1</v>
      </c>
      <c r="C12" s="18">
        <v>49949.521573559599</v>
      </c>
      <c r="D12" s="19"/>
      <c r="E12" s="18"/>
      <c r="F12" s="19"/>
      <c r="G12" s="18"/>
      <c r="H12" s="19"/>
      <c r="I12" s="18"/>
      <c r="J12" s="19"/>
      <c r="K12" s="18"/>
      <c r="L12" s="19"/>
      <c r="M12" s="18"/>
      <c r="N12" s="19"/>
      <c r="O12" s="18"/>
      <c r="P12" s="19"/>
      <c r="Q12" s="18"/>
      <c r="R12" s="19"/>
      <c r="S12" s="18"/>
      <c r="T12" s="19"/>
      <c r="U12" s="18"/>
      <c r="V12" s="19"/>
      <c r="W12" s="18"/>
      <c r="X12" s="19"/>
      <c r="Y12" s="18"/>
      <c r="Z12" s="19"/>
      <c r="AA12" s="18"/>
      <c r="AB12" s="19"/>
      <c r="AC12" s="18"/>
      <c r="AD12" s="19"/>
      <c r="AE12" s="18"/>
      <c r="AF12" s="19"/>
      <c r="AG12" s="18"/>
      <c r="AH12" s="19"/>
    </row>
    <row r="13" spans="1:34" x14ac:dyDescent="0.3">
      <c r="A13" s="17">
        <v>1980</v>
      </c>
      <c r="B13" s="17">
        <v>2</v>
      </c>
      <c r="C13" s="18">
        <v>51718.735078004203</v>
      </c>
      <c r="D13" s="19"/>
      <c r="E13" s="18"/>
      <c r="F13" s="19"/>
      <c r="G13" s="18"/>
      <c r="H13" s="19"/>
      <c r="I13" s="18"/>
      <c r="J13" s="19"/>
      <c r="K13" s="18"/>
      <c r="L13" s="19"/>
      <c r="M13" s="18"/>
      <c r="N13" s="19"/>
      <c r="O13" s="18"/>
      <c r="P13" s="19"/>
      <c r="Q13" s="18"/>
      <c r="R13" s="19"/>
      <c r="S13" s="18"/>
      <c r="T13" s="19"/>
      <c r="U13" s="18"/>
      <c r="V13" s="19"/>
      <c r="W13" s="18"/>
      <c r="X13" s="19"/>
      <c r="Y13" s="18"/>
      <c r="Z13" s="19"/>
      <c r="AA13" s="18"/>
      <c r="AB13" s="19"/>
      <c r="AC13" s="18"/>
      <c r="AD13" s="19"/>
      <c r="AE13" s="18"/>
      <c r="AF13" s="19"/>
      <c r="AG13" s="18"/>
      <c r="AH13" s="19"/>
    </row>
    <row r="14" spans="1:34" x14ac:dyDescent="0.3">
      <c r="A14" s="17">
        <v>1980</v>
      </c>
      <c r="B14" s="17">
        <v>3</v>
      </c>
      <c r="C14" s="18">
        <v>52002.729930867099</v>
      </c>
      <c r="D14" s="19"/>
      <c r="E14" s="18"/>
      <c r="F14" s="19"/>
      <c r="G14" s="18"/>
      <c r="H14" s="19"/>
      <c r="I14" s="18"/>
      <c r="J14" s="19"/>
      <c r="K14" s="18"/>
      <c r="L14" s="19"/>
      <c r="M14" s="18"/>
      <c r="N14" s="19"/>
      <c r="O14" s="18"/>
      <c r="P14" s="19"/>
      <c r="Q14" s="18"/>
      <c r="R14" s="19"/>
      <c r="S14" s="18"/>
      <c r="T14" s="19"/>
      <c r="U14" s="18"/>
      <c r="V14" s="19"/>
      <c r="W14" s="18"/>
      <c r="X14" s="19"/>
      <c r="Y14" s="18"/>
      <c r="Z14" s="19"/>
      <c r="AA14" s="18"/>
      <c r="AB14" s="19"/>
      <c r="AC14" s="18"/>
      <c r="AD14" s="19"/>
      <c r="AE14" s="18"/>
      <c r="AF14" s="19"/>
      <c r="AG14" s="18"/>
      <c r="AH14" s="19"/>
    </row>
    <row r="15" spans="1:34" x14ac:dyDescent="0.3">
      <c r="A15" s="17">
        <v>1980</v>
      </c>
      <c r="B15" s="17">
        <v>4</v>
      </c>
      <c r="C15" s="18">
        <v>54793.817633085098</v>
      </c>
      <c r="D15" s="19"/>
      <c r="E15" s="18"/>
      <c r="F15" s="19"/>
      <c r="G15" s="18"/>
      <c r="H15" s="19"/>
      <c r="I15" s="18"/>
      <c r="J15" s="19"/>
      <c r="K15" s="18"/>
      <c r="L15" s="19"/>
      <c r="M15" s="18"/>
      <c r="N15" s="19"/>
      <c r="O15" s="18"/>
      <c r="P15" s="19"/>
      <c r="Q15" s="18"/>
      <c r="R15" s="19"/>
      <c r="S15" s="18"/>
      <c r="T15" s="19"/>
      <c r="U15" s="18"/>
      <c r="V15" s="19"/>
      <c r="W15" s="18"/>
      <c r="X15" s="19"/>
      <c r="Y15" s="18"/>
      <c r="Z15" s="19"/>
      <c r="AA15" s="18"/>
      <c r="AB15" s="19"/>
      <c r="AC15" s="18"/>
      <c r="AD15" s="19"/>
      <c r="AE15" s="18"/>
      <c r="AF15" s="19"/>
      <c r="AG15" s="18"/>
      <c r="AH15" s="19"/>
    </row>
    <row r="16" spans="1:34" x14ac:dyDescent="0.3">
      <c r="A16" s="17">
        <v>1981</v>
      </c>
      <c r="B16" s="17">
        <v>1</v>
      </c>
      <c r="C16" s="18">
        <v>52977.658846113402</v>
      </c>
      <c r="D16" s="19">
        <v>6.0623949482566698E-2</v>
      </c>
      <c r="E16" s="18"/>
      <c r="F16" s="19"/>
      <c r="G16" s="18"/>
      <c r="H16" s="19"/>
      <c r="I16" s="18"/>
      <c r="J16" s="19"/>
      <c r="K16" s="18"/>
      <c r="L16" s="19"/>
      <c r="M16" s="18"/>
      <c r="N16" s="19"/>
      <c r="O16" s="18"/>
      <c r="P16" s="19"/>
      <c r="Q16" s="18"/>
      <c r="R16" s="19"/>
      <c r="S16" s="18"/>
      <c r="T16" s="19"/>
      <c r="U16" s="18"/>
      <c r="V16" s="19"/>
      <c r="W16" s="18"/>
      <c r="X16" s="19"/>
      <c r="Y16" s="18"/>
      <c r="Z16" s="19"/>
      <c r="AA16" s="18"/>
      <c r="AB16" s="19"/>
      <c r="AC16" s="18"/>
      <c r="AD16" s="19"/>
      <c r="AE16" s="18"/>
      <c r="AF16" s="19"/>
      <c r="AG16" s="18"/>
      <c r="AH16" s="19"/>
    </row>
    <row r="17" spans="1:34" x14ac:dyDescent="0.3">
      <c r="A17" s="17">
        <v>1981</v>
      </c>
      <c r="B17" s="17">
        <v>2</v>
      </c>
      <c r="C17" s="18">
        <v>55522.013770157799</v>
      </c>
      <c r="D17" s="19">
        <v>7.3537736110857996E-2</v>
      </c>
      <c r="E17" s="18"/>
      <c r="F17" s="19"/>
      <c r="G17" s="18"/>
      <c r="H17" s="19"/>
      <c r="I17" s="18"/>
      <c r="J17" s="19"/>
      <c r="K17" s="18"/>
      <c r="L17" s="19"/>
      <c r="M17" s="18"/>
      <c r="N17" s="19"/>
      <c r="O17" s="18"/>
      <c r="P17" s="19"/>
      <c r="Q17" s="18"/>
      <c r="R17" s="19"/>
      <c r="S17" s="18"/>
      <c r="T17" s="19"/>
      <c r="U17" s="18"/>
      <c r="V17" s="19"/>
      <c r="W17" s="18"/>
      <c r="X17" s="19"/>
      <c r="Y17" s="18"/>
      <c r="Z17" s="19"/>
      <c r="AA17" s="18"/>
      <c r="AB17" s="19"/>
      <c r="AC17" s="18"/>
      <c r="AD17" s="19"/>
      <c r="AE17" s="18"/>
      <c r="AF17" s="19"/>
      <c r="AG17" s="18"/>
      <c r="AH17" s="19"/>
    </row>
    <row r="18" spans="1:34" x14ac:dyDescent="0.3">
      <c r="A18" s="17">
        <v>1981</v>
      </c>
      <c r="B18" s="17">
        <v>3</v>
      </c>
      <c r="C18" s="18">
        <v>56051.231690713801</v>
      </c>
      <c r="D18" s="19">
        <v>7.7851715962387893E-2</v>
      </c>
      <c r="E18" s="18"/>
      <c r="F18" s="19"/>
      <c r="G18" s="18"/>
      <c r="H18" s="19"/>
      <c r="I18" s="18"/>
      <c r="J18" s="19"/>
      <c r="K18" s="18"/>
      <c r="L18" s="19"/>
      <c r="M18" s="18"/>
      <c r="N18" s="19"/>
      <c r="O18" s="18"/>
      <c r="P18" s="19"/>
      <c r="Q18" s="18"/>
      <c r="R18" s="19"/>
      <c r="S18" s="18"/>
      <c r="T18" s="19"/>
      <c r="U18" s="18"/>
      <c r="V18" s="19"/>
      <c r="W18" s="18"/>
      <c r="X18" s="19"/>
      <c r="Y18" s="18"/>
      <c r="Z18" s="19"/>
      <c r="AA18" s="18"/>
      <c r="AB18" s="19"/>
      <c r="AC18" s="18"/>
      <c r="AD18" s="19"/>
      <c r="AE18" s="18"/>
      <c r="AF18" s="19"/>
      <c r="AG18" s="18"/>
      <c r="AH18" s="19"/>
    </row>
    <row r="19" spans="1:34" x14ac:dyDescent="0.3">
      <c r="A19" s="17">
        <v>1981</v>
      </c>
      <c r="B19" s="17">
        <v>4</v>
      </c>
      <c r="C19" s="18">
        <v>59242.518267027001</v>
      </c>
      <c r="D19" s="19">
        <v>8.1189828088482394E-2</v>
      </c>
      <c r="E19" s="18"/>
      <c r="F19" s="19"/>
      <c r="G19" s="18"/>
      <c r="H19" s="19"/>
      <c r="I19" s="18"/>
      <c r="J19" s="19"/>
      <c r="K19" s="18"/>
      <c r="L19" s="19"/>
      <c r="M19" s="18"/>
      <c r="N19" s="19"/>
      <c r="O19" s="18"/>
      <c r="P19" s="19"/>
      <c r="Q19" s="18"/>
      <c r="R19" s="19"/>
      <c r="S19" s="18"/>
      <c r="T19" s="19"/>
      <c r="U19" s="18"/>
      <c r="V19" s="19"/>
      <c r="W19" s="18"/>
      <c r="X19" s="19"/>
      <c r="Y19" s="18"/>
      <c r="Z19" s="19"/>
      <c r="AA19" s="18"/>
      <c r="AB19" s="19"/>
      <c r="AC19" s="18"/>
      <c r="AD19" s="19"/>
      <c r="AE19" s="18"/>
      <c r="AF19" s="19"/>
      <c r="AG19" s="18"/>
      <c r="AH19" s="19"/>
    </row>
    <row r="20" spans="1:34" x14ac:dyDescent="0.3">
      <c r="A20" s="17">
        <v>1982</v>
      </c>
      <c r="B20" s="17">
        <v>1</v>
      </c>
      <c r="C20" s="18">
        <v>57055.029093385099</v>
      </c>
      <c r="D20" s="19">
        <v>7.6963956808952003E-2</v>
      </c>
      <c r="E20" s="18"/>
      <c r="F20" s="19"/>
      <c r="G20" s="18"/>
      <c r="H20" s="19"/>
      <c r="I20" s="18"/>
      <c r="J20" s="19"/>
      <c r="K20" s="18"/>
      <c r="L20" s="19"/>
      <c r="M20" s="18"/>
      <c r="N20" s="19"/>
      <c r="O20" s="18"/>
      <c r="P20" s="19"/>
      <c r="Q20" s="18"/>
      <c r="R20" s="19"/>
      <c r="S20" s="18"/>
      <c r="T20" s="19"/>
      <c r="U20" s="18"/>
      <c r="V20" s="19"/>
      <c r="W20" s="18"/>
      <c r="X20" s="19"/>
      <c r="Y20" s="18"/>
      <c r="Z20" s="19"/>
      <c r="AA20" s="18"/>
      <c r="AB20" s="19"/>
      <c r="AC20" s="18"/>
      <c r="AD20" s="19"/>
      <c r="AE20" s="18"/>
      <c r="AF20" s="19"/>
      <c r="AG20" s="18"/>
      <c r="AH20" s="19"/>
    </row>
    <row r="21" spans="1:34" x14ac:dyDescent="0.3">
      <c r="A21" s="17">
        <v>1982</v>
      </c>
      <c r="B21" s="17">
        <v>2</v>
      </c>
      <c r="C21" s="18">
        <v>59324.427081100999</v>
      </c>
      <c r="D21" s="19">
        <v>6.8484787433753302E-2</v>
      </c>
      <c r="E21" s="18"/>
      <c r="F21" s="19"/>
      <c r="G21" s="18"/>
      <c r="H21" s="19"/>
      <c r="I21" s="18"/>
      <c r="J21" s="19"/>
      <c r="K21" s="18"/>
      <c r="L21" s="19"/>
      <c r="M21" s="18"/>
      <c r="N21" s="19"/>
      <c r="O21" s="18"/>
      <c r="P21" s="19"/>
      <c r="Q21" s="18"/>
      <c r="R21" s="19"/>
      <c r="S21" s="18"/>
      <c r="T21" s="19"/>
      <c r="U21" s="18"/>
      <c r="V21" s="19"/>
      <c r="W21" s="18"/>
      <c r="X21" s="19"/>
      <c r="Y21" s="18"/>
      <c r="Z21" s="19"/>
      <c r="AA21" s="18"/>
      <c r="AB21" s="19"/>
      <c r="AC21" s="18"/>
      <c r="AD21" s="19"/>
      <c r="AE21" s="18"/>
      <c r="AF21" s="19"/>
      <c r="AG21" s="18"/>
      <c r="AH21" s="19"/>
    </row>
    <row r="22" spans="1:34" x14ac:dyDescent="0.3">
      <c r="A22" s="17">
        <v>1982</v>
      </c>
      <c r="B22" s="17">
        <v>3</v>
      </c>
      <c r="C22" s="18">
        <v>59074.572019718398</v>
      </c>
      <c r="D22" s="19">
        <v>5.3938874094456399E-2</v>
      </c>
      <c r="E22" s="18"/>
      <c r="F22" s="19"/>
      <c r="G22" s="18"/>
      <c r="H22" s="19"/>
      <c r="I22" s="18"/>
      <c r="J22" s="19"/>
      <c r="K22" s="18"/>
      <c r="L22" s="19"/>
      <c r="M22" s="18"/>
      <c r="N22" s="19"/>
      <c r="O22" s="18"/>
      <c r="P22" s="19"/>
      <c r="Q22" s="18"/>
      <c r="R22" s="19"/>
      <c r="S22" s="18"/>
      <c r="T22" s="19"/>
      <c r="U22" s="18"/>
      <c r="V22" s="19"/>
      <c r="W22" s="18"/>
      <c r="X22" s="19"/>
      <c r="Y22" s="18"/>
      <c r="Z22" s="19"/>
      <c r="AA22" s="18"/>
      <c r="AB22" s="19"/>
      <c r="AC22" s="18"/>
      <c r="AD22" s="19"/>
      <c r="AE22" s="18"/>
      <c r="AF22" s="19"/>
      <c r="AG22" s="18"/>
      <c r="AH22" s="19"/>
    </row>
    <row r="23" spans="1:34" x14ac:dyDescent="0.3">
      <c r="A23" s="17">
        <v>1982</v>
      </c>
      <c r="B23" s="17">
        <v>4</v>
      </c>
      <c r="C23" s="18">
        <v>61638.1104410384</v>
      </c>
      <c r="D23" s="19">
        <v>4.0437041572298799E-2</v>
      </c>
      <c r="E23" s="18"/>
      <c r="F23" s="19"/>
      <c r="G23" s="18"/>
      <c r="H23" s="19"/>
      <c r="I23" s="18"/>
      <c r="J23" s="19"/>
      <c r="K23" s="18"/>
      <c r="L23" s="19"/>
      <c r="M23" s="18"/>
      <c r="N23" s="19"/>
      <c r="O23" s="18"/>
      <c r="P23" s="19"/>
      <c r="Q23" s="18"/>
      <c r="R23" s="19"/>
      <c r="S23" s="18"/>
      <c r="T23" s="19"/>
      <c r="U23" s="18"/>
      <c r="V23" s="19"/>
      <c r="W23" s="18"/>
      <c r="X23" s="19"/>
      <c r="Y23" s="18"/>
      <c r="Z23" s="19"/>
      <c r="AA23" s="18"/>
      <c r="AB23" s="19"/>
      <c r="AC23" s="18"/>
      <c r="AD23" s="19"/>
      <c r="AE23" s="18"/>
      <c r="AF23" s="19"/>
      <c r="AG23" s="18"/>
      <c r="AH23" s="19"/>
    </row>
    <row r="24" spans="1:34" x14ac:dyDescent="0.3">
      <c r="A24" s="17">
        <v>1983</v>
      </c>
      <c r="B24" s="17">
        <v>1</v>
      </c>
      <c r="C24" s="18">
        <v>59277.027330392601</v>
      </c>
      <c r="D24" s="19">
        <v>3.89448269909849E-2</v>
      </c>
      <c r="E24" s="18"/>
      <c r="F24" s="19"/>
      <c r="G24" s="18"/>
      <c r="H24" s="19"/>
      <c r="I24" s="18"/>
      <c r="J24" s="19"/>
      <c r="K24" s="18"/>
      <c r="L24" s="19"/>
      <c r="M24" s="18"/>
      <c r="N24" s="19"/>
      <c r="O24" s="18"/>
      <c r="P24" s="19"/>
      <c r="Q24" s="18"/>
      <c r="R24" s="19"/>
      <c r="S24" s="18"/>
      <c r="T24" s="19"/>
      <c r="U24" s="18"/>
      <c r="V24" s="19"/>
      <c r="W24" s="18"/>
      <c r="X24" s="19"/>
      <c r="Y24" s="18"/>
      <c r="Z24" s="19"/>
      <c r="AA24" s="18"/>
      <c r="AB24" s="19"/>
      <c r="AC24" s="18"/>
      <c r="AD24" s="19"/>
      <c r="AE24" s="18"/>
      <c r="AF24" s="19"/>
      <c r="AG24" s="18"/>
      <c r="AH24" s="19"/>
    </row>
    <row r="25" spans="1:34" x14ac:dyDescent="0.3">
      <c r="A25" s="17">
        <v>1983</v>
      </c>
      <c r="B25" s="17">
        <v>2</v>
      </c>
      <c r="C25" s="18">
        <v>60666.889577840397</v>
      </c>
      <c r="D25" s="19">
        <v>2.26291691768741E-2</v>
      </c>
      <c r="E25" s="18"/>
      <c r="F25" s="19"/>
      <c r="G25" s="18"/>
      <c r="H25" s="19"/>
      <c r="I25" s="18"/>
      <c r="J25" s="19"/>
      <c r="K25" s="18"/>
      <c r="L25" s="19"/>
      <c r="M25" s="18"/>
      <c r="N25" s="19"/>
      <c r="O25" s="18"/>
      <c r="P25" s="19"/>
      <c r="Q25" s="18"/>
      <c r="R25" s="19"/>
      <c r="S25" s="18"/>
      <c r="T25" s="19"/>
      <c r="U25" s="18"/>
      <c r="V25" s="19"/>
      <c r="W25" s="18"/>
      <c r="X25" s="19"/>
      <c r="Y25" s="18"/>
      <c r="Z25" s="19"/>
      <c r="AA25" s="18"/>
      <c r="AB25" s="19"/>
      <c r="AC25" s="18"/>
      <c r="AD25" s="19"/>
      <c r="AE25" s="18"/>
      <c r="AF25" s="19"/>
      <c r="AG25" s="18"/>
      <c r="AH25" s="19"/>
    </row>
    <row r="26" spans="1:34" x14ac:dyDescent="0.3">
      <c r="A26" s="17">
        <v>1983</v>
      </c>
      <c r="B26" s="17">
        <v>3</v>
      </c>
      <c r="C26" s="18">
        <v>60588.290848839701</v>
      </c>
      <c r="D26" s="19">
        <v>2.5623864504952201E-2</v>
      </c>
      <c r="E26" s="18"/>
      <c r="F26" s="19"/>
      <c r="G26" s="18"/>
      <c r="H26" s="19"/>
      <c r="I26" s="18"/>
      <c r="J26" s="19"/>
      <c r="K26" s="18"/>
      <c r="L26" s="19"/>
      <c r="M26" s="18"/>
      <c r="N26" s="19"/>
      <c r="O26" s="18"/>
      <c r="P26" s="19"/>
      <c r="Q26" s="18"/>
      <c r="R26" s="19"/>
      <c r="S26" s="18"/>
      <c r="T26" s="19"/>
      <c r="U26" s="18"/>
      <c r="V26" s="19"/>
      <c r="W26" s="18"/>
      <c r="X26" s="19"/>
      <c r="Y26" s="18"/>
      <c r="Z26" s="19"/>
      <c r="AA26" s="18"/>
      <c r="AB26" s="19"/>
      <c r="AC26" s="18"/>
      <c r="AD26" s="19"/>
      <c r="AE26" s="18"/>
      <c r="AF26" s="19"/>
      <c r="AG26" s="18"/>
      <c r="AH26" s="19"/>
    </row>
    <row r="27" spans="1:34" x14ac:dyDescent="0.3">
      <c r="A27" s="17">
        <v>1983</v>
      </c>
      <c r="B27" s="17">
        <v>4</v>
      </c>
      <c r="C27" s="18">
        <v>63722.697424609403</v>
      </c>
      <c r="D27" s="19">
        <v>3.3819774302865001E-2</v>
      </c>
      <c r="E27" s="18"/>
      <c r="F27" s="19"/>
      <c r="G27" s="18"/>
      <c r="H27" s="19"/>
      <c r="I27" s="18"/>
      <c r="J27" s="19"/>
      <c r="K27" s="18"/>
      <c r="L27" s="19"/>
      <c r="M27" s="18"/>
      <c r="N27" s="19"/>
      <c r="O27" s="18"/>
      <c r="P27" s="19"/>
      <c r="Q27" s="18"/>
      <c r="R27" s="19"/>
      <c r="S27" s="18"/>
      <c r="T27" s="19"/>
      <c r="U27" s="18"/>
      <c r="V27" s="19"/>
      <c r="W27" s="18"/>
      <c r="X27" s="19"/>
      <c r="Y27" s="18"/>
      <c r="Z27" s="19"/>
      <c r="AA27" s="18"/>
      <c r="AB27" s="19"/>
      <c r="AC27" s="18"/>
      <c r="AD27" s="19"/>
      <c r="AE27" s="18"/>
      <c r="AF27" s="19"/>
      <c r="AG27" s="18"/>
      <c r="AH27" s="19"/>
    </row>
    <row r="28" spans="1:34" x14ac:dyDescent="0.3">
      <c r="A28" s="17">
        <v>1984</v>
      </c>
      <c r="B28" s="17">
        <v>1</v>
      </c>
      <c r="C28" s="18">
        <v>62628.273085547902</v>
      </c>
      <c r="D28" s="19">
        <v>5.6535320782476098E-2</v>
      </c>
      <c r="E28" s="18"/>
      <c r="F28" s="19"/>
      <c r="G28" s="18"/>
      <c r="H28" s="19"/>
      <c r="I28" s="18"/>
      <c r="J28" s="19"/>
      <c r="K28" s="18"/>
      <c r="L28" s="19"/>
      <c r="M28" s="18"/>
      <c r="N28" s="19"/>
      <c r="O28" s="18"/>
      <c r="P28" s="19"/>
      <c r="Q28" s="18"/>
      <c r="R28" s="19"/>
      <c r="S28" s="18"/>
      <c r="T28" s="19"/>
      <c r="U28" s="18"/>
      <c r="V28" s="19"/>
      <c r="W28" s="18"/>
      <c r="X28" s="19"/>
      <c r="Y28" s="18"/>
      <c r="Z28" s="19"/>
      <c r="AA28" s="18"/>
      <c r="AB28" s="19"/>
      <c r="AC28" s="18"/>
      <c r="AD28" s="19"/>
      <c r="AE28" s="18"/>
      <c r="AF28" s="19"/>
      <c r="AG28" s="18"/>
      <c r="AH28" s="19"/>
    </row>
    <row r="29" spans="1:34" x14ac:dyDescent="0.3">
      <c r="A29" s="17">
        <v>1984</v>
      </c>
      <c r="B29" s="17">
        <v>2</v>
      </c>
      <c r="C29" s="18">
        <v>64803.094046672297</v>
      </c>
      <c r="D29" s="19">
        <v>6.8178944027200303E-2</v>
      </c>
      <c r="E29" s="18"/>
      <c r="F29" s="19"/>
      <c r="G29" s="18"/>
      <c r="H29" s="19"/>
      <c r="I29" s="18"/>
      <c r="J29" s="19"/>
      <c r="K29" s="18"/>
      <c r="L29" s="19"/>
      <c r="M29" s="18"/>
      <c r="N29" s="19"/>
      <c r="O29" s="18"/>
      <c r="P29" s="19"/>
      <c r="Q29" s="18"/>
      <c r="R29" s="19"/>
      <c r="S29" s="18"/>
      <c r="T29" s="19"/>
      <c r="U29" s="18"/>
      <c r="V29" s="19"/>
      <c r="W29" s="18"/>
      <c r="X29" s="19"/>
      <c r="Y29" s="18"/>
      <c r="Z29" s="19"/>
      <c r="AA29" s="18"/>
      <c r="AB29" s="19"/>
      <c r="AC29" s="18"/>
      <c r="AD29" s="19"/>
      <c r="AE29" s="18"/>
      <c r="AF29" s="19"/>
      <c r="AG29" s="18"/>
      <c r="AH29" s="19"/>
    </row>
    <row r="30" spans="1:34" x14ac:dyDescent="0.3">
      <c r="A30" s="17">
        <v>1984</v>
      </c>
      <c r="B30" s="17">
        <v>3</v>
      </c>
      <c r="C30" s="18">
        <v>65212.957294055297</v>
      </c>
      <c r="D30" s="19">
        <v>7.63293761950401E-2</v>
      </c>
      <c r="E30" s="18"/>
      <c r="F30" s="19"/>
      <c r="G30" s="18"/>
      <c r="H30" s="19"/>
      <c r="I30" s="18"/>
      <c r="J30" s="19"/>
      <c r="K30" s="18"/>
      <c r="L30" s="19"/>
      <c r="M30" s="18"/>
      <c r="N30" s="19"/>
      <c r="O30" s="18"/>
      <c r="P30" s="19"/>
      <c r="Q30" s="18"/>
      <c r="R30" s="19"/>
      <c r="S30" s="18"/>
      <c r="T30" s="19"/>
      <c r="U30" s="18"/>
      <c r="V30" s="19"/>
      <c r="W30" s="18"/>
      <c r="X30" s="19"/>
      <c r="Y30" s="18"/>
      <c r="Z30" s="19"/>
      <c r="AA30" s="18"/>
      <c r="AB30" s="19"/>
      <c r="AC30" s="18"/>
      <c r="AD30" s="19"/>
      <c r="AE30" s="18"/>
      <c r="AF30" s="19"/>
      <c r="AG30" s="18"/>
      <c r="AH30" s="19"/>
    </row>
    <row r="31" spans="1:34" x14ac:dyDescent="0.3">
      <c r="A31" s="17">
        <v>1984</v>
      </c>
      <c r="B31" s="17">
        <v>4</v>
      </c>
      <c r="C31" s="18">
        <v>68418.252753637498</v>
      </c>
      <c r="D31" s="19">
        <v>7.3687328358682497E-2</v>
      </c>
      <c r="E31" s="18"/>
      <c r="F31" s="19"/>
      <c r="G31" s="18"/>
      <c r="H31" s="19"/>
      <c r="I31" s="18"/>
      <c r="J31" s="19"/>
      <c r="K31" s="18"/>
      <c r="L31" s="19"/>
      <c r="M31" s="18"/>
      <c r="N31" s="19"/>
      <c r="O31" s="18"/>
      <c r="P31" s="19"/>
      <c r="Q31" s="18"/>
      <c r="R31" s="19"/>
      <c r="S31" s="18"/>
      <c r="T31" s="19"/>
      <c r="U31" s="18"/>
      <c r="V31" s="19"/>
      <c r="W31" s="18"/>
      <c r="X31" s="19"/>
      <c r="Y31" s="18"/>
      <c r="Z31" s="19"/>
      <c r="AA31" s="18"/>
      <c r="AB31" s="19"/>
      <c r="AC31" s="18"/>
      <c r="AD31" s="19"/>
      <c r="AE31" s="18"/>
      <c r="AF31" s="19"/>
      <c r="AG31" s="18"/>
      <c r="AH31" s="19"/>
    </row>
    <row r="32" spans="1:34" x14ac:dyDescent="0.3">
      <c r="A32" s="17">
        <v>1985</v>
      </c>
      <c r="B32" s="17">
        <v>1</v>
      </c>
      <c r="C32" s="18">
        <v>66576.5390437936</v>
      </c>
      <c r="D32" s="19">
        <v>6.3042868080562101E-2</v>
      </c>
      <c r="E32" s="18"/>
      <c r="F32" s="19"/>
      <c r="G32" s="18"/>
      <c r="H32" s="19"/>
      <c r="I32" s="18"/>
      <c r="J32" s="19"/>
      <c r="K32" s="18"/>
      <c r="L32" s="19"/>
      <c r="M32" s="18"/>
      <c r="N32" s="19"/>
      <c r="O32" s="18"/>
      <c r="P32" s="19"/>
      <c r="Q32" s="18"/>
      <c r="R32" s="19"/>
      <c r="S32" s="18"/>
      <c r="T32" s="19"/>
      <c r="U32" s="18"/>
      <c r="V32" s="19"/>
      <c r="W32" s="18"/>
      <c r="X32" s="19"/>
      <c r="Y32" s="18"/>
      <c r="Z32" s="19"/>
      <c r="AA32" s="18"/>
      <c r="AB32" s="19"/>
      <c r="AC32" s="18"/>
      <c r="AD32" s="19"/>
      <c r="AE32" s="18"/>
      <c r="AF32" s="19"/>
      <c r="AG32" s="18"/>
      <c r="AH32" s="19"/>
    </row>
    <row r="33" spans="1:34" x14ac:dyDescent="0.3">
      <c r="A33" s="17">
        <v>1985</v>
      </c>
      <c r="B33" s="17">
        <v>2</v>
      </c>
      <c r="C33" s="18">
        <v>68938.6812580236</v>
      </c>
      <c r="D33" s="19">
        <v>6.3817743152398299E-2</v>
      </c>
      <c r="E33" s="18"/>
      <c r="F33" s="19"/>
      <c r="G33" s="18"/>
      <c r="H33" s="19"/>
      <c r="I33" s="18"/>
      <c r="J33" s="19"/>
      <c r="K33" s="18"/>
      <c r="L33" s="19"/>
      <c r="M33" s="18"/>
      <c r="N33" s="19"/>
      <c r="O33" s="18"/>
      <c r="P33" s="19"/>
      <c r="Q33" s="18"/>
      <c r="R33" s="19"/>
      <c r="S33" s="18"/>
      <c r="T33" s="19"/>
      <c r="U33" s="18"/>
      <c r="V33" s="19"/>
      <c r="W33" s="18"/>
      <c r="X33" s="19"/>
      <c r="Y33" s="18"/>
      <c r="Z33" s="19"/>
      <c r="AA33" s="18"/>
      <c r="AB33" s="19"/>
      <c r="AC33" s="18"/>
      <c r="AD33" s="19"/>
      <c r="AE33" s="18"/>
      <c r="AF33" s="19"/>
      <c r="AG33" s="18"/>
      <c r="AH33" s="19"/>
    </row>
    <row r="34" spans="1:34" x14ac:dyDescent="0.3">
      <c r="A34" s="17">
        <v>1985</v>
      </c>
      <c r="B34" s="17">
        <v>3</v>
      </c>
      <c r="C34" s="18">
        <v>68747.019600484098</v>
      </c>
      <c r="D34" s="19">
        <v>5.4192639822990801E-2</v>
      </c>
      <c r="E34" s="18"/>
      <c r="F34" s="19"/>
      <c r="G34" s="18"/>
      <c r="H34" s="19"/>
      <c r="I34" s="18"/>
      <c r="J34" s="19"/>
      <c r="K34" s="18"/>
      <c r="L34" s="19"/>
      <c r="M34" s="18"/>
      <c r="N34" s="19"/>
      <c r="O34" s="18"/>
      <c r="P34" s="19"/>
      <c r="Q34" s="18"/>
      <c r="R34" s="19"/>
      <c r="S34" s="18"/>
      <c r="T34" s="19"/>
      <c r="U34" s="18"/>
      <c r="V34" s="19"/>
      <c r="W34" s="18"/>
      <c r="X34" s="19"/>
      <c r="Y34" s="18"/>
      <c r="Z34" s="19"/>
      <c r="AA34" s="18"/>
      <c r="AB34" s="19"/>
      <c r="AC34" s="18"/>
      <c r="AD34" s="19"/>
      <c r="AE34" s="18"/>
      <c r="AF34" s="19"/>
      <c r="AG34" s="18"/>
      <c r="AH34" s="19"/>
    </row>
    <row r="35" spans="1:34" x14ac:dyDescent="0.3">
      <c r="A35" s="17">
        <v>1985</v>
      </c>
      <c r="B35" s="17">
        <v>4</v>
      </c>
      <c r="C35" s="18">
        <v>72536.521071227602</v>
      </c>
      <c r="D35" s="19">
        <v>6.0192538567438697E-2</v>
      </c>
      <c r="E35" s="18"/>
      <c r="F35" s="19"/>
      <c r="G35" s="18"/>
      <c r="H35" s="19"/>
      <c r="I35" s="18"/>
      <c r="J35" s="19"/>
      <c r="K35" s="18"/>
      <c r="L35" s="19"/>
      <c r="M35" s="18"/>
      <c r="N35" s="19"/>
      <c r="O35" s="18"/>
      <c r="P35" s="19"/>
      <c r="Q35" s="18"/>
      <c r="R35" s="19"/>
      <c r="S35" s="18"/>
      <c r="T35" s="19"/>
      <c r="U35" s="18"/>
      <c r="V35" s="19"/>
      <c r="W35" s="18"/>
      <c r="X35" s="19"/>
      <c r="Y35" s="18"/>
      <c r="Z35" s="19"/>
      <c r="AA35" s="18"/>
      <c r="AB35" s="19"/>
      <c r="AC35" s="18"/>
      <c r="AD35" s="19"/>
      <c r="AE35" s="18"/>
      <c r="AF35" s="19"/>
      <c r="AG35" s="18"/>
      <c r="AH35" s="19"/>
    </row>
    <row r="36" spans="1:34" x14ac:dyDescent="0.3">
      <c r="A36" s="17">
        <v>1986</v>
      </c>
      <c r="B36" s="17">
        <v>1</v>
      </c>
      <c r="C36" s="18">
        <v>70056.990173592902</v>
      </c>
      <c r="D36" s="19">
        <v>5.2277441570068597E-2</v>
      </c>
      <c r="E36" s="18"/>
      <c r="F36" s="19"/>
      <c r="G36" s="18"/>
      <c r="H36" s="19"/>
      <c r="I36" s="18"/>
      <c r="J36" s="19"/>
      <c r="K36" s="18"/>
      <c r="L36" s="19"/>
      <c r="M36" s="18"/>
      <c r="N36" s="19"/>
      <c r="O36" s="18"/>
      <c r="P36" s="19"/>
      <c r="Q36" s="18"/>
      <c r="R36" s="19"/>
      <c r="S36" s="18"/>
      <c r="T36" s="19"/>
      <c r="U36" s="18"/>
      <c r="V36" s="19"/>
      <c r="W36" s="18"/>
      <c r="X36" s="19"/>
      <c r="Y36" s="18"/>
      <c r="Z36" s="19"/>
      <c r="AA36" s="18"/>
      <c r="AB36" s="19"/>
      <c r="AC36" s="18"/>
      <c r="AD36" s="19"/>
      <c r="AE36" s="18"/>
      <c r="AF36" s="19"/>
      <c r="AG36" s="18"/>
      <c r="AH36" s="19"/>
    </row>
    <row r="37" spans="1:34" x14ac:dyDescent="0.3">
      <c r="A37" s="17">
        <v>1986</v>
      </c>
      <c r="B37" s="17">
        <v>2</v>
      </c>
      <c r="C37" s="18">
        <v>73132.872000117597</v>
      </c>
      <c r="D37" s="19">
        <v>6.0839439710139297E-2</v>
      </c>
      <c r="E37" s="18"/>
      <c r="F37" s="19"/>
      <c r="G37" s="18"/>
      <c r="H37" s="19"/>
      <c r="I37" s="18"/>
      <c r="J37" s="19"/>
      <c r="K37" s="18"/>
      <c r="L37" s="19"/>
      <c r="M37" s="18"/>
      <c r="N37" s="19"/>
      <c r="O37" s="18"/>
      <c r="P37" s="19"/>
      <c r="Q37" s="18"/>
      <c r="R37" s="19"/>
      <c r="S37" s="18"/>
      <c r="T37" s="19"/>
      <c r="U37" s="18"/>
      <c r="V37" s="19"/>
      <c r="W37" s="18"/>
      <c r="X37" s="19"/>
      <c r="Y37" s="18"/>
      <c r="Z37" s="19"/>
      <c r="AA37" s="18"/>
      <c r="AB37" s="19"/>
      <c r="AC37" s="18"/>
      <c r="AD37" s="19"/>
      <c r="AE37" s="18"/>
      <c r="AF37" s="19"/>
      <c r="AG37" s="18"/>
      <c r="AH37" s="19"/>
    </row>
    <row r="38" spans="1:34" x14ac:dyDescent="0.3">
      <c r="A38" s="17">
        <v>1986</v>
      </c>
      <c r="B38" s="17">
        <v>3</v>
      </c>
      <c r="C38" s="18">
        <v>72364.099159024001</v>
      </c>
      <c r="D38" s="19">
        <v>5.2614347204578998E-2</v>
      </c>
      <c r="E38" s="18"/>
      <c r="F38" s="19"/>
      <c r="G38" s="18"/>
      <c r="H38" s="19"/>
      <c r="I38" s="18"/>
      <c r="J38" s="19"/>
      <c r="K38" s="18"/>
      <c r="L38" s="19"/>
      <c r="M38" s="18"/>
      <c r="N38" s="19"/>
      <c r="O38" s="18"/>
      <c r="P38" s="19"/>
      <c r="Q38" s="18"/>
      <c r="R38" s="19"/>
      <c r="S38" s="18"/>
      <c r="T38" s="19"/>
      <c r="U38" s="18"/>
      <c r="V38" s="19"/>
      <c r="W38" s="18"/>
      <c r="X38" s="19"/>
      <c r="Y38" s="18"/>
      <c r="Z38" s="19"/>
      <c r="AA38" s="18"/>
      <c r="AB38" s="19"/>
      <c r="AC38" s="18"/>
      <c r="AD38" s="19"/>
      <c r="AE38" s="18"/>
      <c r="AF38" s="19"/>
      <c r="AG38" s="18"/>
      <c r="AH38" s="19"/>
    </row>
    <row r="39" spans="1:34" x14ac:dyDescent="0.3">
      <c r="A39" s="17">
        <v>1986</v>
      </c>
      <c r="B39" s="17">
        <v>4</v>
      </c>
      <c r="C39" s="18">
        <v>74945.310524288594</v>
      </c>
      <c r="D39" s="19">
        <v>3.3207953972532699E-2</v>
      </c>
      <c r="E39" s="18"/>
      <c r="F39" s="19"/>
      <c r="G39" s="18"/>
      <c r="H39" s="19"/>
      <c r="I39" s="18"/>
      <c r="J39" s="19"/>
      <c r="K39" s="18"/>
      <c r="L39" s="19"/>
      <c r="M39" s="18"/>
      <c r="N39" s="19"/>
      <c r="O39" s="18"/>
      <c r="P39" s="19"/>
      <c r="Q39" s="18"/>
      <c r="R39" s="19"/>
      <c r="S39" s="18"/>
      <c r="T39" s="19"/>
      <c r="U39" s="18"/>
      <c r="V39" s="19"/>
      <c r="W39" s="18"/>
      <c r="X39" s="19"/>
      <c r="Y39" s="18"/>
      <c r="Z39" s="19"/>
      <c r="AA39" s="18"/>
      <c r="AB39" s="19"/>
      <c r="AC39" s="18"/>
      <c r="AD39" s="19"/>
      <c r="AE39" s="18"/>
      <c r="AF39" s="19"/>
      <c r="AG39" s="18"/>
      <c r="AH39" s="19"/>
    </row>
    <row r="40" spans="1:34" x14ac:dyDescent="0.3">
      <c r="A40" s="17">
        <v>1987</v>
      </c>
      <c r="B40" s="17">
        <v>1</v>
      </c>
      <c r="C40" s="18">
        <v>72329.745027892306</v>
      </c>
      <c r="D40" s="19">
        <v>3.2441514382331303E-2</v>
      </c>
      <c r="E40" s="18"/>
      <c r="F40" s="19"/>
      <c r="G40" s="18"/>
      <c r="H40" s="19"/>
      <c r="I40" s="18"/>
      <c r="J40" s="19"/>
      <c r="K40" s="18"/>
      <c r="L40" s="19"/>
      <c r="M40" s="18"/>
      <c r="N40" s="19"/>
      <c r="O40" s="18"/>
      <c r="P40" s="19"/>
      <c r="Q40" s="18"/>
      <c r="R40" s="19"/>
      <c r="S40" s="18"/>
      <c r="T40" s="19"/>
      <c r="U40" s="18"/>
      <c r="V40" s="19"/>
      <c r="W40" s="18"/>
      <c r="X40" s="19"/>
      <c r="Y40" s="18"/>
      <c r="Z40" s="19"/>
      <c r="AA40" s="18"/>
      <c r="AB40" s="19"/>
      <c r="AC40" s="18"/>
      <c r="AD40" s="19"/>
      <c r="AE40" s="18"/>
      <c r="AF40" s="19"/>
      <c r="AG40" s="18"/>
      <c r="AH40" s="19"/>
    </row>
    <row r="41" spans="1:34" x14ac:dyDescent="0.3">
      <c r="A41" s="17">
        <v>1987</v>
      </c>
      <c r="B41" s="17">
        <v>2</v>
      </c>
      <c r="C41" s="18">
        <v>74710.255519108599</v>
      </c>
      <c r="D41" s="19">
        <v>2.1568734767978E-2</v>
      </c>
      <c r="E41" s="18"/>
      <c r="F41" s="19"/>
      <c r="G41" s="18"/>
      <c r="H41" s="19"/>
      <c r="I41" s="18"/>
      <c r="J41" s="19"/>
      <c r="K41" s="18"/>
      <c r="L41" s="19"/>
      <c r="M41" s="18"/>
      <c r="N41" s="19"/>
      <c r="O41" s="18"/>
      <c r="P41" s="19"/>
      <c r="Q41" s="18"/>
      <c r="R41" s="19"/>
      <c r="S41" s="18"/>
      <c r="T41" s="19"/>
      <c r="U41" s="18"/>
      <c r="V41" s="19"/>
      <c r="W41" s="18"/>
      <c r="X41" s="19"/>
      <c r="Y41" s="18"/>
      <c r="Z41" s="19"/>
      <c r="AA41" s="18"/>
      <c r="AB41" s="19"/>
      <c r="AC41" s="18"/>
      <c r="AD41" s="19"/>
      <c r="AE41" s="18"/>
      <c r="AF41" s="19"/>
      <c r="AG41" s="18"/>
      <c r="AH41" s="19"/>
    </row>
    <row r="42" spans="1:34" x14ac:dyDescent="0.3">
      <c r="A42" s="17">
        <v>1987</v>
      </c>
      <c r="B42" s="17">
        <v>3</v>
      </c>
      <c r="C42" s="18">
        <v>75468.582428096299</v>
      </c>
      <c r="D42" s="19">
        <v>4.29008763344116E-2</v>
      </c>
      <c r="E42" s="18"/>
      <c r="F42" s="19"/>
      <c r="G42" s="18"/>
      <c r="H42" s="19"/>
      <c r="I42" s="18"/>
      <c r="J42" s="19"/>
      <c r="K42" s="18"/>
      <c r="L42" s="19"/>
      <c r="M42" s="18"/>
      <c r="N42" s="19"/>
      <c r="O42" s="18"/>
      <c r="P42" s="19"/>
      <c r="Q42" s="18"/>
      <c r="R42" s="19"/>
      <c r="S42" s="18"/>
      <c r="T42" s="19"/>
      <c r="U42" s="18"/>
      <c r="V42" s="19"/>
      <c r="W42" s="18"/>
      <c r="X42" s="19"/>
      <c r="Y42" s="18"/>
      <c r="Z42" s="19"/>
      <c r="AA42" s="18"/>
      <c r="AB42" s="19"/>
      <c r="AC42" s="18"/>
      <c r="AD42" s="19"/>
      <c r="AE42" s="18"/>
      <c r="AF42" s="19"/>
      <c r="AG42" s="18"/>
      <c r="AH42" s="19"/>
    </row>
    <row r="43" spans="1:34" x14ac:dyDescent="0.3">
      <c r="A43" s="17">
        <v>1987</v>
      </c>
      <c r="B43" s="17">
        <v>4</v>
      </c>
      <c r="C43" s="18">
        <v>79069.569353504703</v>
      </c>
      <c r="D43" s="19">
        <v>5.50302453931319E-2</v>
      </c>
      <c r="E43" s="18"/>
      <c r="F43" s="19"/>
      <c r="G43" s="18"/>
      <c r="H43" s="19"/>
      <c r="I43" s="18"/>
      <c r="J43" s="19"/>
      <c r="K43" s="18"/>
      <c r="L43" s="19"/>
      <c r="M43" s="18"/>
      <c r="N43" s="19"/>
      <c r="O43" s="18"/>
      <c r="P43" s="19"/>
      <c r="Q43" s="18"/>
      <c r="R43" s="19"/>
      <c r="S43" s="18"/>
      <c r="T43" s="19"/>
      <c r="U43" s="18"/>
      <c r="V43" s="19"/>
      <c r="W43" s="18"/>
      <c r="X43" s="19"/>
      <c r="Y43" s="18"/>
      <c r="Z43" s="19"/>
      <c r="AA43" s="18"/>
      <c r="AB43" s="19"/>
      <c r="AC43" s="18"/>
      <c r="AD43" s="19"/>
      <c r="AE43" s="18"/>
      <c r="AF43" s="19"/>
      <c r="AG43" s="18"/>
      <c r="AH43" s="19"/>
    </row>
    <row r="44" spans="1:34" x14ac:dyDescent="0.3">
      <c r="A44" s="17">
        <v>1988</v>
      </c>
      <c r="B44" s="17">
        <v>1</v>
      </c>
      <c r="C44" s="18">
        <v>76919.109145292095</v>
      </c>
      <c r="D44" s="19">
        <v>6.3450577844978095E-2</v>
      </c>
      <c r="E44" s="18"/>
      <c r="F44" s="19"/>
      <c r="G44" s="18"/>
      <c r="H44" s="19"/>
      <c r="I44" s="18"/>
      <c r="J44" s="19"/>
      <c r="K44" s="18"/>
      <c r="L44" s="19"/>
      <c r="M44" s="18"/>
      <c r="N44" s="19"/>
      <c r="O44" s="18"/>
      <c r="P44" s="19"/>
      <c r="Q44" s="18"/>
      <c r="R44" s="19"/>
      <c r="S44" s="18"/>
      <c r="T44" s="19"/>
      <c r="U44" s="18"/>
      <c r="V44" s="19"/>
      <c r="W44" s="18"/>
      <c r="X44" s="19"/>
      <c r="Y44" s="18"/>
      <c r="Z44" s="19"/>
      <c r="AA44" s="18"/>
      <c r="AB44" s="19"/>
      <c r="AC44" s="18"/>
      <c r="AD44" s="19"/>
      <c r="AE44" s="18"/>
      <c r="AF44" s="19"/>
      <c r="AG44" s="18"/>
      <c r="AH44" s="19"/>
    </row>
    <row r="45" spans="1:34" x14ac:dyDescent="0.3">
      <c r="A45" s="17">
        <v>1988</v>
      </c>
      <c r="B45" s="17">
        <v>2</v>
      </c>
      <c r="C45" s="18">
        <v>78993.408755466604</v>
      </c>
      <c r="D45" s="19">
        <v>5.7330191238102297E-2</v>
      </c>
      <c r="E45" s="18"/>
      <c r="F45" s="19"/>
      <c r="G45" s="18"/>
      <c r="H45" s="19"/>
      <c r="I45" s="18"/>
      <c r="J45" s="19"/>
      <c r="K45" s="18"/>
      <c r="L45" s="19"/>
      <c r="M45" s="18"/>
      <c r="N45" s="19"/>
      <c r="O45" s="18"/>
      <c r="P45" s="19"/>
      <c r="Q45" s="18"/>
      <c r="R45" s="19"/>
      <c r="S45" s="18"/>
      <c r="T45" s="19"/>
      <c r="U45" s="18"/>
      <c r="V45" s="19"/>
      <c r="W45" s="18"/>
      <c r="X45" s="19"/>
      <c r="Y45" s="18"/>
      <c r="Z45" s="19"/>
      <c r="AA45" s="18"/>
      <c r="AB45" s="19"/>
      <c r="AC45" s="18"/>
      <c r="AD45" s="19"/>
      <c r="AE45" s="18"/>
      <c r="AF45" s="19"/>
      <c r="AG45" s="18"/>
      <c r="AH45" s="19"/>
    </row>
    <row r="46" spans="1:34" x14ac:dyDescent="0.3">
      <c r="A46" s="17">
        <v>1988</v>
      </c>
      <c r="B46" s="17">
        <v>3</v>
      </c>
      <c r="C46" s="18">
        <v>79881.724502039098</v>
      </c>
      <c r="D46" s="19">
        <v>5.84765465569392E-2</v>
      </c>
      <c r="E46" s="18"/>
      <c r="F46" s="19"/>
      <c r="G46" s="18"/>
      <c r="H46" s="19"/>
      <c r="I46" s="18"/>
      <c r="J46" s="19"/>
      <c r="K46" s="18"/>
      <c r="L46" s="19"/>
      <c r="M46" s="18"/>
      <c r="N46" s="19"/>
      <c r="O46" s="18"/>
      <c r="P46" s="19"/>
      <c r="Q46" s="18"/>
      <c r="R46" s="19"/>
      <c r="S46" s="18"/>
      <c r="T46" s="19"/>
      <c r="U46" s="18"/>
      <c r="V46" s="19"/>
      <c r="W46" s="18"/>
      <c r="X46" s="19"/>
      <c r="Y46" s="18"/>
      <c r="Z46" s="19"/>
      <c r="AA46" s="18"/>
      <c r="AB46" s="19"/>
      <c r="AC46" s="18"/>
      <c r="AD46" s="19"/>
      <c r="AE46" s="18"/>
      <c r="AF46" s="19"/>
      <c r="AG46" s="18"/>
      <c r="AH46" s="19"/>
    </row>
    <row r="47" spans="1:34" x14ac:dyDescent="0.3">
      <c r="A47" s="17">
        <v>1988</v>
      </c>
      <c r="B47" s="17">
        <v>4</v>
      </c>
      <c r="C47" s="18">
        <v>84358.975213079204</v>
      </c>
      <c r="D47" s="19">
        <v>6.6895594636750405E-2</v>
      </c>
      <c r="E47" s="18"/>
      <c r="F47" s="19"/>
      <c r="G47" s="18"/>
      <c r="H47" s="19"/>
      <c r="I47" s="18"/>
      <c r="J47" s="19"/>
      <c r="K47" s="18"/>
      <c r="L47" s="19"/>
      <c r="M47" s="18"/>
      <c r="N47" s="19"/>
      <c r="O47" s="18"/>
      <c r="P47" s="19"/>
      <c r="Q47" s="18"/>
      <c r="R47" s="19"/>
      <c r="S47" s="18"/>
      <c r="T47" s="19"/>
      <c r="U47" s="18"/>
      <c r="V47" s="19"/>
      <c r="W47" s="18"/>
      <c r="X47" s="19"/>
      <c r="Y47" s="18"/>
      <c r="Z47" s="19"/>
      <c r="AA47" s="18"/>
      <c r="AB47" s="19"/>
      <c r="AC47" s="18"/>
      <c r="AD47" s="19"/>
      <c r="AE47" s="18"/>
      <c r="AF47" s="19"/>
      <c r="AG47" s="18"/>
      <c r="AH47" s="19"/>
    </row>
    <row r="48" spans="1:34" x14ac:dyDescent="0.3">
      <c r="A48" s="17">
        <v>1989</v>
      </c>
      <c r="B48" s="17">
        <v>1</v>
      </c>
      <c r="C48" s="18">
        <v>82338.185100847695</v>
      </c>
      <c r="D48" s="19">
        <v>7.0451621395141606E-2</v>
      </c>
      <c r="E48" s="18"/>
      <c r="F48" s="19"/>
      <c r="G48" s="18"/>
      <c r="H48" s="19"/>
      <c r="I48" s="18"/>
      <c r="J48" s="19"/>
      <c r="K48" s="18"/>
      <c r="L48" s="19"/>
      <c r="M48" s="18"/>
      <c r="N48" s="19"/>
      <c r="O48" s="18"/>
      <c r="P48" s="19"/>
      <c r="Q48" s="18"/>
      <c r="R48" s="19"/>
      <c r="S48" s="18"/>
      <c r="T48" s="19"/>
      <c r="U48" s="18"/>
      <c r="V48" s="19"/>
      <c r="W48" s="18"/>
      <c r="X48" s="19"/>
      <c r="Y48" s="18"/>
      <c r="Z48" s="19"/>
      <c r="AA48" s="18"/>
      <c r="AB48" s="19"/>
      <c r="AC48" s="18"/>
      <c r="AD48" s="19"/>
      <c r="AE48" s="18"/>
      <c r="AF48" s="19"/>
      <c r="AG48" s="18"/>
      <c r="AH48" s="19"/>
    </row>
    <row r="49" spans="1:34" x14ac:dyDescent="0.3">
      <c r="A49" s="17">
        <v>1989</v>
      </c>
      <c r="B49" s="17">
        <v>2</v>
      </c>
      <c r="C49" s="18">
        <v>86210.865104414304</v>
      </c>
      <c r="D49" s="19">
        <v>9.1367830084282398E-2</v>
      </c>
      <c r="E49" s="18"/>
      <c r="F49" s="19"/>
      <c r="G49" s="18"/>
      <c r="H49" s="19"/>
      <c r="I49" s="18"/>
      <c r="J49" s="19"/>
      <c r="K49" s="18"/>
      <c r="L49" s="19"/>
      <c r="M49" s="18"/>
      <c r="N49" s="19"/>
      <c r="O49" s="18"/>
      <c r="P49" s="19"/>
      <c r="Q49" s="18"/>
      <c r="R49" s="19"/>
      <c r="S49" s="18"/>
      <c r="T49" s="19"/>
      <c r="U49" s="18"/>
      <c r="V49" s="19"/>
      <c r="W49" s="18"/>
      <c r="X49" s="19"/>
      <c r="Y49" s="18"/>
      <c r="Z49" s="19"/>
      <c r="AA49" s="18"/>
      <c r="AB49" s="19"/>
      <c r="AC49" s="18"/>
      <c r="AD49" s="19"/>
      <c r="AE49" s="18"/>
      <c r="AF49" s="19"/>
      <c r="AG49" s="18"/>
      <c r="AH49" s="19"/>
    </row>
    <row r="50" spans="1:34" x14ac:dyDescent="0.3">
      <c r="A50" s="17">
        <v>1989</v>
      </c>
      <c r="B50" s="17">
        <v>3</v>
      </c>
      <c r="C50" s="18">
        <v>86458.365482299894</v>
      </c>
      <c r="D50" s="19">
        <v>8.2329732129066593E-2</v>
      </c>
      <c r="E50" s="18"/>
      <c r="F50" s="19"/>
      <c r="G50" s="18"/>
      <c r="H50" s="19"/>
      <c r="I50" s="18"/>
      <c r="J50" s="19"/>
      <c r="K50" s="18"/>
      <c r="L50" s="19"/>
      <c r="M50" s="18"/>
      <c r="N50" s="19"/>
      <c r="O50" s="18"/>
      <c r="P50" s="19"/>
      <c r="Q50" s="18"/>
      <c r="R50" s="19"/>
      <c r="S50" s="18"/>
      <c r="T50" s="19"/>
      <c r="U50" s="18"/>
      <c r="V50" s="19"/>
      <c r="W50" s="18"/>
      <c r="X50" s="19"/>
      <c r="Y50" s="18"/>
      <c r="Z50" s="19"/>
      <c r="AA50" s="18"/>
      <c r="AB50" s="19"/>
      <c r="AC50" s="18"/>
      <c r="AD50" s="19"/>
      <c r="AE50" s="18"/>
      <c r="AF50" s="19"/>
      <c r="AG50" s="18"/>
      <c r="AH50" s="19"/>
    </row>
    <row r="51" spans="1:34" x14ac:dyDescent="0.3">
      <c r="A51" s="17">
        <v>1989</v>
      </c>
      <c r="B51" s="17">
        <v>4</v>
      </c>
      <c r="C51" s="18">
        <v>90562.872349383004</v>
      </c>
      <c r="D51" s="19">
        <v>7.3541637041389496E-2</v>
      </c>
      <c r="E51" s="18"/>
      <c r="F51" s="19"/>
      <c r="G51" s="18"/>
      <c r="H51" s="19"/>
      <c r="I51" s="18"/>
      <c r="J51" s="19"/>
      <c r="K51" s="18"/>
      <c r="L51" s="19"/>
      <c r="M51" s="18"/>
      <c r="N51" s="19"/>
      <c r="O51" s="18"/>
      <c r="P51" s="19"/>
      <c r="Q51" s="18"/>
      <c r="R51" s="19"/>
      <c r="S51" s="18"/>
      <c r="T51" s="19"/>
      <c r="U51" s="18"/>
      <c r="V51" s="19"/>
      <c r="W51" s="18"/>
      <c r="X51" s="19"/>
      <c r="Y51" s="18"/>
      <c r="Z51" s="19"/>
      <c r="AA51" s="18"/>
      <c r="AB51" s="19"/>
      <c r="AC51" s="18"/>
      <c r="AD51" s="19"/>
      <c r="AE51" s="18"/>
      <c r="AF51" s="19"/>
      <c r="AG51" s="18"/>
      <c r="AH51" s="19"/>
    </row>
    <row r="52" spans="1:34" x14ac:dyDescent="0.3">
      <c r="A52" s="17">
        <v>1990</v>
      </c>
      <c r="B52" s="17">
        <v>1</v>
      </c>
      <c r="C52" s="18">
        <v>90810.987888469404</v>
      </c>
      <c r="D52" s="19">
        <v>0.10290247200912001</v>
      </c>
      <c r="E52" s="18">
        <v>54221.761795313403</v>
      </c>
      <c r="F52" s="19"/>
      <c r="G52" s="18">
        <v>14341.2122926218</v>
      </c>
      <c r="H52" s="19"/>
      <c r="I52" s="18">
        <v>20232.855201567199</v>
      </c>
      <c r="J52" s="19"/>
      <c r="K52" s="18">
        <v>4667.3753677549003</v>
      </c>
      <c r="L52" s="19"/>
      <c r="M52" s="18">
        <v>-2652.2167687879901</v>
      </c>
      <c r="N52" s="19"/>
      <c r="O52" s="18">
        <v>92684.730256976007</v>
      </c>
      <c r="P52" s="19"/>
      <c r="Q52" s="18">
        <v>286.38403951027402</v>
      </c>
      <c r="R52" s="19"/>
      <c r="S52" s="18">
        <v>2215.1328635197801</v>
      </c>
      <c r="T52" s="19"/>
      <c r="U52" s="18">
        <v>4.8156918898461596</v>
      </c>
      <c r="V52" s="19"/>
      <c r="W52" s="18">
        <v>9364.5256499103507</v>
      </c>
      <c r="X52" s="19"/>
      <c r="Y52" s="18">
        <v>5566.8501492840996</v>
      </c>
      <c r="Z52" s="19"/>
      <c r="AA52" s="18">
        <v>92023.112784335899</v>
      </c>
      <c r="AB52" s="19"/>
      <c r="AC52" s="18">
        <v>3420.8993460179699</v>
      </c>
      <c r="AD52" s="19"/>
      <c r="AE52" s="18">
        <v>4082.51681865816</v>
      </c>
      <c r="AF52" s="19"/>
      <c r="AG52" s="18"/>
      <c r="AH52" s="19"/>
    </row>
    <row r="53" spans="1:34" x14ac:dyDescent="0.3">
      <c r="A53" s="17">
        <v>1990</v>
      </c>
      <c r="B53" s="17">
        <v>2</v>
      </c>
      <c r="C53" s="18">
        <v>93568.517690094304</v>
      </c>
      <c r="D53" s="19">
        <v>8.5344841126101301E-2</v>
      </c>
      <c r="E53" s="18">
        <v>49681.891218393699</v>
      </c>
      <c r="F53" s="19"/>
      <c r="G53" s="18">
        <v>21038.464436804301</v>
      </c>
      <c r="H53" s="19"/>
      <c r="I53" s="18">
        <v>20827.776925190799</v>
      </c>
      <c r="J53" s="19"/>
      <c r="K53" s="18">
        <v>4599.9941414531304</v>
      </c>
      <c r="L53" s="19"/>
      <c r="M53" s="18">
        <v>-2579.6090317476301</v>
      </c>
      <c r="N53" s="19"/>
      <c r="O53" s="18">
        <v>95396.552763776199</v>
      </c>
      <c r="P53" s="19"/>
      <c r="Q53" s="18">
        <v>292.398599289549</v>
      </c>
      <c r="R53" s="19"/>
      <c r="S53" s="18">
        <v>2362.33563769277</v>
      </c>
      <c r="T53" s="19"/>
      <c r="U53" s="18">
        <v>5.2137211387970304</v>
      </c>
      <c r="V53" s="19"/>
      <c r="W53" s="18">
        <v>9697.2068950394896</v>
      </c>
      <c r="X53" s="19"/>
      <c r="Y53" s="18">
        <v>5804.4485040932204</v>
      </c>
      <c r="Z53" s="19"/>
      <c r="AA53" s="18">
        <v>94636.546321166999</v>
      </c>
      <c r="AB53" s="19"/>
      <c r="AC53" s="18">
        <v>3547.1862051599901</v>
      </c>
      <c r="AD53" s="19"/>
      <c r="AE53" s="18">
        <v>4307.1926477691804</v>
      </c>
      <c r="AF53" s="19"/>
      <c r="AG53" s="18"/>
      <c r="AH53" s="19"/>
    </row>
    <row r="54" spans="1:34" x14ac:dyDescent="0.3">
      <c r="A54" s="17">
        <v>1990</v>
      </c>
      <c r="B54" s="17">
        <v>3</v>
      </c>
      <c r="C54" s="18">
        <v>93527.045927184299</v>
      </c>
      <c r="D54" s="19">
        <v>8.17582012504212E-2</v>
      </c>
      <c r="E54" s="18">
        <v>49017.300671671197</v>
      </c>
      <c r="F54" s="19"/>
      <c r="G54" s="18">
        <v>21146.162582271001</v>
      </c>
      <c r="H54" s="19"/>
      <c r="I54" s="18">
        <v>21263.544542066102</v>
      </c>
      <c r="J54" s="19"/>
      <c r="K54" s="18">
        <v>4716.8750615233403</v>
      </c>
      <c r="L54" s="19"/>
      <c r="M54" s="18">
        <v>-2616.8369303474701</v>
      </c>
      <c r="N54" s="19"/>
      <c r="O54" s="18">
        <v>95186.5012795277</v>
      </c>
      <c r="P54" s="19"/>
      <c r="Q54" s="18">
        <v>300.34230664027501</v>
      </c>
      <c r="R54" s="19"/>
      <c r="S54" s="18">
        <v>2433.7939252701199</v>
      </c>
      <c r="T54" s="19"/>
      <c r="U54" s="18">
        <v>5.6061808202336998</v>
      </c>
      <c r="V54" s="19"/>
      <c r="W54" s="18">
        <v>9582.2513795569903</v>
      </c>
      <c r="X54" s="19"/>
      <c r="Y54" s="18">
        <v>5794.9505894039403</v>
      </c>
      <c r="Z54" s="19"/>
      <c r="AA54" s="18">
        <v>94397.373638814097</v>
      </c>
      <c r="AB54" s="19"/>
      <c r="AC54" s="18">
        <v>3650.2425856096002</v>
      </c>
      <c r="AD54" s="19"/>
      <c r="AE54" s="18">
        <v>4439.3702263231798</v>
      </c>
      <c r="AF54" s="19"/>
      <c r="AG54" s="18"/>
      <c r="AH54" s="19"/>
    </row>
    <row r="55" spans="1:34" x14ac:dyDescent="0.3">
      <c r="A55" s="17">
        <v>1990</v>
      </c>
      <c r="B55" s="17">
        <v>4</v>
      </c>
      <c r="C55" s="18">
        <v>96855.485112819006</v>
      </c>
      <c r="D55" s="19">
        <v>6.9483361119109494E-2</v>
      </c>
      <c r="E55" s="18">
        <v>50810.058460660701</v>
      </c>
      <c r="F55" s="19"/>
      <c r="G55" s="18">
        <v>22518.781291919098</v>
      </c>
      <c r="H55" s="19"/>
      <c r="I55" s="18">
        <v>21620.495449051301</v>
      </c>
      <c r="J55" s="19"/>
      <c r="K55" s="18">
        <v>4584.54149610483</v>
      </c>
      <c r="L55" s="19"/>
      <c r="M55" s="18">
        <v>-2678.3915849169198</v>
      </c>
      <c r="N55" s="19"/>
      <c r="O55" s="18">
        <v>98421.992336406503</v>
      </c>
      <c r="P55" s="19"/>
      <c r="Q55" s="18">
        <v>309.099819634482</v>
      </c>
      <c r="R55" s="19"/>
      <c r="S55" s="18">
        <v>2456.8705170448302</v>
      </c>
      <c r="T55" s="19"/>
      <c r="U55" s="18">
        <v>5.6550610658008802</v>
      </c>
      <c r="V55" s="19"/>
      <c r="W55" s="18">
        <v>9368.4609826976593</v>
      </c>
      <c r="X55" s="19"/>
      <c r="Y55" s="18">
        <v>5659.83812276561</v>
      </c>
      <c r="Z55" s="19"/>
      <c r="AA55" s="18">
        <v>97669.103413109595</v>
      </c>
      <c r="AB55" s="19"/>
      <c r="AC55" s="18">
        <v>3730.9496527464498</v>
      </c>
      <c r="AD55" s="19"/>
      <c r="AE55" s="18">
        <v>4483.8385760433803</v>
      </c>
      <c r="AF55" s="19"/>
      <c r="AG55" s="18"/>
      <c r="AH55" s="19"/>
    </row>
    <row r="56" spans="1:34" x14ac:dyDescent="0.3">
      <c r="A56" s="17">
        <v>1991</v>
      </c>
      <c r="B56" s="17">
        <v>1</v>
      </c>
      <c r="C56" s="18">
        <v>95642.069279736301</v>
      </c>
      <c r="D56" s="19">
        <v>5.3199304441001703E-2</v>
      </c>
      <c r="E56" s="18">
        <v>57595.745300523398</v>
      </c>
      <c r="F56" s="19">
        <v>6.2225634016591001E-2</v>
      </c>
      <c r="G56" s="18">
        <v>14259.998154435199</v>
      </c>
      <c r="H56" s="19">
        <v>-5.6629897479721896E-3</v>
      </c>
      <c r="I56" s="18">
        <v>21866.099792464</v>
      </c>
      <c r="J56" s="19">
        <v>8.0722398031605802E-2</v>
      </c>
      <c r="K56" s="18">
        <v>4790.2943138950905</v>
      </c>
      <c r="L56" s="19">
        <v>2.6335774703142099E-2</v>
      </c>
      <c r="M56" s="18">
        <v>-2870.0682815814498</v>
      </c>
      <c r="N56" s="19">
        <v>8.2139407064009601E-2</v>
      </c>
      <c r="O56" s="18">
        <v>97691.502019605003</v>
      </c>
      <c r="P56" s="19">
        <v>5.4019381064683201E-2</v>
      </c>
      <c r="Q56" s="18">
        <v>319.30212536646599</v>
      </c>
      <c r="R56" s="19">
        <v>0.11494385620261199</v>
      </c>
      <c r="S56" s="18">
        <v>2545.85376537002</v>
      </c>
      <c r="T56" s="19">
        <v>0.149300706651396</v>
      </c>
      <c r="U56" s="18">
        <v>5.11412026818721</v>
      </c>
      <c r="V56" s="19">
        <v>6.1969990017485002E-2</v>
      </c>
      <c r="W56" s="18">
        <v>9552.6310573716601</v>
      </c>
      <c r="X56" s="19">
        <v>2.0087019299596099E-2</v>
      </c>
      <c r="Y56" s="18">
        <v>5281.7607977675698</v>
      </c>
      <c r="Z56" s="19">
        <v>-5.1211967965975602E-2</v>
      </c>
      <c r="AA56" s="18">
        <v>97052.276214630896</v>
      </c>
      <c r="AB56" s="19">
        <v>5.4651090124296302E-2</v>
      </c>
      <c r="AC56" s="18">
        <v>3789.39004286196</v>
      </c>
      <c r="AD56" s="19">
        <v>0.107717491680347</v>
      </c>
      <c r="AE56" s="18">
        <v>4428.6158478360503</v>
      </c>
      <c r="AF56" s="19">
        <v>8.4775897945143799E-2</v>
      </c>
      <c r="AG56" s="18"/>
      <c r="AH56" s="19"/>
    </row>
    <row r="57" spans="1:34" x14ac:dyDescent="0.3">
      <c r="A57" s="17">
        <v>1991</v>
      </c>
      <c r="B57" s="17">
        <v>2</v>
      </c>
      <c r="C57" s="18">
        <v>97602.376101816</v>
      </c>
      <c r="D57" s="19">
        <v>4.3111278358411803E-2</v>
      </c>
      <c r="E57" s="18">
        <v>53862.601014582098</v>
      </c>
      <c r="F57" s="19">
        <v>8.4149570269189899E-2</v>
      </c>
      <c r="G57" s="18">
        <v>19970.495206515599</v>
      </c>
      <c r="H57" s="19">
        <v>-5.0762698651165998E-2</v>
      </c>
      <c r="I57" s="18">
        <v>22109.8870068834</v>
      </c>
      <c r="J57" s="19">
        <v>6.1557701827599003E-2</v>
      </c>
      <c r="K57" s="18">
        <v>4644.4601603006204</v>
      </c>
      <c r="L57" s="19">
        <v>9.6665381476865892E-3</v>
      </c>
      <c r="M57" s="18">
        <v>-2985.06728646582</v>
      </c>
      <c r="N57" s="19">
        <v>0.157178180773967</v>
      </c>
      <c r="O57" s="18">
        <v>99614.510798933494</v>
      </c>
      <c r="P57" s="19">
        <v>4.4214994283934099E-2</v>
      </c>
      <c r="Q57" s="18">
        <v>328.19725944625702</v>
      </c>
      <c r="R57" s="19">
        <v>0.122431024784963</v>
      </c>
      <c r="S57" s="18">
        <v>2665.9726324027802</v>
      </c>
      <c r="T57" s="19">
        <v>0.128532537826238</v>
      </c>
      <c r="U57" s="18">
        <v>5.5712459692047203</v>
      </c>
      <c r="V57" s="19">
        <v>6.8573830646067896E-2</v>
      </c>
      <c r="W57" s="18">
        <v>9607.1704452775903</v>
      </c>
      <c r="X57" s="19">
        <v>-9.2847817661761995E-3</v>
      </c>
      <c r="Y57" s="18">
        <v>5262.8316211726897</v>
      </c>
      <c r="Z57" s="19">
        <v>-9.3310653464940704E-2</v>
      </c>
      <c r="AA57" s="18">
        <v>99004.600273092103</v>
      </c>
      <c r="AB57" s="19">
        <v>4.6156100594597599E-2</v>
      </c>
      <c r="AC57" s="18">
        <v>3887.5235678363501</v>
      </c>
      <c r="AD57" s="19">
        <v>9.5945727963557603E-2</v>
      </c>
      <c r="AE57" s="18">
        <v>4497.4340936778299</v>
      </c>
      <c r="AF57" s="19">
        <v>4.4168315992826099E-2</v>
      </c>
      <c r="AG57" s="18"/>
      <c r="AH57" s="19"/>
    </row>
    <row r="58" spans="1:34" x14ac:dyDescent="0.3">
      <c r="A58" s="17">
        <v>1991</v>
      </c>
      <c r="B58" s="17">
        <v>3</v>
      </c>
      <c r="C58" s="18">
        <v>97494.693818346597</v>
      </c>
      <c r="D58" s="19">
        <v>4.2422465628299398E-2</v>
      </c>
      <c r="E58" s="18">
        <v>52670.360488553903</v>
      </c>
      <c r="F58" s="19">
        <v>7.4525927923932103E-2</v>
      </c>
      <c r="G58" s="18">
        <v>20711.887997724501</v>
      </c>
      <c r="H58" s="19">
        <v>-2.0536803443981799E-2</v>
      </c>
      <c r="I58" s="18">
        <v>22417.720766618299</v>
      </c>
      <c r="J58" s="19">
        <v>5.4279578001158901E-2</v>
      </c>
      <c r="K58" s="18">
        <v>4781.4322609336105</v>
      </c>
      <c r="L58" s="19">
        <v>1.3686434041231901E-2</v>
      </c>
      <c r="M58" s="18">
        <v>-3086.7076954836698</v>
      </c>
      <c r="N58" s="19">
        <v>0.17955676170995299</v>
      </c>
      <c r="O58" s="18">
        <v>99501.478386614894</v>
      </c>
      <c r="P58" s="19">
        <v>4.5331817527526803E-2</v>
      </c>
      <c r="Q58" s="18">
        <v>334.54654350825598</v>
      </c>
      <c r="R58" s="19">
        <v>0.113884178524832</v>
      </c>
      <c r="S58" s="18">
        <v>2662.6701798562699</v>
      </c>
      <c r="T58" s="19">
        <v>9.4040934283595098E-2</v>
      </c>
      <c r="U58" s="18">
        <v>5.9975922337708703</v>
      </c>
      <c r="V58" s="19">
        <v>6.9817836079152401E-2</v>
      </c>
      <c r="W58" s="18">
        <v>9415.5081250420499</v>
      </c>
      <c r="X58" s="19">
        <v>-1.7401260717359101E-2</v>
      </c>
      <c r="Y58" s="18">
        <v>5086.5975126594703</v>
      </c>
      <c r="Z58" s="19">
        <v>-0.12223625824173499</v>
      </c>
      <c r="AA58" s="18">
        <v>98844.566483547896</v>
      </c>
      <c r="AB58" s="19">
        <v>4.7111404409933402E-2</v>
      </c>
      <c r="AC58" s="18">
        <v>4026.0555020391398</v>
      </c>
      <c r="AD58" s="19">
        <v>0.10295560024177999</v>
      </c>
      <c r="AE58" s="18">
        <v>4682.9674051062002</v>
      </c>
      <c r="AF58" s="19">
        <v>5.4872012552281503E-2</v>
      </c>
      <c r="AG58" s="18"/>
      <c r="AH58" s="19"/>
    </row>
    <row r="59" spans="1:34" x14ac:dyDescent="0.3">
      <c r="A59" s="17">
        <v>1991</v>
      </c>
      <c r="B59" s="17">
        <v>4</v>
      </c>
      <c r="C59" s="18">
        <v>100676.388351384</v>
      </c>
      <c r="D59" s="19">
        <v>3.9449528688174203E-2</v>
      </c>
      <c r="E59" s="18">
        <v>54609.638877879603</v>
      </c>
      <c r="F59" s="19">
        <v>7.4780083556894403E-2</v>
      </c>
      <c r="G59" s="18">
        <v>21885.6567791097</v>
      </c>
      <c r="H59" s="19">
        <v>-2.8115398635565898E-2</v>
      </c>
      <c r="I59" s="18">
        <v>22669.651474940802</v>
      </c>
      <c r="J59" s="19">
        <v>4.8525993697130697E-2</v>
      </c>
      <c r="K59" s="18">
        <v>4610.1158306431798</v>
      </c>
      <c r="L59" s="19">
        <v>5.5783843509922297E-3</v>
      </c>
      <c r="M59" s="18">
        <v>-3098.6746111890502</v>
      </c>
      <c r="N59" s="19">
        <v>0.15691619875111401</v>
      </c>
      <c r="O59" s="18">
        <v>102626.755130066</v>
      </c>
      <c r="P59" s="19">
        <v>4.2721780913435703E-2</v>
      </c>
      <c r="Q59" s="18">
        <v>339.21827257974098</v>
      </c>
      <c r="R59" s="19">
        <v>9.7439244645547402E-2</v>
      </c>
      <c r="S59" s="18">
        <v>2592.30330390263</v>
      </c>
      <c r="T59" s="19">
        <v>5.5124104391428098E-2</v>
      </c>
      <c r="U59" s="18">
        <v>6.0074661952217099</v>
      </c>
      <c r="V59" s="19">
        <v>6.2316768169315098E-2</v>
      </c>
      <c r="W59" s="18">
        <v>9199.0259595726802</v>
      </c>
      <c r="X59" s="19">
        <v>-1.80856838105968E-2</v>
      </c>
      <c r="Y59" s="18">
        <v>5001.5816157628797</v>
      </c>
      <c r="Z59" s="19">
        <v>-0.116303062512517</v>
      </c>
      <c r="AA59" s="18">
        <v>101833.68271666</v>
      </c>
      <c r="AB59" s="19">
        <v>4.2639679878451603E-2</v>
      </c>
      <c r="AC59" s="18">
        <v>4207.1345335338401</v>
      </c>
      <c r="AD59" s="19">
        <v>0.12763101223755799</v>
      </c>
      <c r="AE59" s="18">
        <v>5000.2069469402104</v>
      </c>
      <c r="AF59" s="19">
        <v>0.115162123287783</v>
      </c>
      <c r="AG59" s="18"/>
      <c r="AH59" s="19"/>
    </row>
    <row r="60" spans="1:34" x14ac:dyDescent="0.3">
      <c r="A60" s="17">
        <v>1992</v>
      </c>
      <c r="B60" s="17">
        <v>1</v>
      </c>
      <c r="C60" s="18">
        <v>98942.184140785204</v>
      </c>
      <c r="D60" s="19">
        <v>3.4504845889486997E-2</v>
      </c>
      <c r="E60" s="18">
        <v>59043.863763618901</v>
      </c>
      <c r="F60" s="19">
        <v>2.5142802745923499E-2</v>
      </c>
      <c r="G60" s="18">
        <v>15311.0826058856</v>
      </c>
      <c r="H60" s="19">
        <v>7.3708596597784198E-2</v>
      </c>
      <c r="I60" s="18">
        <v>22868.148782003602</v>
      </c>
      <c r="J60" s="19">
        <v>4.5826599121483499E-2</v>
      </c>
      <c r="K60" s="18">
        <v>4835.6320307741298</v>
      </c>
      <c r="L60" s="19">
        <v>9.4644950619289202E-3</v>
      </c>
      <c r="M60" s="18">
        <v>-3116.5430414970901</v>
      </c>
      <c r="N60" s="19">
        <v>8.5877664129935694E-2</v>
      </c>
      <c r="O60" s="18">
        <v>100908.261847924</v>
      </c>
      <c r="P60" s="19">
        <v>3.2927734366021297E-2</v>
      </c>
      <c r="Q60" s="18">
        <v>346.56338238947802</v>
      </c>
      <c r="R60" s="19">
        <v>8.5377624692364304E-2</v>
      </c>
      <c r="S60" s="18">
        <v>2646.4726606351201</v>
      </c>
      <c r="T60" s="19">
        <v>3.9522653120839003E-2</v>
      </c>
      <c r="U60" s="18">
        <v>5.3419272523671602</v>
      </c>
      <c r="V60" s="19">
        <v>4.4544706075265297E-2</v>
      </c>
      <c r="W60" s="18">
        <v>9029.6929311723707</v>
      </c>
      <c r="X60" s="19">
        <v>-5.4742837136554097E-2</v>
      </c>
      <c r="Y60" s="18">
        <v>4769.0478730401301</v>
      </c>
      <c r="Z60" s="19">
        <v>-9.7072348475938597E-2</v>
      </c>
      <c r="AA60" s="18">
        <v>99853.363967430094</v>
      </c>
      <c r="AB60" s="19">
        <v>2.8861638923384E-2</v>
      </c>
      <c r="AC60" s="18">
        <v>4434.42953556062</v>
      </c>
      <c r="AD60" s="19">
        <v>0.170222512172827</v>
      </c>
      <c r="AE60" s="18">
        <v>5489.3274160547098</v>
      </c>
      <c r="AF60" s="19">
        <v>0.23951311305019901</v>
      </c>
      <c r="AG60" s="18"/>
      <c r="AH60" s="19"/>
    </row>
    <row r="61" spans="1:34" x14ac:dyDescent="0.3">
      <c r="A61" s="17">
        <v>1992</v>
      </c>
      <c r="B61" s="17">
        <v>2</v>
      </c>
      <c r="C61" s="18">
        <v>100200.68982937701</v>
      </c>
      <c r="D61" s="19">
        <v>2.6621418774179999E-2</v>
      </c>
      <c r="E61" s="18">
        <v>55660.638786838601</v>
      </c>
      <c r="F61" s="19">
        <v>3.3381933630900001E-2</v>
      </c>
      <c r="G61" s="18">
        <v>20063.924469633199</v>
      </c>
      <c r="H61" s="19">
        <v>4.6783648653438998E-3</v>
      </c>
      <c r="I61" s="18">
        <v>22957.653679799201</v>
      </c>
      <c r="J61" s="19">
        <v>3.83433290568964E-2</v>
      </c>
      <c r="K61" s="18">
        <v>4632.3541943446198</v>
      </c>
      <c r="L61" s="19">
        <v>-2.6065388738790701E-3</v>
      </c>
      <c r="M61" s="18">
        <v>-3113.8813012382002</v>
      </c>
      <c r="N61" s="19">
        <v>4.3152801062950101E-2</v>
      </c>
      <c r="O61" s="18">
        <v>102069.82307191</v>
      </c>
      <c r="P61" s="19">
        <v>2.4648138642497701E-2</v>
      </c>
      <c r="Q61" s="18">
        <v>345.51526135007498</v>
      </c>
      <c r="R61" s="19">
        <v>5.2767052147352E-2</v>
      </c>
      <c r="S61" s="18">
        <v>2627.6182425483098</v>
      </c>
      <c r="T61" s="19">
        <v>-1.43866405034709E-2</v>
      </c>
      <c r="U61" s="18">
        <v>5.75287563869548</v>
      </c>
      <c r="V61" s="19">
        <v>3.2601265586679397E-2</v>
      </c>
      <c r="W61" s="18">
        <v>8895.9732279698001</v>
      </c>
      <c r="X61" s="19">
        <v>-7.4027750559726199E-2</v>
      </c>
      <c r="Y61" s="18">
        <v>4750.4898798774402</v>
      </c>
      <c r="Z61" s="19">
        <v>-9.7350965824948593E-2</v>
      </c>
      <c r="AA61" s="18">
        <v>100890.374764819</v>
      </c>
      <c r="AB61" s="19">
        <v>1.90473421086041E-2</v>
      </c>
      <c r="AC61" s="18">
        <v>4618.5641171682601</v>
      </c>
      <c r="AD61" s="19">
        <v>0.18804787587147101</v>
      </c>
      <c r="AE61" s="18">
        <v>5798.0124242592501</v>
      </c>
      <c r="AF61" s="19">
        <v>0.28918229894901298</v>
      </c>
      <c r="AG61" s="18"/>
      <c r="AH61" s="19"/>
    </row>
    <row r="62" spans="1:34" x14ac:dyDescent="0.3">
      <c r="A62" s="17">
        <v>1992</v>
      </c>
      <c r="B62" s="17">
        <v>3</v>
      </c>
      <c r="C62" s="18">
        <v>98954.020189139803</v>
      </c>
      <c r="D62" s="19">
        <v>1.4968264565373901E-2</v>
      </c>
      <c r="E62" s="18">
        <v>54820.654710133203</v>
      </c>
      <c r="F62" s="19">
        <v>4.0825507963754698E-2</v>
      </c>
      <c r="G62" s="18">
        <v>19671.4670448695</v>
      </c>
      <c r="H62" s="19">
        <v>-5.0233032979381101E-2</v>
      </c>
      <c r="I62" s="18">
        <v>22970.859367554898</v>
      </c>
      <c r="J62" s="19">
        <v>2.46741676682951E-2</v>
      </c>
      <c r="K62" s="18">
        <v>4641.2204276029397</v>
      </c>
      <c r="L62" s="19">
        <v>-2.9324232924151299E-2</v>
      </c>
      <c r="M62" s="18">
        <v>-3150.1813610207801</v>
      </c>
      <c r="N62" s="19">
        <v>2.0563549191903799E-2</v>
      </c>
      <c r="O62" s="18">
        <v>100912.749845987</v>
      </c>
      <c r="P62" s="19">
        <v>1.4183422018000999E-2</v>
      </c>
      <c r="Q62" s="18">
        <v>347.10801101723399</v>
      </c>
      <c r="R62" s="19">
        <v>3.75477426167692E-2</v>
      </c>
      <c r="S62" s="18">
        <v>2596.83456208704</v>
      </c>
      <c r="T62" s="19">
        <v>-2.47254122073743E-2</v>
      </c>
      <c r="U62" s="18">
        <v>6.1621057368602203</v>
      </c>
      <c r="V62" s="19">
        <v>2.7429924655934398E-2</v>
      </c>
      <c r="W62" s="18">
        <v>8828.7872806746509</v>
      </c>
      <c r="X62" s="19">
        <v>-6.2314304929217301E-2</v>
      </c>
      <c r="Y62" s="18">
        <v>4626.49317849415</v>
      </c>
      <c r="Z62" s="19">
        <v>-9.0454244319551194E-2</v>
      </c>
      <c r="AA62" s="18">
        <v>99711.265213656501</v>
      </c>
      <c r="AB62" s="19">
        <v>8.7682991685020806E-3</v>
      </c>
      <c r="AC62" s="18">
        <v>4763.3163247787397</v>
      </c>
      <c r="AD62" s="19">
        <v>0.18312236936778101</v>
      </c>
      <c r="AE62" s="18">
        <v>5964.8009571095199</v>
      </c>
      <c r="AF62" s="19">
        <v>0.273722501379283</v>
      </c>
      <c r="AG62" s="18"/>
      <c r="AH62" s="19"/>
    </row>
    <row r="63" spans="1:34" x14ac:dyDescent="0.3">
      <c r="A63" s="17">
        <v>1992</v>
      </c>
      <c r="B63" s="17">
        <v>4</v>
      </c>
      <c r="C63" s="18">
        <v>101459.970091453</v>
      </c>
      <c r="D63" s="19">
        <v>7.7831729256556698E-3</v>
      </c>
      <c r="E63" s="18">
        <v>56219.140682755402</v>
      </c>
      <c r="F63" s="19">
        <v>2.9472852008325199E-2</v>
      </c>
      <c r="G63" s="18">
        <v>20859.538157126601</v>
      </c>
      <c r="H63" s="19">
        <v>-4.6885438821400997E-2</v>
      </c>
      <c r="I63" s="18">
        <v>22913.6512221066</v>
      </c>
      <c r="J63" s="19">
        <v>1.07632773902835E-2</v>
      </c>
      <c r="K63" s="18">
        <v>4625.3681078088102</v>
      </c>
      <c r="L63" s="19">
        <v>3.308436864915E-3</v>
      </c>
      <c r="M63" s="18">
        <v>-3157.7280783439301</v>
      </c>
      <c r="N63" s="19">
        <v>1.9057653534076999E-2</v>
      </c>
      <c r="O63" s="18">
        <v>103124.74228542999</v>
      </c>
      <c r="P63" s="19">
        <v>4.8524106090355196E-3</v>
      </c>
      <c r="Q63" s="18">
        <v>349.80086644269198</v>
      </c>
      <c r="R63" s="19">
        <v>3.1197004166289E-2</v>
      </c>
      <c r="S63" s="18">
        <v>2542.4890403038298</v>
      </c>
      <c r="T63" s="19">
        <v>-1.92162173013503E-2</v>
      </c>
      <c r="U63" s="18">
        <v>6.1686387539978398</v>
      </c>
      <c r="V63" s="19">
        <v>2.68287084002767E-2</v>
      </c>
      <c r="W63" s="18">
        <v>8494.4434088354901</v>
      </c>
      <c r="X63" s="19">
        <v>-7.6593169084819293E-2</v>
      </c>
      <c r="Y63" s="18">
        <v>4643.1516797514796</v>
      </c>
      <c r="Z63" s="19">
        <v>-7.1663318435467596E-2</v>
      </c>
      <c r="AA63" s="18">
        <v>101994.699386323</v>
      </c>
      <c r="AB63" s="19">
        <v>1.58117300059324E-3</v>
      </c>
      <c r="AC63" s="18">
        <v>4871.0570935189699</v>
      </c>
      <c r="AD63" s="19">
        <v>0.15780873054883299</v>
      </c>
      <c r="AE63" s="18">
        <v>6001.0999926268096</v>
      </c>
      <c r="AF63" s="19">
        <v>0.20017032421009601</v>
      </c>
      <c r="AG63" s="18"/>
      <c r="AH63" s="19"/>
    </row>
    <row r="64" spans="1:34" x14ac:dyDescent="0.3">
      <c r="A64" s="17">
        <v>1993</v>
      </c>
      <c r="B64" s="17">
        <v>1</v>
      </c>
      <c r="C64" s="18">
        <v>98779.554404440103</v>
      </c>
      <c r="D64" s="19">
        <v>-1.64368451896824E-3</v>
      </c>
      <c r="E64" s="18">
        <v>59736.427600759504</v>
      </c>
      <c r="F64" s="19">
        <v>1.1729649670511299E-2</v>
      </c>
      <c r="G64" s="18">
        <v>14301.904386005999</v>
      </c>
      <c r="H64" s="19">
        <v>-6.5911617477114895E-2</v>
      </c>
      <c r="I64" s="18">
        <v>23039.071974264702</v>
      </c>
      <c r="J64" s="19">
        <v>7.4742907215841203E-3</v>
      </c>
      <c r="K64" s="18">
        <v>4909.6136157337096</v>
      </c>
      <c r="L64" s="19">
        <v>1.52992586054437E-2</v>
      </c>
      <c r="M64" s="18">
        <v>-3207.4631723239099</v>
      </c>
      <c r="N64" s="19">
        <v>2.9173391676680299E-2</v>
      </c>
      <c r="O64" s="18">
        <v>101170.57327540799</v>
      </c>
      <c r="P64" s="19">
        <v>2.5995039720245702E-3</v>
      </c>
      <c r="Q64" s="18">
        <v>370.27912695404598</v>
      </c>
      <c r="R64" s="19">
        <v>6.8431189703461695E-2</v>
      </c>
      <c r="S64" s="18">
        <v>2559.1127889549398</v>
      </c>
      <c r="T64" s="19">
        <v>-3.3009927886130101E-2</v>
      </c>
      <c r="U64" s="18">
        <v>5.5047884537128802</v>
      </c>
      <c r="V64" s="19">
        <v>3.0487349162898299E-2</v>
      </c>
      <c r="W64" s="18">
        <v>9208.1373344953208</v>
      </c>
      <c r="X64" s="19">
        <v>1.97619569882523E-2</v>
      </c>
      <c r="Y64" s="18">
        <v>4633.7895899802797</v>
      </c>
      <c r="Z64" s="19">
        <v>-2.8361695386719499E-2</v>
      </c>
      <c r="AA64" s="18">
        <v>100220.042606724</v>
      </c>
      <c r="AB64" s="19">
        <v>3.6721711189744398E-3</v>
      </c>
      <c r="AC64" s="18">
        <v>4942.8349594729398</v>
      </c>
      <c r="AD64" s="19">
        <v>0.114649566496728</v>
      </c>
      <c r="AE64" s="18">
        <v>5893.3656281571602</v>
      </c>
      <c r="AF64" s="19">
        <v>7.3604320070388196E-2</v>
      </c>
      <c r="AG64" s="18"/>
      <c r="AH64" s="19"/>
    </row>
    <row r="65" spans="1:34" x14ac:dyDescent="0.3">
      <c r="A65" s="17">
        <v>1993</v>
      </c>
      <c r="B65" s="17">
        <v>2</v>
      </c>
      <c r="C65" s="18">
        <v>101557.582148256</v>
      </c>
      <c r="D65" s="19">
        <v>1.3541746281283001E-2</v>
      </c>
      <c r="E65" s="18">
        <v>56385.511096497699</v>
      </c>
      <c r="F65" s="19">
        <v>1.3023068463787099E-2</v>
      </c>
      <c r="G65" s="18">
        <v>20578.786257247601</v>
      </c>
      <c r="H65" s="19">
        <v>2.56610708634579E-2</v>
      </c>
      <c r="I65" s="18">
        <v>22987.5061557478</v>
      </c>
      <c r="J65" s="19">
        <v>1.30032782814049E-3</v>
      </c>
      <c r="K65" s="18">
        <v>4829.1659438511997</v>
      </c>
      <c r="L65" s="19">
        <v>4.2486334431607799E-2</v>
      </c>
      <c r="M65" s="18">
        <v>-3223.3873050879201</v>
      </c>
      <c r="N65" s="19">
        <v>3.5167045001419699E-2</v>
      </c>
      <c r="O65" s="18">
        <v>103957.62043243401</v>
      </c>
      <c r="P65" s="19">
        <v>1.8495156587009499E-2</v>
      </c>
      <c r="Q65" s="18">
        <v>374.28122992586202</v>
      </c>
      <c r="R65" s="19">
        <v>8.3255276375886506E-2</v>
      </c>
      <c r="S65" s="18">
        <v>2534.1489642136498</v>
      </c>
      <c r="T65" s="19">
        <v>-3.5571863835140202E-2</v>
      </c>
      <c r="U65" s="18">
        <v>5.9039879512550399</v>
      </c>
      <c r="V65" s="19">
        <v>2.62672656337526E-2</v>
      </c>
      <c r="W65" s="18">
        <v>8936.4551672431098</v>
      </c>
      <c r="X65" s="19">
        <v>4.5505914008401298E-3</v>
      </c>
      <c r="Y65" s="18">
        <v>4382.4531367293703</v>
      </c>
      <c r="Z65" s="19">
        <v>-7.7473429573450506E-2</v>
      </c>
      <c r="AA65" s="18">
        <v>103076.644325512</v>
      </c>
      <c r="AB65" s="19">
        <v>2.1669753589371302E-2</v>
      </c>
      <c r="AC65" s="18">
        <v>4967.6844932054501</v>
      </c>
      <c r="AD65" s="19">
        <v>7.5590674326557694E-2</v>
      </c>
      <c r="AE65" s="18">
        <v>5848.6606001268501</v>
      </c>
      <c r="AF65" s="19">
        <v>8.73543762267248E-3</v>
      </c>
      <c r="AG65" s="18"/>
      <c r="AH65" s="19"/>
    </row>
    <row r="66" spans="1:34" x14ac:dyDescent="0.3">
      <c r="A66" s="17">
        <v>1993</v>
      </c>
      <c r="B66" s="17">
        <v>3</v>
      </c>
      <c r="C66" s="18">
        <v>102202.90030377499</v>
      </c>
      <c r="D66" s="19">
        <v>3.2832219534139298E-2</v>
      </c>
      <c r="E66" s="18">
        <v>55201.946310675397</v>
      </c>
      <c r="F66" s="19">
        <v>6.9552544120155E-3</v>
      </c>
      <c r="G66" s="18">
        <v>22442.097156367301</v>
      </c>
      <c r="H66" s="19">
        <v>0.140845118728465</v>
      </c>
      <c r="I66" s="18">
        <v>22938.9987298007</v>
      </c>
      <c r="J66" s="19">
        <v>-1.3870024296595001E-3</v>
      </c>
      <c r="K66" s="18">
        <v>4885.1358666589604</v>
      </c>
      <c r="L66" s="19">
        <v>5.2554159592456601E-2</v>
      </c>
      <c r="M66" s="18">
        <v>-3265.2777597271001</v>
      </c>
      <c r="N66" s="19">
        <v>3.6536435689221901E-2</v>
      </c>
      <c r="O66" s="18">
        <v>104399.42556705599</v>
      </c>
      <c r="P66" s="19">
        <v>3.4551389456636702E-2</v>
      </c>
      <c r="Q66" s="18">
        <v>379.04379568818001</v>
      </c>
      <c r="R66" s="19">
        <v>9.2005323004084899E-2</v>
      </c>
      <c r="S66" s="18">
        <v>2526.3030517179</v>
      </c>
      <c r="T66" s="19">
        <v>-2.7160571335145999E-2</v>
      </c>
      <c r="U66" s="18">
        <v>6.2529119692696504</v>
      </c>
      <c r="V66" s="19">
        <v>1.4736234054902399E-2</v>
      </c>
      <c r="W66" s="18">
        <v>8531.5314961809199</v>
      </c>
      <c r="X66" s="19">
        <v>-3.3668925872117998E-2</v>
      </c>
      <c r="Y66" s="18">
        <v>4193.9998888395403</v>
      </c>
      <c r="Z66" s="19">
        <v>-9.3481882058103899E-2</v>
      </c>
      <c r="AA66" s="18">
        <v>103505.165909187</v>
      </c>
      <c r="AB66" s="19">
        <v>3.8048867270923999E-2</v>
      </c>
      <c r="AC66" s="18">
        <v>4943.6925710221703</v>
      </c>
      <c r="AD66" s="19">
        <v>3.7867786631156301E-2</v>
      </c>
      <c r="AE66" s="18">
        <v>5837.9522288915005</v>
      </c>
      <c r="AF66" s="19">
        <v>-2.1266213094139799E-2</v>
      </c>
      <c r="AG66" s="18"/>
      <c r="AH66" s="19"/>
    </row>
    <row r="67" spans="1:34" x14ac:dyDescent="0.3">
      <c r="A67" s="17">
        <v>1993</v>
      </c>
      <c r="B67" s="17">
        <v>4</v>
      </c>
      <c r="C67" s="18">
        <v>105779.569349952</v>
      </c>
      <c r="D67" s="19">
        <v>4.2574418803841899E-2</v>
      </c>
      <c r="E67" s="18">
        <v>57150.1661497553</v>
      </c>
      <c r="F67" s="19">
        <v>1.6560649196929698E-2</v>
      </c>
      <c r="G67" s="18">
        <v>24029.9501325696</v>
      </c>
      <c r="H67" s="19">
        <v>0.15198859876769899</v>
      </c>
      <c r="I67" s="18">
        <v>22963.448833915601</v>
      </c>
      <c r="J67" s="19">
        <v>2.1732726629315499E-3</v>
      </c>
      <c r="K67" s="18">
        <v>4876.6242954828203</v>
      </c>
      <c r="L67" s="19">
        <v>5.4321338716768003E-2</v>
      </c>
      <c r="M67" s="18">
        <v>-3240.6200617710601</v>
      </c>
      <c r="N67" s="19">
        <v>2.6250513461121502E-2</v>
      </c>
      <c r="O67" s="18">
        <v>108356.146647535</v>
      </c>
      <c r="P67" s="19">
        <v>5.0728896345994902E-2</v>
      </c>
      <c r="Q67" s="18">
        <v>382.55529282219101</v>
      </c>
      <c r="R67" s="19">
        <v>9.36373506235013E-2</v>
      </c>
      <c r="S67" s="18">
        <v>2507.7761670766099</v>
      </c>
      <c r="T67" s="19">
        <v>-1.3653106336722801E-2</v>
      </c>
      <c r="U67" s="18">
        <v>6.1364990486034099</v>
      </c>
      <c r="V67" s="19">
        <v>-5.2101779138219503E-3</v>
      </c>
      <c r="W67" s="18">
        <v>8830.4458568159098</v>
      </c>
      <c r="X67" s="19">
        <v>3.9555557887516003E-2</v>
      </c>
      <c r="Y67" s="18">
        <v>4134.7841840270103</v>
      </c>
      <c r="Z67" s="19">
        <v>-0.109487591788448</v>
      </c>
      <c r="AA67" s="18">
        <v>107384.639306143</v>
      </c>
      <c r="AB67" s="19">
        <v>5.2845294434423498E-2</v>
      </c>
      <c r="AC67" s="18">
        <v>4867.2009899632403</v>
      </c>
      <c r="AD67" s="19">
        <v>-7.9163587732489205E-4</v>
      </c>
      <c r="AE67" s="18">
        <v>5838.7083313553903</v>
      </c>
      <c r="AF67" s="19">
        <v>-2.7060315853917001E-2</v>
      </c>
      <c r="AG67" s="18"/>
      <c r="AH67" s="19"/>
    </row>
    <row r="68" spans="1:34" x14ac:dyDescent="0.3">
      <c r="A68" s="17">
        <v>1994</v>
      </c>
      <c r="B68" s="17">
        <v>1</v>
      </c>
      <c r="C68" s="18">
        <v>103613.996138203</v>
      </c>
      <c r="D68" s="19">
        <v>4.8941724458174699E-2</v>
      </c>
      <c r="E68" s="18">
        <v>60025.644279147898</v>
      </c>
      <c r="F68" s="19">
        <v>4.8415462725910404E-3</v>
      </c>
      <c r="G68" s="18">
        <v>18662.719689827602</v>
      </c>
      <c r="H68" s="19">
        <v>0.304911512909327</v>
      </c>
      <c r="I68" s="18">
        <v>23136.321139546999</v>
      </c>
      <c r="J68" s="19">
        <v>4.2210539292082397E-3</v>
      </c>
      <c r="K68" s="18">
        <v>5039.1489680640698</v>
      </c>
      <c r="L68" s="19">
        <v>2.63840217314129E-2</v>
      </c>
      <c r="M68" s="18">
        <v>-3249.8379383831798</v>
      </c>
      <c r="N68" s="19">
        <v>1.32113024476472E-2</v>
      </c>
      <c r="O68" s="18">
        <v>104914.51091941399</v>
      </c>
      <c r="P68" s="19">
        <v>3.700619184804E-2</v>
      </c>
      <c r="Q68" s="18">
        <v>401.71897217992</v>
      </c>
      <c r="R68" s="19">
        <v>8.49084999322018E-2</v>
      </c>
      <c r="S68" s="18">
        <v>2524.5602129231302</v>
      </c>
      <c r="T68" s="19">
        <v>-1.3501779281060101E-2</v>
      </c>
      <c r="U68" s="18">
        <v>5.3362874285510902</v>
      </c>
      <c r="V68" s="19">
        <v>-3.0609900194828499E-2</v>
      </c>
      <c r="W68" s="18">
        <v>8284.0350029281308</v>
      </c>
      <c r="X68" s="19">
        <v>-0.100357140428971</v>
      </c>
      <c r="Y68" s="18">
        <v>4866.01526840304</v>
      </c>
      <c r="Z68" s="19">
        <v>5.0115714991656901E-2</v>
      </c>
      <c r="AA68" s="18">
        <v>103816.597836546</v>
      </c>
      <c r="AB68" s="19">
        <v>3.5886586517785299E-2</v>
      </c>
      <c r="AC68" s="18">
        <v>4732.6757621555898</v>
      </c>
      <c r="AD68" s="19">
        <v>-4.2517947501883098E-2</v>
      </c>
      <c r="AE68" s="18">
        <v>5830.5888450234397</v>
      </c>
      <c r="AF68" s="19">
        <v>-1.0652110711372099E-2</v>
      </c>
      <c r="AG68" s="18"/>
      <c r="AH68" s="19"/>
    </row>
    <row r="69" spans="1:34" x14ac:dyDescent="0.3">
      <c r="A69" s="17">
        <v>1994</v>
      </c>
      <c r="B69" s="17">
        <v>2</v>
      </c>
      <c r="C69" s="18">
        <v>103532.204743637</v>
      </c>
      <c r="D69" s="19">
        <v>1.9443379348063901E-2</v>
      </c>
      <c r="E69" s="18">
        <v>56937.897695215499</v>
      </c>
      <c r="F69" s="19">
        <v>9.7966053331046705E-3</v>
      </c>
      <c r="G69" s="18">
        <v>21884.611463535501</v>
      </c>
      <c r="H69" s="19">
        <v>6.3454918573150804E-2</v>
      </c>
      <c r="I69" s="18">
        <v>22995.622702640201</v>
      </c>
      <c r="J69" s="19">
        <v>3.5308514274712299E-4</v>
      </c>
      <c r="K69" s="18">
        <v>4953.3570343872798</v>
      </c>
      <c r="L69" s="19">
        <v>2.57168819585092E-2</v>
      </c>
      <c r="M69" s="18">
        <v>-3239.2841521413902</v>
      </c>
      <c r="N69" s="19">
        <v>4.9317210588926104E-3</v>
      </c>
      <c r="O69" s="18">
        <v>105033.053957072</v>
      </c>
      <c r="P69" s="19">
        <v>1.03449224805714E-2</v>
      </c>
      <c r="Q69" s="18">
        <v>405.90149603304701</v>
      </c>
      <c r="R69" s="19">
        <v>8.4482639200068405E-2</v>
      </c>
      <c r="S69" s="18">
        <v>2511.1062097367299</v>
      </c>
      <c r="T69" s="19">
        <v>-9.0928965906608202E-3</v>
      </c>
      <c r="U69" s="18">
        <v>5.9446448771606004</v>
      </c>
      <c r="V69" s="19">
        <v>6.8863497421134401E-3</v>
      </c>
      <c r="W69" s="18">
        <v>8489.0308049323594</v>
      </c>
      <c r="X69" s="19">
        <v>-5.00673201999371E-2</v>
      </c>
      <c r="Y69" s="18">
        <v>4888.9215226711603</v>
      </c>
      <c r="Z69" s="19">
        <v>0.11556732499819999</v>
      </c>
      <c r="AA69" s="18">
        <v>103828.936938926</v>
      </c>
      <c r="AB69" s="19">
        <v>7.2983809119606703E-3</v>
      </c>
      <c r="AC69" s="18">
        <v>4627.5224740674903</v>
      </c>
      <c r="AD69" s="19">
        <v>-6.8474964463468097E-2</v>
      </c>
      <c r="AE69" s="18">
        <v>5831.6394922128002</v>
      </c>
      <c r="AF69" s="19">
        <v>-2.9102574209345401E-3</v>
      </c>
      <c r="AG69" s="18"/>
      <c r="AH69" s="19"/>
    </row>
    <row r="70" spans="1:34" x14ac:dyDescent="0.3">
      <c r="A70" s="17">
        <v>1994</v>
      </c>
      <c r="B70" s="17">
        <v>3</v>
      </c>
      <c r="C70" s="18">
        <v>104057.660913859</v>
      </c>
      <c r="D70" s="19">
        <v>1.8147827552555298E-2</v>
      </c>
      <c r="E70" s="18">
        <v>55652.156141453197</v>
      </c>
      <c r="F70" s="19">
        <v>8.1556876318089593E-3</v>
      </c>
      <c r="G70" s="18">
        <v>23854.346829088499</v>
      </c>
      <c r="H70" s="19">
        <v>6.2928596328644601E-2</v>
      </c>
      <c r="I70" s="18">
        <v>22931.718916673999</v>
      </c>
      <c r="J70" s="19">
        <v>-3.1735531321619399E-4</v>
      </c>
      <c r="K70" s="18">
        <v>4882.3030949469003</v>
      </c>
      <c r="L70" s="19">
        <v>-5.7987572697659805E-4</v>
      </c>
      <c r="M70" s="18">
        <v>-3262.8640683034</v>
      </c>
      <c r="N70" s="19">
        <v>-7.39199419257486E-4</v>
      </c>
      <c r="O70" s="18">
        <v>105723.002511895</v>
      </c>
      <c r="P70" s="19">
        <v>1.26780098420065E-2</v>
      </c>
      <c r="Q70" s="18">
        <v>412.721051414594</v>
      </c>
      <c r="R70" s="19">
        <v>8.88479276260703E-2</v>
      </c>
      <c r="S70" s="18">
        <v>2466.07298000735</v>
      </c>
      <c r="T70" s="19">
        <v>-2.3841190260048401E-2</v>
      </c>
      <c r="U70" s="18">
        <v>6.9731850069277197</v>
      </c>
      <c r="V70" s="19">
        <v>0.115190017258823</v>
      </c>
      <c r="W70" s="18">
        <v>8807.0763323613992</v>
      </c>
      <c r="X70" s="19">
        <v>3.2297230140195601E-2</v>
      </c>
      <c r="Y70" s="18">
        <v>5095.3559907395902</v>
      </c>
      <c r="Z70" s="19">
        <v>0.21491562369818201</v>
      </c>
      <c r="AA70" s="18">
        <v>104446.609051871</v>
      </c>
      <c r="AB70" s="19">
        <v>9.0956150295900002E-3</v>
      </c>
      <c r="AC70" s="18">
        <v>4545.1830702645502</v>
      </c>
      <c r="AD70" s="19">
        <v>-8.0609684973842397E-2</v>
      </c>
      <c r="AE70" s="18">
        <v>5821.5765302890204</v>
      </c>
      <c r="AF70" s="19">
        <v>-2.8050415557431302E-3</v>
      </c>
      <c r="AG70" s="18"/>
      <c r="AH70" s="19"/>
    </row>
    <row r="71" spans="1:34" x14ac:dyDescent="0.3">
      <c r="A71" s="17">
        <v>1994</v>
      </c>
      <c r="B71" s="17">
        <v>4</v>
      </c>
      <c r="C71" s="18">
        <v>107197.905315187</v>
      </c>
      <c r="D71" s="19">
        <v>1.34084112267716E-2</v>
      </c>
      <c r="E71" s="18">
        <v>57210.964694989503</v>
      </c>
      <c r="F71" s="19">
        <v>1.06383846855063E-3</v>
      </c>
      <c r="G71" s="18">
        <v>25527.9719078456</v>
      </c>
      <c r="H71" s="19">
        <v>6.2339778776550697E-2</v>
      </c>
      <c r="I71" s="18">
        <v>22842.532502325601</v>
      </c>
      <c r="J71" s="19">
        <v>-5.2655998001222004E-3</v>
      </c>
      <c r="K71" s="18">
        <v>4873.5744604986503</v>
      </c>
      <c r="L71" s="19">
        <v>-6.2539880035394901E-4</v>
      </c>
      <c r="M71" s="18">
        <v>-3257.13825047204</v>
      </c>
      <c r="N71" s="19">
        <v>5.0972308959753602E-3</v>
      </c>
      <c r="O71" s="18">
        <v>109264.552928966</v>
      </c>
      <c r="P71" s="19">
        <v>8.3835233121147806E-3</v>
      </c>
      <c r="Q71" s="18">
        <v>419.72032352362999</v>
      </c>
      <c r="R71" s="19">
        <v>9.7149435385572594E-2</v>
      </c>
      <c r="S71" s="18">
        <v>2375.4561684492401</v>
      </c>
      <c r="T71" s="19">
        <v>-5.2763879154980299E-2</v>
      </c>
      <c r="U71" s="18">
        <v>8.0295564940453801</v>
      </c>
      <c r="V71" s="19">
        <v>0.30849144283218</v>
      </c>
      <c r="W71" s="18">
        <v>9276.36595683833</v>
      </c>
      <c r="X71" s="19">
        <v>5.04980277613312E-2</v>
      </c>
      <c r="Y71" s="18">
        <v>5262.0120546281096</v>
      </c>
      <c r="Z71" s="19">
        <v>0.27262072708792701</v>
      </c>
      <c r="AA71" s="18">
        <v>107966.476367449</v>
      </c>
      <c r="AB71" s="19">
        <v>5.4182522292352004E-3</v>
      </c>
      <c r="AC71" s="18">
        <v>4479.9146232745697</v>
      </c>
      <c r="AD71" s="19">
        <v>-7.9570654157760198E-2</v>
      </c>
      <c r="AE71" s="18">
        <v>5777.9911847911399</v>
      </c>
      <c r="AF71" s="19">
        <v>-1.03990716984751E-2</v>
      </c>
      <c r="AG71" s="18"/>
      <c r="AH71" s="19"/>
    </row>
    <row r="72" spans="1:34" x14ac:dyDescent="0.3">
      <c r="A72" s="17">
        <v>1995</v>
      </c>
      <c r="B72" s="17">
        <v>1</v>
      </c>
      <c r="C72" s="18">
        <v>103647.486476338</v>
      </c>
      <c r="D72" s="19">
        <v>3.23222145487634E-4</v>
      </c>
      <c r="E72" s="18">
        <v>61001.179103567403</v>
      </c>
      <c r="F72" s="19">
        <v>1.6251967573772199E-2</v>
      </c>
      <c r="G72" s="18">
        <v>17545.764993478599</v>
      </c>
      <c r="H72" s="19">
        <v>-5.9849513624632103E-2</v>
      </c>
      <c r="I72" s="18">
        <v>22740.059467585201</v>
      </c>
      <c r="J72" s="19">
        <v>-1.7127255001852401E-2</v>
      </c>
      <c r="K72" s="18">
        <v>5631.99881089876</v>
      </c>
      <c r="L72" s="19">
        <v>0.11764880272282401</v>
      </c>
      <c r="M72" s="18">
        <v>-3271.5158991922399</v>
      </c>
      <c r="N72" s="19">
        <v>6.67047441136304E-3</v>
      </c>
      <c r="O72" s="18">
        <v>105603.962011779</v>
      </c>
      <c r="P72" s="19">
        <v>6.5715513166180201E-3</v>
      </c>
      <c r="Q72" s="18">
        <v>426.61518142714999</v>
      </c>
      <c r="R72" s="19">
        <v>6.1974193332546598E-2</v>
      </c>
      <c r="S72" s="18">
        <v>2563.5094866713698</v>
      </c>
      <c r="T72" s="19">
        <v>1.5428142117132299E-2</v>
      </c>
      <c r="U72" s="18">
        <v>8.5388085099468007</v>
      </c>
      <c r="V72" s="19">
        <v>0.60014028934443397</v>
      </c>
      <c r="W72" s="18">
        <v>8853.2238280294496</v>
      </c>
      <c r="X72" s="19">
        <v>6.8709128450101603E-2</v>
      </c>
      <c r="Y72" s="18">
        <v>4768.3927958542699</v>
      </c>
      <c r="Z72" s="19">
        <v>-2.00620974584006E-2</v>
      </c>
      <c r="AA72" s="18">
        <v>104358.481283186</v>
      </c>
      <c r="AB72" s="19">
        <v>5.2196224682012904E-3</v>
      </c>
      <c r="AC72" s="18">
        <v>4426.5841418407699</v>
      </c>
      <c r="AD72" s="19">
        <v>-6.4676228775792599E-2</v>
      </c>
      <c r="AE72" s="18">
        <v>5672.0648704335799</v>
      </c>
      <c r="AF72" s="19">
        <v>-2.7188330167571599E-2</v>
      </c>
      <c r="AG72" s="18"/>
      <c r="AH72" s="19"/>
    </row>
    <row r="73" spans="1:34" x14ac:dyDescent="0.3">
      <c r="A73" s="17">
        <v>1995</v>
      </c>
      <c r="B73" s="17">
        <v>2</v>
      </c>
      <c r="C73" s="18">
        <v>105210.540632602</v>
      </c>
      <c r="D73" s="19">
        <v>1.6210761599450899E-2</v>
      </c>
      <c r="E73" s="18">
        <v>57192.525635123697</v>
      </c>
      <c r="F73" s="19">
        <v>4.4720291794273503E-3</v>
      </c>
      <c r="G73" s="18">
        <v>23236.619066270101</v>
      </c>
      <c r="H73" s="19">
        <v>6.1778917345066499E-2</v>
      </c>
      <c r="I73" s="18">
        <v>22542.8846209681</v>
      </c>
      <c r="J73" s="19">
        <v>-1.9688011389234001E-2</v>
      </c>
      <c r="K73" s="18">
        <v>5524.0758012422202</v>
      </c>
      <c r="L73" s="19">
        <v>0.115218580629842</v>
      </c>
      <c r="M73" s="18">
        <v>-3285.5644910024998</v>
      </c>
      <c r="N73" s="19">
        <v>1.42872118305897E-2</v>
      </c>
      <c r="O73" s="18">
        <v>107360.15523245699</v>
      </c>
      <c r="P73" s="19">
        <v>2.21558946228178E-2</v>
      </c>
      <c r="Q73" s="18">
        <v>430.99955599821101</v>
      </c>
      <c r="R73" s="19">
        <v>6.1832883619429298E-2</v>
      </c>
      <c r="S73" s="18">
        <v>2479.7241448770601</v>
      </c>
      <c r="T73" s="19">
        <v>-1.24973068594194E-2</v>
      </c>
      <c r="U73" s="18">
        <v>10.1784992687934</v>
      </c>
      <c r="V73" s="19">
        <v>0.71221317322071198</v>
      </c>
      <c r="W73" s="18">
        <v>8785.8192492601793</v>
      </c>
      <c r="X73" s="19">
        <v>3.49614050352334E-2</v>
      </c>
      <c r="Y73" s="18">
        <v>4597.6585597944704</v>
      </c>
      <c r="Z73" s="19">
        <v>-5.95761174578118E-2</v>
      </c>
      <c r="AA73" s="18">
        <v>106127.673966849</v>
      </c>
      <c r="AB73" s="19">
        <v>2.2139656782531401E-2</v>
      </c>
      <c r="AC73" s="18">
        <v>4427.0337314723001</v>
      </c>
      <c r="AD73" s="19">
        <v>-4.3325287714694301E-2</v>
      </c>
      <c r="AE73" s="18">
        <v>5659.5149970802704</v>
      </c>
      <c r="AF73" s="19">
        <v>-2.95156268425683E-2</v>
      </c>
      <c r="AG73" s="18"/>
      <c r="AH73" s="19"/>
    </row>
    <row r="74" spans="1:34" x14ac:dyDescent="0.3">
      <c r="A74" s="17">
        <v>1995</v>
      </c>
      <c r="B74" s="17">
        <v>3</v>
      </c>
      <c r="C74" s="18">
        <v>105925.53384225701</v>
      </c>
      <c r="D74" s="19">
        <v>1.7950364365232799E-2</v>
      </c>
      <c r="E74" s="18">
        <v>56385.662415130901</v>
      </c>
      <c r="F74" s="19">
        <v>1.31801950640218E-2</v>
      </c>
      <c r="G74" s="18">
        <v>24639.8347946543</v>
      </c>
      <c r="H74" s="19">
        <v>3.2928504443809001E-2</v>
      </c>
      <c r="I74" s="18">
        <v>22415.196309706502</v>
      </c>
      <c r="J74" s="19">
        <v>-2.2524373722018699E-2</v>
      </c>
      <c r="K74" s="18">
        <v>5834.8101763839404</v>
      </c>
      <c r="L74" s="19">
        <v>0.19509380366468301</v>
      </c>
      <c r="M74" s="18">
        <v>-3349.9698536189298</v>
      </c>
      <c r="N74" s="19">
        <v>2.6696112216781E-2</v>
      </c>
      <c r="O74" s="18">
        <v>108350.736306463</v>
      </c>
      <c r="P74" s="19">
        <v>2.4854891860191599E-2</v>
      </c>
      <c r="Q74" s="18">
        <v>433.06738443562301</v>
      </c>
      <c r="R74" s="19">
        <v>4.9298025751998202E-2</v>
      </c>
      <c r="S74" s="18">
        <v>2433.6007275310199</v>
      </c>
      <c r="T74" s="19">
        <v>-1.31675959063611E-2</v>
      </c>
      <c r="U74" s="18">
        <v>11.408832481788201</v>
      </c>
      <c r="V74" s="19">
        <v>0.63610064417533796</v>
      </c>
      <c r="W74" s="18">
        <v>8881.6716825525</v>
      </c>
      <c r="X74" s="19">
        <v>8.4699334235354105E-3</v>
      </c>
      <c r="Y74" s="18">
        <v>4467.34470773261</v>
      </c>
      <c r="Z74" s="19">
        <v>-0.123251699027182</v>
      </c>
      <c r="AA74" s="18">
        <v>107111.757509658</v>
      </c>
      <c r="AB74" s="19">
        <v>2.5516850015343099E-2</v>
      </c>
      <c r="AC74" s="18">
        <v>4478.4784714382304</v>
      </c>
      <c r="AD74" s="19">
        <v>-1.4675888252490801E-2</v>
      </c>
      <c r="AE74" s="18">
        <v>5717.4572682428498</v>
      </c>
      <c r="AF74" s="19">
        <v>-1.7885062835548499E-2</v>
      </c>
      <c r="AG74" s="18"/>
      <c r="AH74" s="19"/>
    </row>
    <row r="75" spans="1:34" x14ac:dyDescent="0.3">
      <c r="A75" s="17">
        <v>1995</v>
      </c>
      <c r="B75" s="17">
        <v>4</v>
      </c>
      <c r="C75" s="18">
        <v>108731.79454673801</v>
      </c>
      <c r="D75" s="19">
        <v>1.43089478011755E-2</v>
      </c>
      <c r="E75" s="18">
        <v>60683.753160339897</v>
      </c>
      <c r="F75" s="19">
        <v>6.0701449169140699E-2</v>
      </c>
      <c r="G75" s="18">
        <v>23423.594304229999</v>
      </c>
      <c r="H75" s="19">
        <v>-8.2434186750604196E-2</v>
      </c>
      <c r="I75" s="18">
        <v>22375.536369068901</v>
      </c>
      <c r="J75" s="19">
        <v>-2.0444148791694101E-2</v>
      </c>
      <c r="K75" s="18">
        <v>5662.40665820508</v>
      </c>
      <c r="L75" s="19">
        <v>0.16185906342461201</v>
      </c>
      <c r="M75" s="18">
        <v>-3413.4959451063301</v>
      </c>
      <c r="N75" s="19">
        <v>4.8004623264495901E-2</v>
      </c>
      <c r="O75" s="18">
        <v>111426.251624775</v>
      </c>
      <c r="P75" s="19">
        <v>1.9784080361491499E-2</v>
      </c>
      <c r="Q75" s="18">
        <v>430.37332089076699</v>
      </c>
      <c r="R75" s="19">
        <v>2.5381180681707E-2</v>
      </c>
      <c r="S75" s="18">
        <v>2425.13923463326</v>
      </c>
      <c r="T75" s="19">
        <v>2.0915168565899301E-2</v>
      </c>
      <c r="U75" s="18">
        <v>11.4259677394717</v>
      </c>
      <c r="V75" s="19">
        <v>0.42298864799631603</v>
      </c>
      <c r="W75" s="18">
        <v>9039.6805733471192</v>
      </c>
      <c r="X75" s="19">
        <v>-2.5514882076933001E-2</v>
      </c>
      <c r="Y75" s="18">
        <v>4361.8835493067299</v>
      </c>
      <c r="Z75" s="19">
        <v>-0.17106165777968599</v>
      </c>
      <c r="AA75" s="18">
        <v>110169.72091372201</v>
      </c>
      <c r="AB75" s="19">
        <v>2.0406746801426599E-2</v>
      </c>
      <c r="AC75" s="18">
        <v>4579.9554706301997</v>
      </c>
      <c r="AD75" s="19">
        <v>2.2330971852875501E-2</v>
      </c>
      <c r="AE75" s="18">
        <v>5836.4861816831099</v>
      </c>
      <c r="AF75" s="19">
        <v>1.01237601479802E-2</v>
      </c>
      <c r="AG75" s="18"/>
      <c r="AH75" s="19"/>
    </row>
    <row r="76" spans="1:34" x14ac:dyDescent="0.3">
      <c r="A76" s="17">
        <v>1996</v>
      </c>
      <c r="B76" s="17">
        <v>1</v>
      </c>
      <c r="C76" s="18">
        <v>105630.649058576</v>
      </c>
      <c r="D76" s="19">
        <v>1.91337257627648E-2</v>
      </c>
      <c r="E76" s="18">
        <v>60945.035971478901</v>
      </c>
      <c r="F76" s="19">
        <v>-9.2036142437756897E-4</v>
      </c>
      <c r="G76" s="18">
        <v>20152.603137982602</v>
      </c>
      <c r="H76" s="19">
        <v>0.14857363845195401</v>
      </c>
      <c r="I76" s="18">
        <v>22586.487924213201</v>
      </c>
      <c r="J76" s="19">
        <v>-6.7533483626521802E-3</v>
      </c>
      <c r="K76" s="18">
        <v>5447.7813298010697</v>
      </c>
      <c r="L76" s="19">
        <v>-3.2709076703142201E-2</v>
      </c>
      <c r="M76" s="18">
        <v>-3501.2593048999602</v>
      </c>
      <c r="N76" s="19">
        <v>7.0225367318083501E-2</v>
      </c>
      <c r="O76" s="18">
        <v>107889.91775560399</v>
      </c>
      <c r="P76" s="19">
        <v>2.1646496024174899E-2</v>
      </c>
      <c r="Q76" s="18">
        <v>432.90841202132799</v>
      </c>
      <c r="R76" s="19">
        <v>1.47515392516635E-2</v>
      </c>
      <c r="S76" s="18">
        <v>2461.5292281079001</v>
      </c>
      <c r="T76" s="19">
        <v>-3.9781502309119601E-2</v>
      </c>
      <c r="U76" s="18">
        <v>9.8014642042201903</v>
      </c>
      <c r="V76" s="19">
        <v>0.14787258583004101</v>
      </c>
      <c r="W76" s="18">
        <v>9190.31362606722</v>
      </c>
      <c r="X76" s="19">
        <v>3.8075372834304601E-2</v>
      </c>
      <c r="Y76" s="18">
        <v>4912.2255771569698</v>
      </c>
      <c r="Z76" s="19">
        <v>3.0163786302955801E-2</v>
      </c>
      <c r="AA76" s="18">
        <v>106603.330615087</v>
      </c>
      <c r="AB76" s="19">
        <v>2.15109428989286E-2</v>
      </c>
      <c r="AC76" s="18">
        <v>4732.2894639748101</v>
      </c>
      <c r="AD76" s="19">
        <v>6.9061224713762304E-2</v>
      </c>
      <c r="AE76" s="18">
        <v>6018.8766044911999</v>
      </c>
      <c r="AF76" s="19">
        <v>6.1143823630336103E-2</v>
      </c>
      <c r="AG76" s="18"/>
      <c r="AH76" s="19"/>
    </row>
    <row r="77" spans="1:34" x14ac:dyDescent="0.3">
      <c r="A77" s="17">
        <v>1996</v>
      </c>
      <c r="B77" s="17">
        <v>2</v>
      </c>
      <c r="C77" s="18">
        <v>106798.651404466</v>
      </c>
      <c r="D77" s="19">
        <v>1.50945975784851E-2</v>
      </c>
      <c r="E77" s="18">
        <v>57478.167967924099</v>
      </c>
      <c r="F77" s="19">
        <v>4.9943996987069604E-3</v>
      </c>
      <c r="G77" s="18">
        <v>24252.397511380001</v>
      </c>
      <c r="H77" s="19">
        <v>4.3714554265095198E-2</v>
      </c>
      <c r="I77" s="18">
        <v>22585.724151679002</v>
      </c>
      <c r="J77" s="19">
        <v>1.90035709409897E-3</v>
      </c>
      <c r="K77" s="18">
        <v>6025.4841580725297</v>
      </c>
      <c r="L77" s="19">
        <v>9.0767827030461698E-2</v>
      </c>
      <c r="M77" s="18">
        <v>-3543.1223845899099</v>
      </c>
      <c r="N77" s="19">
        <v>7.8390758815639602E-2</v>
      </c>
      <c r="O77" s="18">
        <v>109287.296482053</v>
      </c>
      <c r="P77" s="19">
        <v>1.7950246489708301E-2</v>
      </c>
      <c r="Q77" s="18">
        <v>428.58546238636501</v>
      </c>
      <c r="R77" s="19">
        <v>-5.6011510412208301E-3</v>
      </c>
      <c r="S77" s="18">
        <v>2481.7326704704801</v>
      </c>
      <c r="T77" s="19">
        <v>8.0997944774186003E-4</v>
      </c>
      <c r="U77" s="18">
        <v>10.191956195699699</v>
      </c>
      <c r="V77" s="19">
        <v>1.32209341975642E-3</v>
      </c>
      <c r="W77" s="18">
        <v>9628.7080200397104</v>
      </c>
      <c r="X77" s="19">
        <v>9.5937413104704203E-2</v>
      </c>
      <c r="Y77" s="18">
        <v>5097.1076905636901</v>
      </c>
      <c r="Z77" s="19">
        <v>0.108631192219621</v>
      </c>
      <c r="AA77" s="18">
        <v>107993.165974253</v>
      </c>
      <c r="AB77" s="19">
        <v>1.75778092336847E-2</v>
      </c>
      <c r="AC77" s="18">
        <v>4839.23762215234</v>
      </c>
      <c r="AD77" s="19">
        <v>9.3110627947023503E-2</v>
      </c>
      <c r="AE77" s="18">
        <v>6133.3681299523096</v>
      </c>
      <c r="AF77" s="19">
        <v>8.3726809296644805E-2</v>
      </c>
      <c r="AG77" s="18"/>
      <c r="AH77" s="19"/>
    </row>
    <row r="78" spans="1:34" x14ac:dyDescent="0.3">
      <c r="A78" s="17">
        <v>1996</v>
      </c>
      <c r="B78" s="17">
        <v>3</v>
      </c>
      <c r="C78" s="18">
        <v>105562.178742319</v>
      </c>
      <c r="D78" s="19">
        <v>-3.4302881161648599E-3</v>
      </c>
      <c r="E78" s="18">
        <v>56455.635533833301</v>
      </c>
      <c r="F78" s="19">
        <v>1.24097360401976E-3</v>
      </c>
      <c r="G78" s="18">
        <v>24425.8844639366</v>
      </c>
      <c r="H78" s="19">
        <v>-8.6831073544412201E-3</v>
      </c>
      <c r="I78" s="18">
        <v>22586.345979365698</v>
      </c>
      <c r="J78" s="19">
        <v>7.6354303256771497E-3</v>
      </c>
      <c r="K78" s="18">
        <v>5683.11188292934</v>
      </c>
      <c r="L78" s="19">
        <v>-2.5998839528421198E-2</v>
      </c>
      <c r="M78" s="18">
        <v>-3588.7991177456402</v>
      </c>
      <c r="N78" s="19">
        <v>7.12929592093801E-2</v>
      </c>
      <c r="O78" s="18">
        <v>107976.985358224</v>
      </c>
      <c r="P78" s="19">
        <v>-3.44945462282265E-3</v>
      </c>
      <c r="Q78" s="18">
        <v>428.05913462213101</v>
      </c>
      <c r="R78" s="19">
        <v>-1.15645970892468E-2</v>
      </c>
      <c r="S78" s="18">
        <v>2492.85358605073</v>
      </c>
      <c r="T78" s="19">
        <v>2.43478142693636E-2</v>
      </c>
      <c r="U78" s="18">
        <v>10.6765623989281</v>
      </c>
      <c r="V78" s="19">
        <v>-6.4184488993861394E-2</v>
      </c>
      <c r="W78" s="18">
        <v>9653.7898853735496</v>
      </c>
      <c r="X78" s="19">
        <v>8.6933882541259805E-2</v>
      </c>
      <c r="Y78" s="18">
        <v>5184.8653804386404</v>
      </c>
      <c r="Z78" s="19">
        <v>0.16061457524512501</v>
      </c>
      <c r="AA78" s="18">
        <v>106697.43748815601</v>
      </c>
      <c r="AB78" s="19">
        <v>-3.8681096374063601E-3</v>
      </c>
      <c r="AC78" s="18">
        <v>4901.8201616925699</v>
      </c>
      <c r="AD78" s="19">
        <v>9.4528017261716002E-2</v>
      </c>
      <c r="AE78" s="18">
        <v>6181.3680317612698</v>
      </c>
      <c r="AF78" s="19">
        <v>8.1139349496353902E-2</v>
      </c>
      <c r="AG78" s="18"/>
      <c r="AH78" s="19"/>
    </row>
    <row r="79" spans="1:34" x14ac:dyDescent="0.3">
      <c r="A79" s="17">
        <v>1996</v>
      </c>
      <c r="B79" s="17">
        <v>4</v>
      </c>
      <c r="C79" s="18">
        <v>108890.348796437</v>
      </c>
      <c r="D79" s="19">
        <v>1.4582142266723599E-3</v>
      </c>
      <c r="E79" s="18">
        <v>60952.218586899697</v>
      </c>
      <c r="F79" s="19">
        <v>4.4240082819280201E-3</v>
      </c>
      <c r="G79" s="18">
        <v>23328.013893179701</v>
      </c>
      <c r="H79" s="19">
        <v>-4.0805185493264498E-3</v>
      </c>
      <c r="I79" s="18">
        <v>22625.704234735302</v>
      </c>
      <c r="J79" s="19">
        <v>1.1180418718907299E-2</v>
      </c>
      <c r="K79" s="18">
        <v>5567.5021462070599</v>
      </c>
      <c r="L79" s="19">
        <v>-1.67604550020258E-2</v>
      </c>
      <c r="M79" s="18">
        <v>-3583.0900645844899</v>
      </c>
      <c r="N79" s="19">
        <v>4.9683410264861602E-2</v>
      </c>
      <c r="O79" s="18">
        <v>112064.78181441</v>
      </c>
      <c r="P79" s="19">
        <v>5.7305184399880603E-3</v>
      </c>
      <c r="Q79" s="18">
        <v>428.61800506467603</v>
      </c>
      <c r="R79" s="19">
        <v>-4.0785888457451902E-3</v>
      </c>
      <c r="S79" s="18">
        <v>2494.8919748486601</v>
      </c>
      <c r="T79" s="19">
        <v>2.87623651538313E-2</v>
      </c>
      <c r="U79" s="18">
        <v>10.6216272011521</v>
      </c>
      <c r="V79" s="19">
        <v>-7.0395834878908006E-2</v>
      </c>
      <c r="W79" s="18">
        <v>10746.633874126001</v>
      </c>
      <c r="X79" s="19">
        <v>0.18882894001938</v>
      </c>
      <c r="Y79" s="18">
        <v>5516.5485135709796</v>
      </c>
      <c r="Z79" s="19">
        <v>0.26471705427527098</v>
      </c>
      <c r="AA79" s="18">
        <v>110832.684225094</v>
      </c>
      <c r="AB79" s="19">
        <v>6.0176544505425901E-3</v>
      </c>
      <c r="AC79" s="18">
        <v>4919.4721391472804</v>
      </c>
      <c r="AD79" s="19">
        <v>7.4130997712595903E-2</v>
      </c>
      <c r="AE79" s="18">
        <v>6151.5697284632297</v>
      </c>
      <c r="AF79" s="19">
        <v>5.3985143967094203E-2</v>
      </c>
      <c r="AG79" s="18"/>
      <c r="AH79" s="19"/>
    </row>
    <row r="80" spans="1:34" x14ac:dyDescent="0.3">
      <c r="A80" s="17">
        <v>1997</v>
      </c>
      <c r="B80" s="17">
        <v>1</v>
      </c>
      <c r="C80" s="18">
        <v>105123.232566288</v>
      </c>
      <c r="D80" s="19">
        <v>-4.8036862104884302E-3</v>
      </c>
      <c r="E80" s="18">
        <v>60344.227562414999</v>
      </c>
      <c r="F80" s="19">
        <v>-9.8582009098342506E-3</v>
      </c>
      <c r="G80" s="18">
        <v>19983.421372399302</v>
      </c>
      <c r="H80" s="19">
        <v>-8.3950328612638608E-3</v>
      </c>
      <c r="I80" s="18">
        <v>22608.683510767802</v>
      </c>
      <c r="J80" s="19">
        <v>9.8269313179799611E-4</v>
      </c>
      <c r="K80" s="18">
        <v>5739.1522236843803</v>
      </c>
      <c r="L80" s="19">
        <v>5.3484322560713102E-2</v>
      </c>
      <c r="M80" s="18">
        <v>-3552.2521029781801</v>
      </c>
      <c r="N80" s="19">
        <v>1.45641306848803E-2</v>
      </c>
      <c r="O80" s="18">
        <v>109719.090180824</v>
      </c>
      <c r="P80" s="19">
        <v>1.6954062652669601E-2</v>
      </c>
      <c r="Q80" s="18">
        <v>440.28643531890498</v>
      </c>
      <c r="R80" s="19">
        <v>1.7042919686239201E-2</v>
      </c>
      <c r="S80" s="18">
        <v>2404.9173366980299</v>
      </c>
      <c r="T80" s="19">
        <v>-2.2998667155128199E-2</v>
      </c>
      <c r="U80" s="18">
        <v>9.5997442690528807</v>
      </c>
      <c r="V80" s="19">
        <v>-2.0580591936505199E-2</v>
      </c>
      <c r="W80" s="18">
        <v>12054.031630536099</v>
      </c>
      <c r="X80" s="19">
        <v>0.31160177127647698</v>
      </c>
      <c r="Y80" s="18">
        <v>5503.1428588906401</v>
      </c>
      <c r="Z80" s="19">
        <v>0.12029522513818799</v>
      </c>
      <c r="AA80" s="18">
        <v>108591.32259337501</v>
      </c>
      <c r="AB80" s="19">
        <v>1.86484978172579E-2</v>
      </c>
      <c r="AC80" s="18">
        <v>4890.0232659611102</v>
      </c>
      <c r="AD80" s="19">
        <v>3.33313934380104E-2</v>
      </c>
      <c r="AE80" s="18">
        <v>6017.7908534095104</v>
      </c>
      <c r="AF80" s="19">
        <v>-1.8039098539968099E-4</v>
      </c>
      <c r="AG80" s="18"/>
      <c r="AH80" s="19"/>
    </row>
    <row r="81" spans="1:34" x14ac:dyDescent="0.3">
      <c r="A81" s="17">
        <v>1997</v>
      </c>
      <c r="B81" s="17">
        <v>2</v>
      </c>
      <c r="C81" s="18">
        <v>107801.777831809</v>
      </c>
      <c r="D81" s="19">
        <v>9.3926881486912101E-3</v>
      </c>
      <c r="E81" s="18">
        <v>59965.269685063402</v>
      </c>
      <c r="F81" s="19">
        <v>4.32703721268086E-2</v>
      </c>
      <c r="G81" s="18">
        <v>22942.376321678101</v>
      </c>
      <c r="H81" s="19">
        <v>-5.4016151973724301E-2</v>
      </c>
      <c r="I81" s="18">
        <v>22601.320035122299</v>
      </c>
      <c r="J81" s="19">
        <v>6.90519521910682E-4</v>
      </c>
      <c r="K81" s="18">
        <v>5842.0100728000898</v>
      </c>
      <c r="L81" s="19">
        <v>-3.0449683454339301E-2</v>
      </c>
      <c r="M81" s="18">
        <v>-3549.19828285517</v>
      </c>
      <c r="N81" s="19">
        <v>1.7148429000597399E-3</v>
      </c>
      <c r="O81" s="18">
        <v>112270.228534471</v>
      </c>
      <c r="P81" s="19">
        <v>2.7294407936125299E-2</v>
      </c>
      <c r="Q81" s="18">
        <v>442.22930929757598</v>
      </c>
      <c r="R81" s="19">
        <v>3.1834600350748803E-2</v>
      </c>
      <c r="S81" s="18">
        <v>2400.21958410762</v>
      </c>
      <c r="T81" s="19">
        <v>-3.2845232418769202E-2</v>
      </c>
      <c r="U81" s="18">
        <v>10.4191170118914</v>
      </c>
      <c r="V81" s="19">
        <v>2.2288244948262599E-2</v>
      </c>
      <c r="W81" s="18">
        <v>12112.472151345701</v>
      </c>
      <c r="X81" s="19">
        <v>0.257954039746214</v>
      </c>
      <c r="Y81" s="18">
        <v>5696.4502908854502</v>
      </c>
      <c r="Z81" s="19">
        <v>0.117584841582085</v>
      </c>
      <c r="AA81" s="18">
        <v>111173.36582857301</v>
      </c>
      <c r="AB81" s="19">
        <v>2.94481583684469E-2</v>
      </c>
      <c r="AC81" s="18">
        <v>4901.2545913734702</v>
      </c>
      <c r="AD81" s="19">
        <v>1.2815442031040901E-2</v>
      </c>
      <c r="AE81" s="18">
        <v>5998.1172972710701</v>
      </c>
      <c r="AF81" s="19">
        <v>-2.20516410910905E-2</v>
      </c>
      <c r="AG81" s="18"/>
      <c r="AH81" s="19"/>
    </row>
    <row r="82" spans="1:34" x14ac:dyDescent="0.3">
      <c r="A82" s="17">
        <v>1997</v>
      </c>
      <c r="B82" s="17">
        <v>3</v>
      </c>
      <c r="C82" s="18">
        <v>108474.32851150499</v>
      </c>
      <c r="D82" s="19">
        <v>2.7587056310147198E-2</v>
      </c>
      <c r="E82" s="18">
        <v>58129.7936951101</v>
      </c>
      <c r="F82" s="19">
        <v>2.9654402885493002E-2</v>
      </c>
      <c r="G82" s="18">
        <v>25250.701645425201</v>
      </c>
      <c r="H82" s="19">
        <v>3.3768160277118903E-2</v>
      </c>
      <c r="I82" s="18">
        <v>22682.729928975801</v>
      </c>
      <c r="J82" s="19">
        <v>4.2673546973119904E-3</v>
      </c>
      <c r="K82" s="18">
        <v>6032.81637423546</v>
      </c>
      <c r="L82" s="19">
        <v>6.1533979712162297E-2</v>
      </c>
      <c r="M82" s="18">
        <v>-3621.7131322411901</v>
      </c>
      <c r="N82" s="19">
        <v>9.1713170382823304E-3</v>
      </c>
      <c r="O82" s="18">
        <v>112865.029549421</v>
      </c>
      <c r="P82" s="19">
        <v>4.5269315261765801E-2</v>
      </c>
      <c r="Q82" s="18">
        <v>445.18860760150301</v>
      </c>
      <c r="R82" s="19">
        <v>4.0016604235050698E-2</v>
      </c>
      <c r="S82" s="18">
        <v>2397.6334059723499</v>
      </c>
      <c r="T82" s="19">
        <v>-3.8197261408053101E-2</v>
      </c>
      <c r="U82" s="18">
        <v>11.2601115624672</v>
      </c>
      <c r="V82" s="19">
        <v>5.4657027396540103E-2</v>
      </c>
      <c r="W82" s="18">
        <v>12335.8584976203</v>
      </c>
      <c r="X82" s="19">
        <v>0.27782545964775801</v>
      </c>
      <c r="Y82" s="18">
        <v>6003.9727728963699</v>
      </c>
      <c r="Z82" s="19">
        <v>0.15798045510459</v>
      </c>
      <c r="AA82" s="18">
        <v>111747.493324711</v>
      </c>
      <c r="AB82" s="19">
        <v>4.7330619698487501E-2</v>
      </c>
      <c r="AC82" s="18">
        <v>4950.7664203434497</v>
      </c>
      <c r="AD82" s="19">
        <v>9.9853232138946701E-3</v>
      </c>
      <c r="AE82" s="18">
        <v>6068.3026450536499</v>
      </c>
      <c r="AF82" s="19">
        <v>-1.82913209708057E-2</v>
      </c>
      <c r="AG82" s="18"/>
      <c r="AH82" s="19"/>
    </row>
    <row r="83" spans="1:34" x14ac:dyDescent="0.3">
      <c r="A83" s="17">
        <v>1997</v>
      </c>
      <c r="B83" s="17">
        <v>4</v>
      </c>
      <c r="C83" s="18">
        <v>112348.15315963099</v>
      </c>
      <c r="D83" s="19">
        <v>3.1754920444398801E-2</v>
      </c>
      <c r="E83" s="18">
        <v>60178.4819843695</v>
      </c>
      <c r="F83" s="19">
        <v>-1.26941499500485E-2</v>
      </c>
      <c r="G83" s="18">
        <v>27175.308228803999</v>
      </c>
      <c r="H83" s="19">
        <v>0.16492164113246999</v>
      </c>
      <c r="I83" s="18">
        <v>22795.695402612899</v>
      </c>
      <c r="J83" s="19">
        <v>7.5131879261762799E-3</v>
      </c>
      <c r="K83" s="18">
        <v>5908.5720589500697</v>
      </c>
      <c r="L83" s="19">
        <v>6.1260849800546198E-2</v>
      </c>
      <c r="M83" s="18">
        <v>-3709.9045151054702</v>
      </c>
      <c r="N83" s="19">
        <v>3.5392481973707701E-2</v>
      </c>
      <c r="O83" s="18">
        <v>116798.47457714099</v>
      </c>
      <c r="P83" s="19">
        <v>4.2240681560163702E-2</v>
      </c>
      <c r="Q83" s="18">
        <v>446.18718918966601</v>
      </c>
      <c r="R83" s="19">
        <v>4.0990308193746397E-2</v>
      </c>
      <c r="S83" s="18">
        <v>2397.1588022922101</v>
      </c>
      <c r="T83" s="19">
        <v>-3.9173308320246097E-2</v>
      </c>
      <c r="U83" s="18">
        <v>11.425460156588599</v>
      </c>
      <c r="V83" s="19">
        <v>7.56788898926299E-2</v>
      </c>
      <c r="W83" s="18">
        <v>12407.210300500899</v>
      </c>
      <c r="X83" s="19">
        <v>0.15452061043718299</v>
      </c>
      <c r="Y83" s="18">
        <v>6017.3427300447502</v>
      </c>
      <c r="Z83" s="19">
        <v>9.0780352106356793E-2</v>
      </c>
      <c r="AA83" s="18">
        <v>115614.71898533301</v>
      </c>
      <c r="AB83" s="19">
        <v>4.3146430979940302E-2</v>
      </c>
      <c r="AC83" s="18">
        <v>5037.52679987997</v>
      </c>
      <c r="AD83" s="19">
        <v>2.39974243970731E-2</v>
      </c>
      <c r="AE83" s="18">
        <v>6221.2823916880698</v>
      </c>
      <c r="AF83" s="19">
        <v>1.1332499882475099E-2</v>
      </c>
      <c r="AG83" s="18"/>
      <c r="AH83" s="19"/>
    </row>
    <row r="84" spans="1:34" x14ac:dyDescent="0.3">
      <c r="A84" s="17">
        <v>1998</v>
      </c>
      <c r="B84" s="17">
        <v>1</v>
      </c>
      <c r="C84" s="18">
        <v>109152.280583389</v>
      </c>
      <c r="D84" s="19">
        <v>3.8326903756118899E-2</v>
      </c>
      <c r="E84" s="18">
        <v>62943.236175273698</v>
      </c>
      <c r="F84" s="19">
        <v>4.3069713837508197E-2</v>
      </c>
      <c r="G84" s="18">
        <v>20863.2041308105</v>
      </c>
      <c r="H84" s="19">
        <v>4.4025632148573697E-2</v>
      </c>
      <c r="I84" s="18">
        <v>22949.9419676086</v>
      </c>
      <c r="J84" s="19">
        <v>1.50941321584845E-2</v>
      </c>
      <c r="K84" s="18">
        <v>6235.85591109908</v>
      </c>
      <c r="L84" s="19">
        <v>8.6546526046982694E-2</v>
      </c>
      <c r="M84" s="18">
        <v>-3839.9576014033901</v>
      </c>
      <c r="N84" s="19">
        <v>8.0992421169657297E-2</v>
      </c>
      <c r="O84" s="18">
        <v>113660.917460871</v>
      </c>
      <c r="P84" s="19">
        <v>3.5926539980882098E-2</v>
      </c>
      <c r="Q84" s="18">
        <v>445.61618182488797</v>
      </c>
      <c r="R84" s="19">
        <v>1.2105179897542199E-2</v>
      </c>
      <c r="S84" s="18">
        <v>2376.3043248949998</v>
      </c>
      <c r="T84" s="19">
        <v>-1.1897711146411E-2</v>
      </c>
      <c r="U84" s="18">
        <v>10.4638459596886</v>
      </c>
      <c r="V84" s="19">
        <v>9.0012990598230799E-2</v>
      </c>
      <c r="W84" s="18">
        <v>14474.388391209301</v>
      </c>
      <c r="X84" s="19">
        <v>0.20079230209930701</v>
      </c>
      <c r="Y84" s="18">
        <v>8045.5272166163704</v>
      </c>
      <c r="Z84" s="19">
        <v>0.46198770828170699</v>
      </c>
      <c r="AA84" s="18">
        <v>112356.92896989299</v>
      </c>
      <c r="AB84" s="19">
        <v>3.4676862631261497E-2</v>
      </c>
      <c r="AC84" s="18">
        <v>5161.83464790976</v>
      </c>
      <c r="AD84" s="19">
        <v>5.5584885217357702E-2</v>
      </c>
      <c r="AE84" s="18">
        <v>6465.8231388880804</v>
      </c>
      <c r="AF84" s="19">
        <v>7.4451288918544495E-2</v>
      </c>
      <c r="AG84" s="18"/>
      <c r="AH84" s="19"/>
    </row>
    <row r="85" spans="1:34" x14ac:dyDescent="0.3">
      <c r="A85" s="17">
        <v>1998</v>
      </c>
      <c r="B85" s="17">
        <v>2</v>
      </c>
      <c r="C85" s="18">
        <v>111610.928783956</v>
      </c>
      <c r="D85" s="19">
        <v>3.5334769321615299E-2</v>
      </c>
      <c r="E85" s="18">
        <v>60644.193662259699</v>
      </c>
      <c r="F85" s="19">
        <v>1.13219532032789E-2</v>
      </c>
      <c r="G85" s="18">
        <v>25307.189878582401</v>
      </c>
      <c r="H85" s="19">
        <v>0.103076225572581</v>
      </c>
      <c r="I85" s="18">
        <v>23176.446219582402</v>
      </c>
      <c r="J85" s="19">
        <v>2.5446574959621299E-2</v>
      </c>
      <c r="K85" s="18">
        <v>6434.70828378435</v>
      </c>
      <c r="L85" s="19">
        <v>0.101454500009134</v>
      </c>
      <c r="M85" s="18">
        <v>-3951.6092602531899</v>
      </c>
      <c r="N85" s="19">
        <v>0.113380810348611</v>
      </c>
      <c r="O85" s="18">
        <v>119732.708858235</v>
      </c>
      <c r="P85" s="19">
        <v>6.6468915412182902E-2</v>
      </c>
      <c r="Q85" s="18">
        <v>446.95004883780399</v>
      </c>
      <c r="R85" s="19">
        <v>1.06748680853517E-2</v>
      </c>
      <c r="S85" s="18">
        <v>2377.42399544316</v>
      </c>
      <c r="T85" s="19">
        <v>-9.4972930041042902E-3</v>
      </c>
      <c r="U85" s="18">
        <v>11.3327912652696</v>
      </c>
      <c r="V85" s="19">
        <v>8.7692100236083106E-2</v>
      </c>
      <c r="W85" s="18">
        <v>20802.6105409501</v>
      </c>
      <c r="X85" s="19">
        <v>0.71745373537464896</v>
      </c>
      <c r="Y85" s="18">
        <v>10761.6893113307</v>
      </c>
      <c r="Z85" s="19">
        <v>0.88919217438794396</v>
      </c>
      <c r="AA85" s="18">
        <v>118373.989068453</v>
      </c>
      <c r="AB85" s="19">
        <v>6.4769319397801797E-2</v>
      </c>
      <c r="AC85" s="18">
        <v>5257.2461208489703</v>
      </c>
      <c r="AD85" s="19">
        <v>7.2632735728943604E-2</v>
      </c>
      <c r="AE85" s="18">
        <v>6615.9659106312502</v>
      </c>
      <c r="AF85" s="19">
        <v>0.103007090848537</v>
      </c>
      <c r="AG85" s="18"/>
      <c r="AH85" s="19"/>
    </row>
    <row r="86" spans="1:34" x14ac:dyDescent="0.3">
      <c r="A86" s="17">
        <v>1998</v>
      </c>
      <c r="B86" s="17">
        <v>3</v>
      </c>
      <c r="C86" s="18">
        <v>110834.936418433</v>
      </c>
      <c r="D86" s="19">
        <v>2.1761903846931399E-2</v>
      </c>
      <c r="E86" s="18">
        <v>57504.064580655002</v>
      </c>
      <c r="F86" s="19">
        <v>-1.0764344317770101E-2</v>
      </c>
      <c r="G86" s="18">
        <v>27109.5936926744</v>
      </c>
      <c r="H86" s="19">
        <v>7.3617441342899395E-2</v>
      </c>
      <c r="I86" s="18">
        <v>23423.592930167499</v>
      </c>
      <c r="J86" s="19">
        <v>3.2661985727090399E-2</v>
      </c>
      <c r="K86" s="18">
        <v>6703.4357377060196</v>
      </c>
      <c r="L86" s="19">
        <v>0.111161905463358</v>
      </c>
      <c r="M86" s="18">
        <v>-3905.7505227696101</v>
      </c>
      <c r="N86" s="19">
        <v>7.8426253034748206E-2</v>
      </c>
      <c r="O86" s="18">
        <v>115254.26985215201</v>
      </c>
      <c r="P86" s="19">
        <v>2.1169004360958699E-2</v>
      </c>
      <c r="Q86" s="18">
        <v>451.17743469314098</v>
      </c>
      <c r="R86" s="19">
        <v>1.34523368059758E-2</v>
      </c>
      <c r="S86" s="18">
        <v>2378.0417142338201</v>
      </c>
      <c r="T86" s="19">
        <v>-8.1712624164006504E-3</v>
      </c>
      <c r="U86" s="18">
        <v>12.054363307470499</v>
      </c>
      <c r="V86" s="19">
        <v>7.0536756283191296E-2</v>
      </c>
      <c r="W86" s="18">
        <v>14706.888671296199</v>
      </c>
      <c r="X86" s="19">
        <v>0.19220633684581201</v>
      </c>
      <c r="Y86" s="18">
        <v>8372.7453213438203</v>
      </c>
      <c r="Z86" s="19">
        <v>0.39453419228360997</v>
      </c>
      <c r="AA86" s="18">
        <v>113898.704236734</v>
      </c>
      <c r="AB86" s="19">
        <v>1.9250641316602299E-2</v>
      </c>
      <c r="AC86" s="18">
        <v>5324.3692355944004</v>
      </c>
      <c r="AD86" s="19">
        <v>7.5463631997614494E-2</v>
      </c>
      <c r="AE86" s="18">
        <v>6679.9348510126101</v>
      </c>
      <c r="AF86" s="19">
        <v>0.100791315419562</v>
      </c>
      <c r="AG86" s="18"/>
      <c r="AH86" s="19"/>
    </row>
    <row r="87" spans="1:34" x14ac:dyDescent="0.3">
      <c r="A87" s="17">
        <v>1998</v>
      </c>
      <c r="B87" s="17">
        <v>4</v>
      </c>
      <c r="C87" s="18">
        <v>113356.69703215999</v>
      </c>
      <c r="D87" s="19">
        <v>8.9769510594048807E-3</v>
      </c>
      <c r="E87" s="18">
        <v>61764.626204147498</v>
      </c>
      <c r="F87" s="19">
        <v>2.6357331848118701E-2</v>
      </c>
      <c r="G87" s="18">
        <v>25306.631354240799</v>
      </c>
      <c r="H87" s="19">
        <v>-6.8763778457627794E-2</v>
      </c>
      <c r="I87" s="18">
        <v>23707.592560374502</v>
      </c>
      <c r="J87" s="19">
        <v>4.0003041875048301E-2</v>
      </c>
      <c r="K87" s="18">
        <v>6378.9020982505399</v>
      </c>
      <c r="L87" s="19">
        <v>7.9601303768148002E-2</v>
      </c>
      <c r="M87" s="18">
        <v>-3801.0551848538198</v>
      </c>
      <c r="N87" s="19">
        <v>2.4569546029343099E-2</v>
      </c>
      <c r="O87" s="18">
        <v>116549.851177572</v>
      </c>
      <c r="P87" s="19">
        <v>-2.12865279679098E-3</v>
      </c>
      <c r="Q87" s="18">
        <v>455.32010686328698</v>
      </c>
      <c r="R87" s="19">
        <v>2.0468802993217801E-2</v>
      </c>
      <c r="S87" s="18">
        <v>2378.1574812669701</v>
      </c>
      <c r="T87" s="19">
        <v>-7.9266008605959302E-3</v>
      </c>
      <c r="U87" s="18">
        <v>11.939093467571499</v>
      </c>
      <c r="V87" s="19">
        <v>4.49551531354868E-2</v>
      </c>
      <c r="W87" s="18">
        <v>15510.057660647501</v>
      </c>
      <c r="X87" s="19">
        <v>0.25008420789170199</v>
      </c>
      <c r="Y87" s="18">
        <v>10406.0052342992</v>
      </c>
      <c r="Z87" s="19">
        <v>0.72933563885961605</v>
      </c>
      <c r="AA87" s="18">
        <v>115263.17564213699</v>
      </c>
      <c r="AB87" s="19">
        <v>-3.0406452247679901E-3</v>
      </c>
      <c r="AC87" s="18">
        <v>5362.8012810370701</v>
      </c>
      <c r="AD87" s="19">
        <v>6.45702730881446E-2</v>
      </c>
      <c r="AE87" s="18">
        <v>6649.4768164712596</v>
      </c>
      <c r="AF87" s="19">
        <v>6.8827357098477898E-2</v>
      </c>
      <c r="AG87" s="18"/>
      <c r="AH87" s="19"/>
    </row>
    <row r="88" spans="1:34" x14ac:dyDescent="0.3">
      <c r="A88" s="17">
        <v>1999</v>
      </c>
      <c r="B88" s="17">
        <v>1</v>
      </c>
      <c r="C88" s="18">
        <v>109865.535989258</v>
      </c>
      <c r="D88" s="19">
        <v>6.53449842786347E-3</v>
      </c>
      <c r="E88" s="18">
        <v>65897.268439802399</v>
      </c>
      <c r="F88" s="19">
        <v>4.6931687088709997E-2</v>
      </c>
      <c r="G88" s="18">
        <v>16725.6787371434</v>
      </c>
      <c r="H88" s="19">
        <v>-0.198316872505545</v>
      </c>
      <c r="I88" s="18">
        <v>24081.4767968175</v>
      </c>
      <c r="J88" s="19">
        <v>4.9304474530083499E-2</v>
      </c>
      <c r="K88" s="18">
        <v>6744.83938577966</v>
      </c>
      <c r="L88" s="19">
        <v>8.1622071121727896E-2</v>
      </c>
      <c r="M88" s="18">
        <v>-3583.7273702846001</v>
      </c>
      <c r="N88" s="19">
        <v>-6.6727359444059706E-2</v>
      </c>
      <c r="O88" s="18">
        <v>109350.203416125</v>
      </c>
      <c r="P88" s="19">
        <v>-3.7926088765120602E-2</v>
      </c>
      <c r="Q88" s="18">
        <v>459.13894911031599</v>
      </c>
      <c r="R88" s="19">
        <v>3.0346221337946198E-2</v>
      </c>
      <c r="S88" s="18">
        <v>2402.9189852562099</v>
      </c>
      <c r="T88" s="19">
        <v>1.1200021850059E-2</v>
      </c>
      <c r="U88" s="18">
        <v>10.5885642407197</v>
      </c>
      <c r="V88" s="19">
        <v>1.19189714290162E-2</v>
      </c>
      <c r="W88" s="18">
        <v>12179.6863565193</v>
      </c>
      <c r="X88" s="19">
        <v>-0.15853533653164301</v>
      </c>
      <c r="Y88" s="18">
        <v>10761.8274577474</v>
      </c>
      <c r="Z88" s="19">
        <v>0.337616189467498</v>
      </c>
      <c r="AA88" s="18">
        <v>108223.034552304</v>
      </c>
      <c r="AB88" s="19">
        <v>-3.6792518765764101E-2</v>
      </c>
      <c r="AC88" s="18">
        <v>5371.1144294082596</v>
      </c>
      <c r="AD88" s="19">
        <v>4.0543681805701698E-2</v>
      </c>
      <c r="AE88" s="18">
        <v>6498.2832932289402</v>
      </c>
      <c r="AF88" s="19">
        <v>5.0202663518021896E-3</v>
      </c>
      <c r="AG88" s="18"/>
      <c r="AH88" s="19"/>
    </row>
    <row r="89" spans="1:34" x14ac:dyDescent="0.3">
      <c r="A89" s="17">
        <v>1999</v>
      </c>
      <c r="B89" s="17">
        <v>2</v>
      </c>
      <c r="C89" s="18">
        <v>111559.731776054</v>
      </c>
      <c r="D89" s="19">
        <v>-4.58709630490661E-4</v>
      </c>
      <c r="E89" s="18">
        <v>60750.342318580202</v>
      </c>
      <c r="F89" s="19">
        <v>1.7503515161188001E-3</v>
      </c>
      <c r="G89" s="18">
        <v>23281.519877453102</v>
      </c>
      <c r="H89" s="19">
        <v>-8.0043260861752397E-2</v>
      </c>
      <c r="I89" s="18">
        <v>24418.958136071898</v>
      </c>
      <c r="J89" s="19">
        <v>5.3610976623315001E-2</v>
      </c>
      <c r="K89" s="18">
        <v>6557.3546280456603</v>
      </c>
      <c r="L89" s="19">
        <v>1.9060125005260001E-2</v>
      </c>
      <c r="M89" s="18">
        <v>-3448.4431840965199</v>
      </c>
      <c r="N89" s="19">
        <v>-0.12733194074062601</v>
      </c>
      <c r="O89" s="18">
        <v>119993.94761420001</v>
      </c>
      <c r="P89" s="19">
        <v>2.1818495418313199E-3</v>
      </c>
      <c r="Q89" s="18">
        <v>462.35715177303302</v>
      </c>
      <c r="R89" s="19">
        <v>3.44716439237251E-2</v>
      </c>
      <c r="S89" s="18">
        <v>2402.6445413329802</v>
      </c>
      <c r="T89" s="19">
        <v>1.0608350020087301E-2</v>
      </c>
      <c r="U89" s="18">
        <v>11.531272062909199</v>
      </c>
      <c r="V89" s="19">
        <v>1.75138492356968E-2</v>
      </c>
      <c r="W89" s="18">
        <v>21023.960986171001</v>
      </c>
      <c r="X89" s="19">
        <v>1.0640512871453499E-2</v>
      </c>
      <c r="Y89" s="18">
        <v>10660.989030528801</v>
      </c>
      <c r="Z89" s="19">
        <v>-9.3572930688406997E-3</v>
      </c>
      <c r="AA89" s="18">
        <v>118985.528004455</v>
      </c>
      <c r="AB89" s="19">
        <v>5.1661597350471898E-3</v>
      </c>
      <c r="AC89" s="18">
        <v>5486.5411398954202</v>
      </c>
      <c r="AD89" s="19">
        <v>4.3615043651298799E-2</v>
      </c>
      <c r="AE89" s="18">
        <v>6494.9607496399203</v>
      </c>
      <c r="AF89" s="19">
        <v>-1.8289870689461401E-2</v>
      </c>
      <c r="AG89" s="18"/>
      <c r="AH89" s="19"/>
    </row>
    <row r="90" spans="1:34" x14ac:dyDescent="0.3">
      <c r="A90" s="17">
        <v>1999</v>
      </c>
      <c r="B90" s="17">
        <v>3</v>
      </c>
      <c r="C90" s="18">
        <v>112723.231056373</v>
      </c>
      <c r="D90" s="19">
        <v>1.70369984317102E-2</v>
      </c>
      <c r="E90" s="18">
        <v>59538.786915699398</v>
      </c>
      <c r="F90" s="19">
        <v>3.5383974157000599E-2</v>
      </c>
      <c r="G90" s="18">
        <v>24607.917456139101</v>
      </c>
      <c r="H90" s="19">
        <v>-9.2280108101041605E-2</v>
      </c>
      <c r="I90" s="18">
        <v>24652.462400444801</v>
      </c>
      <c r="J90" s="19">
        <v>5.24628938839957E-2</v>
      </c>
      <c r="K90" s="18">
        <v>7350.1054786896502</v>
      </c>
      <c r="L90" s="19">
        <v>9.6468403112480103E-2</v>
      </c>
      <c r="M90" s="18">
        <v>-3426.0411946000499</v>
      </c>
      <c r="N90" s="19">
        <v>-0.12282129269981799</v>
      </c>
      <c r="O90" s="18">
        <v>121472.87593278001</v>
      </c>
      <c r="P90" s="19">
        <v>5.3955537513750401E-2</v>
      </c>
      <c r="Q90" s="18">
        <v>465.321875258815</v>
      </c>
      <c r="R90" s="19">
        <v>3.13500620333413E-2</v>
      </c>
      <c r="S90" s="18">
        <v>2402.4859225621299</v>
      </c>
      <c r="T90" s="19">
        <v>1.0279133533277701E-2</v>
      </c>
      <c r="U90" s="18">
        <v>12.877169766412999</v>
      </c>
      <c r="V90" s="19">
        <v>6.8257977460545599E-2</v>
      </c>
      <c r="W90" s="18">
        <v>20295.6613926424</v>
      </c>
      <c r="X90" s="19">
        <v>0.38001054106392401</v>
      </c>
      <c r="Y90" s="18">
        <v>9621.7296386981707</v>
      </c>
      <c r="Z90" s="19">
        <v>0.14917261536314</v>
      </c>
      <c r="AA90" s="18">
        <v>120564.89125017601</v>
      </c>
      <c r="AB90" s="19">
        <v>5.8527329683982998E-2</v>
      </c>
      <c r="AC90" s="18">
        <v>5710.4045631968102</v>
      </c>
      <c r="AD90" s="19">
        <v>7.2503485487387595E-2</v>
      </c>
      <c r="AE90" s="18">
        <v>6618.3892458008804</v>
      </c>
      <c r="AF90" s="19">
        <v>-9.2135038117027203E-3</v>
      </c>
      <c r="AG90" s="18"/>
      <c r="AH90" s="19"/>
    </row>
    <row r="91" spans="1:34" x14ac:dyDescent="0.3">
      <c r="A91" s="17">
        <v>1999</v>
      </c>
      <c r="B91" s="17">
        <v>4</v>
      </c>
      <c r="C91" s="18">
        <v>119382.608315524</v>
      </c>
      <c r="D91" s="19">
        <v>5.3158846730116699E-2</v>
      </c>
      <c r="E91" s="18">
        <v>61490.916193395897</v>
      </c>
      <c r="F91" s="19">
        <v>-4.4315011289298703E-3</v>
      </c>
      <c r="G91" s="18">
        <v>29112.366149101199</v>
      </c>
      <c r="H91" s="19">
        <v>0.150384882981379</v>
      </c>
      <c r="I91" s="18">
        <v>24950.579186141102</v>
      </c>
      <c r="J91" s="19">
        <v>5.2429896565885099E-2</v>
      </c>
      <c r="K91" s="18">
        <v>7230.99780271503</v>
      </c>
      <c r="L91" s="19">
        <v>0.133580307604687</v>
      </c>
      <c r="M91" s="18">
        <v>-3402.2510158288301</v>
      </c>
      <c r="N91" s="19">
        <v>-0.104919331509344</v>
      </c>
      <c r="O91" s="18">
        <v>126609.806805726</v>
      </c>
      <c r="P91" s="19">
        <v>8.63146158190089E-2</v>
      </c>
      <c r="Q91" s="18">
        <v>465.070736276817</v>
      </c>
      <c r="R91" s="19">
        <v>2.14148887047887E-2</v>
      </c>
      <c r="S91" s="18">
        <v>2402.4431289436902</v>
      </c>
      <c r="T91" s="19">
        <v>1.02119594131231E-2</v>
      </c>
      <c r="U91" s="18">
        <v>13.9349659299581</v>
      </c>
      <c r="V91" s="19">
        <v>0.16717118999091199</v>
      </c>
      <c r="W91" s="18">
        <v>20479.990715813299</v>
      </c>
      <c r="X91" s="19">
        <v>0.32043291932922302</v>
      </c>
      <c r="Y91" s="18">
        <v>11329.354798874299</v>
      </c>
      <c r="Z91" s="19">
        <v>8.8732375564417196E-2</v>
      </c>
      <c r="AA91" s="18">
        <v>125786.024149392</v>
      </c>
      <c r="AB91" s="19">
        <v>9.1294105412513094E-2</v>
      </c>
      <c r="AC91" s="18">
        <v>6047.9022361362104</v>
      </c>
      <c r="AD91" s="19">
        <v>0.127750576461162</v>
      </c>
      <c r="AE91" s="18">
        <v>6871.6848924708602</v>
      </c>
      <c r="AF91" s="19">
        <v>3.3417377356542301E-2</v>
      </c>
      <c r="AG91" s="18"/>
      <c r="AH91" s="19"/>
    </row>
    <row r="92" spans="1:34" x14ac:dyDescent="0.3">
      <c r="A92" s="17">
        <v>2000</v>
      </c>
      <c r="B92" s="17">
        <v>1</v>
      </c>
      <c r="C92" s="18">
        <v>116222.45277930101</v>
      </c>
      <c r="D92" s="19">
        <v>5.7860881784296499E-2</v>
      </c>
      <c r="E92" s="18">
        <v>67442.148017988104</v>
      </c>
      <c r="F92" s="19">
        <v>2.3443757454027402E-2</v>
      </c>
      <c r="G92" s="18">
        <v>19139.681288034601</v>
      </c>
      <c r="H92" s="19">
        <v>0.144329123429253</v>
      </c>
      <c r="I92" s="18">
        <v>25417.376482309901</v>
      </c>
      <c r="J92" s="19">
        <v>5.5474159527828498E-2</v>
      </c>
      <c r="K92" s="18">
        <v>7642.6126130984303</v>
      </c>
      <c r="L92" s="19">
        <v>0.133105204730534</v>
      </c>
      <c r="M92" s="18">
        <v>-3419.3656221297201</v>
      </c>
      <c r="N92" s="19">
        <v>-4.5863351525488601E-2</v>
      </c>
      <c r="O92" s="18">
        <v>124315.552418179</v>
      </c>
      <c r="P92" s="19">
        <v>0.13685707510853001</v>
      </c>
      <c r="Q92" s="18">
        <v>461.261768607058</v>
      </c>
      <c r="R92" s="19">
        <v>4.6234794518194003E-3</v>
      </c>
      <c r="S92" s="18">
        <v>2614.9292589370698</v>
      </c>
      <c r="T92" s="19">
        <v>8.8230304467901796E-2</v>
      </c>
      <c r="U92" s="18">
        <v>13.995635334384501</v>
      </c>
      <c r="V92" s="19">
        <v>0.32176894017060598</v>
      </c>
      <c r="W92" s="18">
        <v>23157.763388880801</v>
      </c>
      <c r="X92" s="19">
        <v>0.90134316360991495</v>
      </c>
      <c r="Y92" s="18">
        <v>12924.991895007801</v>
      </c>
      <c r="Z92" s="19">
        <v>0.20100344906599499</v>
      </c>
      <c r="AA92" s="18">
        <v>123541.048522846</v>
      </c>
      <c r="AB92" s="19">
        <v>0.14154116112072199</v>
      </c>
      <c r="AC92" s="18">
        <v>6508.2917868916002</v>
      </c>
      <c r="AD92" s="19">
        <v>0.21172093285836399</v>
      </c>
      <c r="AE92" s="18">
        <v>7282.7956822246997</v>
      </c>
      <c r="AF92" s="19">
        <v>0.12072609850869399</v>
      </c>
      <c r="AG92" s="18"/>
      <c r="AH92" s="19"/>
    </row>
    <row r="93" spans="1:34" x14ac:dyDescent="0.3">
      <c r="A93" s="17">
        <v>2000</v>
      </c>
      <c r="B93" s="17">
        <v>2</v>
      </c>
      <c r="C93" s="18">
        <v>117376.007064976</v>
      </c>
      <c r="D93" s="19">
        <v>5.2135974121889E-2</v>
      </c>
      <c r="E93" s="18">
        <v>63879.427043293203</v>
      </c>
      <c r="F93" s="19">
        <v>5.1507277247982999E-2</v>
      </c>
      <c r="G93" s="18">
        <v>23682.289345575799</v>
      </c>
      <c r="H93" s="19">
        <v>1.7214059487187901E-2</v>
      </c>
      <c r="I93" s="18">
        <v>25880.939984201399</v>
      </c>
      <c r="J93" s="19">
        <v>5.9870770897872697E-2</v>
      </c>
      <c r="K93" s="18">
        <v>7378.5711469994503</v>
      </c>
      <c r="L93" s="19">
        <v>0.125235947350089</v>
      </c>
      <c r="M93" s="18">
        <v>-3445.2204550941701</v>
      </c>
      <c r="N93" s="19">
        <v>-9.3454606334064704E-4</v>
      </c>
      <c r="O93" s="18">
        <v>123511.64338985999</v>
      </c>
      <c r="P93" s="19">
        <v>2.93156100420198E-2</v>
      </c>
      <c r="Q93" s="18">
        <v>466.09701220295199</v>
      </c>
      <c r="R93" s="19">
        <v>8.0886829923099094E-3</v>
      </c>
      <c r="S93" s="18">
        <v>2615.0140665111799</v>
      </c>
      <c r="T93" s="19">
        <v>8.8389906007645402E-2</v>
      </c>
      <c r="U93" s="18">
        <v>18.360399573012501</v>
      </c>
      <c r="V93" s="19">
        <v>0.59222672683870203</v>
      </c>
      <c r="W93" s="18">
        <v>24206.306066294699</v>
      </c>
      <c r="X93" s="19">
        <v>0.15136753165671199</v>
      </c>
      <c r="Y93" s="18">
        <v>15940.113086675199</v>
      </c>
      <c r="Z93" s="19">
        <v>0.49518145465013702</v>
      </c>
      <c r="AA93" s="18">
        <v>122840.67440232899</v>
      </c>
      <c r="AB93" s="19">
        <v>3.2400128507470899E-2</v>
      </c>
      <c r="AC93" s="18">
        <v>6900.0628461291899</v>
      </c>
      <c r="AD93" s="19">
        <v>0.25763439482032502</v>
      </c>
      <c r="AE93" s="18">
        <v>7571.0318336604796</v>
      </c>
      <c r="AF93" s="19">
        <v>0.16567784248430101</v>
      </c>
      <c r="AG93" s="18"/>
      <c r="AH93" s="19"/>
    </row>
    <row r="94" spans="1:34" x14ac:dyDescent="0.3">
      <c r="A94" s="17">
        <v>2000</v>
      </c>
      <c r="B94" s="17">
        <v>3</v>
      </c>
      <c r="C94" s="18">
        <v>118694.816972498</v>
      </c>
      <c r="D94" s="19">
        <v>5.2975645394145898E-2</v>
      </c>
      <c r="E94" s="18">
        <v>60854.015626326502</v>
      </c>
      <c r="F94" s="19">
        <v>2.2090283977221199E-2</v>
      </c>
      <c r="G94" s="18">
        <v>26939.5673073986</v>
      </c>
      <c r="H94" s="19">
        <v>9.4752018549129097E-2</v>
      </c>
      <c r="I94" s="18">
        <v>26327.9455837122</v>
      </c>
      <c r="J94" s="19">
        <v>6.7964130967996403E-2</v>
      </c>
      <c r="K94" s="18">
        <v>8036.1051591428404</v>
      </c>
      <c r="L94" s="19">
        <v>9.3331950465490199E-2</v>
      </c>
      <c r="M94" s="18">
        <v>-3462.8167040824801</v>
      </c>
      <c r="N94" s="19">
        <v>1.0734111878278401E-2</v>
      </c>
      <c r="O94" s="18">
        <v>125892.668018941</v>
      </c>
      <c r="P94" s="19">
        <v>3.6385012310129701E-2</v>
      </c>
      <c r="Q94" s="18">
        <v>479.81662195540201</v>
      </c>
      <c r="R94" s="19">
        <v>3.11499361351208E-2</v>
      </c>
      <c r="S94" s="18">
        <v>2615.10419320556</v>
      </c>
      <c r="T94" s="19">
        <v>8.8499278454324606E-2</v>
      </c>
      <c r="U94" s="18">
        <v>25.169630214463901</v>
      </c>
      <c r="V94" s="19">
        <v>0.95459333619354603</v>
      </c>
      <c r="W94" s="18">
        <v>24560.200617839</v>
      </c>
      <c r="X94" s="19">
        <v>0.210120731849744</v>
      </c>
      <c r="Y94" s="18">
        <v>15252.2316303597</v>
      </c>
      <c r="Z94" s="19">
        <v>0.58518605314120398</v>
      </c>
      <c r="AA94" s="18">
        <v>125356.057911264</v>
      </c>
      <c r="AB94" s="19">
        <v>3.9739318896295603E-2</v>
      </c>
      <c r="AC94" s="18">
        <v>7234.4122012784501</v>
      </c>
      <c r="AD94" s="19">
        <v>0.266882603713189</v>
      </c>
      <c r="AE94" s="18">
        <v>7771.0223089557003</v>
      </c>
      <c r="AF94" s="19">
        <v>0.17415613079664599</v>
      </c>
      <c r="AG94" s="18"/>
      <c r="AH94" s="19"/>
    </row>
    <row r="95" spans="1:34" x14ac:dyDescent="0.3">
      <c r="A95" s="17">
        <v>2000</v>
      </c>
      <c r="B95" s="17">
        <v>4</v>
      </c>
      <c r="C95" s="18">
        <v>124501.15501546</v>
      </c>
      <c r="D95" s="19">
        <v>4.2875145485238297E-2</v>
      </c>
      <c r="E95" s="18">
        <v>65486.3647395765</v>
      </c>
      <c r="F95" s="19">
        <v>6.4976240289124507E-2</v>
      </c>
      <c r="G95" s="18">
        <v>28186.7888334335</v>
      </c>
      <c r="H95" s="19">
        <v>-3.1793269943338601E-2</v>
      </c>
      <c r="I95" s="18">
        <v>26698.2680866341</v>
      </c>
      <c r="J95" s="19">
        <v>7.0046025282804597E-2</v>
      </c>
      <c r="K95" s="18">
        <v>7637.5927315892804</v>
      </c>
      <c r="L95" s="19">
        <v>5.6229436098236101E-2</v>
      </c>
      <c r="M95" s="18">
        <v>-3507.8593757736398</v>
      </c>
      <c r="N95" s="19">
        <v>3.10407314020829E-2</v>
      </c>
      <c r="O95" s="18">
        <v>133244.595675752</v>
      </c>
      <c r="P95" s="19">
        <v>5.2403435700724803E-2</v>
      </c>
      <c r="Q95" s="18">
        <v>499.478528451817</v>
      </c>
      <c r="R95" s="19">
        <v>7.3983997467689494E-2</v>
      </c>
      <c r="S95" s="18">
        <v>2615.1996390201998</v>
      </c>
      <c r="T95" s="19">
        <v>8.8558396039973605E-2</v>
      </c>
      <c r="U95" s="18">
        <v>33.081005878139401</v>
      </c>
      <c r="V95" s="19">
        <v>1.3739567103655399</v>
      </c>
      <c r="W95" s="18">
        <v>30907.8677409265</v>
      </c>
      <c r="X95" s="19">
        <v>0.50917391369037401</v>
      </c>
      <c r="Y95" s="18">
        <v>20081.7869759444</v>
      </c>
      <c r="Z95" s="19">
        <v>0.77254462698438497</v>
      </c>
      <c r="AA95" s="18">
        <v>132864.5580431</v>
      </c>
      <c r="AB95" s="19">
        <v>5.6274406807714998E-2</v>
      </c>
      <c r="AC95" s="18">
        <v>7520.4849927957603</v>
      </c>
      <c r="AD95" s="19">
        <v>0.24348653453107499</v>
      </c>
      <c r="AE95" s="18">
        <v>7900.5226254475301</v>
      </c>
      <c r="AF95" s="19">
        <v>0.149721320036654</v>
      </c>
      <c r="AG95" s="18"/>
      <c r="AH95" s="19"/>
    </row>
    <row r="96" spans="1:34" x14ac:dyDescent="0.3">
      <c r="A96" s="17">
        <v>2001</v>
      </c>
      <c r="B96" s="17">
        <v>1</v>
      </c>
      <c r="C96" s="18">
        <v>120982.68959239</v>
      </c>
      <c r="D96" s="19">
        <v>4.0957979282439903E-2</v>
      </c>
      <c r="E96" s="18">
        <v>71621.091811550199</v>
      </c>
      <c r="F96" s="19">
        <v>6.19633851586021E-2</v>
      </c>
      <c r="G96" s="18">
        <v>17779.0114626369</v>
      </c>
      <c r="H96" s="19">
        <v>-7.1091561292002003E-2</v>
      </c>
      <c r="I96" s="18">
        <v>27184.4056250385</v>
      </c>
      <c r="J96" s="19">
        <v>6.95205165630879E-2</v>
      </c>
      <c r="K96" s="18">
        <v>8006.3003746136101</v>
      </c>
      <c r="L96" s="19">
        <v>4.7586837110109602E-2</v>
      </c>
      <c r="M96" s="18">
        <v>-3608.1196814489499</v>
      </c>
      <c r="N96" s="19">
        <v>5.52014847718061E-2</v>
      </c>
      <c r="O96" s="18">
        <v>125414.606674822</v>
      </c>
      <c r="P96" s="19">
        <v>8.8408428009558691E-3</v>
      </c>
      <c r="Q96" s="18">
        <v>558.87111308336796</v>
      </c>
      <c r="R96" s="19">
        <v>0.21161377577655299</v>
      </c>
      <c r="S96" s="18">
        <v>2919.4328915854599</v>
      </c>
      <c r="T96" s="19">
        <v>0.11644813396296901</v>
      </c>
      <c r="U96" s="18">
        <v>39.312206224054599</v>
      </c>
      <c r="V96" s="19">
        <v>1.80889043511104</v>
      </c>
      <c r="W96" s="18">
        <v>21849.539531031201</v>
      </c>
      <c r="X96" s="19">
        <v>-5.6491805183474297E-2</v>
      </c>
      <c r="Y96" s="18">
        <v>15096.3728763216</v>
      </c>
      <c r="Z96" s="19">
        <v>0.16799863388328201</v>
      </c>
      <c r="AA96" s="18">
        <v>125216.498254084</v>
      </c>
      <c r="AB96" s="19">
        <v>1.3561886929660099E-2</v>
      </c>
      <c r="AC96" s="18">
        <v>7765.7014651730997</v>
      </c>
      <c r="AD96" s="19">
        <v>0.193201183882699</v>
      </c>
      <c r="AE96" s="18">
        <v>7963.8098859108404</v>
      </c>
      <c r="AF96" s="19">
        <v>9.35099971770883E-2</v>
      </c>
      <c r="AG96" s="18"/>
      <c r="AH96" s="19"/>
    </row>
    <row r="97" spans="1:34" x14ac:dyDescent="0.3">
      <c r="A97" s="17">
        <v>2001</v>
      </c>
      <c r="B97" s="17">
        <v>2</v>
      </c>
      <c r="C97" s="18">
        <v>121914.544714638</v>
      </c>
      <c r="D97" s="19">
        <v>3.86666556747872E-2</v>
      </c>
      <c r="E97" s="18">
        <v>65134.3303011385</v>
      </c>
      <c r="F97" s="19">
        <v>1.96448734111969E-2</v>
      </c>
      <c r="G97" s="18">
        <v>25591.652056159401</v>
      </c>
      <c r="H97" s="19">
        <v>8.0624076613621504E-2</v>
      </c>
      <c r="I97" s="18">
        <v>27573.864430152302</v>
      </c>
      <c r="J97" s="19">
        <v>6.5412015443963203E-2</v>
      </c>
      <c r="K97" s="18">
        <v>7327.8308491410198</v>
      </c>
      <c r="L97" s="19">
        <v>-6.8767105239688799E-3</v>
      </c>
      <c r="M97" s="18">
        <v>-3713.1329219527402</v>
      </c>
      <c r="N97" s="19">
        <v>7.7763519156642397E-2</v>
      </c>
      <c r="O97" s="18">
        <v>126906.30174641599</v>
      </c>
      <c r="P97" s="19">
        <v>2.74845210005117E-2</v>
      </c>
      <c r="Q97" s="18">
        <v>573.70489624925301</v>
      </c>
      <c r="R97" s="19">
        <v>0.23087014340149001</v>
      </c>
      <c r="S97" s="18">
        <v>2919.3707918764699</v>
      </c>
      <c r="T97" s="19">
        <v>0.116388179040028</v>
      </c>
      <c r="U97" s="18">
        <v>49.0630554169406</v>
      </c>
      <c r="V97" s="19">
        <v>1.6722215506168601</v>
      </c>
      <c r="W97" s="18">
        <v>24084.546355644801</v>
      </c>
      <c r="X97" s="19">
        <v>-5.0300822569271401E-3</v>
      </c>
      <c r="Y97" s="18">
        <v>16796.186483656798</v>
      </c>
      <c r="Z97" s="19">
        <v>5.3705603738610101E-2</v>
      </c>
      <c r="AA97" s="18">
        <v>126759.88091684099</v>
      </c>
      <c r="AB97" s="19">
        <v>3.19047948375464E-2</v>
      </c>
      <c r="AC97" s="18">
        <v>8080.2132334204298</v>
      </c>
      <c r="AD97" s="19">
        <v>0.17103473020586801</v>
      </c>
      <c r="AE97" s="18">
        <v>8226.6340629959104</v>
      </c>
      <c r="AF97" s="19">
        <v>8.6593511127591297E-2</v>
      </c>
      <c r="AG97" s="18"/>
      <c r="AH97" s="19"/>
    </row>
    <row r="98" spans="1:34" x14ac:dyDescent="0.3">
      <c r="A98" s="17">
        <v>2001</v>
      </c>
      <c r="B98" s="17">
        <v>3</v>
      </c>
      <c r="C98" s="18">
        <v>121598.274711501</v>
      </c>
      <c r="D98" s="19">
        <v>2.44615376901933E-2</v>
      </c>
      <c r="E98" s="18">
        <v>65554.649049715998</v>
      </c>
      <c r="F98" s="19">
        <v>7.7244424628504199E-2</v>
      </c>
      <c r="G98" s="18">
        <v>24071.5162734806</v>
      </c>
      <c r="H98" s="19">
        <v>-0.106462401611413</v>
      </c>
      <c r="I98" s="18">
        <v>27838.8080589493</v>
      </c>
      <c r="J98" s="19">
        <v>5.7386265496226503E-2</v>
      </c>
      <c r="K98" s="18">
        <v>7894.3069229079501</v>
      </c>
      <c r="L98" s="19">
        <v>-1.7645144435867399E-2</v>
      </c>
      <c r="M98" s="18">
        <v>-3761.0055935529999</v>
      </c>
      <c r="N98" s="19">
        <v>8.6111658500136898E-2</v>
      </c>
      <c r="O98" s="18">
        <v>124278.80072719</v>
      </c>
      <c r="P98" s="19">
        <v>-1.28193906535392E-2</v>
      </c>
      <c r="Q98" s="18">
        <v>578.95749551853305</v>
      </c>
      <c r="R98" s="19">
        <v>0.20662242412341</v>
      </c>
      <c r="S98" s="18">
        <v>2919.1341096000101</v>
      </c>
      <c r="T98" s="19">
        <v>0.11625919807875</v>
      </c>
      <c r="U98" s="18">
        <v>56.177289720085</v>
      </c>
      <c r="V98" s="19">
        <v>1.2319473604265501</v>
      </c>
      <c r="W98" s="18">
        <v>18559.932729814798</v>
      </c>
      <c r="X98" s="19">
        <v>-0.24430858613044101</v>
      </c>
      <c r="Y98" s="18">
        <v>13595.407389764199</v>
      </c>
      <c r="Z98" s="19">
        <v>-0.10862831621948001</v>
      </c>
      <c r="AA98" s="18">
        <v>124032.492280344</v>
      </c>
      <c r="AB98" s="19">
        <v>-1.05584496910145E-2</v>
      </c>
      <c r="AC98" s="18">
        <v>8472.4566515557908</v>
      </c>
      <c r="AD98" s="19">
        <v>0.17113269410589499</v>
      </c>
      <c r="AE98" s="18">
        <v>8718.7650984019001</v>
      </c>
      <c r="AF98" s="19">
        <v>0.12195857272909701</v>
      </c>
      <c r="AG98" s="18"/>
      <c r="AH98" s="19"/>
    </row>
    <row r="99" spans="1:34" x14ac:dyDescent="0.3">
      <c r="A99" s="17">
        <v>2001</v>
      </c>
      <c r="B99" s="17">
        <v>4</v>
      </c>
      <c r="C99" s="18">
        <v>125178.746630886</v>
      </c>
      <c r="D99" s="19">
        <v>5.4424524442520097E-3</v>
      </c>
      <c r="E99" s="18">
        <v>69988.883393141397</v>
      </c>
      <c r="F99" s="19">
        <v>6.8755055674114093E-2</v>
      </c>
      <c r="G99" s="18">
        <v>23429.268799383499</v>
      </c>
      <c r="H99" s="19">
        <v>-0.16878545698000699</v>
      </c>
      <c r="I99" s="18">
        <v>28018.6099914689</v>
      </c>
      <c r="J99" s="19">
        <v>4.9454215552495497E-2</v>
      </c>
      <c r="K99" s="18">
        <v>7533.1241638874098</v>
      </c>
      <c r="L99" s="19">
        <v>-1.36782061276695E-2</v>
      </c>
      <c r="M99" s="18">
        <v>-3791.1397169953102</v>
      </c>
      <c r="N99" s="19">
        <v>8.0755900073445699E-2</v>
      </c>
      <c r="O99" s="18">
        <v>131348.96994111399</v>
      </c>
      <c r="P99" s="19">
        <v>-1.42266613142852E-2</v>
      </c>
      <c r="Q99" s="18">
        <v>570.76853016383404</v>
      </c>
      <c r="R99" s="19">
        <v>0.142728861504793</v>
      </c>
      <c r="S99" s="18">
        <v>2918.7228447560601</v>
      </c>
      <c r="T99" s="19">
        <v>0.116061199002603</v>
      </c>
      <c r="U99" s="18">
        <v>57.048743638919397</v>
      </c>
      <c r="V99" s="19">
        <v>0.72451659568847904</v>
      </c>
      <c r="W99" s="18">
        <v>22942.481741415799</v>
      </c>
      <c r="X99" s="19">
        <v>-0.25771386322335499</v>
      </c>
      <c r="Y99" s="18">
        <v>14481.3528602346</v>
      </c>
      <c r="Z99" s="19">
        <v>-0.27888126302796301</v>
      </c>
      <c r="AA99" s="18">
        <v>130788.796655357</v>
      </c>
      <c r="AB99" s="19">
        <v>-1.5623138467593599E-2</v>
      </c>
      <c r="AC99" s="18">
        <v>8953.6453841410894</v>
      </c>
      <c r="AD99" s="19">
        <v>0.19056754886396601</v>
      </c>
      <c r="AE99" s="18">
        <v>9513.8186698980498</v>
      </c>
      <c r="AF99" s="19">
        <v>0.20420118021738301</v>
      </c>
      <c r="AG99" s="18"/>
      <c r="AH99" s="19"/>
    </row>
    <row r="100" spans="1:34" x14ac:dyDescent="0.3">
      <c r="A100" s="17">
        <v>2002</v>
      </c>
      <c r="B100" s="17">
        <v>1</v>
      </c>
      <c r="C100" s="18">
        <v>120513.212210029</v>
      </c>
      <c r="D100" s="19">
        <v>-3.8805335204836798E-3</v>
      </c>
      <c r="E100" s="18">
        <v>79444.406001845695</v>
      </c>
      <c r="F100" s="19">
        <v>0.109231987287771</v>
      </c>
      <c r="G100" s="18">
        <v>9056.4204680513794</v>
      </c>
      <c r="H100" s="19">
        <v>-0.49061169755789202</v>
      </c>
      <c r="I100" s="18">
        <v>28122.607112978301</v>
      </c>
      <c r="J100" s="19">
        <v>3.4512488552466997E-2</v>
      </c>
      <c r="K100" s="18">
        <v>7674.6972514384897</v>
      </c>
      <c r="L100" s="19">
        <v>-4.1417771962012503E-2</v>
      </c>
      <c r="M100" s="18">
        <v>-3784.9186242851401</v>
      </c>
      <c r="N100" s="19">
        <v>4.9000298893963103E-2</v>
      </c>
      <c r="O100" s="18">
        <v>122038.796295138</v>
      </c>
      <c r="P100" s="19">
        <v>-2.6917202622470202E-2</v>
      </c>
      <c r="Q100" s="18">
        <v>559.48017489484698</v>
      </c>
      <c r="R100" s="19">
        <v>1.08980728690566E-3</v>
      </c>
      <c r="S100" s="18">
        <v>3087.6660333106302</v>
      </c>
      <c r="T100" s="19">
        <v>5.7625281338049297E-2</v>
      </c>
      <c r="U100" s="18">
        <v>46.233547507064898</v>
      </c>
      <c r="V100" s="19">
        <v>0.176060871363033</v>
      </c>
      <c r="W100" s="18">
        <v>15014.5448235361</v>
      </c>
      <c r="X100" s="19">
        <v>-0.31282099550829801</v>
      </c>
      <c r="Y100" s="18">
        <v>11007.0084275179</v>
      </c>
      <c r="Z100" s="19">
        <v>-0.27088390584322403</v>
      </c>
      <c r="AA100" s="18">
        <v>120833.63512371499</v>
      </c>
      <c r="AB100" s="19">
        <v>-3.5002281580147399E-2</v>
      </c>
      <c r="AC100" s="18">
        <v>9538.1710645578805</v>
      </c>
      <c r="AD100" s="19">
        <v>0.228243334788723</v>
      </c>
      <c r="AE100" s="18">
        <v>10743.332235981499</v>
      </c>
      <c r="AF100" s="19">
        <v>0.34901917422565298</v>
      </c>
      <c r="AG100" s="18"/>
      <c r="AH100" s="19"/>
    </row>
    <row r="101" spans="1:34" x14ac:dyDescent="0.3">
      <c r="A101" s="17">
        <v>2002</v>
      </c>
      <c r="B101" s="17">
        <v>2</v>
      </c>
      <c r="C101" s="18">
        <v>122115.698360165</v>
      </c>
      <c r="D101" s="19">
        <v>1.6499560901224199E-3</v>
      </c>
      <c r="E101" s="18">
        <v>67767.967094436899</v>
      </c>
      <c r="F101" s="19">
        <v>4.0433927563578997E-2</v>
      </c>
      <c r="G101" s="18">
        <v>22595.7546547048</v>
      </c>
      <c r="H101" s="19">
        <v>-0.117065416288105</v>
      </c>
      <c r="I101" s="18">
        <v>28302.318967837498</v>
      </c>
      <c r="J101" s="19">
        <v>2.6418296917738698E-2</v>
      </c>
      <c r="K101" s="18">
        <v>7322.3247610282397</v>
      </c>
      <c r="L101" s="19">
        <v>-7.5139399723245205E-4</v>
      </c>
      <c r="M101" s="18">
        <v>-3872.66711784259</v>
      </c>
      <c r="N101" s="19">
        <v>4.2964849156532599E-2</v>
      </c>
      <c r="O101" s="18">
        <v>124007.32473499401</v>
      </c>
      <c r="P101" s="19">
        <v>-2.2843444112135101E-2</v>
      </c>
      <c r="Q101" s="18">
        <v>549.09778206500596</v>
      </c>
      <c r="R101" s="19">
        <v>-4.2891588245320501E-2</v>
      </c>
      <c r="S101" s="18">
        <v>3087.3229515757498</v>
      </c>
      <c r="T101" s="19">
        <v>5.75302596595881E-2</v>
      </c>
      <c r="U101" s="18">
        <v>50.380428796718903</v>
      </c>
      <c r="V101" s="19">
        <v>2.6850618425272602E-2</v>
      </c>
      <c r="W101" s="18">
        <v>17662.0499558591</v>
      </c>
      <c r="X101" s="19">
        <v>-0.26666461991635099</v>
      </c>
      <c r="Y101" s="18">
        <v>13282.5788403157</v>
      </c>
      <c r="Z101" s="19">
        <v>-0.20919079737295901</v>
      </c>
      <c r="AA101" s="18">
        <v>122451.43996228599</v>
      </c>
      <c r="AB101" s="19">
        <v>-3.39889949674348E-2</v>
      </c>
      <c r="AC101" s="18">
        <v>9678.8427660404304</v>
      </c>
      <c r="AD101" s="19">
        <v>0.19784496849760599</v>
      </c>
      <c r="AE101" s="18">
        <v>11234.727538749101</v>
      </c>
      <c r="AF101" s="19">
        <v>0.36565300616491497</v>
      </c>
      <c r="AG101" s="18"/>
      <c r="AH101" s="19"/>
    </row>
    <row r="102" spans="1:34" x14ac:dyDescent="0.3">
      <c r="A102" s="17">
        <v>2002</v>
      </c>
      <c r="B102" s="17">
        <v>3</v>
      </c>
      <c r="C102" s="18">
        <v>121806.73065210901</v>
      </c>
      <c r="D102" s="19">
        <v>1.71430015024687E-3</v>
      </c>
      <c r="E102" s="18">
        <v>65376.263238108302</v>
      </c>
      <c r="F102" s="19">
        <v>-2.72117712768849E-3</v>
      </c>
      <c r="G102" s="18">
        <v>24347.206721711002</v>
      </c>
      <c r="H102" s="19">
        <v>1.1452973925621101E-2</v>
      </c>
      <c r="I102" s="18">
        <v>28532.403779261102</v>
      </c>
      <c r="J102" s="19">
        <v>2.49147060766053E-2</v>
      </c>
      <c r="K102" s="18">
        <v>7495.7151593910503</v>
      </c>
      <c r="L102" s="19">
        <v>-5.0491039607321597E-2</v>
      </c>
      <c r="M102" s="18">
        <v>-3944.8582463627699</v>
      </c>
      <c r="N102" s="19">
        <v>4.8883908368795498E-2</v>
      </c>
      <c r="O102" s="18">
        <v>125173.710293318</v>
      </c>
      <c r="P102" s="19">
        <v>7.2008223517703298E-3</v>
      </c>
      <c r="Q102" s="18">
        <v>554.616002355506</v>
      </c>
      <c r="R102" s="19">
        <v>-4.2043661842957797E-2</v>
      </c>
      <c r="S102" s="18">
        <v>3087.2566702961099</v>
      </c>
      <c r="T102" s="19">
        <v>5.7593298006831398E-2</v>
      </c>
      <c r="U102" s="18">
        <v>53.018303946522998</v>
      </c>
      <c r="V102" s="19">
        <v>-5.6232434660025303E-2</v>
      </c>
      <c r="W102" s="18">
        <v>15082.309813226801</v>
      </c>
      <c r="X102" s="19">
        <v>-0.18737260351173199</v>
      </c>
      <c r="Y102" s="18">
        <v>9235.7078080236806</v>
      </c>
      <c r="Z102" s="19">
        <v>-0.32067443488474601</v>
      </c>
      <c r="AA102" s="18">
        <v>123490.116346095</v>
      </c>
      <c r="AB102" s="19">
        <v>-4.3728536311538101E-3</v>
      </c>
      <c r="AC102" s="18">
        <v>9377.8856294000798</v>
      </c>
      <c r="AD102" s="19">
        <v>0.10686734852494301</v>
      </c>
      <c r="AE102" s="18">
        <v>11061.4795766229</v>
      </c>
      <c r="AF102" s="19">
        <v>0.26869796946936603</v>
      </c>
      <c r="AG102" s="18"/>
      <c r="AH102" s="19"/>
    </row>
    <row r="103" spans="1:34" x14ac:dyDescent="0.3">
      <c r="A103" s="17">
        <v>2002</v>
      </c>
      <c r="B103" s="17">
        <v>4</v>
      </c>
      <c r="C103" s="18">
        <v>124857.15596310201</v>
      </c>
      <c r="D103" s="19">
        <v>-2.56905166762711E-3</v>
      </c>
      <c r="E103" s="18">
        <v>67440.794531234002</v>
      </c>
      <c r="F103" s="19">
        <v>-3.64070512111795E-2</v>
      </c>
      <c r="G103" s="18">
        <v>25310.237741655499</v>
      </c>
      <c r="H103" s="19">
        <v>8.0282870045074603E-2</v>
      </c>
      <c r="I103" s="18">
        <v>28772.83336805</v>
      </c>
      <c r="J103" s="19">
        <v>2.69186578781326E-2</v>
      </c>
      <c r="K103" s="18">
        <v>7361.3252948622103</v>
      </c>
      <c r="L103" s="19">
        <v>-2.28057928274671E-2</v>
      </c>
      <c r="M103" s="18">
        <v>-4028.03497269949</v>
      </c>
      <c r="N103" s="19">
        <v>6.2486553751159003E-2</v>
      </c>
      <c r="O103" s="18">
        <v>130160.916137155</v>
      </c>
      <c r="P103" s="19">
        <v>-9.04501804994229E-3</v>
      </c>
      <c r="Q103" s="18">
        <v>564.41649219243095</v>
      </c>
      <c r="R103" s="19">
        <v>-1.11289211575498E-2</v>
      </c>
      <c r="S103" s="18">
        <v>3087.4671894717198</v>
      </c>
      <c r="T103" s="19">
        <v>5.7814446143400297E-2</v>
      </c>
      <c r="U103" s="18">
        <v>53.994692749693201</v>
      </c>
      <c r="V103" s="19">
        <v>-5.3534060426577899E-2</v>
      </c>
      <c r="W103" s="18">
        <v>16431.976826449201</v>
      </c>
      <c r="X103" s="19">
        <v>-0.28377509409602503</v>
      </c>
      <c r="Y103" s="18">
        <v>8659.16064786682</v>
      </c>
      <c r="Z103" s="19">
        <v>-0.402047534409257</v>
      </c>
      <c r="AA103" s="18">
        <v>128612.684777499</v>
      </c>
      <c r="AB103" s="19">
        <v>-1.66383660795629E-2</v>
      </c>
      <c r="AC103" s="18">
        <v>8621.7456317440101</v>
      </c>
      <c r="AD103" s="19">
        <v>-3.7068672943530299E-2</v>
      </c>
      <c r="AE103" s="18">
        <v>10169.976991399601</v>
      </c>
      <c r="AF103" s="19">
        <v>6.8968974947745801E-2</v>
      </c>
      <c r="AG103" s="18"/>
      <c r="AH103" s="19"/>
    </row>
    <row r="104" spans="1:34" x14ac:dyDescent="0.3">
      <c r="A104" s="17">
        <v>2003</v>
      </c>
      <c r="B104" s="17">
        <v>1</v>
      </c>
      <c r="C104" s="18">
        <v>120846.28343501499</v>
      </c>
      <c r="D104" s="19">
        <v>2.7637735222452199E-3</v>
      </c>
      <c r="E104" s="18">
        <v>78889.517650434806</v>
      </c>
      <c r="F104" s="19">
        <v>-6.9846119989611698E-3</v>
      </c>
      <c r="G104" s="18">
        <v>9319.0628788937302</v>
      </c>
      <c r="H104" s="19">
        <v>2.90006865039985E-2</v>
      </c>
      <c r="I104" s="18">
        <v>29057.787052252101</v>
      </c>
      <c r="J104" s="19">
        <v>3.3253671521878303E-2</v>
      </c>
      <c r="K104" s="18">
        <v>7638.0501478718597</v>
      </c>
      <c r="L104" s="19">
        <v>-4.7750552713673499E-3</v>
      </c>
      <c r="M104" s="18">
        <v>-4058.1342944370499</v>
      </c>
      <c r="N104" s="19">
        <v>7.2185348556472503E-2</v>
      </c>
      <c r="O104" s="18">
        <v>127787.77877145199</v>
      </c>
      <c r="P104" s="19">
        <v>4.7107826780024703E-2</v>
      </c>
      <c r="Q104" s="18">
        <v>579.450610861972</v>
      </c>
      <c r="R104" s="19">
        <v>3.5694626661040098E-2</v>
      </c>
      <c r="S104" s="18">
        <v>3154.6967102843801</v>
      </c>
      <c r="T104" s="19">
        <v>2.1709173288371401E-2</v>
      </c>
      <c r="U104" s="18">
        <v>47.247798765826602</v>
      </c>
      <c r="V104" s="19">
        <v>2.1937560785416001E-2</v>
      </c>
      <c r="W104" s="18">
        <v>19621.353797065101</v>
      </c>
      <c r="X104" s="19">
        <v>0.30682308572602002</v>
      </c>
      <c r="Y104" s="18">
        <v>10151.8601599717</v>
      </c>
      <c r="Z104" s="19">
        <v>-7.7691252185131801E-2</v>
      </c>
      <c r="AA104" s="18">
        <v>126799.113032825</v>
      </c>
      <c r="AB104" s="19">
        <v>4.9369349047580197E-2</v>
      </c>
      <c r="AC104" s="18">
        <v>7380.60530843996</v>
      </c>
      <c r="AD104" s="19">
        <v>-0.226203298464109</v>
      </c>
      <c r="AE104" s="18">
        <v>8369.2710470670499</v>
      </c>
      <c r="AF104" s="19">
        <v>-0.22097996569102399</v>
      </c>
      <c r="AG104" s="18"/>
      <c r="AH104" s="19"/>
    </row>
    <row r="105" spans="1:34" x14ac:dyDescent="0.3">
      <c r="A105" s="17">
        <v>2003</v>
      </c>
      <c r="B105" s="17">
        <v>2</v>
      </c>
      <c r="C105" s="18">
        <v>122079.39943012</v>
      </c>
      <c r="D105" s="19">
        <v>-2.97250316975806E-4</v>
      </c>
      <c r="E105" s="18">
        <v>67398.166323927799</v>
      </c>
      <c r="F105" s="19">
        <v>-5.4568668113332804E-3</v>
      </c>
      <c r="G105" s="18">
        <v>22026.397253662399</v>
      </c>
      <c r="H105" s="19">
        <v>-2.5197538641348199E-2</v>
      </c>
      <c r="I105" s="18">
        <v>29194.1101276685</v>
      </c>
      <c r="J105" s="19">
        <v>3.1509473158165303E-2</v>
      </c>
      <c r="K105" s="18">
        <v>7486.7541097574504</v>
      </c>
      <c r="L105" s="19">
        <v>2.2455894008465101E-2</v>
      </c>
      <c r="M105" s="18">
        <v>-4026.02838489648</v>
      </c>
      <c r="N105" s="19">
        <v>3.9600942293052797E-2</v>
      </c>
      <c r="O105" s="18">
        <v>129516.832675179</v>
      </c>
      <c r="P105" s="19">
        <v>4.4428891212344897E-2</v>
      </c>
      <c r="Q105" s="18">
        <v>593.689396187444</v>
      </c>
      <c r="R105" s="19">
        <v>8.1208876777358899E-2</v>
      </c>
      <c r="S105" s="18">
        <v>3155.1130860743801</v>
      </c>
      <c r="T105" s="19">
        <v>2.19575779929446E-2</v>
      </c>
      <c r="U105" s="18">
        <v>52.054378357315699</v>
      </c>
      <c r="V105" s="19">
        <v>3.3226187243285299E-2</v>
      </c>
      <c r="W105" s="18">
        <v>22029.934657508998</v>
      </c>
      <c r="X105" s="19">
        <v>0.247303382821705</v>
      </c>
      <c r="Y105" s="18">
        <v>12083.1321009198</v>
      </c>
      <c r="Z105" s="19">
        <v>-9.0302248818982703E-2</v>
      </c>
      <c r="AA105" s="18">
        <v>128632.80045312201</v>
      </c>
      <c r="AB105" s="19">
        <v>5.0480096377308402E-2</v>
      </c>
      <c r="AC105" s="18">
        <v>6548.1827394709499</v>
      </c>
      <c r="AD105" s="19">
        <v>-0.32345396058647002</v>
      </c>
      <c r="AE105" s="18">
        <v>7432.2149615281596</v>
      </c>
      <c r="AF105" s="19">
        <v>-0.33846059587167199</v>
      </c>
      <c r="AG105" s="18"/>
      <c r="AH105" s="19"/>
    </row>
    <row r="106" spans="1:34" x14ac:dyDescent="0.3">
      <c r="A106" s="17">
        <v>2003</v>
      </c>
      <c r="B106" s="17">
        <v>3</v>
      </c>
      <c r="C106" s="18">
        <v>122722.691285368</v>
      </c>
      <c r="D106" s="19">
        <v>7.5197867010749998E-3</v>
      </c>
      <c r="E106" s="18">
        <v>66432.626282179393</v>
      </c>
      <c r="F106" s="19">
        <v>1.61582047022732E-2</v>
      </c>
      <c r="G106" s="18">
        <v>23476.0809009156</v>
      </c>
      <c r="H106" s="19">
        <v>-3.5779292086866102E-2</v>
      </c>
      <c r="I106" s="18">
        <v>29233.595153764301</v>
      </c>
      <c r="J106" s="19">
        <v>2.4575264668478002E-2</v>
      </c>
      <c r="K106" s="18">
        <v>7573.3081862393001</v>
      </c>
      <c r="L106" s="19">
        <v>1.0351650936340599E-2</v>
      </c>
      <c r="M106" s="18">
        <v>-3992.9192377307199</v>
      </c>
      <c r="N106" s="19">
        <v>1.2183198575579099E-2</v>
      </c>
      <c r="O106" s="18">
        <v>129724.58055917</v>
      </c>
      <c r="P106" s="19">
        <v>3.6356438226435403E-2</v>
      </c>
      <c r="Q106" s="18">
        <v>602.57606306739694</v>
      </c>
      <c r="R106" s="19">
        <v>8.6474354342825493E-2</v>
      </c>
      <c r="S106" s="18">
        <v>3155.44798523077</v>
      </c>
      <c r="T106" s="19">
        <v>2.2087996631689599E-2</v>
      </c>
      <c r="U106" s="18">
        <v>54.665204096524299</v>
      </c>
      <c r="V106" s="19">
        <v>3.1062859944792399E-2</v>
      </c>
      <c r="W106" s="18">
        <v>19927.844023989099</v>
      </c>
      <c r="X106" s="19">
        <v>0.32127268772273299</v>
      </c>
      <c r="Y106" s="18">
        <v>10427.7480321197</v>
      </c>
      <c r="Z106" s="19">
        <v>0.129068637604623</v>
      </c>
      <c r="AA106" s="18">
        <v>128657.36576404001</v>
      </c>
      <c r="AB106" s="19">
        <v>4.1843424970649898E-2</v>
      </c>
      <c r="AC106" s="18">
        <v>6091.9349244683099</v>
      </c>
      <c r="AD106" s="19">
        <v>-0.35039355722468701</v>
      </c>
      <c r="AE106" s="18">
        <v>7159.1497195991797</v>
      </c>
      <c r="AF106" s="19">
        <v>-0.35278552294855697</v>
      </c>
      <c r="AG106" s="18"/>
      <c r="AH106" s="19"/>
    </row>
    <row r="107" spans="1:34" x14ac:dyDescent="0.3">
      <c r="A107" s="17">
        <v>2003</v>
      </c>
      <c r="B107" s="17">
        <v>4</v>
      </c>
      <c r="C107" s="18">
        <v>128003.30114654401</v>
      </c>
      <c r="D107" s="19">
        <v>2.51979564901492E-2</v>
      </c>
      <c r="E107" s="18">
        <v>68302.737970118993</v>
      </c>
      <c r="F107" s="19">
        <v>1.2780742648068799E-2</v>
      </c>
      <c r="G107" s="18">
        <v>26817.814426069599</v>
      </c>
      <c r="H107" s="19">
        <v>5.95639084785431E-2</v>
      </c>
      <c r="I107" s="18">
        <v>29310.988770190001</v>
      </c>
      <c r="J107" s="19">
        <v>1.8703594298695898E-2</v>
      </c>
      <c r="K107" s="18">
        <v>7524.2997918513802</v>
      </c>
      <c r="L107" s="19">
        <v>2.2139287487121399E-2</v>
      </c>
      <c r="M107" s="18">
        <v>-3952.53981168575</v>
      </c>
      <c r="N107" s="19">
        <v>-1.87424293794425E-2</v>
      </c>
      <c r="O107" s="18">
        <v>137513.89784998001</v>
      </c>
      <c r="P107" s="19">
        <v>5.6491471718565202E-2</v>
      </c>
      <c r="Q107" s="18">
        <v>606.36834376291699</v>
      </c>
      <c r="R107" s="19">
        <v>7.4327827323980702E-2</v>
      </c>
      <c r="S107" s="18">
        <v>3155.70140775357</v>
      </c>
      <c r="T107" s="19">
        <v>2.2100386528649499E-2</v>
      </c>
      <c r="U107" s="18">
        <v>51.3557997803332</v>
      </c>
      <c r="V107" s="19">
        <v>-4.8873191696695503E-2</v>
      </c>
      <c r="W107" s="18">
        <v>22297.372123934001</v>
      </c>
      <c r="X107" s="19">
        <v>0.35695007115904598</v>
      </c>
      <c r="Y107" s="18">
        <v>10288.7981562884</v>
      </c>
      <c r="Z107" s="19">
        <v>0.18819809155786901</v>
      </c>
      <c r="AA107" s="18">
        <v>136029.27932377401</v>
      </c>
      <c r="AB107" s="19">
        <v>5.76661202517086E-2</v>
      </c>
      <c r="AC107" s="18">
        <v>5992.7593871229701</v>
      </c>
      <c r="AD107" s="19">
        <v>-0.304925053105429</v>
      </c>
      <c r="AE107" s="18">
        <v>7477.3779133287999</v>
      </c>
      <c r="AF107" s="19">
        <v>-0.26475960371865898</v>
      </c>
      <c r="AG107" s="18"/>
      <c r="AH107" s="19"/>
    </row>
    <row r="108" spans="1:34" x14ac:dyDescent="0.3">
      <c r="A108" s="17">
        <v>2004</v>
      </c>
      <c r="B108" s="17">
        <v>1</v>
      </c>
      <c r="C108" s="18">
        <v>124908.046924462</v>
      </c>
      <c r="D108" s="19">
        <v>3.3610992195973501E-2</v>
      </c>
      <c r="E108" s="18">
        <v>78525.535748248905</v>
      </c>
      <c r="F108" s="19">
        <v>-4.6138183249994098E-3</v>
      </c>
      <c r="G108" s="18">
        <v>13145.954143692499</v>
      </c>
      <c r="H108" s="19">
        <v>0.41065194156658402</v>
      </c>
      <c r="I108" s="18">
        <v>29501.376509576501</v>
      </c>
      <c r="J108" s="19">
        <v>1.5265768743046399E-2</v>
      </c>
      <c r="K108" s="18">
        <v>7778.7048149952298</v>
      </c>
      <c r="L108" s="19">
        <v>1.8414996550206501E-2</v>
      </c>
      <c r="M108" s="18">
        <v>-4043.5242920509199</v>
      </c>
      <c r="N108" s="19">
        <v>-3.6001771568160402E-3</v>
      </c>
      <c r="O108" s="18">
        <v>133701.71335679901</v>
      </c>
      <c r="P108" s="19">
        <v>4.6279344098496503E-2</v>
      </c>
      <c r="Q108" s="18">
        <v>609.21692366590003</v>
      </c>
      <c r="R108" s="19">
        <v>5.1369887693531298E-2</v>
      </c>
      <c r="S108" s="18">
        <v>3298.3859186505601</v>
      </c>
      <c r="T108" s="19">
        <v>4.5547709197448098E-2</v>
      </c>
      <c r="U108" s="18">
        <v>39.4052715186981</v>
      </c>
      <c r="V108" s="19">
        <v>-0.16598714547524801</v>
      </c>
      <c r="W108" s="18">
        <v>22659.817468113601</v>
      </c>
      <c r="X108" s="19">
        <v>0.15485494540661901</v>
      </c>
      <c r="Y108" s="18">
        <v>11216.387312311001</v>
      </c>
      <c r="Z108" s="19">
        <v>0.10486030496525101</v>
      </c>
      <c r="AA108" s="18">
        <v>131518.76173105801</v>
      </c>
      <c r="AB108" s="19">
        <v>3.7221464609228802E-2</v>
      </c>
      <c r="AC108" s="18">
        <v>6244.3116538580098</v>
      </c>
      <c r="AD108" s="19">
        <v>-0.15395670234290501</v>
      </c>
      <c r="AE108" s="18">
        <v>8427.2632795987793</v>
      </c>
      <c r="AF108" s="19">
        <v>6.9291856131299401E-3</v>
      </c>
      <c r="AG108" s="18"/>
      <c r="AH108" s="19"/>
    </row>
    <row r="109" spans="1:34" x14ac:dyDescent="0.3">
      <c r="A109" s="17">
        <v>2004</v>
      </c>
      <c r="B109" s="17">
        <v>2</v>
      </c>
      <c r="C109" s="18">
        <v>126802.201689576</v>
      </c>
      <c r="D109" s="19">
        <v>3.8686316294994201E-2</v>
      </c>
      <c r="E109" s="18">
        <v>67386.9010633258</v>
      </c>
      <c r="F109" s="19">
        <v>-1.6714491233815699E-4</v>
      </c>
      <c r="G109" s="18">
        <v>25852.224137839999</v>
      </c>
      <c r="H109" s="19">
        <v>0.173692812315978</v>
      </c>
      <c r="I109" s="18">
        <v>29661.495397991901</v>
      </c>
      <c r="J109" s="19">
        <v>1.6009574132575002E-2</v>
      </c>
      <c r="K109" s="18">
        <v>7902.7465138322796</v>
      </c>
      <c r="L109" s="19">
        <v>5.5563786118295197E-2</v>
      </c>
      <c r="M109" s="18">
        <v>-4001.16542341383</v>
      </c>
      <c r="N109" s="19">
        <v>-6.1755554371962802E-3</v>
      </c>
      <c r="O109" s="18">
        <v>133865.21758687901</v>
      </c>
      <c r="P109" s="19">
        <v>3.35738978624169E-2</v>
      </c>
      <c r="Q109" s="18">
        <v>607.35051353481799</v>
      </c>
      <c r="R109" s="19">
        <v>2.30105463144572E-2</v>
      </c>
      <c r="S109" s="18">
        <v>3298.45922527622</v>
      </c>
      <c r="T109" s="19">
        <v>4.54329639829796E-2</v>
      </c>
      <c r="U109" s="18">
        <v>43.259531365408897</v>
      </c>
      <c r="V109" s="19">
        <v>-0.16895499032831701</v>
      </c>
      <c r="W109" s="18">
        <v>22882.347978342099</v>
      </c>
      <c r="X109" s="19">
        <v>3.8693411219111497E-2</v>
      </c>
      <c r="Y109" s="18">
        <v>13171.482900662901</v>
      </c>
      <c r="Z109" s="19">
        <v>9.0071911045336503E-2</v>
      </c>
      <c r="AA109" s="18">
        <v>131287.009170003</v>
      </c>
      <c r="AB109" s="19">
        <v>2.06339962088311E-2</v>
      </c>
      <c r="AC109" s="18">
        <v>6431.9416896760204</v>
      </c>
      <c r="AD109" s="19">
        <v>-1.77516502546964E-2</v>
      </c>
      <c r="AE109" s="18">
        <v>9010.1501065524008</v>
      </c>
      <c r="AF109" s="19">
        <v>0.21231021346828599</v>
      </c>
      <c r="AG109" s="18"/>
      <c r="AH109" s="19"/>
    </row>
    <row r="110" spans="1:34" x14ac:dyDescent="0.3">
      <c r="A110" s="17">
        <v>2004</v>
      </c>
      <c r="B110" s="17">
        <v>3</v>
      </c>
      <c r="C110" s="18">
        <v>125978.38507971</v>
      </c>
      <c r="D110" s="19">
        <v>2.6528865690957901E-2</v>
      </c>
      <c r="E110" s="18">
        <v>67391.831682719407</v>
      </c>
      <c r="F110" s="19">
        <v>1.44387698367625E-2</v>
      </c>
      <c r="G110" s="18">
        <v>25173.4814649084</v>
      </c>
      <c r="H110" s="19">
        <v>7.2303404097001395E-2</v>
      </c>
      <c r="I110" s="18">
        <v>29909.327100899602</v>
      </c>
      <c r="J110" s="19">
        <v>2.3114910895530399E-2</v>
      </c>
      <c r="K110" s="18">
        <v>7571.81225905672</v>
      </c>
      <c r="L110" s="19">
        <v>-1.9752625217317501E-4</v>
      </c>
      <c r="M110" s="18">
        <v>-4068.0674278738402</v>
      </c>
      <c r="N110" s="19">
        <v>1.88203631651283E-2</v>
      </c>
      <c r="O110" s="18">
        <v>133566.77013984599</v>
      </c>
      <c r="P110" s="19">
        <v>2.96180536033663E-2</v>
      </c>
      <c r="Q110" s="18">
        <v>607.53922023423002</v>
      </c>
      <c r="R110" s="19">
        <v>8.2365654247340495E-3</v>
      </c>
      <c r="S110" s="18">
        <v>3298.4261279256998</v>
      </c>
      <c r="T110" s="19">
        <v>4.5311519430568201E-2</v>
      </c>
      <c r="U110" s="18">
        <v>52.010452303891398</v>
      </c>
      <c r="V110" s="19">
        <v>-4.8563832084945198E-2</v>
      </c>
      <c r="W110" s="18">
        <v>21310.578885848001</v>
      </c>
      <c r="X110" s="19">
        <v>6.9387077708674902E-2</v>
      </c>
      <c r="Y110" s="18">
        <v>11083.317370324499</v>
      </c>
      <c r="Z110" s="19">
        <v>6.2867777029667907E-2</v>
      </c>
      <c r="AA110" s="18">
        <v>130809.31509591</v>
      </c>
      <c r="AB110" s="19">
        <v>1.67262038911744E-2</v>
      </c>
      <c r="AC110" s="18">
        <v>6559.5524317204499</v>
      </c>
      <c r="AD110" s="19">
        <v>7.6760095610009196E-2</v>
      </c>
      <c r="AE110" s="18">
        <v>9317.0074756562899</v>
      </c>
      <c r="AF110" s="19">
        <v>0.30141257559534801</v>
      </c>
      <c r="AG110" s="18"/>
      <c r="AH110" s="19"/>
    </row>
    <row r="111" spans="1:34" x14ac:dyDescent="0.3">
      <c r="A111" s="17">
        <v>2004</v>
      </c>
      <c r="B111" s="17">
        <v>4</v>
      </c>
      <c r="C111" s="18">
        <v>130918.91910842</v>
      </c>
      <c r="D111" s="19">
        <v>2.2777677886114601E-2</v>
      </c>
      <c r="E111" s="18">
        <v>70321.346088313905</v>
      </c>
      <c r="F111" s="19">
        <v>2.9553838955591799E-2</v>
      </c>
      <c r="G111" s="18">
        <v>26305.610737956398</v>
      </c>
      <c r="H111" s="19">
        <v>-1.9099382223156901E-2</v>
      </c>
      <c r="I111" s="18">
        <v>30202.1609313749</v>
      </c>
      <c r="J111" s="19">
        <v>3.04040292933161E-2</v>
      </c>
      <c r="K111" s="18">
        <v>8151.2650975657698</v>
      </c>
      <c r="L111" s="19">
        <v>8.3325402104972995E-2</v>
      </c>
      <c r="M111" s="18">
        <v>-4061.4637467914099</v>
      </c>
      <c r="N111" s="19">
        <v>2.7557960272436701E-2</v>
      </c>
      <c r="O111" s="18">
        <v>137517.692526567</v>
      </c>
      <c r="P111" s="19">
        <v>2.7594858751811601E-5</v>
      </c>
      <c r="Q111" s="18">
        <v>608.14176701799101</v>
      </c>
      <c r="R111" s="19">
        <v>2.9246633227415502E-3</v>
      </c>
      <c r="S111" s="18">
        <v>3298.2866265990201</v>
      </c>
      <c r="T111" s="19">
        <v>4.5183368266439303E-2</v>
      </c>
      <c r="U111" s="18">
        <v>63.856881812001397</v>
      </c>
      <c r="V111" s="19">
        <v>0.24342103686710501</v>
      </c>
      <c r="W111" s="18">
        <v>21954.2069912394</v>
      </c>
      <c r="X111" s="19">
        <v>-1.53903846061882E-2</v>
      </c>
      <c r="Y111" s="18">
        <v>12729.1455953228</v>
      </c>
      <c r="Z111" s="19">
        <v>0.23718488806614299</v>
      </c>
      <c r="AA111" s="18">
        <v>134760.56997641001</v>
      </c>
      <c r="AB111" s="19">
        <v>-9.3267372559082701E-3</v>
      </c>
      <c r="AC111" s="18">
        <v>6628.9023596625202</v>
      </c>
      <c r="AD111" s="19">
        <v>0.106151929594648</v>
      </c>
      <c r="AE111" s="18">
        <v>9386.0249098193399</v>
      </c>
      <c r="AF111" s="19">
        <v>0.255256189885533</v>
      </c>
      <c r="AG111" s="18"/>
      <c r="AH111" s="19"/>
    </row>
    <row r="112" spans="1:34" x14ac:dyDescent="0.3">
      <c r="A112" s="17">
        <v>2005</v>
      </c>
      <c r="B112" s="17">
        <v>1</v>
      </c>
      <c r="C112" s="18">
        <v>127721.089383484</v>
      </c>
      <c r="D112" s="19">
        <v>2.25209066051839E-2</v>
      </c>
      <c r="E112" s="18">
        <v>79972.010383565605</v>
      </c>
      <c r="F112" s="19">
        <v>1.84204363782252E-2</v>
      </c>
      <c r="G112" s="18">
        <v>13423.4695400864</v>
      </c>
      <c r="H112" s="19">
        <v>2.1110327433104401E-2</v>
      </c>
      <c r="I112" s="18">
        <v>30374.424746495199</v>
      </c>
      <c r="J112" s="19">
        <v>2.9593474617544101E-2</v>
      </c>
      <c r="K112" s="18">
        <v>8002.5062339596898</v>
      </c>
      <c r="L112" s="19">
        <v>2.8771038918077502E-2</v>
      </c>
      <c r="M112" s="18">
        <v>-4051.3215206230002</v>
      </c>
      <c r="N112" s="19">
        <v>1.9283248990002999E-3</v>
      </c>
      <c r="O112" s="18">
        <v>137744.32406135401</v>
      </c>
      <c r="P112" s="19">
        <v>3.0236042628465399E-2</v>
      </c>
      <c r="Q112" s="18">
        <v>609.76156948835205</v>
      </c>
      <c r="R112" s="19">
        <v>8.9400967257180497E-4</v>
      </c>
      <c r="S112" s="18">
        <v>3376.07775968941</v>
      </c>
      <c r="T112" s="19">
        <v>2.35545030069222E-2</v>
      </c>
      <c r="U112" s="18">
        <v>72.098145630613303</v>
      </c>
      <c r="V112" s="19">
        <v>0.82965737455716404</v>
      </c>
      <c r="W112" s="18">
        <v>26980.718521991901</v>
      </c>
      <c r="X112" s="19">
        <v>0.190685607241038</v>
      </c>
      <c r="Y112" s="18">
        <v>14263.2657995515</v>
      </c>
      <c r="Z112" s="19">
        <v>0.27164526352405399</v>
      </c>
      <c r="AA112" s="18">
        <v>135174.07779924601</v>
      </c>
      <c r="AB112" s="19">
        <v>2.7793114990411399E-2</v>
      </c>
      <c r="AC112" s="18">
        <v>6639.6683252454104</v>
      </c>
      <c r="AD112" s="19">
        <v>6.3314692363750896E-2</v>
      </c>
      <c r="AE112" s="18">
        <v>9209.9145873533707</v>
      </c>
      <c r="AF112" s="19">
        <v>9.2871348833883302E-2</v>
      </c>
      <c r="AG112" s="18"/>
      <c r="AH112" s="19"/>
    </row>
    <row r="113" spans="1:34" x14ac:dyDescent="0.3">
      <c r="A113" s="17">
        <v>2005</v>
      </c>
      <c r="B113" s="17">
        <v>2</v>
      </c>
      <c r="C113" s="18">
        <v>131075.420890899</v>
      </c>
      <c r="D113" s="19">
        <v>3.3699881740097699E-2</v>
      </c>
      <c r="E113" s="18">
        <v>70666.498002944296</v>
      </c>
      <c r="F113" s="19">
        <v>4.8668166778237203E-2</v>
      </c>
      <c r="G113" s="18">
        <v>25966.614288937901</v>
      </c>
      <c r="H113" s="19">
        <v>4.4247702049919901E-3</v>
      </c>
      <c r="I113" s="18">
        <v>30501.537930892599</v>
      </c>
      <c r="J113" s="19">
        <v>2.8320977133120501E-2</v>
      </c>
      <c r="K113" s="18">
        <v>8064.60361144127</v>
      </c>
      <c r="L113" s="19">
        <v>2.0481119738015301E-2</v>
      </c>
      <c r="M113" s="18">
        <v>-4123.8329433171502</v>
      </c>
      <c r="N113" s="19">
        <v>3.0657947603342801E-2</v>
      </c>
      <c r="O113" s="18">
        <v>142549.79438360099</v>
      </c>
      <c r="P113" s="19">
        <v>6.4875528933312498E-2</v>
      </c>
      <c r="Q113" s="18">
        <v>613.01581054700705</v>
      </c>
      <c r="R113" s="19">
        <v>9.327887086515E-3</v>
      </c>
      <c r="S113" s="18">
        <v>3375.9028513070898</v>
      </c>
      <c r="T113" s="19">
        <v>2.3478727715479101E-2</v>
      </c>
      <c r="U113" s="18">
        <v>97.5925371999178</v>
      </c>
      <c r="V113" s="19">
        <v>1.2559776798219</v>
      </c>
      <c r="W113" s="18">
        <v>29396.993395215399</v>
      </c>
      <c r="X113" s="19">
        <v>0.28470178947716801</v>
      </c>
      <c r="Y113" s="18">
        <v>15257.3253989529</v>
      </c>
      <c r="Z113" s="19">
        <v>0.15836049091974699</v>
      </c>
      <c r="AA113" s="18">
        <v>140056.52989319901</v>
      </c>
      <c r="AB113" s="19">
        <v>6.6796561050759304E-2</v>
      </c>
      <c r="AC113" s="18">
        <v>6662.6546525137801</v>
      </c>
      <c r="AD113" s="19">
        <v>3.5869877864110403E-2</v>
      </c>
      <c r="AE113" s="18">
        <v>9155.9191429162802</v>
      </c>
      <c r="AF113" s="19">
        <v>1.61783138615945E-2</v>
      </c>
      <c r="AG113" s="18"/>
      <c r="AH113" s="19"/>
    </row>
    <row r="114" spans="1:34" x14ac:dyDescent="0.3">
      <c r="A114" s="17">
        <v>2005</v>
      </c>
      <c r="B114" s="17">
        <v>3</v>
      </c>
      <c r="C114" s="18">
        <v>132132.241051152</v>
      </c>
      <c r="D114" s="19">
        <v>4.8848506571571103E-2</v>
      </c>
      <c r="E114" s="18">
        <v>68987.988679467002</v>
      </c>
      <c r="F114" s="19">
        <v>2.3684724942072001E-2</v>
      </c>
      <c r="G114" s="18">
        <v>28356.5193178226</v>
      </c>
      <c r="H114" s="19">
        <v>0.12644408590648801</v>
      </c>
      <c r="I114" s="18">
        <v>30740.2932478232</v>
      </c>
      <c r="J114" s="19">
        <v>2.7782843262250199E-2</v>
      </c>
      <c r="K114" s="18">
        <v>8225.1250033733504</v>
      </c>
      <c r="L114" s="19">
        <v>8.6282216458178407E-2</v>
      </c>
      <c r="M114" s="18">
        <v>-4177.6851973338598</v>
      </c>
      <c r="N114" s="19">
        <v>2.6945907707657701E-2</v>
      </c>
      <c r="O114" s="18">
        <v>140567.99045157101</v>
      </c>
      <c r="P114" s="19">
        <v>5.2417381242316499E-2</v>
      </c>
      <c r="Q114" s="18">
        <v>618.61187364899399</v>
      </c>
      <c r="R114" s="19">
        <v>1.82254133494371E-2</v>
      </c>
      <c r="S114" s="18">
        <v>3375.80475836704</v>
      </c>
      <c r="T114" s="19">
        <v>2.3459258276613298E-2</v>
      </c>
      <c r="U114" s="18">
        <v>109.906933277627</v>
      </c>
      <c r="V114" s="19">
        <v>1.11317011118174</v>
      </c>
      <c r="W114" s="18">
        <v>35653.645057597103</v>
      </c>
      <c r="X114" s="19">
        <v>0.67304911089365305</v>
      </c>
      <c r="Y114" s="18">
        <v>24570.609705737701</v>
      </c>
      <c r="Z114" s="19">
        <v>1.21690030924543</v>
      </c>
      <c r="AA114" s="18">
        <v>138070.642620478</v>
      </c>
      <c r="AB114" s="19">
        <v>5.5510783152131302E-2</v>
      </c>
      <c r="AC114" s="18">
        <v>6695.8816463964004</v>
      </c>
      <c r="AD114" s="19">
        <v>2.0783310461350402E-2</v>
      </c>
      <c r="AE114" s="18">
        <v>9193.2294774895308</v>
      </c>
      <c r="AF114" s="19">
        <v>-1.3285166775938301E-2</v>
      </c>
      <c r="AG114" s="18"/>
      <c r="AH114" s="19"/>
    </row>
    <row r="115" spans="1:34" x14ac:dyDescent="0.3">
      <c r="A115" s="17">
        <v>2005</v>
      </c>
      <c r="B115" s="17">
        <v>4</v>
      </c>
      <c r="C115" s="18">
        <v>137672.40577598201</v>
      </c>
      <c r="D115" s="19">
        <v>5.1585261424055499E-2</v>
      </c>
      <c r="E115" s="18">
        <v>72642.678105511193</v>
      </c>
      <c r="F115" s="19">
        <v>3.3010346734290999E-2</v>
      </c>
      <c r="G115" s="18">
        <v>30017.505336368398</v>
      </c>
      <c r="H115" s="19">
        <v>0.141106573627507</v>
      </c>
      <c r="I115" s="18">
        <v>30947.8448485429</v>
      </c>
      <c r="J115" s="19">
        <v>2.46897537849129E-2</v>
      </c>
      <c r="K115" s="18">
        <v>8187.7676906556899</v>
      </c>
      <c r="L115" s="19">
        <v>4.47815064937918E-3</v>
      </c>
      <c r="M115" s="18">
        <v>-4123.3902050959896</v>
      </c>
      <c r="N115" s="19">
        <v>1.52473251431828E-2</v>
      </c>
      <c r="O115" s="18">
        <v>149790.19494026</v>
      </c>
      <c r="P115" s="19">
        <v>8.9243079840960707E-2</v>
      </c>
      <c r="Q115" s="18">
        <v>625.57286938752702</v>
      </c>
      <c r="R115" s="19">
        <v>2.8662892955056501E-2</v>
      </c>
      <c r="S115" s="18">
        <v>3375.7834808692601</v>
      </c>
      <c r="T115" s="19">
        <v>2.3496094501087601E-2</v>
      </c>
      <c r="U115" s="18">
        <v>111.19645589184201</v>
      </c>
      <c r="V115" s="19">
        <v>0.74133864254774096</v>
      </c>
      <c r="W115" s="18">
        <v>35627.308768662697</v>
      </c>
      <c r="X115" s="19">
        <v>0.62280098674843498</v>
      </c>
      <c r="Y115" s="18">
        <v>20870.505448794702</v>
      </c>
      <c r="Z115" s="19">
        <v>0.63958415688664905</v>
      </c>
      <c r="AA115" s="18">
        <v>147219.43538687201</v>
      </c>
      <c r="AB115" s="19">
        <v>9.2451860456232104E-2</v>
      </c>
      <c r="AC115" s="18">
        <v>6737.7355053983001</v>
      </c>
      <c r="AD115" s="19">
        <v>1.6417973871216001E-2</v>
      </c>
      <c r="AE115" s="18">
        <v>9308.4950587868207</v>
      </c>
      <c r="AF115" s="19">
        <v>-8.2601369352230895E-3</v>
      </c>
      <c r="AG115" s="18"/>
      <c r="AH115" s="19"/>
    </row>
    <row r="116" spans="1:34" x14ac:dyDescent="0.3">
      <c r="A116" s="17">
        <v>2006</v>
      </c>
      <c r="B116" s="17">
        <v>1</v>
      </c>
      <c r="C116" s="18">
        <v>136490.87226166</v>
      </c>
      <c r="D116" s="19">
        <v>6.8663545860032399E-2</v>
      </c>
      <c r="E116" s="18">
        <v>84500.501275563394</v>
      </c>
      <c r="F116" s="19">
        <v>5.6625947881990803E-2</v>
      </c>
      <c r="G116" s="18">
        <v>16227.8387765185</v>
      </c>
      <c r="H116" s="19">
        <v>0.208915379742728</v>
      </c>
      <c r="I116" s="18">
        <v>31304.348285157201</v>
      </c>
      <c r="J116" s="19">
        <v>3.0615346510201501E-2</v>
      </c>
      <c r="K116" s="18">
        <v>8624.2993964908001</v>
      </c>
      <c r="L116" s="19">
        <v>7.7699803580588894E-2</v>
      </c>
      <c r="M116" s="18">
        <v>-4166.1154720698696</v>
      </c>
      <c r="N116" s="19">
        <v>2.8334939812237701E-2</v>
      </c>
      <c r="O116" s="18">
        <v>146677.931701275</v>
      </c>
      <c r="P116" s="19">
        <v>6.4856448356753096E-2</v>
      </c>
      <c r="Q116" s="18">
        <v>654.67805370130804</v>
      </c>
      <c r="R116" s="19">
        <v>7.3662373065993506E-2</v>
      </c>
      <c r="S116" s="18">
        <v>3655.2560610204</v>
      </c>
      <c r="T116" s="19">
        <v>8.2693089793250296E-2</v>
      </c>
      <c r="U116" s="18">
        <v>93.695724482592198</v>
      </c>
      <c r="V116" s="19">
        <v>0.299558035273634</v>
      </c>
      <c r="W116" s="18">
        <v>30128.382130644299</v>
      </c>
      <c r="X116" s="19">
        <v>0.116663446382525</v>
      </c>
      <c r="Y116" s="18">
        <v>17034.440408192899</v>
      </c>
      <c r="Z116" s="19">
        <v>0.19428752486184001</v>
      </c>
      <c r="AA116" s="18">
        <v>143961.57119498201</v>
      </c>
      <c r="AB116" s="19">
        <v>6.5008717194925805E-2</v>
      </c>
      <c r="AC116" s="18">
        <v>6786.9106613308604</v>
      </c>
      <c r="AD116" s="19">
        <v>2.2176158336946399E-2</v>
      </c>
      <c r="AE116" s="18">
        <v>9503.2711676238505</v>
      </c>
      <c r="AF116" s="19">
        <v>3.1852258507728097E-2</v>
      </c>
      <c r="AG116" s="18"/>
      <c r="AH116" s="19"/>
    </row>
    <row r="117" spans="1:34" x14ac:dyDescent="0.3">
      <c r="A117" s="17">
        <v>2006</v>
      </c>
      <c r="B117" s="17">
        <v>2</v>
      </c>
      <c r="C117" s="18">
        <v>139072.706614647</v>
      </c>
      <c r="D117" s="19">
        <v>6.1012855571180399E-2</v>
      </c>
      <c r="E117" s="18">
        <v>72443.973241362895</v>
      </c>
      <c r="F117" s="19">
        <v>2.5153011521025701E-2</v>
      </c>
      <c r="G117" s="18">
        <v>30713.3957314127</v>
      </c>
      <c r="H117" s="19">
        <v>0.18280324841953</v>
      </c>
      <c r="I117" s="18">
        <v>31619.5576865769</v>
      </c>
      <c r="J117" s="19">
        <v>3.6654537165220498E-2</v>
      </c>
      <c r="K117" s="18">
        <v>8459.5644572931997</v>
      </c>
      <c r="L117" s="19">
        <v>4.8974613617909397E-2</v>
      </c>
      <c r="M117" s="18">
        <v>-4163.7845019986999</v>
      </c>
      <c r="N117" s="19">
        <v>9.6879672941865298E-3</v>
      </c>
      <c r="O117" s="18">
        <v>148646.18844066499</v>
      </c>
      <c r="P117" s="19">
        <v>4.27667685065789E-2</v>
      </c>
      <c r="Q117" s="18">
        <v>657.75044136291899</v>
      </c>
      <c r="R117" s="19">
        <v>7.2974677073979199E-2</v>
      </c>
      <c r="S117" s="18">
        <v>3655.28470608405</v>
      </c>
      <c r="T117" s="19">
        <v>8.2757670194444605E-2</v>
      </c>
      <c r="U117" s="18">
        <v>100.23916211977399</v>
      </c>
      <c r="V117" s="19">
        <v>2.7119132218426999E-2</v>
      </c>
      <c r="W117" s="18">
        <v>33148.033870506799</v>
      </c>
      <c r="X117" s="19">
        <v>0.12759945974277501</v>
      </c>
      <c r="Y117" s="18">
        <v>20677.256941887401</v>
      </c>
      <c r="Z117" s="19">
        <v>0.35523470865387902</v>
      </c>
      <c r="AA117" s="18">
        <v>145863.96729938299</v>
      </c>
      <c r="AB117" s="19">
        <v>4.1464952834493703E-2</v>
      </c>
      <c r="AC117" s="18">
        <v>6828.8059343401101</v>
      </c>
      <c r="AD117" s="19">
        <v>2.4937699834650402E-2</v>
      </c>
      <c r="AE117" s="18">
        <v>9611.0270756221107</v>
      </c>
      <c r="AF117" s="19">
        <v>4.9706416756415003E-2</v>
      </c>
      <c r="AG117" s="18"/>
      <c r="AH117" s="19"/>
    </row>
    <row r="118" spans="1:34" x14ac:dyDescent="0.3">
      <c r="A118" s="17">
        <v>2006</v>
      </c>
      <c r="B118" s="17">
        <v>3</v>
      </c>
      <c r="C118" s="18">
        <v>140312.83151768599</v>
      </c>
      <c r="D118" s="19">
        <v>6.1912144995455401E-2</v>
      </c>
      <c r="E118" s="18">
        <v>71666.066031131995</v>
      </c>
      <c r="F118" s="19">
        <v>3.88194728231301E-2</v>
      </c>
      <c r="G118" s="18">
        <v>32145.514515155999</v>
      </c>
      <c r="H118" s="19">
        <v>0.13361989724006501</v>
      </c>
      <c r="I118" s="18">
        <v>31874.184402983799</v>
      </c>
      <c r="J118" s="19">
        <v>3.6886152842437098E-2</v>
      </c>
      <c r="K118" s="18">
        <v>8785.7057692893104</v>
      </c>
      <c r="L118" s="19">
        <v>6.8154680407416499E-2</v>
      </c>
      <c r="M118" s="18">
        <v>-4158.6392008753</v>
      </c>
      <c r="N118" s="19">
        <v>-4.5589831590734401E-3</v>
      </c>
      <c r="O118" s="18">
        <v>148736.60713583301</v>
      </c>
      <c r="P118" s="19">
        <v>5.81114993393608E-2</v>
      </c>
      <c r="Q118" s="18">
        <v>655.07309772857798</v>
      </c>
      <c r="R118" s="19">
        <v>5.8940388364210297E-2</v>
      </c>
      <c r="S118" s="18">
        <v>3655.2818614101802</v>
      </c>
      <c r="T118" s="19">
        <v>8.2788289918260399E-2</v>
      </c>
      <c r="U118" s="18">
        <v>103.082148050553</v>
      </c>
      <c r="V118" s="19">
        <v>-6.2096039108239902E-2</v>
      </c>
      <c r="W118" s="18">
        <v>32749.244605780499</v>
      </c>
      <c r="X118" s="19">
        <v>-8.1461529308564207E-2</v>
      </c>
      <c r="Y118" s="18">
        <v>21428.3423720022</v>
      </c>
      <c r="Z118" s="19">
        <v>-0.12788723484553</v>
      </c>
      <c r="AA118" s="18">
        <v>145966.84223187799</v>
      </c>
      <c r="AB118" s="19">
        <v>5.7189562252596401E-2</v>
      </c>
      <c r="AC118" s="18">
        <v>6862.1172359378997</v>
      </c>
      <c r="AD118" s="19">
        <v>2.48265423913165E-2</v>
      </c>
      <c r="AE118" s="18">
        <v>9631.8821398929394</v>
      </c>
      <c r="AF118" s="19">
        <v>4.7714751761335703E-2</v>
      </c>
      <c r="AG118" s="18"/>
      <c r="AH118" s="19"/>
    </row>
    <row r="119" spans="1:34" x14ac:dyDescent="0.3">
      <c r="A119" s="17">
        <v>2006</v>
      </c>
      <c r="B119" s="17">
        <v>4</v>
      </c>
      <c r="C119" s="18">
        <v>146283.22805693501</v>
      </c>
      <c r="D119" s="19">
        <v>6.2545738431883297E-2</v>
      </c>
      <c r="E119" s="18">
        <v>74996.904513291694</v>
      </c>
      <c r="F119" s="19">
        <v>3.2408309676593902E-2</v>
      </c>
      <c r="G119" s="18">
        <v>34944.165740503297</v>
      </c>
      <c r="H119" s="19">
        <v>0.16412624396758099</v>
      </c>
      <c r="I119" s="18">
        <v>32147.290910129199</v>
      </c>
      <c r="J119" s="19">
        <v>3.8757014178414401E-2</v>
      </c>
      <c r="K119" s="18">
        <v>8246.3006919366908</v>
      </c>
      <c r="L119" s="19">
        <v>7.1488351272837002E-3</v>
      </c>
      <c r="M119" s="18">
        <v>-4051.4337989261198</v>
      </c>
      <c r="N119" s="19">
        <v>-1.7450787480877802E-2</v>
      </c>
      <c r="O119" s="18">
        <v>157620.79836571499</v>
      </c>
      <c r="P119" s="19">
        <v>5.2277142896956397E-2</v>
      </c>
      <c r="Q119" s="18">
        <v>647.32393069402497</v>
      </c>
      <c r="R119" s="19">
        <v>3.4769828377936997E-2</v>
      </c>
      <c r="S119" s="18">
        <v>3655.2475269987799</v>
      </c>
      <c r="T119" s="19">
        <v>8.2784943913984901E-2</v>
      </c>
      <c r="U119" s="18">
        <v>103.962698347081</v>
      </c>
      <c r="V119" s="19">
        <v>-6.5053849843893397E-2</v>
      </c>
      <c r="W119" s="18">
        <v>41413.376885892401</v>
      </c>
      <c r="X119" s="19">
        <v>0.162405422054194</v>
      </c>
      <c r="Y119" s="18">
        <v>27171.845679154299</v>
      </c>
      <c r="Z119" s="19">
        <v>0.30192561679063801</v>
      </c>
      <c r="AA119" s="18">
        <v>154956.69272466699</v>
      </c>
      <c r="AB119" s="19">
        <v>5.2555950357119602E-2</v>
      </c>
      <c r="AC119" s="18">
        <v>6885.2337768991301</v>
      </c>
      <c r="AD119" s="19">
        <v>2.1891371571747701E-2</v>
      </c>
      <c r="AE119" s="18">
        <v>9549.3394179470106</v>
      </c>
      <c r="AF119" s="19">
        <v>2.5873608745469401E-2</v>
      </c>
      <c r="AG119" s="18"/>
      <c r="AH119" s="19"/>
    </row>
    <row r="120" spans="1:34" x14ac:dyDescent="0.3">
      <c r="A120" s="17">
        <v>2007</v>
      </c>
      <c r="B120" s="17">
        <v>1</v>
      </c>
      <c r="C120" s="18">
        <v>144908.386882494</v>
      </c>
      <c r="D120" s="19">
        <v>6.1670897704406702E-2</v>
      </c>
      <c r="E120" s="18">
        <v>89462.725448850993</v>
      </c>
      <c r="F120" s="19">
        <v>5.8724198062510599E-2</v>
      </c>
      <c r="G120" s="18">
        <v>17809.545237446098</v>
      </c>
      <c r="H120" s="19">
        <v>9.7468706875263794E-2</v>
      </c>
      <c r="I120" s="18">
        <v>32601.501138457799</v>
      </c>
      <c r="J120" s="19">
        <v>4.14368266505514E-2</v>
      </c>
      <c r="K120" s="18">
        <v>8979.10741725773</v>
      </c>
      <c r="L120" s="19">
        <v>4.1140503646163201E-2</v>
      </c>
      <c r="M120" s="18">
        <v>-3944.49235951841</v>
      </c>
      <c r="N120" s="19">
        <v>-5.3196584213100799E-2</v>
      </c>
      <c r="O120" s="18">
        <v>143586.71241126201</v>
      </c>
      <c r="P120" s="19">
        <v>-2.1074876460005099E-2</v>
      </c>
      <c r="Q120" s="18">
        <v>615.10312056425005</v>
      </c>
      <c r="R120" s="19">
        <v>-6.0449457429214599E-2</v>
      </c>
      <c r="S120" s="18">
        <v>4019.3197986475602</v>
      </c>
      <c r="T120" s="19">
        <v>9.9600064003595903E-2</v>
      </c>
      <c r="U120" s="18">
        <v>91.702275785626895</v>
      </c>
      <c r="V120" s="19">
        <v>-2.12757701375762E-2</v>
      </c>
      <c r="W120" s="18">
        <v>28629.2484656372</v>
      </c>
      <c r="X120" s="19">
        <v>-4.9758186765770797E-2</v>
      </c>
      <c r="Y120" s="18">
        <v>26638.4085345721</v>
      </c>
      <c r="Z120" s="19">
        <v>0.56379710141579298</v>
      </c>
      <c r="AA120" s="18">
        <v>141155.76163652199</v>
      </c>
      <c r="AB120" s="19">
        <v>-1.9489989829711601E-2</v>
      </c>
      <c r="AC120" s="18">
        <v>6896.1805146186198</v>
      </c>
      <c r="AD120" s="19">
        <v>1.6100087173731601E-2</v>
      </c>
      <c r="AE120" s="18">
        <v>9327.1312893576596</v>
      </c>
      <c r="AF120" s="19">
        <v>-1.85346577151527E-2</v>
      </c>
      <c r="AG120" s="18"/>
      <c r="AH120" s="19"/>
    </row>
    <row r="121" spans="1:34" x14ac:dyDescent="0.3">
      <c r="A121" s="17">
        <v>2007</v>
      </c>
      <c r="B121" s="17">
        <v>2</v>
      </c>
      <c r="C121" s="18">
        <v>148779.38369032301</v>
      </c>
      <c r="D121" s="19">
        <v>6.97957011980221E-2</v>
      </c>
      <c r="E121" s="18">
        <v>77321.126456503494</v>
      </c>
      <c r="F121" s="19">
        <v>6.7323104972324396E-2</v>
      </c>
      <c r="G121" s="18">
        <v>33256.789378923902</v>
      </c>
      <c r="H121" s="19">
        <v>8.2810564802180603E-2</v>
      </c>
      <c r="I121" s="18">
        <v>33050.813664909998</v>
      </c>
      <c r="J121" s="19">
        <v>4.5264895623151599E-2</v>
      </c>
      <c r="K121" s="18">
        <v>8996.7455406112003</v>
      </c>
      <c r="L121" s="19">
        <v>6.3499851089246606E-2</v>
      </c>
      <c r="M121" s="18">
        <v>-3846.0913506254401</v>
      </c>
      <c r="N121" s="19">
        <v>-7.6299133929904603E-2</v>
      </c>
      <c r="O121" s="18">
        <v>153299.19530458699</v>
      </c>
      <c r="P121" s="19">
        <v>3.1302564248251202E-2</v>
      </c>
      <c r="Q121" s="18">
        <v>610.70458153066602</v>
      </c>
      <c r="R121" s="19">
        <v>-7.1525394547466398E-2</v>
      </c>
      <c r="S121" s="18">
        <v>4019.25849033233</v>
      </c>
      <c r="T121" s="19">
        <v>9.95746743454657E-2</v>
      </c>
      <c r="U121" s="18">
        <v>99.730303949196099</v>
      </c>
      <c r="V121" s="19">
        <v>-5.07644078239589E-3</v>
      </c>
      <c r="W121" s="18">
        <v>44385.996790684003</v>
      </c>
      <c r="X121" s="19">
        <v>0.33902351385540502</v>
      </c>
      <c r="Y121" s="18">
        <v>36557.361571567999</v>
      </c>
      <c r="Z121" s="19">
        <v>0.76799861191990004</v>
      </c>
      <c r="AA121" s="18">
        <v>151023.82020916499</v>
      </c>
      <c r="AB121" s="19">
        <v>3.5374417721625799E-2</v>
      </c>
      <c r="AC121" s="18">
        <v>7170.5375526735997</v>
      </c>
      <c r="AD121" s="19">
        <v>5.0042660696362699E-2</v>
      </c>
      <c r="AE121" s="18">
        <v>9445.9126480952</v>
      </c>
      <c r="AF121" s="19">
        <v>-1.71796860239549E-2</v>
      </c>
      <c r="AG121" s="18"/>
      <c r="AH121" s="19"/>
    </row>
    <row r="122" spans="1:34" x14ac:dyDescent="0.3">
      <c r="A122" s="17">
        <v>2007</v>
      </c>
      <c r="B122" s="17">
        <v>3</v>
      </c>
      <c r="C122" s="18">
        <v>150101.205238341</v>
      </c>
      <c r="D122" s="19">
        <v>6.9761073273057098E-2</v>
      </c>
      <c r="E122" s="18">
        <v>75121.154559320901</v>
      </c>
      <c r="F122" s="19">
        <v>4.8210941656654502E-2</v>
      </c>
      <c r="G122" s="18">
        <v>36101.480548393098</v>
      </c>
      <c r="H122" s="19">
        <v>0.123064324615863</v>
      </c>
      <c r="I122" s="18">
        <v>33654.734995127998</v>
      </c>
      <c r="J122" s="19">
        <v>5.5861840090802597E-2</v>
      </c>
      <c r="K122" s="18">
        <v>9032.2330008546196</v>
      </c>
      <c r="L122" s="19">
        <v>2.8060037296839101E-2</v>
      </c>
      <c r="M122" s="18">
        <v>-3808.39786535539</v>
      </c>
      <c r="N122" s="19">
        <v>-8.4220178429086703E-2</v>
      </c>
      <c r="O122" s="18">
        <v>152682.03546708499</v>
      </c>
      <c r="P122" s="19">
        <v>2.6526276262634201E-2</v>
      </c>
      <c r="Q122" s="18">
        <v>615.92613616266704</v>
      </c>
      <c r="R122" s="19">
        <v>-5.9759684379728097E-2</v>
      </c>
      <c r="S122" s="18">
        <v>4019.20825541268</v>
      </c>
      <c r="T122" s="19">
        <v>9.9561786970405103E-2</v>
      </c>
      <c r="U122" s="18">
        <v>105.86532946567</v>
      </c>
      <c r="V122" s="19">
        <v>2.69996451155834E-2</v>
      </c>
      <c r="W122" s="18">
        <v>39775.632976727902</v>
      </c>
      <c r="X122" s="19">
        <v>0.21455115852373799</v>
      </c>
      <c r="Y122" s="18">
        <v>33897.385958199797</v>
      </c>
      <c r="Z122" s="19">
        <v>0.581894920742417</v>
      </c>
      <c r="AA122" s="18">
        <v>150489.43097864999</v>
      </c>
      <c r="AB122" s="19">
        <v>3.0983671891645199E-2</v>
      </c>
      <c r="AC122" s="18">
        <v>7715.3065379106201</v>
      </c>
      <c r="AD122" s="19">
        <v>0.124333244775306</v>
      </c>
      <c r="AE122" s="18">
        <v>9907.9110263456205</v>
      </c>
      <c r="AF122" s="19">
        <v>2.8657834724683501E-2</v>
      </c>
      <c r="AG122" s="18"/>
      <c r="AH122" s="19"/>
    </row>
    <row r="123" spans="1:34" x14ac:dyDescent="0.3">
      <c r="A123" s="17">
        <v>2007</v>
      </c>
      <c r="B123" s="17">
        <v>4</v>
      </c>
      <c r="C123" s="18">
        <v>155203.23635531301</v>
      </c>
      <c r="D123" s="19">
        <v>6.0977655585409997E-2</v>
      </c>
      <c r="E123" s="18">
        <v>78247.424072999696</v>
      </c>
      <c r="F123" s="19">
        <v>4.3342049659288499E-2</v>
      </c>
      <c r="G123" s="18">
        <v>37998.194855872302</v>
      </c>
      <c r="H123" s="19">
        <v>8.7397396694151502E-2</v>
      </c>
      <c r="I123" s="18">
        <v>34197.252212284897</v>
      </c>
      <c r="J123" s="19">
        <v>6.3767777754167601E-2</v>
      </c>
      <c r="K123" s="18">
        <v>8626.9528579464495</v>
      </c>
      <c r="L123" s="19">
        <v>4.6160354834255297E-2</v>
      </c>
      <c r="M123" s="18">
        <v>-3866.58764379077</v>
      </c>
      <c r="N123" s="19">
        <v>-4.5624873639637097E-2</v>
      </c>
      <c r="O123" s="18">
        <v>151853.78576725299</v>
      </c>
      <c r="P123" s="19">
        <v>-3.6587891054084103E-2</v>
      </c>
      <c r="Q123" s="18">
        <v>630.98124191337797</v>
      </c>
      <c r="R123" s="19">
        <v>-2.5246538874478499E-2</v>
      </c>
      <c r="S123" s="18">
        <v>4019.16909388862</v>
      </c>
      <c r="T123" s="19">
        <v>9.9561401574532707E-2</v>
      </c>
      <c r="U123" s="18">
        <v>109.07956379950799</v>
      </c>
      <c r="V123" s="19">
        <v>4.9218282458807397E-2</v>
      </c>
      <c r="W123" s="18">
        <v>36557.492568702903</v>
      </c>
      <c r="X123" s="19">
        <v>-0.117254005404319</v>
      </c>
      <c r="Y123" s="18">
        <v>36627.834868587102</v>
      </c>
      <c r="Z123" s="19">
        <v>0.34800687818888798</v>
      </c>
      <c r="AA123" s="18">
        <v>149619.95611938101</v>
      </c>
      <c r="AB123" s="19">
        <v>-3.4440181391641102E-2</v>
      </c>
      <c r="AC123" s="18">
        <v>8547.1507923518693</v>
      </c>
      <c r="AD123" s="19">
        <v>0.241374086821669</v>
      </c>
      <c r="AE123" s="18">
        <v>10780.9804402235</v>
      </c>
      <c r="AF123" s="19">
        <v>0.128976567736379</v>
      </c>
      <c r="AG123" s="18"/>
      <c r="AH123" s="19"/>
    </row>
    <row r="124" spans="1:34" x14ac:dyDescent="0.3">
      <c r="A124" s="17">
        <v>2008</v>
      </c>
      <c r="B124" s="17">
        <v>1</v>
      </c>
      <c r="C124" s="18">
        <v>152278.99435676599</v>
      </c>
      <c r="D124" s="19">
        <v>5.0863912247181203E-2</v>
      </c>
      <c r="E124" s="18">
        <v>95013.6269591624</v>
      </c>
      <c r="F124" s="19">
        <v>6.2047087012624402E-2</v>
      </c>
      <c r="G124" s="18">
        <v>16599.1206330571</v>
      </c>
      <c r="H124" s="19">
        <v>-6.7964936119985594E-2</v>
      </c>
      <c r="I124" s="18">
        <v>34701.549142543401</v>
      </c>
      <c r="J124" s="19">
        <v>6.4415684270694398E-2</v>
      </c>
      <c r="K124" s="18">
        <v>9869.7129476478094</v>
      </c>
      <c r="L124" s="19">
        <v>9.9186421211349601E-2</v>
      </c>
      <c r="M124" s="18">
        <v>-3905.0153256446501</v>
      </c>
      <c r="N124" s="19">
        <v>-1.00081405351171E-2</v>
      </c>
      <c r="O124" s="18">
        <v>144100.35167551201</v>
      </c>
      <c r="P124" s="19">
        <v>3.57720610511292E-3</v>
      </c>
      <c r="Q124" s="18">
        <v>650.91936040910298</v>
      </c>
      <c r="R124" s="19">
        <v>5.8228024939944702E-2</v>
      </c>
      <c r="S124" s="18">
        <v>4281.16387494026</v>
      </c>
      <c r="T124" s="19">
        <v>6.5146365407600104E-2</v>
      </c>
      <c r="U124" s="18">
        <v>97.146076181787294</v>
      </c>
      <c r="V124" s="19">
        <v>5.9363852745448101E-2</v>
      </c>
      <c r="W124" s="18">
        <v>22172.3911964123</v>
      </c>
      <c r="X124" s="19">
        <v>-0.22553359292594799</v>
      </c>
      <c r="Y124" s="18">
        <v>26817.935439316701</v>
      </c>
      <c r="Z124" s="19">
        <v>6.7394005355680998E-3</v>
      </c>
      <c r="AA124" s="18">
        <v>141581.766612532</v>
      </c>
      <c r="AB124" s="19">
        <v>3.0179779491148499E-3</v>
      </c>
      <c r="AC124" s="18">
        <v>9692.9906848361497</v>
      </c>
      <c r="AD124" s="19">
        <v>0.40555930406531798</v>
      </c>
      <c r="AE124" s="18">
        <v>12211.5757478163</v>
      </c>
      <c r="AF124" s="19">
        <v>0.30925312070495198</v>
      </c>
      <c r="AG124" s="18"/>
      <c r="AH124" s="19"/>
    </row>
    <row r="125" spans="1:34" x14ac:dyDescent="0.3">
      <c r="A125" s="17">
        <v>2008</v>
      </c>
      <c r="B125" s="17">
        <v>2</v>
      </c>
      <c r="C125" s="18">
        <v>156633.56639887099</v>
      </c>
      <c r="D125" s="19">
        <v>5.2790800134618898E-2</v>
      </c>
      <c r="E125" s="18">
        <v>81001.572662151593</v>
      </c>
      <c r="F125" s="19">
        <v>4.7599490259865498E-2</v>
      </c>
      <c r="G125" s="18">
        <v>34232.029506860199</v>
      </c>
      <c r="H125" s="19">
        <v>2.9324542331029099E-2</v>
      </c>
      <c r="I125" s="18">
        <v>35228.8393272959</v>
      </c>
      <c r="J125" s="19">
        <v>6.5899305368639902E-2</v>
      </c>
      <c r="K125" s="18">
        <v>10000.802644155099</v>
      </c>
      <c r="L125" s="19">
        <v>0.11160225650616</v>
      </c>
      <c r="M125" s="18">
        <v>-3829.6777415922302</v>
      </c>
      <c r="N125" s="19">
        <v>-4.2676076922991699E-3</v>
      </c>
      <c r="O125" s="18">
        <v>148916.97840381201</v>
      </c>
      <c r="P125" s="19">
        <v>-2.8586039816242002E-2</v>
      </c>
      <c r="Q125" s="18">
        <v>669.98961451945797</v>
      </c>
      <c r="R125" s="19">
        <v>9.7076450352150401E-2</v>
      </c>
      <c r="S125" s="18">
        <v>4281.1500573242001</v>
      </c>
      <c r="T125" s="19">
        <v>6.5159174912937198E-2</v>
      </c>
      <c r="U125" s="18">
        <v>110.910684889262</v>
      </c>
      <c r="V125" s="19">
        <v>0.112106155274142</v>
      </c>
      <c r="W125" s="18">
        <v>26296.134550766299</v>
      </c>
      <c r="X125" s="19">
        <v>-0.40755786842472203</v>
      </c>
      <c r="Y125" s="18">
        <v>30512.472787909701</v>
      </c>
      <c r="Z125" s="19">
        <v>-0.16535353000856801</v>
      </c>
      <c r="AA125" s="18">
        <v>146264.11606810999</v>
      </c>
      <c r="AB125" s="19">
        <v>-3.1516247797620203E-2</v>
      </c>
      <c r="AC125" s="18">
        <v>10313.408057017499</v>
      </c>
      <c r="AD125" s="19">
        <v>0.43830333238713498</v>
      </c>
      <c r="AE125" s="18">
        <v>12966.2703927196</v>
      </c>
      <c r="AF125" s="19">
        <v>0.372685824628533</v>
      </c>
      <c r="AG125" s="18"/>
      <c r="AH125" s="19"/>
    </row>
    <row r="126" spans="1:34" x14ac:dyDescent="0.3">
      <c r="A126" s="17">
        <v>2008</v>
      </c>
      <c r="B126" s="17">
        <v>3</v>
      </c>
      <c r="C126" s="18">
        <v>156659.61218394901</v>
      </c>
      <c r="D126" s="19">
        <v>4.36932330769364E-2</v>
      </c>
      <c r="E126" s="18">
        <v>77195.216304766203</v>
      </c>
      <c r="F126" s="19">
        <v>2.7609556290931501E-2</v>
      </c>
      <c r="G126" s="18">
        <v>38716.202858645098</v>
      </c>
      <c r="H126" s="19">
        <v>7.2427010486372498E-2</v>
      </c>
      <c r="I126" s="18">
        <v>35913.306352898901</v>
      </c>
      <c r="J126" s="19">
        <v>6.7110062168006995E-2</v>
      </c>
      <c r="K126" s="18">
        <v>8753.7167735974508</v>
      </c>
      <c r="L126" s="19">
        <v>-3.0835810727072199E-2</v>
      </c>
      <c r="M126" s="18">
        <v>-3918.8301059585201</v>
      </c>
      <c r="N126" s="19">
        <v>2.8997033531531699E-2</v>
      </c>
      <c r="O126" s="18">
        <v>134680.51702940001</v>
      </c>
      <c r="P126" s="19">
        <v>-0.117902007152411</v>
      </c>
      <c r="Q126" s="18">
        <v>684.82664866967298</v>
      </c>
      <c r="R126" s="19">
        <v>0.11186489493085799</v>
      </c>
      <c r="S126" s="18">
        <v>4281.1523413909699</v>
      </c>
      <c r="T126" s="19">
        <v>6.5173056316634198E-2</v>
      </c>
      <c r="U126" s="18">
        <v>114.51669796070701</v>
      </c>
      <c r="V126" s="19">
        <v>8.1720507919852803E-2</v>
      </c>
      <c r="W126" s="18">
        <v>19234.728616282599</v>
      </c>
      <c r="X126" s="19">
        <v>-0.51641929551349897</v>
      </c>
      <c r="Y126" s="18">
        <v>37732.014776071002</v>
      </c>
      <c r="Z126" s="19">
        <v>0.113124617414448</v>
      </c>
      <c r="AA126" s="18">
        <v>131939.40132892501</v>
      </c>
      <c r="AB126" s="19">
        <v>-0.123264667352998</v>
      </c>
      <c r="AC126" s="18">
        <v>10427.769107584099</v>
      </c>
      <c r="AD126" s="19">
        <v>0.35156899552146997</v>
      </c>
      <c r="AE126" s="18">
        <v>13168.8848080595</v>
      </c>
      <c r="AF126" s="19">
        <v>0.329128286784446</v>
      </c>
      <c r="AG126" s="18"/>
      <c r="AH126" s="19"/>
    </row>
    <row r="127" spans="1:34" x14ac:dyDescent="0.3">
      <c r="A127" s="17">
        <v>2008</v>
      </c>
      <c r="B127" s="17">
        <v>4</v>
      </c>
      <c r="C127" s="18">
        <v>156889.67045506899</v>
      </c>
      <c r="D127" s="19">
        <v>1.0865972510366801E-2</v>
      </c>
      <c r="E127" s="18">
        <v>82662.506766411898</v>
      </c>
      <c r="F127" s="19">
        <v>5.6424639478139603E-2</v>
      </c>
      <c r="G127" s="18">
        <v>33532.206515867903</v>
      </c>
      <c r="H127" s="19">
        <v>-0.117531592143889</v>
      </c>
      <c r="I127" s="18">
        <v>36596.282761584698</v>
      </c>
      <c r="J127" s="19">
        <v>7.0152728482610199E-2</v>
      </c>
      <c r="K127" s="18">
        <v>8108.0147096895998</v>
      </c>
      <c r="L127" s="19">
        <v>-6.0153122058485199E-2</v>
      </c>
      <c r="M127" s="18">
        <v>-4009.3402984846098</v>
      </c>
      <c r="N127" s="19">
        <v>3.6919544529938599E-2</v>
      </c>
      <c r="O127" s="18">
        <v>154331.754195391</v>
      </c>
      <c r="P127" s="19">
        <v>1.63181208530148E-2</v>
      </c>
      <c r="Q127" s="18">
        <v>695.26132002299505</v>
      </c>
      <c r="R127" s="19">
        <v>0.101873199771669</v>
      </c>
      <c r="S127" s="18">
        <v>4281.1707271405603</v>
      </c>
      <c r="T127" s="19">
        <v>6.5188009544143097E-2</v>
      </c>
      <c r="U127" s="18">
        <v>110.39250196824401</v>
      </c>
      <c r="V127" s="19">
        <v>1.2036518326653801E-2</v>
      </c>
      <c r="W127" s="18">
        <v>26286.1888653641</v>
      </c>
      <c r="X127" s="19">
        <v>-0.28096302513187599</v>
      </c>
      <c r="Y127" s="18">
        <v>25368.588219893601</v>
      </c>
      <c r="Z127" s="19">
        <v>-0.30739591048963799</v>
      </c>
      <c r="AA127" s="18">
        <v>151531.43687273699</v>
      </c>
      <c r="AB127" s="19">
        <v>1.27755735460233E-2</v>
      </c>
      <c r="AC127" s="18">
        <v>10037.3589117714</v>
      </c>
      <c r="AD127" s="19">
        <v>0.17435144829233901</v>
      </c>
      <c r="AE127" s="18">
        <v>12837.676234425</v>
      </c>
      <c r="AF127" s="19">
        <v>0.190770756482218</v>
      </c>
      <c r="AG127" s="18"/>
      <c r="AH127" s="19"/>
    </row>
    <row r="128" spans="1:34" x14ac:dyDescent="0.3">
      <c r="A128" s="17">
        <v>2009</v>
      </c>
      <c r="B128" s="17">
        <v>1</v>
      </c>
      <c r="C128" s="18">
        <v>149995.820481392</v>
      </c>
      <c r="D128" s="19">
        <v>-1.49933606077336E-2</v>
      </c>
      <c r="E128" s="18">
        <v>94688.547352466194</v>
      </c>
      <c r="F128" s="19">
        <v>-3.4213998254791801E-3</v>
      </c>
      <c r="G128" s="18">
        <v>13087.4168935661</v>
      </c>
      <c r="H128" s="19">
        <v>-0.21155962518264099</v>
      </c>
      <c r="I128" s="18">
        <v>37215.437384037898</v>
      </c>
      <c r="J128" s="19">
        <v>7.2443112875689497E-2</v>
      </c>
      <c r="K128" s="18">
        <v>9075.6949056753801</v>
      </c>
      <c r="L128" s="19">
        <v>-8.04499630520321E-2</v>
      </c>
      <c r="M128" s="18">
        <v>-4071.2760543535801</v>
      </c>
      <c r="N128" s="19">
        <v>4.2576203892743303E-2</v>
      </c>
      <c r="O128" s="18">
        <v>149918.54641342501</v>
      </c>
      <c r="P128" s="19">
        <v>4.0375992634735097E-2</v>
      </c>
      <c r="Q128" s="18">
        <v>703.668818456645</v>
      </c>
      <c r="R128" s="19">
        <v>8.1038391628708698E-2</v>
      </c>
      <c r="S128" s="18">
        <v>4450.9491864574102</v>
      </c>
      <c r="T128" s="19">
        <v>3.9658680787948201E-2</v>
      </c>
      <c r="U128" s="18">
        <v>94.364828862187196</v>
      </c>
      <c r="V128" s="19">
        <v>-2.86295384117785E-2</v>
      </c>
      <c r="W128" s="18">
        <v>22854.0131551331</v>
      </c>
      <c r="X128" s="19">
        <v>3.07419237141675E-2</v>
      </c>
      <c r="Y128" s="18">
        <v>19278.371683960999</v>
      </c>
      <c r="Z128" s="19">
        <v>-0.28113885844852299</v>
      </c>
      <c r="AA128" s="18">
        <v>147155.144065256</v>
      </c>
      <c r="AB128" s="19">
        <v>3.93650791770137E-2</v>
      </c>
      <c r="AC128" s="18">
        <v>9125.4273364180008</v>
      </c>
      <c r="AD128" s="19">
        <v>-5.8553997096691998E-2</v>
      </c>
      <c r="AE128" s="18">
        <v>11888.829684587599</v>
      </c>
      <c r="AF128" s="19">
        <v>-2.6429518179622202E-2</v>
      </c>
      <c r="AG128" s="18"/>
      <c r="AH128" s="19"/>
    </row>
    <row r="129" spans="1:34" x14ac:dyDescent="0.3">
      <c r="A129" s="17">
        <v>2009</v>
      </c>
      <c r="B129" s="17">
        <v>2</v>
      </c>
      <c r="C129" s="18">
        <v>151707.932561897</v>
      </c>
      <c r="D129" s="19">
        <v>-3.1446860019969797E-2</v>
      </c>
      <c r="E129" s="18">
        <v>83932.261521027802</v>
      </c>
      <c r="F129" s="19">
        <v>3.6180641468527501E-2</v>
      </c>
      <c r="G129" s="18">
        <v>24759.9093314497</v>
      </c>
      <c r="H129" s="19">
        <v>-0.27670343569645101</v>
      </c>
      <c r="I129" s="18">
        <v>37496.466261516602</v>
      </c>
      <c r="J129" s="19">
        <v>6.4368482684117503E-2</v>
      </c>
      <c r="K129" s="18">
        <v>9653.0087483752395</v>
      </c>
      <c r="L129" s="19">
        <v>-3.4776598254657801E-2</v>
      </c>
      <c r="M129" s="18">
        <v>-4133.7133004725301</v>
      </c>
      <c r="N129" s="19">
        <v>7.9389332313349895E-2</v>
      </c>
      <c r="O129" s="18">
        <v>155352.18407214401</v>
      </c>
      <c r="P129" s="19">
        <v>4.3213377932516603E-2</v>
      </c>
      <c r="Q129" s="18">
        <v>709.39257872243002</v>
      </c>
      <c r="R129" s="19">
        <v>5.8811305950217101E-2</v>
      </c>
      <c r="S129" s="18">
        <v>4450.9856790944996</v>
      </c>
      <c r="T129" s="19">
        <v>3.9670560362568399E-2</v>
      </c>
      <c r="U129" s="18">
        <v>104.28353935142501</v>
      </c>
      <c r="V129" s="19">
        <v>-5.9752092816429202E-2</v>
      </c>
      <c r="W129" s="18">
        <v>28860.320950789199</v>
      </c>
      <c r="X129" s="19">
        <v>9.7511913588387497E-2</v>
      </c>
      <c r="Y129" s="18">
        <v>21578.7598795212</v>
      </c>
      <c r="Z129" s="19">
        <v>-0.29278888572834399</v>
      </c>
      <c r="AA129" s="18">
        <v>152501.121290215</v>
      </c>
      <c r="AB129" s="19">
        <v>4.2642073734620901E-2</v>
      </c>
      <c r="AC129" s="18">
        <v>8473.7461906016597</v>
      </c>
      <c r="AD129" s="19">
        <v>-0.17837574701256101</v>
      </c>
      <c r="AE129" s="18">
        <v>11324.8089725307</v>
      </c>
      <c r="AF129" s="19">
        <v>-0.12659472388533899</v>
      </c>
      <c r="AG129" s="18"/>
      <c r="AH129" s="19"/>
    </row>
    <row r="130" spans="1:34" x14ac:dyDescent="0.3">
      <c r="A130" s="17">
        <v>2009</v>
      </c>
      <c r="B130" s="17">
        <v>3</v>
      </c>
      <c r="C130" s="18">
        <v>153572.466931078</v>
      </c>
      <c r="D130" s="19">
        <v>-1.9706069802129501E-2</v>
      </c>
      <c r="E130" s="18">
        <v>80366.580913399404</v>
      </c>
      <c r="F130" s="19">
        <v>4.1082398112761903E-2</v>
      </c>
      <c r="G130" s="18">
        <v>31571.467897924998</v>
      </c>
      <c r="H130" s="19">
        <v>-0.18454121099648799</v>
      </c>
      <c r="I130" s="18">
        <v>37471.235682462197</v>
      </c>
      <c r="J130" s="19">
        <v>4.3380281232100498E-2</v>
      </c>
      <c r="K130" s="18">
        <v>8394.1886503373607</v>
      </c>
      <c r="L130" s="19">
        <v>-4.1071482269621401E-2</v>
      </c>
      <c r="M130" s="18">
        <v>-4231.0062130463002</v>
      </c>
      <c r="N130" s="19">
        <v>7.9660536090382802E-2</v>
      </c>
      <c r="O130" s="18">
        <v>153510.778513475</v>
      </c>
      <c r="P130" s="19">
        <v>0.139814294594403</v>
      </c>
      <c r="Q130" s="18">
        <v>716.53046990215205</v>
      </c>
      <c r="R130" s="19">
        <v>4.6294666386107498E-2</v>
      </c>
      <c r="S130" s="18">
        <v>4451.0228095564198</v>
      </c>
      <c r="T130" s="19">
        <v>3.96786786873033E-2</v>
      </c>
      <c r="U130" s="18">
        <v>113.240610993003</v>
      </c>
      <c r="V130" s="19">
        <v>-1.11432392867422E-2</v>
      </c>
      <c r="W130" s="18">
        <v>21461.106983043901</v>
      </c>
      <c r="X130" s="19">
        <v>0.115747843974084</v>
      </c>
      <c r="Y130" s="18">
        <v>17901.543671985099</v>
      </c>
      <c r="Z130" s="19">
        <v>-0.52556088567690395</v>
      </c>
      <c r="AA130" s="18">
        <v>150549.725651652</v>
      </c>
      <c r="AB130" s="19">
        <v>0.14105205977349899</v>
      </c>
      <c r="AC130" s="18">
        <v>8056.2302689568496</v>
      </c>
      <c r="AD130" s="19">
        <v>-0.22742533078359201</v>
      </c>
      <c r="AE130" s="18">
        <v>11017.283130780201</v>
      </c>
      <c r="AF130" s="19">
        <v>-0.16338526068376599</v>
      </c>
      <c r="AG130" s="18"/>
      <c r="AH130" s="19"/>
    </row>
    <row r="131" spans="1:34" x14ac:dyDescent="0.3">
      <c r="A131" s="17">
        <v>2009</v>
      </c>
      <c r="B131" s="17">
        <v>4</v>
      </c>
      <c r="C131" s="18">
        <v>158041.74536334901</v>
      </c>
      <c r="D131" s="19">
        <v>7.3432170833020996E-3</v>
      </c>
      <c r="E131" s="18">
        <v>84648.454286333799</v>
      </c>
      <c r="F131" s="19">
        <v>2.40247676680534E-2</v>
      </c>
      <c r="G131" s="18">
        <v>31154.933157036499</v>
      </c>
      <c r="H131" s="19">
        <v>-7.0895225988377095E-2</v>
      </c>
      <c r="I131" s="18">
        <v>37495.719696284003</v>
      </c>
      <c r="J131" s="19">
        <v>2.45772758003573E-2</v>
      </c>
      <c r="K131" s="18">
        <v>8947.5418016120293</v>
      </c>
      <c r="L131" s="19">
        <v>0.10354286739504</v>
      </c>
      <c r="M131" s="18">
        <v>-4204.9035779175802</v>
      </c>
      <c r="N131" s="19">
        <v>4.87769221053376E-2</v>
      </c>
      <c r="O131" s="18">
        <v>163353.327710404</v>
      </c>
      <c r="P131" s="19">
        <v>5.84557180863206E-2</v>
      </c>
      <c r="Q131" s="18">
        <v>724.323957049353</v>
      </c>
      <c r="R131" s="19">
        <v>4.1801026735381198E-2</v>
      </c>
      <c r="S131" s="18">
        <v>4451.06057784317</v>
      </c>
      <c r="T131" s="19">
        <v>3.9683035676571603E-2</v>
      </c>
      <c r="U131" s="18">
        <v>111.60607679338401</v>
      </c>
      <c r="V131" s="19">
        <v>1.0993272219610399E-2</v>
      </c>
      <c r="W131" s="18">
        <v>27700.0003759477</v>
      </c>
      <c r="X131" s="19">
        <v>5.3785336391861699E-2</v>
      </c>
      <c r="Y131" s="18">
        <v>18773.2874848924</v>
      </c>
      <c r="Z131" s="19">
        <v>-0.25997902121448302</v>
      </c>
      <c r="AA131" s="18">
        <v>160321.52313119799</v>
      </c>
      <c r="AB131" s="19">
        <v>5.8008334375153403E-2</v>
      </c>
      <c r="AC131" s="18">
        <v>7855.1609651419903</v>
      </c>
      <c r="AD131" s="19">
        <v>-0.21740758358956799</v>
      </c>
      <c r="AE131" s="18">
        <v>10886.9655443474</v>
      </c>
      <c r="AF131" s="19">
        <v>-0.15195200863896599</v>
      </c>
      <c r="AG131" s="18"/>
      <c r="AH131" s="19"/>
    </row>
    <row r="132" spans="1:34" x14ac:dyDescent="0.3">
      <c r="A132" s="17">
        <v>2010</v>
      </c>
      <c r="B132" s="17">
        <v>1</v>
      </c>
      <c r="C132" s="18">
        <v>155143.31367032399</v>
      </c>
      <c r="D132" s="19">
        <v>3.4317577465907502E-2</v>
      </c>
      <c r="E132" s="18">
        <v>93600.548310227299</v>
      </c>
      <c r="F132" s="19">
        <v>-1.14902918321147E-2</v>
      </c>
      <c r="G132" s="18">
        <v>18729.3032084037</v>
      </c>
      <c r="H132" s="19">
        <v>0.43109242723148</v>
      </c>
      <c r="I132" s="18">
        <v>37428.985415471398</v>
      </c>
      <c r="J132" s="19">
        <v>5.7381572391523904E-3</v>
      </c>
      <c r="K132" s="18">
        <v>9502.7310158230393</v>
      </c>
      <c r="L132" s="19">
        <v>4.7052717680121599E-2</v>
      </c>
      <c r="M132" s="18">
        <v>-4118.2542796009902</v>
      </c>
      <c r="N132" s="19">
        <v>1.1538943716962799E-2</v>
      </c>
      <c r="O132" s="18">
        <v>162566.084508486</v>
      </c>
      <c r="P132" s="19">
        <v>8.4362731614156902E-2</v>
      </c>
      <c r="Q132" s="18">
        <v>735.47383509959002</v>
      </c>
      <c r="R132" s="19">
        <v>4.5198843275027697E-2</v>
      </c>
      <c r="S132" s="18">
        <v>4816.6925163188098</v>
      </c>
      <c r="T132" s="19">
        <v>8.2171985017089194E-2</v>
      </c>
      <c r="U132" s="18">
        <v>96.8759334700881</v>
      </c>
      <c r="V132" s="19">
        <v>2.6610598865899102E-2</v>
      </c>
      <c r="W132" s="18">
        <v>28611.657989870499</v>
      </c>
      <c r="X132" s="19">
        <v>0.25193145709921999</v>
      </c>
      <c r="Y132" s="18">
        <v>17204.544403960099</v>
      </c>
      <c r="Z132" s="19">
        <v>-0.107572740789425</v>
      </c>
      <c r="AA132" s="18">
        <v>159538.18413707099</v>
      </c>
      <c r="AB132" s="19">
        <v>8.4149556241976703E-2</v>
      </c>
      <c r="AC132" s="18">
        <v>7860.5531954506596</v>
      </c>
      <c r="AD132" s="19">
        <v>-0.13860985292375799</v>
      </c>
      <c r="AE132" s="18">
        <v>10888.453566865101</v>
      </c>
      <c r="AF132" s="19">
        <v>-8.4144204624218802E-2</v>
      </c>
      <c r="AG132" s="18"/>
      <c r="AH132" s="19"/>
    </row>
    <row r="133" spans="1:34" x14ac:dyDescent="0.3">
      <c r="A133" s="17">
        <v>2010</v>
      </c>
      <c r="B133" s="17">
        <v>2</v>
      </c>
      <c r="C133" s="18">
        <v>158410.55206158699</v>
      </c>
      <c r="D133" s="19">
        <v>4.4181074690710101E-2</v>
      </c>
      <c r="E133" s="18">
        <v>84400.683714267594</v>
      </c>
      <c r="F133" s="19">
        <v>5.5809552221157696E-3</v>
      </c>
      <c r="G133" s="18">
        <v>31282.700464629001</v>
      </c>
      <c r="H133" s="19">
        <v>0.26344164051094099</v>
      </c>
      <c r="I133" s="18">
        <v>37557.107288414802</v>
      </c>
      <c r="J133" s="19">
        <v>1.61724644864636E-3</v>
      </c>
      <c r="K133" s="18">
        <v>9340.5675784255109</v>
      </c>
      <c r="L133" s="19">
        <v>-3.2367231615978799E-2</v>
      </c>
      <c r="M133" s="18">
        <v>-4170.5069841496997</v>
      </c>
      <c r="N133" s="19">
        <v>8.9008794279383796E-3</v>
      </c>
      <c r="O133" s="18">
        <v>166394.51154488101</v>
      </c>
      <c r="P133" s="19">
        <v>7.1079319152723294E-2</v>
      </c>
      <c r="Q133" s="18">
        <v>735.08945279748605</v>
      </c>
      <c r="R133" s="19">
        <v>3.6223770653668802E-2</v>
      </c>
      <c r="S133" s="18">
        <v>4816.6378937599902</v>
      </c>
      <c r="T133" s="19">
        <v>8.2150840516720405E-2</v>
      </c>
      <c r="U133" s="18">
        <v>109.446895347962</v>
      </c>
      <c r="V133" s="19">
        <v>4.9512665456597799E-2</v>
      </c>
      <c r="W133" s="18">
        <v>34641.263688337604</v>
      </c>
      <c r="X133" s="19">
        <v>0.20030763855348699</v>
      </c>
      <c r="Y133" s="18">
        <v>22685.2026594294</v>
      </c>
      <c r="Z133" s="19">
        <v>5.1274623105577198E-2</v>
      </c>
      <c r="AA133" s="18">
        <v>163391.33285734901</v>
      </c>
      <c r="AB133" s="19">
        <v>7.1410698327977404E-2</v>
      </c>
      <c r="AC133" s="18">
        <v>7864.2378228871503</v>
      </c>
      <c r="AD133" s="19">
        <v>-7.1929032803759105E-2</v>
      </c>
      <c r="AE133" s="18">
        <v>10867.4165104189</v>
      </c>
      <c r="AF133" s="19">
        <v>-4.03885366385607E-2</v>
      </c>
      <c r="AG133" s="18"/>
      <c r="AH133" s="19"/>
    </row>
    <row r="134" spans="1:34" x14ac:dyDescent="0.3">
      <c r="A134" s="17">
        <v>2010</v>
      </c>
      <c r="B134" s="17">
        <v>3</v>
      </c>
      <c r="C134" s="18">
        <v>158633.93463064599</v>
      </c>
      <c r="D134" s="19">
        <v>3.2958171479006398E-2</v>
      </c>
      <c r="E134" s="18">
        <v>83318.321206511493</v>
      </c>
      <c r="F134" s="19">
        <v>3.6728454284907598E-2</v>
      </c>
      <c r="G134" s="18">
        <v>32299.6336724957</v>
      </c>
      <c r="H134" s="19">
        <v>2.3064045578271401E-2</v>
      </c>
      <c r="I134" s="18">
        <v>37842.231277956198</v>
      </c>
      <c r="J134" s="19">
        <v>9.9008102811937206E-3</v>
      </c>
      <c r="K134" s="18">
        <v>9410.18539332814</v>
      </c>
      <c r="L134" s="19">
        <v>0.121035729039751</v>
      </c>
      <c r="M134" s="18">
        <v>-4236.4369196453499</v>
      </c>
      <c r="N134" s="19">
        <v>1.28354966303212E-3</v>
      </c>
      <c r="O134" s="18">
        <v>169590.14594841501</v>
      </c>
      <c r="P134" s="19">
        <v>0.104744224416323</v>
      </c>
      <c r="Q134" s="18">
        <v>727.35956131919397</v>
      </c>
      <c r="R134" s="19">
        <v>1.51132322656444E-2</v>
      </c>
      <c r="S134" s="18">
        <v>4816.4870880231001</v>
      </c>
      <c r="T134" s="19">
        <v>8.2107932064966194E-2</v>
      </c>
      <c r="U134" s="18">
        <v>117.186856883837</v>
      </c>
      <c r="V134" s="19">
        <v>3.4848327435092398E-2</v>
      </c>
      <c r="W134" s="18">
        <v>31226.368755317399</v>
      </c>
      <c r="X134" s="19">
        <v>0.45502134535692201</v>
      </c>
      <c r="Y134" s="18">
        <v>16298.2167677284</v>
      </c>
      <c r="Z134" s="19">
        <v>-8.95636115876315E-2</v>
      </c>
      <c r="AA134" s="18">
        <v>166654.344216028</v>
      </c>
      <c r="AB134" s="19">
        <v>0.1069720884224</v>
      </c>
      <c r="AC134" s="18">
        <v>7863.5455129022002</v>
      </c>
      <c r="AD134" s="19">
        <v>-2.3917483689253501E-2</v>
      </c>
      <c r="AE134" s="18">
        <v>10799.3472452889</v>
      </c>
      <c r="AF134" s="19">
        <v>-1.9781273014796999E-2</v>
      </c>
      <c r="AG134" s="18"/>
      <c r="AH134" s="19"/>
    </row>
    <row r="135" spans="1:34" x14ac:dyDescent="0.3">
      <c r="A135" s="17">
        <v>2010</v>
      </c>
      <c r="B135" s="17">
        <v>4</v>
      </c>
      <c r="C135" s="18">
        <v>163984.21962084901</v>
      </c>
      <c r="D135" s="19">
        <v>3.7600662051900297E-2</v>
      </c>
      <c r="E135" s="18">
        <v>85295.121443569602</v>
      </c>
      <c r="F135" s="19">
        <v>7.6394443665606104E-3</v>
      </c>
      <c r="G135" s="18">
        <v>35296.667680984901</v>
      </c>
      <c r="H135" s="19">
        <v>0.13293992649806</v>
      </c>
      <c r="I135" s="18">
        <v>38095.224959854699</v>
      </c>
      <c r="J135" s="19">
        <v>1.5988631993909298E-2</v>
      </c>
      <c r="K135" s="18">
        <v>9548.3158168733098</v>
      </c>
      <c r="L135" s="19">
        <v>6.7144030012024097E-2</v>
      </c>
      <c r="M135" s="18">
        <v>-4251.1102804339598</v>
      </c>
      <c r="N135" s="19">
        <v>1.0988766248776399E-2</v>
      </c>
      <c r="O135" s="18">
        <v>170411.784622165</v>
      </c>
      <c r="P135" s="19">
        <v>4.3209752814306703E-2</v>
      </c>
      <c r="Q135" s="18">
        <v>712.51087870526896</v>
      </c>
      <c r="R135" s="19">
        <v>-1.6309108968597202E-2</v>
      </c>
      <c r="S135" s="18">
        <v>4816.2400991081004</v>
      </c>
      <c r="T135" s="19">
        <v>8.2043260224932801E-2</v>
      </c>
      <c r="U135" s="18">
        <v>115.133501298113</v>
      </c>
      <c r="V135" s="19">
        <v>3.1606025460946902E-2</v>
      </c>
      <c r="W135" s="18">
        <v>33129.376286520499</v>
      </c>
      <c r="X135" s="19">
        <v>0.19600634790197399</v>
      </c>
      <c r="Y135" s="18">
        <v>22713.215566099701</v>
      </c>
      <c r="Z135" s="19">
        <v>0.20986884073329801</v>
      </c>
      <c r="AA135" s="18">
        <v>167616.68954852401</v>
      </c>
      <c r="AB135" s="19">
        <v>4.5503350235485102E-2</v>
      </c>
      <c r="AC135" s="18">
        <v>7855.6505452983902</v>
      </c>
      <c r="AD135" s="19">
        <v>6.2325922864037194E-5</v>
      </c>
      <c r="AE135" s="18">
        <v>10650.7456189394</v>
      </c>
      <c r="AF135" s="19">
        <v>-2.1697499128266101E-2</v>
      </c>
      <c r="AG135" s="18"/>
      <c r="AH135" s="19"/>
    </row>
    <row r="136" spans="1:34" x14ac:dyDescent="0.3">
      <c r="A136" s="17">
        <v>2011</v>
      </c>
      <c r="B136" s="17">
        <v>1</v>
      </c>
      <c r="C136" s="18">
        <v>159594.45750254299</v>
      </c>
      <c r="D136" s="19">
        <v>2.8690529594315398E-2</v>
      </c>
      <c r="E136" s="18">
        <v>96243.823522468505</v>
      </c>
      <c r="F136" s="19">
        <v>2.8239954358818101E-2</v>
      </c>
      <c r="G136" s="18">
        <v>19642.393864721798</v>
      </c>
      <c r="H136" s="19">
        <v>4.87519821831046E-2</v>
      </c>
      <c r="I136" s="18">
        <v>38374.451744583101</v>
      </c>
      <c r="J136" s="19">
        <v>2.5260271381038799E-2</v>
      </c>
      <c r="K136" s="18">
        <v>9599.20697594987</v>
      </c>
      <c r="L136" s="19">
        <v>1.01524456460131E-2</v>
      </c>
      <c r="M136" s="18">
        <v>-4265.4186051801898</v>
      </c>
      <c r="N136" s="19">
        <v>3.5734637928541299E-2</v>
      </c>
      <c r="O136" s="18">
        <v>157392.18508913001</v>
      </c>
      <c r="P136" s="19">
        <v>-3.18264380605493E-2</v>
      </c>
      <c r="Q136" s="18">
        <v>684.13042885234699</v>
      </c>
      <c r="R136" s="19">
        <v>-6.9809969841131206E-2</v>
      </c>
      <c r="S136" s="18">
        <v>5244.5151334335396</v>
      </c>
      <c r="T136" s="19">
        <v>8.8820827915685296E-2</v>
      </c>
      <c r="U136" s="18">
        <v>103.34809058742501</v>
      </c>
      <c r="V136" s="19">
        <v>6.6808720035050895E-2</v>
      </c>
      <c r="W136" s="18">
        <v>18572.666150496501</v>
      </c>
      <c r="X136" s="19">
        <v>-0.35087067806165401</v>
      </c>
      <c r="Y136" s="18">
        <v>16317.9019499154</v>
      </c>
      <c r="Z136" s="19">
        <v>-5.1535363751954402E-2</v>
      </c>
      <c r="AA136" s="18">
        <v>154856.94204589099</v>
      </c>
      <c r="AB136" s="19">
        <v>-2.9342455641578599E-2</v>
      </c>
      <c r="AC136" s="18">
        <v>7837.46985274908</v>
      </c>
      <c r="AD136" s="19">
        <v>-2.9366053670295501E-3</v>
      </c>
      <c r="AE136" s="18">
        <v>10372.712895988199</v>
      </c>
      <c r="AF136" s="19">
        <v>-4.7365832779631599E-2</v>
      </c>
      <c r="AG136" s="18"/>
      <c r="AH136" s="19"/>
    </row>
    <row r="137" spans="1:34" x14ac:dyDescent="0.3">
      <c r="A137" s="17">
        <v>2011</v>
      </c>
      <c r="B137" s="17">
        <v>2</v>
      </c>
      <c r="C137" s="18">
        <v>161873.23598254501</v>
      </c>
      <c r="D137" s="19">
        <v>2.18589221228889E-2</v>
      </c>
      <c r="E137" s="18">
        <v>89341.482540077806</v>
      </c>
      <c r="F137" s="19">
        <v>5.8539796224126701E-2</v>
      </c>
      <c r="G137" s="18">
        <v>28533.839196709701</v>
      </c>
      <c r="H137" s="19">
        <v>-8.7871610413794404E-2</v>
      </c>
      <c r="I137" s="18">
        <v>38535.412817953402</v>
      </c>
      <c r="J137" s="19">
        <v>2.6048479240584399E-2</v>
      </c>
      <c r="K137" s="18">
        <v>9839.56383989809</v>
      </c>
      <c r="L137" s="19">
        <v>5.3422477518940199E-2</v>
      </c>
      <c r="M137" s="18">
        <v>-4377.06241209377</v>
      </c>
      <c r="N137" s="19">
        <v>4.9527654246616801E-2</v>
      </c>
      <c r="O137" s="18">
        <v>162059.70774015499</v>
      </c>
      <c r="P137" s="19">
        <v>-2.6051362899407699E-2</v>
      </c>
      <c r="Q137" s="18">
        <v>671.36660895456998</v>
      </c>
      <c r="R137" s="19">
        <v>-8.6687196504329794E-2</v>
      </c>
      <c r="S137" s="18">
        <v>5244.24958111658</v>
      </c>
      <c r="T137" s="19">
        <v>8.8778043271751497E-2</v>
      </c>
      <c r="U137" s="18">
        <v>111.849855350444</v>
      </c>
      <c r="V137" s="19">
        <v>2.1955488045980201E-2</v>
      </c>
      <c r="W137" s="18">
        <v>25647.316390366301</v>
      </c>
      <c r="X137" s="19">
        <v>-0.25963103941266302</v>
      </c>
      <c r="Y137" s="18">
        <v>20999.811515944599</v>
      </c>
      <c r="Z137" s="19">
        <v>-7.42947360350876E-2</v>
      </c>
      <c r="AA137" s="18">
        <v>159625.560254607</v>
      </c>
      <c r="AB137" s="19">
        <v>-2.30475664583158E-2</v>
      </c>
      <c r="AC137" s="18">
        <v>7899.49868081975</v>
      </c>
      <c r="AD137" s="19">
        <v>4.4836967963997098E-3</v>
      </c>
      <c r="AE137" s="18">
        <v>10333.646166368701</v>
      </c>
      <c r="AF137" s="19">
        <v>-4.9116581069519799E-2</v>
      </c>
      <c r="AG137" s="18"/>
      <c r="AH137" s="19"/>
    </row>
    <row r="138" spans="1:34" x14ac:dyDescent="0.3">
      <c r="A138" s="17">
        <v>2011</v>
      </c>
      <c r="B138" s="17">
        <v>3</v>
      </c>
      <c r="C138" s="18">
        <v>160149.85257960501</v>
      </c>
      <c r="D138" s="19">
        <v>9.5560760847834807E-3</v>
      </c>
      <c r="E138" s="18">
        <v>85016.213712831202</v>
      </c>
      <c r="F138" s="19">
        <v>2.0378381149943801E-2</v>
      </c>
      <c r="G138" s="18">
        <v>31494.282623740601</v>
      </c>
      <c r="H138" s="19">
        <v>-2.4933751785577201E-2</v>
      </c>
      <c r="I138" s="18">
        <v>38469.785381039503</v>
      </c>
      <c r="J138" s="19">
        <v>1.6583432897331999E-2</v>
      </c>
      <c r="K138" s="18">
        <v>9688.6169405221499</v>
      </c>
      <c r="L138" s="19">
        <v>2.95883168668938E-2</v>
      </c>
      <c r="M138" s="18">
        <v>-4519.0460785283103</v>
      </c>
      <c r="N138" s="19">
        <v>6.6709162497483598E-2</v>
      </c>
      <c r="O138" s="18">
        <v>161064.169715091</v>
      </c>
      <c r="P138" s="19">
        <v>-5.0274007287648997E-2</v>
      </c>
      <c r="Q138" s="18">
        <v>669.84613882273197</v>
      </c>
      <c r="R138" s="19">
        <v>-7.9071515045670102E-2</v>
      </c>
      <c r="S138" s="18">
        <v>5244.0921911328696</v>
      </c>
      <c r="T138" s="19">
        <v>8.8779455917794597E-2</v>
      </c>
      <c r="U138" s="18">
        <v>117.132540059825</v>
      </c>
      <c r="V138" s="19">
        <v>-4.6350610859313701E-4</v>
      </c>
      <c r="W138" s="18">
        <v>21486.848324762399</v>
      </c>
      <c r="X138" s="19">
        <v>-0.31190051289253801</v>
      </c>
      <c r="Y138" s="18">
        <v>16115.4176770262</v>
      </c>
      <c r="Z138" s="19">
        <v>-1.1215895168614E-2</v>
      </c>
      <c r="AA138" s="18">
        <v>158599.73116855699</v>
      </c>
      <c r="AB138" s="19">
        <v>-4.8331251641602603E-2</v>
      </c>
      <c r="AC138" s="18">
        <v>8041.1523022456604</v>
      </c>
      <c r="AD138" s="19">
        <v>2.2586095426298899E-2</v>
      </c>
      <c r="AE138" s="18">
        <v>10505.5908487795</v>
      </c>
      <c r="AF138" s="19">
        <v>-2.72013103974975E-2</v>
      </c>
      <c r="AG138" s="18"/>
      <c r="AH138" s="19"/>
    </row>
    <row r="139" spans="1:34" x14ac:dyDescent="0.3">
      <c r="A139" s="17">
        <v>2011</v>
      </c>
      <c r="B139" s="17">
        <v>4</v>
      </c>
      <c r="C139" s="18">
        <v>164194.71197013301</v>
      </c>
      <c r="D139" s="19">
        <v>1.28361344629147E-3</v>
      </c>
      <c r="E139" s="18">
        <v>89155.832318618501</v>
      </c>
      <c r="F139" s="19">
        <v>4.5262974126874599E-2</v>
      </c>
      <c r="G139" s="18">
        <v>32028.872225499999</v>
      </c>
      <c r="H139" s="19">
        <v>-9.2580848850085301E-2</v>
      </c>
      <c r="I139" s="18">
        <v>38265.631446092797</v>
      </c>
      <c r="J139" s="19">
        <v>4.4731718061181702E-3</v>
      </c>
      <c r="K139" s="18">
        <v>9348.8988351698899</v>
      </c>
      <c r="L139" s="19">
        <v>-2.0885042506764699E-2</v>
      </c>
      <c r="M139" s="18">
        <v>-4604.5228552477301</v>
      </c>
      <c r="N139" s="19">
        <v>8.3134181778434096E-2</v>
      </c>
      <c r="O139" s="18">
        <v>169352.127465525</v>
      </c>
      <c r="P139" s="19">
        <v>-6.2182152425018797E-3</v>
      </c>
      <c r="Q139" s="18">
        <v>679.69988423505094</v>
      </c>
      <c r="R139" s="19">
        <v>-4.6049815449612397E-2</v>
      </c>
      <c r="S139" s="18">
        <v>5244.0429634824204</v>
      </c>
      <c r="T139" s="19">
        <v>8.8825070090161606E-2</v>
      </c>
      <c r="U139" s="18">
        <v>114.31896900230601</v>
      </c>
      <c r="V139" s="19">
        <v>-7.0746766720629602E-3</v>
      </c>
      <c r="W139" s="18">
        <v>30073.744825658901</v>
      </c>
      <c r="X139" s="19">
        <v>-9.2233292725912505E-2</v>
      </c>
      <c r="Y139" s="18">
        <v>20466.305220022201</v>
      </c>
      <c r="Z139" s="19">
        <v>-9.8925241982516496E-2</v>
      </c>
      <c r="AA139" s="18">
        <v>166715.87857887801</v>
      </c>
      <c r="AB139" s="19">
        <v>-5.3742319578773401E-3</v>
      </c>
      <c r="AC139" s="18">
        <v>8264.6909413158992</v>
      </c>
      <c r="AD139" s="19">
        <v>5.20695763716632E-2</v>
      </c>
      <c r="AE139" s="18">
        <v>10900.9398279627</v>
      </c>
      <c r="AF139" s="19">
        <v>2.3490769376596402E-2</v>
      </c>
      <c r="AG139" s="18"/>
      <c r="AH139" s="19"/>
    </row>
    <row r="140" spans="1:34" x14ac:dyDescent="0.3">
      <c r="A140" s="17">
        <v>2012</v>
      </c>
      <c r="B140" s="17">
        <v>1</v>
      </c>
      <c r="C140" s="18">
        <v>161049.09992459501</v>
      </c>
      <c r="D140" s="19">
        <v>9.1146174172667092E-3</v>
      </c>
      <c r="E140" s="18">
        <v>99311.2779490065</v>
      </c>
      <c r="F140" s="19">
        <v>3.1871701624799999E-2</v>
      </c>
      <c r="G140" s="18">
        <v>18533.527101542801</v>
      </c>
      <c r="H140" s="19">
        <v>-5.6452730294271197E-2</v>
      </c>
      <c r="I140" s="18">
        <v>37938.749127760901</v>
      </c>
      <c r="J140" s="19">
        <v>-1.1353976330976999E-2</v>
      </c>
      <c r="K140" s="18">
        <v>9958.50645793476</v>
      </c>
      <c r="L140" s="19">
        <v>3.7430121351179201E-2</v>
      </c>
      <c r="M140" s="18">
        <v>-4692.9607116500201</v>
      </c>
      <c r="N140" s="19">
        <v>0.100234501239947</v>
      </c>
      <c r="O140" s="18">
        <v>159692.54232729599</v>
      </c>
      <c r="P140" s="19">
        <v>1.46154476276124E-2</v>
      </c>
      <c r="Q140" s="18">
        <v>654.00402606958403</v>
      </c>
      <c r="R140" s="19">
        <v>-4.4036051478226E-2</v>
      </c>
      <c r="S140" s="18">
        <v>5344.1019657247898</v>
      </c>
      <c r="T140" s="19">
        <v>1.8988758685505799E-2</v>
      </c>
      <c r="U140" s="18">
        <v>99.562503084800994</v>
      </c>
      <c r="V140" s="19">
        <v>-3.6629486632093297E-2</v>
      </c>
      <c r="W140" s="18">
        <v>20512.73379129</v>
      </c>
      <c r="X140" s="19">
        <v>0.10445821968008499</v>
      </c>
      <c r="Y140" s="18">
        <v>17278.7559520184</v>
      </c>
      <c r="Z140" s="19">
        <v>5.8883427848274203E-2</v>
      </c>
      <c r="AA140" s="18">
        <v>156693.039761116</v>
      </c>
      <c r="AB140" s="19">
        <v>1.1856734938503E-2</v>
      </c>
      <c r="AC140" s="18">
        <v>8575.30053048628</v>
      </c>
      <c r="AD140" s="19">
        <v>9.4141437428100203E-2</v>
      </c>
      <c r="AE140" s="18">
        <v>11574.803096665801</v>
      </c>
      <c r="AF140" s="19">
        <v>0.115889662881011</v>
      </c>
      <c r="AG140" s="18"/>
      <c r="AH140" s="19"/>
    </row>
    <row r="141" spans="1:34" x14ac:dyDescent="0.3">
      <c r="A141" s="17">
        <v>2012</v>
      </c>
      <c r="B141" s="17">
        <v>2</v>
      </c>
      <c r="C141" s="18">
        <v>162852.00941157801</v>
      </c>
      <c r="D141" s="19">
        <v>6.0465426732942999E-3</v>
      </c>
      <c r="E141" s="18">
        <v>90911.071967073804</v>
      </c>
      <c r="F141" s="19">
        <v>1.75684282639024E-2</v>
      </c>
      <c r="G141" s="18">
        <v>29198.803128572799</v>
      </c>
      <c r="H141" s="19">
        <v>2.33043975358149E-2</v>
      </c>
      <c r="I141" s="18">
        <v>37809.333632152899</v>
      </c>
      <c r="J141" s="19">
        <v>-1.8841868626935199E-2</v>
      </c>
      <c r="K141" s="18">
        <v>9646.3059655350808</v>
      </c>
      <c r="L141" s="19">
        <v>-1.9640898469439099E-2</v>
      </c>
      <c r="M141" s="18">
        <v>-4713.5052817566302</v>
      </c>
      <c r="N141" s="19">
        <v>7.6864992542322194E-2</v>
      </c>
      <c r="O141" s="18">
        <v>168808.84835433599</v>
      </c>
      <c r="P141" s="19">
        <v>4.1646012499307702E-2</v>
      </c>
      <c r="Q141" s="18">
        <v>668.140232888833</v>
      </c>
      <c r="R141" s="19">
        <v>-4.8056844393283803E-3</v>
      </c>
      <c r="S141" s="18">
        <v>5564.3757223682296</v>
      </c>
      <c r="T141" s="19">
        <v>6.1043269642305997E-2</v>
      </c>
      <c r="U141" s="18">
        <v>109.221414915785</v>
      </c>
      <c r="V141" s="19">
        <v>-2.3499721357921301E-2</v>
      </c>
      <c r="W141" s="18">
        <v>34290.7257665695</v>
      </c>
      <c r="X141" s="19">
        <v>0.33701028383031201</v>
      </c>
      <c r="Y141" s="18">
        <v>23546.872749247799</v>
      </c>
      <c r="Z141" s="19">
        <v>0.121289718784823</v>
      </c>
      <c r="AA141" s="18">
        <v>165604.191768255</v>
      </c>
      <c r="AB141" s="19">
        <v>3.7454098855550101E-2</v>
      </c>
      <c r="AC141" s="18">
        <v>8796.4897164696504</v>
      </c>
      <c r="AD141" s="19">
        <v>0.113550374763378</v>
      </c>
      <c r="AE141" s="18">
        <v>12001.1463025506</v>
      </c>
      <c r="AF141" s="19">
        <v>0.161366095697073</v>
      </c>
      <c r="AG141" s="18"/>
      <c r="AH141" s="19"/>
    </row>
    <row r="142" spans="1:34" x14ac:dyDescent="0.3">
      <c r="A142" s="17">
        <v>2012</v>
      </c>
      <c r="B142" s="17">
        <v>3</v>
      </c>
      <c r="C142" s="18">
        <v>163082.65734558701</v>
      </c>
      <c r="D142" s="19">
        <v>1.8312878337020101E-2</v>
      </c>
      <c r="E142" s="18">
        <v>87306.151456997293</v>
      </c>
      <c r="F142" s="19">
        <v>2.6935306151143E-2</v>
      </c>
      <c r="G142" s="18">
        <v>33501.265659673103</v>
      </c>
      <c r="H142" s="19">
        <v>6.3725313572300199E-2</v>
      </c>
      <c r="I142" s="18">
        <v>37780.499818788798</v>
      </c>
      <c r="J142" s="19">
        <v>-1.79175827320944E-2</v>
      </c>
      <c r="K142" s="18">
        <v>9303.3756948924693</v>
      </c>
      <c r="L142" s="19">
        <v>-3.9762253786547103E-2</v>
      </c>
      <c r="M142" s="18">
        <v>-4808.6352847645503</v>
      </c>
      <c r="N142" s="19">
        <v>6.4081932603474098E-2</v>
      </c>
      <c r="O142" s="18">
        <v>165794.94174040901</v>
      </c>
      <c r="P142" s="19">
        <v>2.9371970399661999E-2</v>
      </c>
      <c r="Q142" s="18">
        <v>679.64515565543002</v>
      </c>
      <c r="R142" s="19">
        <v>1.4628757657572799E-2</v>
      </c>
      <c r="S142" s="18">
        <v>5669.62460115866</v>
      </c>
      <c r="T142" s="19">
        <v>8.1145104722856604E-2</v>
      </c>
      <c r="U142" s="18">
        <v>112.467419144761</v>
      </c>
      <c r="V142" s="19">
        <v>-3.9827710665889401E-2</v>
      </c>
      <c r="W142" s="18">
        <v>26211.648902565801</v>
      </c>
      <c r="X142" s="19">
        <v>0.21989267604027099</v>
      </c>
      <c r="Y142" s="18">
        <v>18621.8524813857</v>
      </c>
      <c r="Z142" s="19">
        <v>0.15553024157310999</v>
      </c>
      <c r="AA142" s="18">
        <v>162487.296386795</v>
      </c>
      <c r="AB142" s="19">
        <v>2.45118020667126E-2</v>
      </c>
      <c r="AC142" s="18">
        <v>8933.3604870114996</v>
      </c>
      <c r="AD142" s="19">
        <v>0.110955265020497</v>
      </c>
      <c r="AE142" s="18">
        <v>12241.005840625599</v>
      </c>
      <c r="AF142" s="19">
        <v>0.165189661088672</v>
      </c>
      <c r="AG142" s="18"/>
      <c r="AH142" s="19"/>
    </row>
    <row r="143" spans="1:34" x14ac:dyDescent="0.3">
      <c r="A143" s="17">
        <v>2012</v>
      </c>
      <c r="B143" s="17">
        <v>4</v>
      </c>
      <c r="C143" s="18">
        <v>167409.85727373799</v>
      </c>
      <c r="D143" s="19">
        <v>1.95812962855333E-2</v>
      </c>
      <c r="E143" s="18">
        <v>91451.542611279394</v>
      </c>
      <c r="F143" s="19">
        <v>2.5749412382318301E-2</v>
      </c>
      <c r="G143" s="18">
        <v>33313.938372506898</v>
      </c>
      <c r="H143" s="19">
        <v>4.0122116631500199E-2</v>
      </c>
      <c r="I143" s="18">
        <v>37958.720787723199</v>
      </c>
      <c r="J143" s="19">
        <v>-8.0205303498515103E-3</v>
      </c>
      <c r="K143" s="18">
        <v>9538.5101518776901</v>
      </c>
      <c r="L143" s="19">
        <v>2.0281673815368401E-2</v>
      </c>
      <c r="M143" s="18">
        <v>-4852.8546496487998</v>
      </c>
      <c r="N143" s="19">
        <v>5.3932145025199697E-2</v>
      </c>
      <c r="O143" s="18">
        <v>171231.72348818401</v>
      </c>
      <c r="P143" s="19">
        <v>1.1098744673531599E-2</v>
      </c>
      <c r="Q143" s="18">
        <v>686.76213229513303</v>
      </c>
      <c r="R143" s="19">
        <v>1.03902446121937E-2</v>
      </c>
      <c r="S143" s="18">
        <v>5678.3075361597303</v>
      </c>
      <c r="T143" s="19">
        <v>8.2811024947996095E-2</v>
      </c>
      <c r="U143" s="18">
        <v>110.575850854653</v>
      </c>
      <c r="V143" s="19">
        <v>-3.2742756344989403E-2</v>
      </c>
      <c r="W143" s="18">
        <v>33187.447710440698</v>
      </c>
      <c r="X143" s="19">
        <v>0.10353558902731599</v>
      </c>
      <c r="Y143" s="18">
        <v>24484.611942984899</v>
      </c>
      <c r="Z143" s="19">
        <v>0.19633767207925501</v>
      </c>
      <c r="AA143" s="18">
        <v>167899.965079065</v>
      </c>
      <c r="AB143" s="19">
        <v>7.1024218585540302E-3</v>
      </c>
      <c r="AC143" s="18">
        <v>8988.0021776804806</v>
      </c>
      <c r="AD143" s="19">
        <v>8.7518243755333E-2</v>
      </c>
      <c r="AE143" s="18">
        <v>12319.760586799899</v>
      </c>
      <c r="AF143" s="19">
        <v>0.13015581970259399</v>
      </c>
      <c r="AG143" s="18"/>
      <c r="AH143" s="19"/>
    </row>
    <row r="144" spans="1:34" x14ac:dyDescent="0.3">
      <c r="A144" s="17">
        <v>2013</v>
      </c>
      <c r="B144" s="17">
        <v>1</v>
      </c>
      <c r="C144" s="18">
        <v>162562.98520024499</v>
      </c>
      <c r="D144" s="19">
        <v>9.4001473858538204E-3</v>
      </c>
      <c r="E144" s="18">
        <v>101619.834829655</v>
      </c>
      <c r="F144" s="19">
        <v>2.3245666839907701E-2</v>
      </c>
      <c r="G144" s="18">
        <v>17559.975464953</v>
      </c>
      <c r="H144" s="19">
        <v>-5.2529215364990903E-2</v>
      </c>
      <c r="I144" s="18">
        <v>38423.7478541202</v>
      </c>
      <c r="J144" s="19">
        <v>1.2783730025627001E-2</v>
      </c>
      <c r="K144" s="18">
        <v>9767.2888746231292</v>
      </c>
      <c r="L144" s="19">
        <v>-1.9201431873278201E-2</v>
      </c>
      <c r="M144" s="18">
        <v>-4807.8618231056198</v>
      </c>
      <c r="N144" s="19">
        <v>2.4483714762486598E-2</v>
      </c>
      <c r="O144" s="18">
        <v>165983.626937411</v>
      </c>
      <c r="P144" s="19">
        <v>3.9394980619830801E-2</v>
      </c>
      <c r="Q144" s="18">
        <v>693.90314369597297</v>
      </c>
      <c r="R144" s="19">
        <v>6.1007449550689798E-2</v>
      </c>
      <c r="S144" s="18">
        <v>5691.6586301186499</v>
      </c>
      <c r="T144" s="19">
        <v>6.5035560066587506E-2</v>
      </c>
      <c r="U144" s="18">
        <v>93.850069148816203</v>
      </c>
      <c r="V144" s="19">
        <v>-5.7375354767038499E-2</v>
      </c>
      <c r="W144" s="18">
        <v>25269.853971165401</v>
      </c>
      <c r="X144" s="19">
        <v>0.231910589211441</v>
      </c>
      <c r="Y144" s="18">
        <v>16945.306816725399</v>
      </c>
      <c r="Z144" s="19">
        <v>-1.9298214305414299E-2</v>
      </c>
      <c r="AA144" s="18">
        <v>162711.20847051599</v>
      </c>
      <c r="AB144" s="19">
        <v>3.8407377370270397E-2</v>
      </c>
      <c r="AC144" s="18">
        <v>8959.5661227179899</v>
      </c>
      <c r="AD144" s="19">
        <v>4.4810743467893703E-2</v>
      </c>
      <c r="AE144" s="18">
        <v>12231.984589612901</v>
      </c>
      <c r="AF144" s="19">
        <v>5.6776904752389799E-2</v>
      </c>
      <c r="AG144" s="18"/>
      <c r="AH144" s="19"/>
    </row>
    <row r="145" spans="1:34" x14ac:dyDescent="0.3">
      <c r="A145" s="17">
        <v>2013</v>
      </c>
      <c r="B145" s="17">
        <v>2</v>
      </c>
      <c r="C145" s="18">
        <v>166526.41382985801</v>
      </c>
      <c r="D145" s="19">
        <v>2.25628435998819E-2</v>
      </c>
      <c r="E145" s="18">
        <v>92331.079196347797</v>
      </c>
      <c r="F145" s="19">
        <v>1.56197391423152E-2</v>
      </c>
      <c r="G145" s="18">
        <v>30277.394617787399</v>
      </c>
      <c r="H145" s="19">
        <v>3.6939578806198602E-2</v>
      </c>
      <c r="I145" s="18">
        <v>38792.736056448601</v>
      </c>
      <c r="J145" s="19">
        <v>2.6009514842638502E-2</v>
      </c>
      <c r="K145" s="18">
        <v>9888.5760612762097</v>
      </c>
      <c r="L145" s="19">
        <v>2.5115323586741001E-2</v>
      </c>
      <c r="M145" s="18">
        <v>-4763.3721020021103</v>
      </c>
      <c r="N145" s="19">
        <v>1.05795617623445E-2</v>
      </c>
      <c r="O145" s="18">
        <v>168826.90433763701</v>
      </c>
      <c r="P145" s="19">
        <v>1.06961118906401E-4</v>
      </c>
      <c r="Q145" s="18">
        <v>695.95589529584299</v>
      </c>
      <c r="R145" s="19">
        <v>4.1631473510798302E-2</v>
      </c>
      <c r="S145" s="18">
        <v>5850.1049801920799</v>
      </c>
      <c r="T145" s="19">
        <v>5.1349742016027801E-2</v>
      </c>
      <c r="U145" s="18">
        <v>107.669163533447</v>
      </c>
      <c r="V145" s="19">
        <v>-1.4211969177786899E-2</v>
      </c>
      <c r="W145" s="18">
        <v>29096.927493393199</v>
      </c>
      <c r="X145" s="19">
        <v>-0.15146364380073199</v>
      </c>
      <c r="Y145" s="18">
        <v>21749.957064251001</v>
      </c>
      <c r="Z145" s="19">
        <v>-7.6312285887484496E-2</v>
      </c>
      <c r="AA145" s="18">
        <v>165451.10907842399</v>
      </c>
      <c r="AB145" s="19">
        <v>-9.2438897950908295E-4</v>
      </c>
      <c r="AC145" s="18">
        <v>8939.6473721910606</v>
      </c>
      <c r="AD145" s="19">
        <v>1.62744072164809E-2</v>
      </c>
      <c r="AE145" s="18">
        <v>12315.442631404399</v>
      </c>
      <c r="AF145" s="19">
        <v>2.6188859041490899E-2</v>
      </c>
      <c r="AG145" s="18"/>
      <c r="AH145" s="19"/>
    </row>
    <row r="146" spans="1:34" x14ac:dyDescent="0.3">
      <c r="A146" s="17">
        <v>2013</v>
      </c>
      <c r="B146" s="17">
        <v>3</v>
      </c>
      <c r="C146" s="18">
        <v>166468.15152563399</v>
      </c>
      <c r="D146" s="19">
        <v>2.0759375859766199E-2</v>
      </c>
      <c r="E146" s="18">
        <v>89652.063112185104</v>
      </c>
      <c r="F146" s="19">
        <v>2.68699469171223E-2</v>
      </c>
      <c r="G146" s="18">
        <v>32667.2838481781</v>
      </c>
      <c r="H146" s="19">
        <v>-2.4894038928771799E-2</v>
      </c>
      <c r="I146" s="18">
        <v>39213.886176726097</v>
      </c>
      <c r="J146" s="19">
        <v>3.7939846344342602E-2</v>
      </c>
      <c r="K146" s="18">
        <v>9703.1128113303002</v>
      </c>
      <c r="L146" s="19">
        <v>4.2966889605166002E-2</v>
      </c>
      <c r="M146" s="18">
        <v>-4768.1944227858903</v>
      </c>
      <c r="N146" s="19">
        <v>-8.4100497508699003E-3</v>
      </c>
      <c r="O146" s="18">
        <v>170985.55022615299</v>
      </c>
      <c r="P146" s="19">
        <v>3.1307399557887902E-2</v>
      </c>
      <c r="Q146" s="18">
        <v>693.34896020439999</v>
      </c>
      <c r="R146" s="19">
        <v>2.01631754967115E-2</v>
      </c>
      <c r="S146" s="18">
        <v>5961.4430547664197</v>
      </c>
      <c r="T146" s="19">
        <v>5.1470507156350799E-2</v>
      </c>
      <c r="U146" s="18">
        <v>112.274835492891</v>
      </c>
      <c r="V146" s="19">
        <v>-1.7123505930425301E-3</v>
      </c>
      <c r="W146" s="18">
        <v>27785.9794365905</v>
      </c>
      <c r="X146" s="19">
        <v>6.0062247128244602E-2</v>
      </c>
      <c r="Y146" s="18">
        <v>18112.761477002499</v>
      </c>
      <c r="Z146" s="19">
        <v>-2.7338365229349501E-2</v>
      </c>
      <c r="AA146" s="18">
        <v>167344.67540426299</v>
      </c>
      <c r="AB146" s="19">
        <v>2.9893900172389201E-2</v>
      </c>
      <c r="AC146" s="18">
        <v>8924.7332553986507</v>
      </c>
      <c r="AD146" s="19">
        <v>-9.6573194660509699E-4</v>
      </c>
      <c r="AE146" s="18">
        <v>12565.6080772882</v>
      </c>
      <c r="AF146" s="19">
        <v>2.6517611451939E-2</v>
      </c>
      <c r="AG146" s="18"/>
      <c r="AH146" s="19"/>
    </row>
    <row r="147" spans="1:34" x14ac:dyDescent="0.3">
      <c r="A147" s="17">
        <v>2013</v>
      </c>
      <c r="B147" s="17">
        <v>4</v>
      </c>
      <c r="C147" s="18">
        <v>170652.893581574</v>
      </c>
      <c r="D147" s="19">
        <v>1.9371836047458801E-2</v>
      </c>
      <c r="E147" s="18">
        <v>93746.150353753605</v>
      </c>
      <c r="F147" s="19">
        <v>2.5090968145037799E-2</v>
      </c>
      <c r="G147" s="18">
        <v>32726.771060036401</v>
      </c>
      <c r="H147" s="19">
        <v>-1.7625274619438899E-2</v>
      </c>
      <c r="I147" s="18">
        <v>39471.985412939801</v>
      </c>
      <c r="J147" s="19">
        <v>3.9866059598773401E-2</v>
      </c>
      <c r="K147" s="18">
        <v>9501.2282674403705</v>
      </c>
      <c r="L147" s="19">
        <v>-3.9085647384857801E-3</v>
      </c>
      <c r="M147" s="18">
        <v>-4793.2415125963798</v>
      </c>
      <c r="N147" s="19">
        <v>-1.2284138173545499E-2</v>
      </c>
      <c r="O147" s="18">
        <v>171504.322125045</v>
      </c>
      <c r="P147" s="19">
        <v>1.59198676102434E-3</v>
      </c>
      <c r="Q147" s="18">
        <v>685.69254096776501</v>
      </c>
      <c r="R147" s="19">
        <v>-1.55744074559416E-3</v>
      </c>
      <c r="S147" s="18">
        <v>5972.82409712754</v>
      </c>
      <c r="T147" s="19">
        <v>5.1866961958702898E-2</v>
      </c>
      <c r="U147" s="18">
        <v>110.303268824846</v>
      </c>
      <c r="V147" s="19">
        <v>-2.4651135641319301E-3</v>
      </c>
      <c r="W147" s="18">
        <v>28842.1948084338</v>
      </c>
      <c r="X147" s="19">
        <v>-0.13093061388507901</v>
      </c>
      <c r="Y147" s="18">
        <v>22813.937977627698</v>
      </c>
      <c r="Z147" s="19">
        <v>-6.8233630545075905E-2</v>
      </c>
      <c r="AA147" s="18">
        <v>167405.981645055</v>
      </c>
      <c r="AB147" s="19">
        <v>-2.94212946248684E-3</v>
      </c>
      <c r="AC147" s="18">
        <v>8911.4899145435993</v>
      </c>
      <c r="AD147" s="19">
        <v>-8.5127107920475193E-3</v>
      </c>
      <c r="AE147" s="18">
        <v>13009.830394533201</v>
      </c>
      <c r="AF147" s="19">
        <v>5.60132482178817E-2</v>
      </c>
      <c r="AG147" s="18"/>
      <c r="AH147" s="19"/>
    </row>
    <row r="148" spans="1:34" x14ac:dyDescent="0.3">
      <c r="A148" s="17">
        <v>2014</v>
      </c>
      <c r="B148" s="17">
        <v>1</v>
      </c>
      <c r="C148" s="18">
        <v>166468.75723177099</v>
      </c>
      <c r="D148" s="19">
        <v>2.40262076063316E-2</v>
      </c>
      <c r="E148" s="18">
        <v>104308.769919132</v>
      </c>
      <c r="F148" s="19">
        <v>2.6460730761710599E-2</v>
      </c>
      <c r="G148" s="18">
        <v>17346.5559539977</v>
      </c>
      <c r="H148" s="19">
        <v>-1.2153747673580999E-2</v>
      </c>
      <c r="I148" s="18">
        <v>39759.681104189302</v>
      </c>
      <c r="J148" s="19">
        <v>3.4768426420585599E-2</v>
      </c>
      <c r="K148" s="18">
        <v>9821.3532695070808</v>
      </c>
      <c r="L148" s="19">
        <v>5.5352509358475004E-3</v>
      </c>
      <c r="M148" s="18">
        <v>-4767.6030150542501</v>
      </c>
      <c r="N148" s="19">
        <v>-8.37353683042363E-3</v>
      </c>
      <c r="O148" s="18">
        <v>160647.43706147501</v>
      </c>
      <c r="P148" s="19">
        <v>-3.21488930829796E-2</v>
      </c>
      <c r="Q148" s="18">
        <v>677.90303138161801</v>
      </c>
      <c r="R148" s="19">
        <v>-2.3058134928071201E-2</v>
      </c>
      <c r="S148" s="18">
        <v>5997.6817321923299</v>
      </c>
      <c r="T148" s="19">
        <v>5.37669459749903E-2</v>
      </c>
      <c r="U148" s="18">
        <v>95.097712376895302</v>
      </c>
      <c r="V148" s="19">
        <v>1.32940043560412E-2</v>
      </c>
      <c r="W148" s="18">
        <v>29086.2685587587</v>
      </c>
      <c r="X148" s="19">
        <v>0.15102638075978</v>
      </c>
      <c r="Y148" s="18">
        <v>29682.9077406209</v>
      </c>
      <c r="Z148" s="19">
        <v>0.75168901110265696</v>
      </c>
      <c r="AA148" s="18">
        <v>155831.51560841699</v>
      </c>
      <c r="AB148" s="19">
        <v>-4.2281616163807802E-2</v>
      </c>
      <c r="AC148" s="18">
        <v>8896.6431877650994</v>
      </c>
      <c r="AD148" s="19">
        <v>-7.0229890701221098E-3</v>
      </c>
      <c r="AE148" s="18">
        <v>13712.564640823701</v>
      </c>
      <c r="AF148" s="19">
        <v>0.121041687092057</v>
      </c>
      <c r="AG148" s="18"/>
      <c r="AH148" s="19"/>
    </row>
    <row r="149" spans="1:34" x14ac:dyDescent="0.3">
      <c r="A149" s="17">
        <v>2014</v>
      </c>
      <c r="B149" s="17">
        <v>2</v>
      </c>
      <c r="C149" s="18">
        <v>169560.74810188499</v>
      </c>
      <c r="D149" s="19">
        <v>1.82213391992436E-2</v>
      </c>
      <c r="E149" s="18">
        <v>93278.536936528006</v>
      </c>
      <c r="F149" s="19">
        <v>1.02615256794016E-2</v>
      </c>
      <c r="G149" s="18">
        <v>31393.571761871299</v>
      </c>
      <c r="H149" s="19">
        <v>3.6865032747173801E-2</v>
      </c>
      <c r="I149" s="18">
        <v>39923.316454162399</v>
      </c>
      <c r="J149" s="19">
        <v>2.9144126262933299E-2</v>
      </c>
      <c r="K149" s="18">
        <v>9746.6642791115901</v>
      </c>
      <c r="L149" s="19">
        <v>-1.4351083642906701E-2</v>
      </c>
      <c r="M149" s="18">
        <v>-4781.3413297878396</v>
      </c>
      <c r="N149" s="19">
        <v>3.7723754098839498E-3</v>
      </c>
      <c r="O149" s="18">
        <v>169980.19537124099</v>
      </c>
      <c r="P149" s="19">
        <v>6.8312040555882402E-3</v>
      </c>
      <c r="Q149" s="18">
        <v>675.56319277984198</v>
      </c>
      <c r="R149" s="19">
        <v>-2.9301716752226401E-2</v>
      </c>
      <c r="S149" s="18">
        <v>6137.7201955476903</v>
      </c>
      <c r="T149" s="19">
        <v>4.9164111811573798E-2</v>
      </c>
      <c r="U149" s="18">
        <v>104.32033091158701</v>
      </c>
      <c r="V149" s="19">
        <v>-3.1102987261713601E-2</v>
      </c>
      <c r="W149" s="18">
        <v>37984.058364084602</v>
      </c>
      <c r="X149" s="19">
        <v>0.30543193513161598</v>
      </c>
      <c r="Y149" s="18">
        <v>32206.774422872699</v>
      </c>
      <c r="Z149" s="19">
        <v>0.48077416096645798</v>
      </c>
      <c r="AA149" s="18">
        <v>164814.937349894</v>
      </c>
      <c r="AB149" s="19">
        <v>-3.8450738231569099E-3</v>
      </c>
      <c r="AC149" s="18">
        <v>8931.4614204747904</v>
      </c>
      <c r="AD149" s="19">
        <v>-9.1569067273666903E-4</v>
      </c>
      <c r="AE149" s="18">
        <v>14096.7194418215</v>
      </c>
      <c r="AF149" s="19">
        <v>0.14463766051533</v>
      </c>
      <c r="AG149" s="18"/>
      <c r="AH149" s="19"/>
    </row>
    <row r="150" spans="1:34" x14ac:dyDescent="0.3">
      <c r="A150" s="17">
        <v>2014</v>
      </c>
      <c r="B150" s="17">
        <v>3</v>
      </c>
      <c r="C150" s="18">
        <v>169455.62759426501</v>
      </c>
      <c r="D150" s="19">
        <v>1.7946232004454301E-2</v>
      </c>
      <c r="E150" s="18">
        <v>90726.139215211006</v>
      </c>
      <c r="F150" s="19">
        <v>1.19804951022919E-2</v>
      </c>
      <c r="G150" s="18">
        <v>33693.8998763528</v>
      </c>
      <c r="H150" s="19">
        <v>3.1426427521367199E-2</v>
      </c>
      <c r="I150" s="18">
        <v>39916.273124717998</v>
      </c>
      <c r="J150" s="19">
        <v>1.7911689364999098E-2</v>
      </c>
      <c r="K150" s="18">
        <v>9893.8968575494891</v>
      </c>
      <c r="L150" s="19">
        <v>1.9662148624759901E-2</v>
      </c>
      <c r="M150" s="18">
        <v>-4774.5814795659498</v>
      </c>
      <c r="N150" s="19">
        <v>1.3395126569364401E-3</v>
      </c>
      <c r="O150" s="18">
        <v>166724.892591482</v>
      </c>
      <c r="P150" s="19">
        <v>-2.4918232149060901E-2</v>
      </c>
      <c r="Q150" s="18">
        <v>677.99808928269397</v>
      </c>
      <c r="R150" s="19">
        <v>-2.2140180201872101E-2</v>
      </c>
      <c r="S150" s="18">
        <v>6204.6762069861497</v>
      </c>
      <c r="T150" s="19">
        <v>4.08010526956646E-2</v>
      </c>
      <c r="U150" s="18">
        <v>111.001380711197</v>
      </c>
      <c r="V150" s="19">
        <v>-1.13422992436625E-2</v>
      </c>
      <c r="W150" s="18">
        <v>32270.1920389357</v>
      </c>
      <c r="X150" s="19">
        <v>0.16138400348918799</v>
      </c>
      <c r="Y150" s="18">
        <v>29585.250304726502</v>
      </c>
      <c r="Z150" s="19">
        <v>0.633392585790436</v>
      </c>
      <c r="AA150" s="18">
        <v>161524.015903933</v>
      </c>
      <c r="AB150" s="19">
        <v>-3.4782460130680801E-2</v>
      </c>
      <c r="AC150" s="18">
        <v>9014.3876652953695</v>
      </c>
      <c r="AD150" s="19">
        <v>1.00456122699781E-2</v>
      </c>
      <c r="AE150" s="18">
        <v>14215.264352845201</v>
      </c>
      <c r="AF150" s="19">
        <v>0.13128344170933301</v>
      </c>
      <c r="AG150" s="18"/>
      <c r="AH150" s="19"/>
    </row>
    <row r="151" spans="1:34" x14ac:dyDescent="0.3">
      <c r="A151" s="17">
        <v>2014</v>
      </c>
      <c r="B151" s="17">
        <v>4</v>
      </c>
      <c r="C151" s="18">
        <v>173536.81628387599</v>
      </c>
      <c r="D151" s="19">
        <v>1.68993483894491E-2</v>
      </c>
      <c r="E151" s="18">
        <v>95195.325642138399</v>
      </c>
      <c r="F151" s="19">
        <v>1.54585045136928E-2</v>
      </c>
      <c r="G151" s="18">
        <v>33819.417685012901</v>
      </c>
      <c r="H151" s="19">
        <v>3.3386936431095499E-2</v>
      </c>
      <c r="I151" s="18">
        <v>39849.514048605197</v>
      </c>
      <c r="J151" s="19">
        <v>9.5644703887045601E-3</v>
      </c>
      <c r="K151" s="18">
        <v>9495.5557910418502</v>
      </c>
      <c r="L151" s="19">
        <v>-5.9702558857144305E-4</v>
      </c>
      <c r="M151" s="18">
        <v>-4822.9968829219697</v>
      </c>
      <c r="N151" s="19">
        <v>6.2077761463501498E-3</v>
      </c>
      <c r="O151" s="18">
        <v>181285.339692048</v>
      </c>
      <c r="P151" s="19">
        <v>5.7030735119731703E-2</v>
      </c>
      <c r="Q151" s="18">
        <v>686.84319825015598</v>
      </c>
      <c r="R151" s="19">
        <v>1.67809508437533E-3</v>
      </c>
      <c r="S151" s="18">
        <v>6207.2774906323202</v>
      </c>
      <c r="T151" s="19">
        <v>3.9253356484671501E-2</v>
      </c>
      <c r="U151" s="18">
        <v>109.46629000032</v>
      </c>
      <c r="V151" s="19">
        <v>-7.5879784293148003E-3</v>
      </c>
      <c r="W151" s="18">
        <v>38691.829549394897</v>
      </c>
      <c r="X151" s="19">
        <v>0.34150087420118802</v>
      </c>
      <c r="Y151" s="18">
        <v>25532.3381388419</v>
      </c>
      <c r="Z151" s="19">
        <v>0.119155235886062</v>
      </c>
      <c r="AA151" s="18">
        <v>176360.54184566301</v>
      </c>
      <c r="AB151" s="19">
        <v>5.3490085077087197E-2</v>
      </c>
      <c r="AC151" s="18">
        <v>9145.5838485576296</v>
      </c>
      <c r="AD151" s="19">
        <v>2.62687761820832E-2</v>
      </c>
      <c r="AE151" s="18">
        <v>14070.3816949425</v>
      </c>
      <c r="AF151" s="19">
        <v>8.1519225712194804E-2</v>
      </c>
      <c r="AG151" s="18"/>
      <c r="AH151" s="19"/>
    </row>
    <row r="152" spans="1:34" x14ac:dyDescent="0.3">
      <c r="A152" s="17">
        <v>2015</v>
      </c>
      <c r="B152" s="17">
        <v>1</v>
      </c>
      <c r="C152" s="18">
        <v>167337.95286155201</v>
      </c>
      <c r="D152" s="19">
        <v>5.2213739336732798E-3</v>
      </c>
      <c r="E152" s="18">
        <v>105424.9888625</v>
      </c>
      <c r="F152" s="19">
        <v>1.07011035048536E-2</v>
      </c>
      <c r="G152" s="18">
        <v>17220.670700510898</v>
      </c>
      <c r="H152" s="19">
        <v>-7.2570747657702004E-3</v>
      </c>
      <c r="I152" s="18">
        <v>39704.674508982498</v>
      </c>
      <c r="J152" s="19">
        <v>-1.38347677041606E-3</v>
      </c>
      <c r="K152" s="18">
        <v>9809.3713570586297</v>
      </c>
      <c r="L152" s="19">
        <v>-1.21998589396533E-3</v>
      </c>
      <c r="M152" s="18">
        <v>-4821.7525674998897</v>
      </c>
      <c r="N152" s="19">
        <v>1.13578148756617E-2</v>
      </c>
      <c r="O152" s="18">
        <v>165615.948477689</v>
      </c>
      <c r="P152" s="19">
        <v>3.0928046578869699E-2</v>
      </c>
      <c r="Q152" s="18">
        <v>694.16519492339103</v>
      </c>
      <c r="R152" s="19">
        <v>2.3988922882715501E-2</v>
      </c>
      <c r="S152" s="18">
        <v>6141.4792373832097</v>
      </c>
      <c r="T152" s="19">
        <v>2.3975514475710599E-2</v>
      </c>
      <c r="U152" s="18">
        <v>92.326613958073693</v>
      </c>
      <c r="V152" s="19">
        <v>-2.9139485583408301E-2</v>
      </c>
      <c r="W152" s="18">
        <v>27518.0364876897</v>
      </c>
      <c r="X152" s="19">
        <v>-5.3916578123485298E-2</v>
      </c>
      <c r="Y152" s="18">
        <v>23885.0534430515</v>
      </c>
      <c r="Z152" s="19">
        <v>-0.19532635913681001</v>
      </c>
      <c r="AA152" s="18">
        <v>161329.00119730199</v>
      </c>
      <c r="AB152" s="19">
        <v>3.5278393894979401E-2</v>
      </c>
      <c r="AC152" s="18">
        <v>9326.9365558422196</v>
      </c>
      <c r="AD152" s="19">
        <v>4.8365811575860701E-2</v>
      </c>
      <c r="AE152" s="18">
        <v>13613.883836228801</v>
      </c>
      <c r="AF152" s="19">
        <v>-7.1963784441238E-3</v>
      </c>
      <c r="AG152" s="18"/>
      <c r="AH152" s="19"/>
    </row>
    <row r="153" spans="1:34" x14ac:dyDescent="0.3">
      <c r="A153" s="17">
        <v>2015</v>
      </c>
      <c r="B153" s="17">
        <v>2</v>
      </c>
      <c r="C153" s="18">
        <v>169153.90686676701</v>
      </c>
      <c r="D153" s="19">
        <v>-2.3993833459229302E-3</v>
      </c>
      <c r="E153" s="18">
        <v>95613.097638437903</v>
      </c>
      <c r="F153" s="19">
        <v>2.5027844331419101E-2</v>
      </c>
      <c r="G153" s="18">
        <v>29041.644990379598</v>
      </c>
      <c r="H153" s="19">
        <v>-7.49174636556698E-2</v>
      </c>
      <c r="I153" s="18">
        <v>39530.658277555798</v>
      </c>
      <c r="J153" s="19">
        <v>-9.8353095754798395E-3</v>
      </c>
      <c r="K153" s="18">
        <v>9817.5631077882008</v>
      </c>
      <c r="L153" s="19">
        <v>7.2741634108151E-3</v>
      </c>
      <c r="M153" s="18">
        <v>-4849.05714739412</v>
      </c>
      <c r="N153" s="19">
        <v>1.41625148542337E-2</v>
      </c>
      <c r="O153" s="18">
        <v>173632.13209291099</v>
      </c>
      <c r="P153" s="19">
        <v>2.1484483611127401E-2</v>
      </c>
      <c r="Q153" s="18">
        <v>709.90637866936595</v>
      </c>
      <c r="R153" s="19">
        <v>5.0836378086567498E-2</v>
      </c>
      <c r="S153" s="18">
        <v>6267.3524359924104</v>
      </c>
      <c r="T153" s="19">
        <v>2.1120584893842099E-2</v>
      </c>
      <c r="U153" s="18">
        <v>102.82198142331001</v>
      </c>
      <c r="V153" s="19">
        <v>-1.4362967172209201E-2</v>
      </c>
      <c r="W153" s="18">
        <v>37636.023476121103</v>
      </c>
      <c r="X153" s="19">
        <v>-9.1626567289774304E-3</v>
      </c>
      <c r="Y153" s="18">
        <v>27703.1741740781</v>
      </c>
      <c r="Z153" s="19">
        <v>-0.139833942687418</v>
      </c>
      <c r="AA153" s="18">
        <v>169728.556284569</v>
      </c>
      <c r="AB153" s="19">
        <v>2.9812946652061099E-2</v>
      </c>
      <c r="AC153" s="18">
        <v>9515.6950656598201</v>
      </c>
      <c r="AD153" s="19">
        <v>6.5412995441676905E-2</v>
      </c>
      <c r="AE153" s="18">
        <v>13419.270874001</v>
      </c>
      <c r="AF153" s="19">
        <v>-4.8057178878843199E-2</v>
      </c>
      <c r="AG153" s="18"/>
      <c r="AH153" s="19"/>
    </row>
    <row r="154" spans="1:34" x14ac:dyDescent="0.3">
      <c r="A154" s="17">
        <v>2015</v>
      </c>
      <c r="B154" s="17">
        <v>3</v>
      </c>
      <c r="C154" s="18">
        <v>169323.059931945</v>
      </c>
      <c r="D154" s="19">
        <v>-7.8231489979008195E-4</v>
      </c>
      <c r="E154" s="18">
        <v>93000.875220596907</v>
      </c>
      <c r="F154" s="19">
        <v>2.5072553787282702E-2</v>
      </c>
      <c r="G154" s="18">
        <v>31808.3394084797</v>
      </c>
      <c r="H154" s="19">
        <v>-5.5961478926231101E-2</v>
      </c>
      <c r="I154" s="18">
        <v>39518.649345044098</v>
      </c>
      <c r="J154" s="19">
        <v>-9.9614455094938492E-3</v>
      </c>
      <c r="K154" s="18">
        <v>9950.1045188677508</v>
      </c>
      <c r="L154" s="19">
        <v>5.6810437916963198E-3</v>
      </c>
      <c r="M154" s="18">
        <v>-4954.9085610433503</v>
      </c>
      <c r="N154" s="19">
        <v>3.7768144129315E-2</v>
      </c>
      <c r="O154" s="18">
        <v>172571.04702247301</v>
      </c>
      <c r="P154" s="19">
        <v>3.5064676546621598E-2</v>
      </c>
      <c r="Q154" s="18">
        <v>723.50856023508595</v>
      </c>
      <c r="R154" s="19">
        <v>6.7124777594198104E-2</v>
      </c>
      <c r="S154" s="18">
        <v>6334.7677847982204</v>
      </c>
      <c r="T154" s="19">
        <v>2.09666989013217E-2</v>
      </c>
      <c r="U154" s="18">
        <v>110.363094182084</v>
      </c>
      <c r="V154" s="19">
        <v>-5.7502575645813599E-3</v>
      </c>
      <c r="W154" s="18">
        <v>33544.591137895302</v>
      </c>
      <c r="X154" s="19">
        <v>3.9491525102234498E-2</v>
      </c>
      <c r="Y154" s="18">
        <v>24795.707916986401</v>
      </c>
      <c r="Z154" s="19">
        <v>-0.16188953408904899</v>
      </c>
      <c r="AA154" s="18">
        <v>168858.00340637899</v>
      </c>
      <c r="AB154" s="19">
        <v>4.5404935367682003E-2</v>
      </c>
      <c r="AC154" s="18">
        <v>9715.8026349302199</v>
      </c>
      <c r="AD154" s="19">
        <v>7.7810606297224597E-2</v>
      </c>
      <c r="AE154" s="18">
        <v>13428.846251024101</v>
      </c>
      <c r="AF154" s="19">
        <v>-5.5322087743211602E-2</v>
      </c>
      <c r="AG154" s="18"/>
      <c r="AH154" s="19"/>
    </row>
    <row r="155" spans="1:34" x14ac:dyDescent="0.3">
      <c r="A155" s="17">
        <v>2015</v>
      </c>
      <c r="B155" s="17">
        <v>4</v>
      </c>
      <c r="C155" s="18">
        <v>173817.82002561999</v>
      </c>
      <c r="D155" s="19">
        <v>1.61927450186794E-3</v>
      </c>
      <c r="E155" s="18">
        <v>96609.354735235</v>
      </c>
      <c r="F155" s="19">
        <v>1.48539761123598E-2</v>
      </c>
      <c r="G155" s="18">
        <v>32974.729742009302</v>
      </c>
      <c r="H155" s="19">
        <v>-2.49764188984818E-2</v>
      </c>
      <c r="I155" s="18">
        <v>39640.971183723203</v>
      </c>
      <c r="J155" s="19">
        <v>-5.2332599245178404E-3</v>
      </c>
      <c r="K155" s="18">
        <v>9629.8500467554204</v>
      </c>
      <c r="L155" s="19">
        <v>1.4142853632671501E-2</v>
      </c>
      <c r="M155" s="18">
        <v>-5037.08568210264</v>
      </c>
      <c r="N155" s="19">
        <v>4.4389163911498802E-2</v>
      </c>
      <c r="O155" s="18">
        <v>173052.68948364601</v>
      </c>
      <c r="P155" s="19">
        <v>-4.5412663938444203E-2</v>
      </c>
      <c r="Q155" s="18">
        <v>735.06542766547796</v>
      </c>
      <c r="R155" s="19">
        <v>7.0208498152381393E-2</v>
      </c>
      <c r="S155" s="18">
        <v>6300.1880037853598</v>
      </c>
      <c r="T155" s="19">
        <v>1.49679973697412E-2</v>
      </c>
      <c r="U155" s="18">
        <v>109.371165436532</v>
      </c>
      <c r="V155" s="19">
        <v>-8.6898499791387995E-4</v>
      </c>
      <c r="W155" s="18">
        <v>38802.592418784901</v>
      </c>
      <c r="X155" s="19">
        <v>2.8626940281695199E-3</v>
      </c>
      <c r="Y155" s="18">
        <v>34111.971550075898</v>
      </c>
      <c r="Z155" s="19">
        <v>0.336030071534338</v>
      </c>
      <c r="AA155" s="18">
        <v>169360.34126288001</v>
      </c>
      <c r="AB155" s="19">
        <v>-3.9692555429485001E-2</v>
      </c>
      <c r="AC155" s="18">
        <v>9931.6080164365394</v>
      </c>
      <c r="AD155" s="19">
        <v>8.5945761462005804E-2</v>
      </c>
      <c r="AE155" s="18">
        <v>13623.956237202699</v>
      </c>
      <c r="AF155" s="19">
        <v>-3.1728027527515898E-2</v>
      </c>
      <c r="AG155" s="18"/>
      <c r="AH155" s="19"/>
    </row>
    <row r="156" spans="1:34" x14ac:dyDescent="0.3">
      <c r="A156" s="17">
        <v>2016</v>
      </c>
      <c r="B156" s="17">
        <v>1</v>
      </c>
      <c r="C156" s="18">
        <v>168900.67024464501</v>
      </c>
      <c r="D156" s="19">
        <v>9.3386906937085196E-3</v>
      </c>
      <c r="E156" s="18">
        <v>105459.336136187</v>
      </c>
      <c r="F156" s="19">
        <v>3.25798219734663E-4</v>
      </c>
      <c r="G156" s="18">
        <v>18878.2223221975</v>
      </c>
      <c r="H156" s="19">
        <v>9.6253604201228499E-2</v>
      </c>
      <c r="I156" s="18">
        <v>39864.861956854002</v>
      </c>
      <c r="J156" s="19">
        <v>4.0344732667505498E-3</v>
      </c>
      <c r="K156" s="18">
        <v>9684.8870805468996</v>
      </c>
      <c r="L156" s="19">
        <v>-1.2690341916982E-2</v>
      </c>
      <c r="M156" s="18">
        <v>-4986.6372511408599</v>
      </c>
      <c r="N156" s="19">
        <v>3.41960068113722E-2</v>
      </c>
      <c r="O156" s="18">
        <v>160835.38953042499</v>
      </c>
      <c r="P156" s="19">
        <v>-2.88653296449135E-2</v>
      </c>
      <c r="Q156" s="18">
        <v>749.74916906499698</v>
      </c>
      <c r="R156" s="19">
        <v>8.0073121712390394E-2</v>
      </c>
      <c r="S156" s="18">
        <v>6307.4551167565096</v>
      </c>
      <c r="T156" s="19">
        <v>2.7025391271047399E-2</v>
      </c>
      <c r="U156" s="18">
        <v>92.427143260989197</v>
      </c>
      <c r="V156" s="19">
        <v>1.0888442520073901E-3</v>
      </c>
      <c r="W156" s="18">
        <v>32638.196763009899</v>
      </c>
      <c r="X156" s="19">
        <v>0.18606561109876801</v>
      </c>
      <c r="Y156" s="18">
        <v>35238.198672798899</v>
      </c>
      <c r="Z156" s="19">
        <v>0.47532425484482699</v>
      </c>
      <c r="AA156" s="18">
        <v>156981.98721572399</v>
      </c>
      <c r="AB156" s="19">
        <v>-2.6945025068752699E-2</v>
      </c>
      <c r="AC156" s="18">
        <v>10168.0208374512</v>
      </c>
      <c r="AD156" s="19">
        <v>9.0177978221819693E-2</v>
      </c>
      <c r="AE156" s="18">
        <v>14021.4231521525</v>
      </c>
      <c r="AF156" s="19">
        <v>2.9935565840450099E-2</v>
      </c>
      <c r="AG156" s="18"/>
      <c r="AH156" s="19"/>
    </row>
    <row r="157" spans="1:34" x14ac:dyDescent="0.3">
      <c r="A157" s="17">
        <v>2016</v>
      </c>
      <c r="B157" s="17">
        <v>2</v>
      </c>
      <c r="C157" s="18">
        <v>172752.52254261501</v>
      </c>
      <c r="D157" s="19">
        <v>2.1274209638457699E-2</v>
      </c>
      <c r="E157" s="18">
        <v>97123.177684391296</v>
      </c>
      <c r="F157" s="19">
        <v>1.5793652577430501E-2</v>
      </c>
      <c r="G157" s="18">
        <v>30412.039191271899</v>
      </c>
      <c r="H157" s="19">
        <v>4.7187209999512501E-2</v>
      </c>
      <c r="I157" s="18">
        <v>40085.1110804118</v>
      </c>
      <c r="J157" s="19">
        <v>1.4025893496713E-2</v>
      </c>
      <c r="K157" s="18">
        <v>10107.893224159099</v>
      </c>
      <c r="L157" s="19">
        <v>2.95725235665221E-2</v>
      </c>
      <c r="M157" s="18">
        <v>-4975.6986376189398</v>
      </c>
      <c r="N157" s="19">
        <v>2.6116724628184599E-2</v>
      </c>
      <c r="O157" s="18">
        <v>173287.80532380001</v>
      </c>
      <c r="P157" s="19">
        <v>-1.98308207680398E-3</v>
      </c>
      <c r="Q157" s="18">
        <v>763.42830400484399</v>
      </c>
      <c r="R157" s="19">
        <v>7.5392934820219804E-2</v>
      </c>
      <c r="S157" s="18">
        <v>6420.9710773562401</v>
      </c>
      <c r="T157" s="19">
        <v>2.4510930721181299E-2</v>
      </c>
      <c r="U157" s="18">
        <v>105.436088894162</v>
      </c>
      <c r="V157" s="19">
        <v>2.54236247411859E-2</v>
      </c>
      <c r="W157" s="18">
        <v>38012.616233359098</v>
      </c>
      <c r="X157" s="19">
        <v>1.00061781892793E-2</v>
      </c>
      <c r="Y157" s="18">
        <v>31925.2267677171</v>
      </c>
      <c r="Z157" s="19">
        <v>0.15240320719600201</v>
      </c>
      <c r="AA157" s="18">
        <v>169395.91646886</v>
      </c>
      <c r="AB157" s="19">
        <v>-1.9598341197912799E-3</v>
      </c>
      <c r="AC157" s="18">
        <v>10530.7916981217</v>
      </c>
      <c r="AD157" s="19">
        <v>0.10667603632289401</v>
      </c>
      <c r="AE157" s="18">
        <v>14422.6805530616</v>
      </c>
      <c r="AF157" s="19">
        <v>7.4773785288486702E-2</v>
      </c>
      <c r="AG157" s="18"/>
      <c r="AH157" s="19"/>
    </row>
    <row r="158" spans="1:34" x14ac:dyDescent="0.3">
      <c r="A158" s="17">
        <v>2016</v>
      </c>
      <c r="B158" s="17">
        <v>3</v>
      </c>
      <c r="C158" s="18">
        <v>171875.29729059199</v>
      </c>
      <c r="D158" s="19">
        <v>1.5073182351374999E-2</v>
      </c>
      <c r="E158" s="18">
        <v>94753.000520374102</v>
      </c>
      <c r="F158" s="19">
        <v>1.8839879685231199E-2</v>
      </c>
      <c r="G158" s="18">
        <v>31851.205457549899</v>
      </c>
      <c r="H158" s="19">
        <v>1.3476355530435101E-3</v>
      </c>
      <c r="I158" s="18">
        <v>40275.133070130898</v>
      </c>
      <c r="J158" s="19">
        <v>1.9142448884874999E-2</v>
      </c>
      <c r="K158" s="18">
        <v>9970.2891090405501</v>
      </c>
      <c r="L158" s="19">
        <v>2.0285807183757498E-3</v>
      </c>
      <c r="M158" s="18">
        <v>-4974.3308665033401</v>
      </c>
      <c r="N158" s="19">
        <v>3.9198110763709604E-3</v>
      </c>
      <c r="O158" s="18">
        <v>168610.500759307</v>
      </c>
      <c r="P158" s="19">
        <v>-2.2950236041915002E-2</v>
      </c>
      <c r="Q158" s="18">
        <v>777.45583264475999</v>
      </c>
      <c r="R158" s="19">
        <v>7.4563419667273298E-2</v>
      </c>
      <c r="S158" s="18">
        <v>6469.8501009402999</v>
      </c>
      <c r="T158" s="19">
        <v>2.13239570464188E-2</v>
      </c>
      <c r="U158" s="18">
        <v>107.471483189881</v>
      </c>
      <c r="V158" s="19">
        <v>-2.62008872950973E-2</v>
      </c>
      <c r="W158" s="18">
        <v>32713.423220429198</v>
      </c>
      <c r="X158" s="19">
        <v>-2.47780011403127E-2</v>
      </c>
      <c r="Y158" s="18">
        <v>30393.296966608901</v>
      </c>
      <c r="Z158" s="19">
        <v>0.22574830564881199</v>
      </c>
      <c r="AA158" s="18">
        <v>164756.613802234</v>
      </c>
      <c r="AB158" s="19">
        <v>-2.4288985546480998E-2</v>
      </c>
      <c r="AC158" s="18">
        <v>11030.0812241934</v>
      </c>
      <c r="AD158" s="19">
        <v>0.13527226093890499</v>
      </c>
      <c r="AE158" s="18">
        <v>14883.9681812663</v>
      </c>
      <c r="AF158" s="19">
        <v>0.108357926142106</v>
      </c>
      <c r="AG158" s="18"/>
      <c r="AH158" s="19"/>
    </row>
    <row r="159" spans="1:34" x14ac:dyDescent="0.3">
      <c r="A159" s="17">
        <v>2016</v>
      </c>
      <c r="B159" s="17">
        <v>4</v>
      </c>
      <c r="C159" s="18">
        <v>174875.699207117</v>
      </c>
      <c r="D159" s="19">
        <v>6.0861376660978897E-3</v>
      </c>
      <c r="E159" s="18">
        <v>97900.545995372595</v>
      </c>
      <c r="F159" s="19">
        <v>1.3365074879924299E-2</v>
      </c>
      <c r="G159" s="18">
        <v>32237.637562041898</v>
      </c>
      <c r="H159" s="19">
        <v>-2.2353244006372501E-2</v>
      </c>
      <c r="I159" s="18">
        <v>40377.062672736</v>
      </c>
      <c r="J159" s="19">
        <v>1.8568956991525502E-2</v>
      </c>
      <c r="K159" s="18">
        <v>9405.9895421134606</v>
      </c>
      <c r="L159" s="19">
        <v>-2.32465203045801E-2</v>
      </c>
      <c r="M159" s="18">
        <v>-5045.5365651468601</v>
      </c>
      <c r="N159" s="19">
        <v>1.67773263699744E-3</v>
      </c>
      <c r="O159" s="18">
        <v>178071.409415459</v>
      </c>
      <c r="P159" s="19">
        <v>2.9001109123403E-2</v>
      </c>
      <c r="Q159" s="18">
        <v>793.60275131284004</v>
      </c>
      <c r="R159" s="19">
        <v>7.9635528273004394E-2</v>
      </c>
      <c r="S159" s="18">
        <v>6465.3951702182503</v>
      </c>
      <c r="T159" s="19">
        <v>2.6222577220493998E-2</v>
      </c>
      <c r="U159" s="18">
        <v>107.91853765496801</v>
      </c>
      <c r="V159" s="19">
        <v>-1.32816339276105E-2</v>
      </c>
      <c r="W159" s="18">
        <v>39651.2330797178</v>
      </c>
      <c r="X159" s="19">
        <v>2.1870720692417099E-2</v>
      </c>
      <c r="Y159" s="18">
        <v>30891.648990125101</v>
      </c>
      <c r="Z159" s="19">
        <v>-9.4404468977214995E-2</v>
      </c>
      <c r="AA159" s="18">
        <v>174279.333045787</v>
      </c>
      <c r="AB159" s="19">
        <v>2.9044531595931799E-2</v>
      </c>
      <c r="AC159" s="18">
        <v>11680.927780780299</v>
      </c>
      <c r="AD159" s="19">
        <v>0.176136609645558</v>
      </c>
      <c r="AE159" s="18">
        <v>15473.0041504526</v>
      </c>
      <c r="AF159" s="19">
        <v>0.13572033563941599</v>
      </c>
      <c r="AG159" s="18"/>
      <c r="AH159" s="19"/>
    </row>
    <row r="160" spans="1:34" x14ac:dyDescent="0.3">
      <c r="A160" s="17">
        <v>2017</v>
      </c>
      <c r="B160" s="17">
        <v>1</v>
      </c>
      <c r="C160" s="18">
        <v>170357.82306401501</v>
      </c>
      <c r="D160" s="19">
        <v>8.6272767139394801E-3</v>
      </c>
      <c r="E160" s="18">
        <v>106152.16135550701</v>
      </c>
      <c r="F160" s="19">
        <v>6.5695958717673104E-3</v>
      </c>
      <c r="G160" s="18">
        <v>18649.9638004757</v>
      </c>
      <c r="H160" s="19">
        <v>-1.20911025321183E-2</v>
      </c>
      <c r="I160" s="18">
        <v>40473.664855491203</v>
      </c>
      <c r="J160" s="19">
        <v>1.5271667045935E-2</v>
      </c>
      <c r="K160" s="18">
        <v>10144.4290600274</v>
      </c>
      <c r="L160" s="19">
        <v>4.74493895136361E-2</v>
      </c>
      <c r="M160" s="18">
        <v>-5062.3960074859597</v>
      </c>
      <c r="N160" s="19">
        <v>1.5192353590139301E-2</v>
      </c>
      <c r="O160" s="18">
        <v>163296.01286027499</v>
      </c>
      <c r="P160" s="19">
        <v>1.52990168210727E-2</v>
      </c>
      <c r="Q160" s="18">
        <v>813.13833575553599</v>
      </c>
      <c r="R160" s="19">
        <v>8.4547164979977996E-2</v>
      </c>
      <c r="S160" s="18">
        <v>6494.2320251376505</v>
      </c>
      <c r="T160" s="19">
        <v>2.9612086796297898E-2</v>
      </c>
      <c r="U160" s="18">
        <v>98.336090010872894</v>
      </c>
      <c r="V160" s="19">
        <v>6.3930859933628306E-2</v>
      </c>
      <c r="W160" s="18">
        <v>34913.9906891473</v>
      </c>
      <c r="X160" s="19">
        <v>6.9727930824800194E-2</v>
      </c>
      <c r="Y160" s="18">
        <v>36393.043293516203</v>
      </c>
      <c r="Z160" s="19">
        <v>3.2772521417467899E-2</v>
      </c>
      <c r="AA160" s="18">
        <v>159517.86432662001</v>
      </c>
      <c r="AB160" s="19">
        <v>1.6153936867999898E-2</v>
      </c>
      <c r="AC160" s="18">
        <v>12503.7847851593</v>
      </c>
      <c r="AD160" s="19">
        <v>0.22971667594393999</v>
      </c>
      <c r="AE160" s="18">
        <v>16281.933318814201</v>
      </c>
      <c r="AF160" s="19">
        <v>0.161218311588774</v>
      </c>
      <c r="AG160" s="18"/>
      <c r="AH160" s="19"/>
    </row>
    <row r="161" spans="1:34" x14ac:dyDescent="0.3">
      <c r="A161" s="17">
        <v>2017</v>
      </c>
      <c r="B161" s="17">
        <v>2</v>
      </c>
      <c r="C161" s="18">
        <v>172105.55431778901</v>
      </c>
      <c r="D161" s="19">
        <v>-3.7450580477990099E-3</v>
      </c>
      <c r="E161" s="18">
        <v>98661.155926685096</v>
      </c>
      <c r="F161" s="19">
        <v>1.5835336929477001E-2</v>
      </c>
      <c r="G161" s="18">
        <v>28126.785434597401</v>
      </c>
      <c r="H161" s="19">
        <v>-7.5143062334681696E-2</v>
      </c>
      <c r="I161" s="18">
        <v>40660.801664611397</v>
      </c>
      <c r="J161" s="19">
        <v>1.4361706096928601E-2</v>
      </c>
      <c r="K161" s="18">
        <v>9731.2319706332601</v>
      </c>
      <c r="L161" s="19">
        <v>-3.7264071273087999E-2</v>
      </c>
      <c r="M161" s="18">
        <v>-5074.4206787378198</v>
      </c>
      <c r="N161" s="19">
        <v>1.98408401128807E-2</v>
      </c>
      <c r="O161" s="18">
        <v>170475.97645885401</v>
      </c>
      <c r="P161" s="19">
        <v>-1.6226351644837302E-2</v>
      </c>
      <c r="Q161" s="18">
        <v>823.50128771761695</v>
      </c>
      <c r="R161" s="19">
        <v>7.8688441858439706E-2</v>
      </c>
      <c r="S161" s="18">
        <v>6636.1428325176203</v>
      </c>
      <c r="T161" s="19">
        <v>3.3510780934708197E-2</v>
      </c>
      <c r="U161" s="18">
        <v>114.75037911526201</v>
      </c>
      <c r="V161" s="19">
        <v>8.8340627187438694E-2</v>
      </c>
      <c r="W161" s="18">
        <v>42181.583449752201</v>
      </c>
      <c r="X161" s="19">
        <v>0.109673251396322</v>
      </c>
      <c r="Y161" s="18">
        <v>38113.270143002999</v>
      </c>
      <c r="Z161" s="19">
        <v>0.19382926925810501</v>
      </c>
      <c r="AA161" s="18">
        <v>166724.88754144899</v>
      </c>
      <c r="AB161" s="19">
        <v>-1.57679652679374E-2</v>
      </c>
      <c r="AC161" s="18">
        <v>12888.7000737457</v>
      </c>
      <c r="AD161" s="19">
        <v>0.22390608828056899</v>
      </c>
      <c r="AE161" s="18">
        <v>16639.788991150901</v>
      </c>
      <c r="AF161" s="19">
        <v>0.153723742956965</v>
      </c>
      <c r="AG161" s="18"/>
      <c r="AH161" s="19"/>
    </row>
    <row r="162" spans="1:34" x14ac:dyDescent="0.3">
      <c r="A162" s="17">
        <v>2017</v>
      </c>
      <c r="B162" s="17">
        <v>3</v>
      </c>
      <c r="C162" s="18">
        <v>173640.620088089</v>
      </c>
      <c r="D162" s="19">
        <v>1.02709512380506E-2</v>
      </c>
      <c r="E162" s="18">
        <v>96338.198382235496</v>
      </c>
      <c r="F162" s="19">
        <v>1.6729790646793599E-2</v>
      </c>
      <c r="G162" s="18">
        <v>31051.495201656198</v>
      </c>
      <c r="H162" s="19">
        <v>-2.5107691982319401E-2</v>
      </c>
      <c r="I162" s="18">
        <v>40844.766747063601</v>
      </c>
      <c r="J162" s="19">
        <v>1.41435579105547E-2</v>
      </c>
      <c r="K162" s="18">
        <v>10510.9971034432</v>
      </c>
      <c r="L162" s="19">
        <v>5.42319273281981E-2</v>
      </c>
      <c r="M162" s="18">
        <v>-5104.8373463091602</v>
      </c>
      <c r="N162" s="19">
        <v>2.6235986971562299E-2</v>
      </c>
      <c r="O162" s="18">
        <v>166881.6169312</v>
      </c>
      <c r="P162" s="19">
        <v>-1.0253713857206701E-2</v>
      </c>
      <c r="Q162" s="18">
        <v>822.38821565001899</v>
      </c>
      <c r="R162" s="19">
        <v>5.7794129413638602E-2</v>
      </c>
      <c r="S162" s="18">
        <v>6708.2383232565298</v>
      </c>
      <c r="T162" s="19">
        <v>3.6846019397200697E-2</v>
      </c>
      <c r="U162" s="18">
        <v>122.667401640845</v>
      </c>
      <c r="V162" s="19">
        <v>0.14139488913645601</v>
      </c>
      <c r="W162" s="18">
        <v>37335.486989043296</v>
      </c>
      <c r="X162" s="19">
        <v>0.14128951707284801</v>
      </c>
      <c r="Y162" s="18">
        <v>38331.307439966396</v>
      </c>
      <c r="Z162" s="19">
        <v>0.26117635352553298</v>
      </c>
      <c r="AA162" s="18">
        <v>163133.73034249101</v>
      </c>
      <c r="AB162" s="19">
        <v>-9.8501870261257195E-3</v>
      </c>
      <c r="AC162" s="18">
        <v>12846.625480926799</v>
      </c>
      <c r="AD162" s="19">
        <v>0.16469001631184299</v>
      </c>
      <c r="AE162" s="18">
        <v>16594.512069636599</v>
      </c>
      <c r="AF162" s="19">
        <v>0.11492525834093301</v>
      </c>
      <c r="AG162" s="18"/>
      <c r="AH162" s="19"/>
    </row>
    <row r="163" spans="1:34" x14ac:dyDescent="0.3">
      <c r="A163" s="17">
        <v>2017</v>
      </c>
      <c r="B163" s="17">
        <v>4</v>
      </c>
      <c r="C163" s="18">
        <v>179738.65235853201</v>
      </c>
      <c r="D163" s="19">
        <v>2.78080555129325E-2</v>
      </c>
      <c r="E163" s="18">
        <v>99747.835725248602</v>
      </c>
      <c r="F163" s="19">
        <v>1.8869044202912699E-2</v>
      </c>
      <c r="G163" s="18">
        <v>33939.719259732199</v>
      </c>
      <c r="H163" s="19">
        <v>5.2797966178959502E-2</v>
      </c>
      <c r="I163" s="18">
        <v>41166.923906071599</v>
      </c>
      <c r="J163" s="19">
        <v>1.9562127134843801E-2</v>
      </c>
      <c r="K163" s="18">
        <v>10074.718343406201</v>
      </c>
      <c r="L163" s="19">
        <v>7.1096060472815206E-2</v>
      </c>
      <c r="M163" s="18">
        <v>-5190.5448759270703</v>
      </c>
      <c r="N163" s="19">
        <v>2.87399187198225E-2</v>
      </c>
      <c r="O163" s="18">
        <v>183048.93900509601</v>
      </c>
      <c r="P163" s="19">
        <v>2.7952435519972101E-2</v>
      </c>
      <c r="Q163" s="18">
        <v>810.65306373092699</v>
      </c>
      <c r="R163" s="19">
        <v>2.14846941872129E-2</v>
      </c>
      <c r="S163" s="18">
        <v>6698.2904355986902</v>
      </c>
      <c r="T163" s="19">
        <v>3.6021814482931E-2</v>
      </c>
      <c r="U163" s="18">
        <v>119.67639423302001</v>
      </c>
      <c r="V163" s="19">
        <v>0.108951222223222</v>
      </c>
      <c r="W163" s="18">
        <v>52786.766635989203</v>
      </c>
      <c r="X163" s="19">
        <v>0.33127679862723902</v>
      </c>
      <c r="Y163" s="18">
        <v>43708.5190117905</v>
      </c>
      <c r="Z163" s="19">
        <v>0.41489756748700501</v>
      </c>
      <c r="AA163" s="18">
        <v>179305.235201681</v>
      </c>
      <c r="AB163" s="19">
        <v>2.8838199389790601E-2</v>
      </c>
      <c r="AC163" s="18">
        <v>12373.2567195301</v>
      </c>
      <c r="AD163" s="19">
        <v>5.9270029893424801E-2</v>
      </c>
      <c r="AE163" s="18">
        <v>16116.960522944401</v>
      </c>
      <c r="AF163" s="19">
        <v>4.1618057245398403E-2</v>
      </c>
      <c r="AG163" s="18"/>
      <c r="AH163" s="19"/>
    </row>
    <row r="164" spans="1:34" x14ac:dyDescent="0.3">
      <c r="A164" s="17">
        <v>2018</v>
      </c>
      <c r="B164" s="17">
        <v>1</v>
      </c>
      <c r="C164" s="18">
        <v>176666.87187394401</v>
      </c>
      <c r="D164" s="19">
        <v>3.7034100908638297E-2</v>
      </c>
      <c r="E164" s="18">
        <v>110195.185901934</v>
      </c>
      <c r="F164" s="19">
        <v>3.8087067609368301E-2</v>
      </c>
      <c r="G164" s="18">
        <v>20614.893948473898</v>
      </c>
      <c r="H164" s="19">
        <v>0.105358389379179</v>
      </c>
      <c r="I164" s="18">
        <v>41534.065832062603</v>
      </c>
      <c r="J164" s="19">
        <v>2.6199776579596001E-2</v>
      </c>
      <c r="K164" s="18">
        <v>9496.8649709729398</v>
      </c>
      <c r="L164" s="19">
        <v>-6.3834453888197903E-2</v>
      </c>
      <c r="M164" s="18">
        <v>-5174.1387795000501</v>
      </c>
      <c r="N164" s="19">
        <v>2.2073099743452E-2</v>
      </c>
      <c r="O164" s="18">
        <v>165221.96565926401</v>
      </c>
      <c r="P164" s="19">
        <v>1.1794242647168E-2</v>
      </c>
      <c r="Q164" s="18">
        <v>790.47953520789201</v>
      </c>
      <c r="R164" s="19">
        <v>-2.7865861872802902E-2</v>
      </c>
      <c r="S164" s="18">
        <v>6679.6267784660204</v>
      </c>
      <c r="T164" s="19">
        <v>2.8547602335541499E-2</v>
      </c>
      <c r="U164" s="18">
        <v>100.57991885200499</v>
      </c>
      <c r="V164" s="19">
        <v>2.2817958705535699E-2</v>
      </c>
      <c r="W164" s="18">
        <v>37584.570933247502</v>
      </c>
      <c r="X164" s="19">
        <v>7.6490260534162594E-2</v>
      </c>
      <c r="Y164" s="18">
        <v>43240.909823520997</v>
      </c>
      <c r="Z164" s="19">
        <v>0.18816416299059299</v>
      </c>
      <c r="AA164" s="18">
        <v>161575.50810815999</v>
      </c>
      <c r="AB164" s="19">
        <v>1.2899143241577499E-2</v>
      </c>
      <c r="AC164" s="18">
        <v>11448.879590930001</v>
      </c>
      <c r="AD164" s="19">
        <v>-8.4366870699928001E-2</v>
      </c>
      <c r="AE164" s="18">
        <v>15095.337142034499</v>
      </c>
      <c r="AF164" s="19">
        <v>-7.2878088464381402E-2</v>
      </c>
      <c r="AG164" s="18"/>
      <c r="AH164" s="19"/>
    </row>
    <row r="165" spans="1:34" x14ac:dyDescent="0.3">
      <c r="A165" s="17">
        <v>2018</v>
      </c>
      <c r="B165" s="17">
        <v>2</v>
      </c>
      <c r="C165" s="18">
        <v>182224.97170210199</v>
      </c>
      <c r="D165" s="19">
        <v>5.8797738541473701E-2</v>
      </c>
      <c r="E165" s="18">
        <v>99964.760645393195</v>
      </c>
      <c r="F165" s="19">
        <v>1.32129479577232E-2</v>
      </c>
      <c r="G165" s="18">
        <v>35089.1124698325</v>
      </c>
      <c r="H165" s="19">
        <v>0.247533691733967</v>
      </c>
      <c r="I165" s="18">
        <v>41975.943363480801</v>
      </c>
      <c r="J165" s="19">
        <v>3.2344214698895701E-2</v>
      </c>
      <c r="K165" s="18">
        <v>10375.3133562611</v>
      </c>
      <c r="L165" s="19">
        <v>6.6187034444514806E-2</v>
      </c>
      <c r="M165" s="18">
        <v>-5180.1581328654802</v>
      </c>
      <c r="N165" s="19">
        <v>2.0837344954609999E-2</v>
      </c>
      <c r="O165" s="18">
        <v>181382.09951273401</v>
      </c>
      <c r="P165" s="19">
        <v>6.3974545155412302E-2</v>
      </c>
      <c r="Q165" s="18">
        <v>779.07061377688501</v>
      </c>
      <c r="R165" s="19">
        <v>-5.3953375183994602E-2</v>
      </c>
      <c r="S165" s="18">
        <v>6798.29239820775</v>
      </c>
      <c r="T165" s="19">
        <v>2.44343091736339E-2</v>
      </c>
      <c r="U165" s="18">
        <v>105.54415910854</v>
      </c>
      <c r="V165" s="19">
        <v>-8.0228231729631602E-2</v>
      </c>
      <c r="W165" s="18">
        <v>48619.7870306154</v>
      </c>
      <c r="X165" s="19">
        <v>0.152630675624888</v>
      </c>
      <c r="Y165" s="18">
        <v>43548.981594661498</v>
      </c>
      <c r="Z165" s="19">
        <v>0.142619917715364</v>
      </c>
      <c r="AA165" s="18">
        <v>177732.76158136499</v>
      </c>
      <c r="AB165" s="19">
        <v>6.60241803262889E-2</v>
      </c>
      <c r="AC165" s="18">
        <v>10913.502754388001</v>
      </c>
      <c r="AD165" s="19">
        <v>-0.15325031291411001</v>
      </c>
      <c r="AE165" s="18">
        <v>14562.8406857563</v>
      </c>
      <c r="AF165" s="19">
        <v>-0.124818187688504</v>
      </c>
      <c r="AG165" s="18"/>
      <c r="AH165" s="19"/>
    </row>
    <row r="166" spans="1:34" x14ac:dyDescent="0.3">
      <c r="A166" s="17">
        <v>2018</v>
      </c>
      <c r="B166" s="17">
        <v>3</v>
      </c>
      <c r="C166" s="18">
        <v>180280.021769232</v>
      </c>
      <c r="D166" s="19">
        <v>3.8236454567917202E-2</v>
      </c>
      <c r="E166" s="18">
        <v>97401.832798064497</v>
      </c>
      <c r="F166" s="19">
        <v>1.1040630131039701E-2</v>
      </c>
      <c r="G166" s="18">
        <v>35510.933167905903</v>
      </c>
      <c r="H166" s="19">
        <v>0.143614274845352</v>
      </c>
      <c r="I166" s="18">
        <v>42379.426802560003</v>
      </c>
      <c r="J166" s="19">
        <v>3.7572991051705799E-2</v>
      </c>
      <c r="K166" s="18">
        <v>10221.5267806435</v>
      </c>
      <c r="L166" s="19">
        <v>-2.7539758592918399E-2</v>
      </c>
      <c r="M166" s="18">
        <v>-5233.6977799414499</v>
      </c>
      <c r="N166" s="19">
        <v>2.5242808906626099E-2</v>
      </c>
      <c r="O166" s="18">
        <v>172684.027144644</v>
      </c>
      <c r="P166" s="19">
        <v>3.4769618848043998E-2</v>
      </c>
      <c r="Q166" s="18">
        <v>772.45615846092005</v>
      </c>
      <c r="R166" s="19">
        <v>-6.07159200957577E-2</v>
      </c>
      <c r="S166" s="18">
        <v>6832.2490585475098</v>
      </c>
      <c r="T166" s="19">
        <v>1.84863341633308E-2</v>
      </c>
      <c r="U166" s="18">
        <v>116.686321804679</v>
      </c>
      <c r="V166" s="19">
        <v>-4.8758510868905203E-2</v>
      </c>
      <c r="W166" s="18">
        <v>39443.008190100503</v>
      </c>
      <c r="X166" s="19">
        <v>5.6448204403376501E-2</v>
      </c>
      <c r="Y166" s="18">
        <v>41095.896236407403</v>
      </c>
      <c r="Z166" s="19">
        <v>7.21235194174044E-2</v>
      </c>
      <c r="AA166" s="18">
        <v>169032.05570465699</v>
      </c>
      <c r="AB166" s="19">
        <v>3.6156381330722402E-2</v>
      </c>
      <c r="AC166" s="18">
        <v>10745.1964957047</v>
      </c>
      <c r="AD166" s="19">
        <v>-0.163578286635819</v>
      </c>
      <c r="AE166" s="18">
        <v>14397.167935691299</v>
      </c>
      <c r="AF166" s="19">
        <v>-0.13241390435129299</v>
      </c>
      <c r="AG166" s="18"/>
      <c r="AH166" s="19"/>
    </row>
    <row r="167" spans="1:34" x14ac:dyDescent="0.3">
      <c r="A167" s="17">
        <v>2018</v>
      </c>
      <c r="B167" s="17">
        <v>4</v>
      </c>
      <c r="C167" s="18">
        <v>185211.37954587699</v>
      </c>
      <c r="D167" s="19">
        <v>3.0448248696273199E-2</v>
      </c>
      <c r="E167" s="18">
        <v>102218.88146099199</v>
      </c>
      <c r="F167" s="19">
        <v>2.4772925826175098E-2</v>
      </c>
      <c r="G167" s="18">
        <v>35494.776072447603</v>
      </c>
      <c r="H167" s="19">
        <v>4.5818199049171102E-2</v>
      </c>
      <c r="I167" s="18">
        <v>42650.833296438497</v>
      </c>
      <c r="J167" s="19">
        <v>3.6046156709512299E-2</v>
      </c>
      <c r="K167" s="18">
        <v>10163.9955996925</v>
      </c>
      <c r="L167" s="19">
        <v>8.8615138650167697E-3</v>
      </c>
      <c r="M167" s="18">
        <v>-5317.1068836930299</v>
      </c>
      <c r="N167" s="19">
        <v>2.4383183421250901E-2</v>
      </c>
      <c r="O167" s="18">
        <v>183611.634766089</v>
      </c>
      <c r="P167" s="19">
        <v>3.0740181508406299E-3</v>
      </c>
      <c r="Q167" s="18">
        <v>770.094567779773</v>
      </c>
      <c r="R167" s="19">
        <v>-5.00318789452159E-2</v>
      </c>
      <c r="S167" s="18">
        <v>6811.3664592578198</v>
      </c>
      <c r="T167" s="19">
        <v>1.68813258765508E-2</v>
      </c>
      <c r="U167" s="18">
        <v>114.619786234776</v>
      </c>
      <c r="V167" s="19">
        <v>-4.2252342499539103E-2</v>
      </c>
      <c r="W167" s="18">
        <v>50141.385308521603</v>
      </c>
      <c r="X167" s="19">
        <v>-5.0114479367713301E-2</v>
      </c>
      <c r="Y167" s="18">
        <v>45814.477983066099</v>
      </c>
      <c r="Z167" s="19">
        <v>4.8181888082449199E-2</v>
      </c>
      <c r="AA167" s="18">
        <v>180000.62511445599</v>
      </c>
      <c r="AB167" s="19">
        <v>3.8782465664906102E-3</v>
      </c>
      <c r="AC167" s="18">
        <v>10935.146337365901</v>
      </c>
      <c r="AD167" s="19">
        <v>-0.116227313048012</v>
      </c>
      <c r="AE167" s="18">
        <v>14546.1559889992</v>
      </c>
      <c r="AF167" s="19">
        <v>-9.7462826921301496E-2</v>
      </c>
      <c r="AG167" s="18"/>
      <c r="AH167" s="19"/>
    </row>
    <row r="168" spans="1:34" x14ac:dyDescent="0.3">
      <c r="A168" s="17">
        <v>2019</v>
      </c>
      <c r="B168" s="17">
        <v>1</v>
      </c>
      <c r="C168" s="18">
        <v>180335.30761935201</v>
      </c>
      <c r="D168" s="19">
        <v>2.0764706515130599E-2</v>
      </c>
      <c r="E168" s="18">
        <v>113231.338368464</v>
      </c>
      <c r="F168" s="19">
        <v>2.7552496433299802E-2</v>
      </c>
      <c r="G168" s="18">
        <v>19278.228387924999</v>
      </c>
      <c r="H168" s="19">
        <v>-6.4839798055223399E-2</v>
      </c>
      <c r="I168" s="18">
        <v>42879.786083287298</v>
      </c>
      <c r="J168" s="19">
        <v>3.2400397704042599E-2</v>
      </c>
      <c r="K168" s="18">
        <v>10261.6409678808</v>
      </c>
      <c r="L168" s="19">
        <v>8.0529311435443104E-2</v>
      </c>
      <c r="M168" s="18">
        <v>-5315.6861882049297</v>
      </c>
      <c r="N168" s="19">
        <v>2.73567089591213E-2</v>
      </c>
      <c r="O168" s="18">
        <v>160876.58220462999</v>
      </c>
      <c r="P168" s="19">
        <v>-2.6300276947412701E-2</v>
      </c>
      <c r="Q168" s="18">
        <v>781.56200820799597</v>
      </c>
      <c r="R168" s="19">
        <v>-1.1281161121458501E-2</v>
      </c>
      <c r="S168" s="18">
        <v>6916.7183209713403</v>
      </c>
      <c r="T168" s="19">
        <v>3.5494729027325103E-2</v>
      </c>
      <c r="U168" s="18">
        <v>96.913813931114404</v>
      </c>
      <c r="V168" s="19">
        <v>-3.64496706970385E-2</v>
      </c>
      <c r="W168" s="18">
        <v>32861.273516676498</v>
      </c>
      <c r="X168" s="19">
        <v>-0.125671181000306</v>
      </c>
      <c r="Y168" s="18">
        <v>46281.756432567097</v>
      </c>
      <c r="Z168" s="19">
        <v>7.0323372506653006E-2</v>
      </c>
      <c r="AA168" s="18">
        <v>157346.11211036899</v>
      </c>
      <c r="AB168" s="19">
        <v>-2.6175972134090199E-2</v>
      </c>
      <c r="AC168" s="18">
        <v>11487.338101944901</v>
      </c>
      <c r="AD168" s="19">
        <v>3.3591506233854301E-3</v>
      </c>
      <c r="AE168" s="18">
        <v>15017.8081962056</v>
      </c>
      <c r="AF168" s="19">
        <v>-5.1359532483087299E-3</v>
      </c>
      <c r="AG168" s="18"/>
      <c r="AH168" s="19"/>
    </row>
    <row r="169" spans="1:34" x14ac:dyDescent="0.3">
      <c r="A169" s="17">
        <v>2019</v>
      </c>
      <c r="B169" s="17">
        <v>2</v>
      </c>
      <c r="C169" s="18">
        <v>182717.05128259401</v>
      </c>
      <c r="D169" s="19">
        <v>2.7003959769929002E-3</v>
      </c>
      <c r="E169" s="18">
        <v>102901.665725064</v>
      </c>
      <c r="F169" s="19">
        <v>2.9379403909032001E-2</v>
      </c>
      <c r="G169" s="18">
        <v>32007.664670063201</v>
      </c>
      <c r="H169" s="19">
        <v>-8.7817775454380007E-2</v>
      </c>
      <c r="I169" s="18">
        <v>43131.0799537208</v>
      </c>
      <c r="J169" s="19">
        <v>2.7519014408737399E-2</v>
      </c>
      <c r="K169" s="18">
        <v>10000.251404473</v>
      </c>
      <c r="L169" s="19">
        <v>-3.6149457747389299E-2</v>
      </c>
      <c r="M169" s="18">
        <v>-5323.6104707268696</v>
      </c>
      <c r="N169" s="19">
        <v>2.7692656127860999E-2</v>
      </c>
      <c r="O169" s="18">
        <v>179380.371075968</v>
      </c>
      <c r="P169" s="19">
        <v>-1.1035975667628199E-2</v>
      </c>
      <c r="Q169" s="18">
        <v>789.43215081450603</v>
      </c>
      <c r="R169" s="19">
        <v>1.32998689135357E-2</v>
      </c>
      <c r="S169" s="18">
        <v>7070.69657818418</v>
      </c>
      <c r="T169" s="19">
        <v>4.00695004010478E-2</v>
      </c>
      <c r="U169" s="18">
        <v>109.76817749447</v>
      </c>
      <c r="V169" s="19">
        <v>4.0021337245070801E-2</v>
      </c>
      <c r="W169" s="18">
        <v>42909.598805811998</v>
      </c>
      <c r="X169" s="19">
        <v>-0.11744576793822201</v>
      </c>
      <c r="Y169" s="18">
        <v>40074.782762563002</v>
      </c>
      <c r="Z169" s="19">
        <v>-7.9776810039672394E-2</v>
      </c>
      <c r="AA169" s="18">
        <v>175906.316514926</v>
      </c>
      <c r="AB169" s="19">
        <v>-1.02763556374669E-2</v>
      </c>
      <c r="AC169" s="18">
        <v>11881.819624739899</v>
      </c>
      <c r="AD169" s="19">
        <v>8.8726497087520104E-2</v>
      </c>
      <c r="AE169" s="18">
        <v>15355.8741857816</v>
      </c>
      <c r="AF169" s="19">
        <v>5.4455962070706097E-2</v>
      </c>
      <c r="AG169" s="18"/>
      <c r="AH169" s="19"/>
    </row>
    <row r="170" spans="1:34" x14ac:dyDescent="0.3">
      <c r="A170" s="17">
        <v>2019</v>
      </c>
      <c r="B170" s="17">
        <v>3</v>
      </c>
      <c r="C170" s="18">
        <v>182267.73681068499</v>
      </c>
      <c r="D170" s="19">
        <v>1.10257089052124E-2</v>
      </c>
      <c r="E170" s="18">
        <v>100375.256908985</v>
      </c>
      <c r="F170" s="19">
        <v>3.05273938436601E-2</v>
      </c>
      <c r="G170" s="18">
        <v>33879.2614125205</v>
      </c>
      <c r="H170" s="19">
        <v>-4.5948433618188102E-2</v>
      </c>
      <c r="I170" s="18">
        <v>43302.423431233401</v>
      </c>
      <c r="J170" s="19">
        <v>2.17793561242225E-2</v>
      </c>
      <c r="K170" s="18">
        <v>10007.846231745199</v>
      </c>
      <c r="L170" s="19">
        <v>-2.0904954170143399E-2</v>
      </c>
      <c r="M170" s="18">
        <v>-5297.0511737990801</v>
      </c>
      <c r="N170" s="19">
        <v>1.2104901070221699E-2</v>
      </c>
      <c r="O170" s="18">
        <v>174231.70436311301</v>
      </c>
      <c r="P170" s="19">
        <v>8.9624804567065598E-3</v>
      </c>
      <c r="Q170" s="18">
        <v>799.30929032772099</v>
      </c>
      <c r="R170" s="19">
        <v>3.4763308665057398E-2</v>
      </c>
      <c r="S170" s="18">
        <v>7142.6988721572598</v>
      </c>
      <c r="T170" s="19">
        <v>4.5438890027195401E-2</v>
      </c>
      <c r="U170" s="18">
        <v>113.206544509436</v>
      </c>
      <c r="V170" s="19">
        <v>-2.9821638401349399E-2</v>
      </c>
      <c r="W170" s="18">
        <v>39076.964864116497</v>
      </c>
      <c r="X170" s="19">
        <v>-9.2803095600563195E-3</v>
      </c>
      <c r="Y170" s="18">
        <v>40882.814274368902</v>
      </c>
      <c r="Z170" s="19">
        <v>-5.1849936746168898E-3</v>
      </c>
      <c r="AA170" s="18">
        <v>170757.078022612</v>
      </c>
      <c r="AB170" s="19">
        <v>1.0205296922903199E-2</v>
      </c>
      <c r="AC170" s="18">
        <v>12129.8845366027</v>
      </c>
      <c r="AD170" s="19">
        <v>0.12886577192436699</v>
      </c>
      <c r="AE170" s="18">
        <v>15604.510877103799</v>
      </c>
      <c r="AF170" s="19">
        <v>8.3859752612830907E-2</v>
      </c>
      <c r="AG170" s="18"/>
      <c r="AH170" s="19"/>
    </row>
    <row r="171" spans="1:34" x14ac:dyDescent="0.3">
      <c r="A171" s="17">
        <v>2019</v>
      </c>
      <c r="B171" s="17">
        <v>4</v>
      </c>
      <c r="C171" s="18">
        <v>186480.67279025799</v>
      </c>
      <c r="D171" s="19">
        <v>6.85321413561857E-3</v>
      </c>
      <c r="E171" s="18">
        <v>105179.173786377</v>
      </c>
      <c r="F171" s="19">
        <v>2.8960327906888801E-2</v>
      </c>
      <c r="G171" s="18">
        <v>32880.451978889498</v>
      </c>
      <c r="H171" s="19">
        <v>-7.3653770578015795E-2</v>
      </c>
      <c r="I171" s="18">
        <v>43522.685435339597</v>
      </c>
      <c r="J171" s="19">
        <v>2.0441620280698701E-2</v>
      </c>
      <c r="K171" s="18">
        <v>10199.014111401</v>
      </c>
      <c r="L171" s="19">
        <v>3.4453489639008099E-3</v>
      </c>
      <c r="M171" s="18">
        <v>-5300.6525217491198</v>
      </c>
      <c r="N171" s="19">
        <v>-3.0946080836517001E-3</v>
      </c>
      <c r="O171" s="18">
        <v>185797.04006140499</v>
      </c>
      <c r="P171" s="19">
        <v>1.1902324697994101E-2</v>
      </c>
      <c r="Q171" s="18">
        <v>810.88113706525803</v>
      </c>
      <c r="R171" s="19">
        <v>5.2963065825896397E-2</v>
      </c>
      <c r="S171" s="18">
        <v>7149.9725342737302</v>
      </c>
      <c r="T171" s="19">
        <v>4.9711915669386403E-2</v>
      </c>
      <c r="U171" s="18">
        <v>110.530655064979</v>
      </c>
      <c r="V171" s="19">
        <v>-3.5675613296136298E-2</v>
      </c>
      <c r="W171" s="18">
        <v>52233.467154954997</v>
      </c>
      <c r="X171" s="19">
        <v>4.1723654692839902E-2</v>
      </c>
      <c r="Y171" s="18">
        <v>46688.539141665002</v>
      </c>
      <c r="Z171" s="19">
        <v>1.9078273879316501E-2</v>
      </c>
      <c r="AA171" s="18">
        <v>182243.859717618</v>
      </c>
      <c r="AB171" s="19">
        <v>1.24623711819618E-2</v>
      </c>
      <c r="AC171" s="18">
        <v>12237.5950806828</v>
      </c>
      <c r="AD171" s="19">
        <v>0.119106658761976</v>
      </c>
      <c r="AE171" s="18">
        <v>15790.775424470099</v>
      </c>
      <c r="AF171" s="19">
        <v>8.5563459955479995E-2</v>
      </c>
      <c r="AG171" s="18"/>
      <c r="AH171" s="19"/>
    </row>
    <row r="172" spans="1:34" x14ac:dyDescent="0.3">
      <c r="A172" s="17">
        <v>2020</v>
      </c>
      <c r="B172" s="17">
        <v>1</v>
      </c>
      <c r="C172" s="18">
        <v>178413.50497224601</v>
      </c>
      <c r="D172" s="19">
        <v>-1.0656829616323599E-2</v>
      </c>
      <c r="E172" s="18">
        <v>114761.62098336501</v>
      </c>
      <c r="F172" s="19">
        <v>1.3514656251090201E-2</v>
      </c>
      <c r="G172" s="18">
        <v>14927.9774432378</v>
      </c>
      <c r="H172" s="19">
        <v>-0.225656157669131</v>
      </c>
      <c r="I172" s="18">
        <v>43919.123474150998</v>
      </c>
      <c r="J172" s="19">
        <v>2.42383996236584E-2</v>
      </c>
      <c r="K172" s="18">
        <v>10205.4534858076</v>
      </c>
      <c r="L172" s="19">
        <v>-5.4754870345808896E-3</v>
      </c>
      <c r="M172" s="18">
        <v>-5400.6704143158104</v>
      </c>
      <c r="N172" s="19">
        <v>1.59874422796915E-2</v>
      </c>
      <c r="O172" s="18">
        <v>178046.45868888099</v>
      </c>
      <c r="P172" s="19">
        <v>0.10672700929468799</v>
      </c>
      <c r="Q172" s="18">
        <v>806.11527428824695</v>
      </c>
      <c r="R172" s="19">
        <v>3.1415634105025299E-2</v>
      </c>
      <c r="S172" s="18">
        <v>7221.1929548571597</v>
      </c>
      <c r="T172" s="19">
        <v>4.4020100249371599E-2</v>
      </c>
      <c r="U172" s="18">
        <v>87.6653635881366</v>
      </c>
      <c r="V172" s="19">
        <v>-9.5429639675016095E-2</v>
      </c>
      <c r="W172" s="18">
        <v>34058.609377589397</v>
      </c>
      <c r="X172" s="19">
        <v>3.6436076048765399E-2</v>
      </c>
      <c r="Y172" s="18">
        <v>28098.2433439735</v>
      </c>
      <c r="Z172" s="19">
        <v>-0.39288727330578099</v>
      </c>
      <c r="AA172" s="18">
        <v>174322.65858980099</v>
      </c>
      <c r="AB172" s="19">
        <v>0.10789301528800201</v>
      </c>
      <c r="AC172" s="18">
        <v>12205.998713153</v>
      </c>
      <c r="AD172" s="19">
        <v>6.2561109008049107E-2</v>
      </c>
      <c r="AE172" s="18">
        <v>15929.798812233101</v>
      </c>
      <c r="AF172" s="19">
        <v>6.0727278182838997E-2</v>
      </c>
      <c r="AG172" s="18"/>
      <c r="AH172" s="19"/>
    </row>
    <row r="173" spans="1:34" x14ac:dyDescent="0.3">
      <c r="A173" s="17">
        <v>2020</v>
      </c>
      <c r="B173" s="17">
        <v>2</v>
      </c>
      <c r="C173" s="18">
        <v>168021.05899440401</v>
      </c>
      <c r="D173" s="19">
        <v>-8.0430327574961893E-2</v>
      </c>
      <c r="E173" s="18">
        <v>96625.676888028305</v>
      </c>
      <c r="F173" s="19">
        <v>-6.0990157863955702E-2</v>
      </c>
      <c r="G173" s="18">
        <v>23002.881212897399</v>
      </c>
      <c r="H173" s="19">
        <v>-0.28133209810798798</v>
      </c>
      <c r="I173" s="18">
        <v>44220.251731849297</v>
      </c>
      <c r="J173" s="19">
        <v>2.5252596950903001E-2</v>
      </c>
      <c r="K173" s="18">
        <v>9517.20370812494</v>
      </c>
      <c r="L173" s="19">
        <v>-4.8303555261824498E-2</v>
      </c>
      <c r="M173" s="18">
        <v>-5344.9545464959401</v>
      </c>
      <c r="N173" s="19">
        <v>4.0093233504667801E-3</v>
      </c>
      <c r="O173" s="18">
        <v>165840.73688097901</v>
      </c>
      <c r="P173" s="19">
        <v>-7.5480021106965098E-2</v>
      </c>
      <c r="Q173" s="18">
        <v>804.36536433737695</v>
      </c>
      <c r="R173" s="19">
        <v>1.8916398967870899E-2</v>
      </c>
      <c r="S173" s="18">
        <v>6373.1158338739697</v>
      </c>
      <c r="T173" s="19">
        <v>-9.8657994526666196E-2</v>
      </c>
      <c r="U173" s="18">
        <v>93.3285141333822</v>
      </c>
      <c r="V173" s="19">
        <v>-0.14976711590129399</v>
      </c>
      <c r="W173" s="18">
        <v>33942.186324786402</v>
      </c>
      <c r="X173" s="19">
        <v>-0.20898383416745001</v>
      </c>
      <c r="Y173" s="18">
        <v>30647.0864828085</v>
      </c>
      <c r="Z173" s="19">
        <v>-0.23525258603676499</v>
      </c>
      <c r="AA173" s="18">
        <v>161998.277675188</v>
      </c>
      <c r="AB173" s="19">
        <v>-7.9065033679775895E-2</v>
      </c>
      <c r="AC173" s="18">
        <v>12183.176424072501</v>
      </c>
      <c r="AD173" s="19">
        <v>2.53628491973708E-2</v>
      </c>
      <c r="AE173" s="18">
        <v>16025.6356298629</v>
      </c>
      <c r="AF173" s="19">
        <v>4.3615976269294303E-2</v>
      </c>
      <c r="AG173" s="18"/>
      <c r="AH173" s="19"/>
    </row>
    <row r="174" spans="1:34" x14ac:dyDescent="0.3">
      <c r="A174" s="17">
        <v>2020</v>
      </c>
      <c r="B174" s="17">
        <v>3</v>
      </c>
      <c r="C174" s="18">
        <v>178486.955131447</v>
      </c>
      <c r="D174" s="19">
        <v>-2.0743011052829399E-2</v>
      </c>
      <c r="E174" s="18">
        <v>99991.849657141705</v>
      </c>
      <c r="F174" s="19">
        <v>-3.81973868511498E-3</v>
      </c>
      <c r="G174" s="18">
        <v>29898.230804128802</v>
      </c>
      <c r="H174" s="19">
        <v>-0.117506416681221</v>
      </c>
      <c r="I174" s="18">
        <v>44012.281927827004</v>
      </c>
      <c r="J174" s="19">
        <v>1.63930431681483E-2</v>
      </c>
      <c r="K174" s="18">
        <v>10178.292305520101</v>
      </c>
      <c r="L174" s="19">
        <v>1.70312442685479E-2</v>
      </c>
      <c r="M174" s="18">
        <v>-5593.6995631706504</v>
      </c>
      <c r="N174" s="19">
        <v>5.6002553050438199E-2</v>
      </c>
      <c r="O174" s="18">
        <v>178580.93151638901</v>
      </c>
      <c r="P174" s="19">
        <v>2.4962317674468399E-2</v>
      </c>
      <c r="Q174" s="18">
        <v>816.09609979185802</v>
      </c>
      <c r="R174" s="19">
        <v>2.1001644378803301E-2</v>
      </c>
      <c r="S174" s="18">
        <v>7114.1320145909704</v>
      </c>
      <c r="T174" s="19">
        <v>-3.9994486786560897E-3</v>
      </c>
      <c r="U174" s="18">
        <v>114.30170085743499</v>
      </c>
      <c r="V174" s="19">
        <v>9.6739667546978901E-3</v>
      </c>
      <c r="W174" s="18">
        <v>35017.223661632699</v>
      </c>
      <c r="X174" s="19">
        <v>-0.103890903927694</v>
      </c>
      <c r="Y174" s="18">
        <v>28739.513062749102</v>
      </c>
      <c r="Z174" s="19">
        <v>-0.29702703757438897</v>
      </c>
      <c r="AA174" s="18">
        <v>174670.31713056599</v>
      </c>
      <c r="AB174" s="19">
        <v>2.2916995027499901E-2</v>
      </c>
      <c r="AC174" s="18">
        <v>12165.5118008506</v>
      </c>
      <c r="AD174" s="19">
        <v>2.9371478467397098E-3</v>
      </c>
      <c r="AE174" s="18">
        <v>16076.1261866732</v>
      </c>
      <c r="AF174" s="19">
        <v>3.02230113640642E-2</v>
      </c>
      <c r="AG174" s="18"/>
      <c r="AH174" s="19"/>
    </row>
    <row r="175" spans="1:34" x14ac:dyDescent="0.3">
      <c r="A175" s="17">
        <v>2020</v>
      </c>
      <c r="B175" s="17">
        <v>4</v>
      </c>
      <c r="C175" s="18">
        <v>184933.07880181799</v>
      </c>
      <c r="D175" s="19">
        <v>-8.2989511206935703E-3</v>
      </c>
      <c r="E175" s="18">
        <v>103659.127877304</v>
      </c>
      <c r="F175" s="19">
        <v>-1.4451966623741999E-2</v>
      </c>
      <c r="G175" s="18">
        <v>32986.005012716501</v>
      </c>
      <c r="H175" s="19">
        <v>3.2102062920187401E-3</v>
      </c>
      <c r="I175" s="18">
        <v>44337.277272567801</v>
      </c>
      <c r="J175" s="19">
        <v>1.87164884032349E-2</v>
      </c>
      <c r="K175" s="18">
        <v>9964.0144455472891</v>
      </c>
      <c r="L175" s="19">
        <v>-2.3041410011479899E-2</v>
      </c>
      <c r="M175" s="18">
        <v>-6013.3458063176004</v>
      </c>
      <c r="N175" s="19">
        <v>0.13445387745078999</v>
      </c>
      <c r="O175" s="18">
        <v>161749.56005952199</v>
      </c>
      <c r="P175" s="19">
        <v>-0.12942875728233</v>
      </c>
      <c r="Q175" s="18">
        <v>813.184882036158</v>
      </c>
      <c r="R175" s="19">
        <v>2.8410390445603498E-3</v>
      </c>
      <c r="S175" s="18">
        <v>7073.5934271359101</v>
      </c>
      <c r="T175" s="19">
        <v>-1.0682433641765399E-2</v>
      </c>
      <c r="U175" s="18">
        <v>107.172621421046</v>
      </c>
      <c r="V175" s="19">
        <v>-3.0381016397295301E-2</v>
      </c>
      <c r="W175" s="18">
        <v>27811.803364308598</v>
      </c>
      <c r="X175" s="19">
        <v>-0.46754820464430402</v>
      </c>
      <c r="Y175" s="18">
        <v>44842.086182925901</v>
      </c>
      <c r="Z175" s="19">
        <v>-3.9548312983975098E-2</v>
      </c>
      <c r="AA175" s="18">
        <v>157828.692632035</v>
      </c>
      <c r="AB175" s="19">
        <v>-0.133969765145523</v>
      </c>
      <c r="AC175" s="18">
        <v>12149.572711557001</v>
      </c>
      <c r="AD175" s="19">
        <v>-7.1927832670947199E-3</v>
      </c>
      <c r="AE175" s="18">
        <v>16070.4401390442</v>
      </c>
      <c r="AF175" s="19">
        <v>1.7710638461790201E-2</v>
      </c>
      <c r="AG175" s="18"/>
      <c r="AH175" s="19"/>
    </row>
    <row r="176" spans="1:34" x14ac:dyDescent="0.3">
      <c r="A176" s="17">
        <v>2021</v>
      </c>
      <c r="B176" s="17">
        <v>1</v>
      </c>
      <c r="C176" s="18">
        <v>181476.62547701801</v>
      </c>
      <c r="D176" s="19">
        <v>1.7168658310080701E-2</v>
      </c>
      <c r="E176" s="18">
        <v>114563.20469317101</v>
      </c>
      <c r="F176" s="19">
        <v>-1.72894290350167E-3</v>
      </c>
      <c r="G176" s="18">
        <v>18547.926390986198</v>
      </c>
      <c r="H176" s="19">
        <v>0.24249426699047499</v>
      </c>
      <c r="I176" s="18">
        <v>44592.0521684962</v>
      </c>
      <c r="J176" s="19">
        <v>1.5321997369582001E-2</v>
      </c>
      <c r="K176" s="18">
        <v>10345.5063568072</v>
      </c>
      <c r="L176" s="19">
        <v>1.37233363705362E-2</v>
      </c>
      <c r="M176" s="18">
        <v>-6572.0641324430999</v>
      </c>
      <c r="N176" s="19">
        <v>0.21689783457665099</v>
      </c>
      <c r="O176" s="18">
        <v>177527.94704510801</v>
      </c>
      <c r="P176" s="19">
        <v>-2.91222666033919E-3</v>
      </c>
      <c r="Q176" s="18">
        <v>809.42972886971597</v>
      </c>
      <c r="R176" s="19">
        <v>4.1116384804833501E-3</v>
      </c>
      <c r="S176" s="18">
        <v>6922.14658061922</v>
      </c>
      <c r="T176" s="19">
        <v>-4.1412322881745997E-2</v>
      </c>
      <c r="U176" s="18">
        <v>91.455479535580906</v>
      </c>
      <c r="V176" s="19">
        <v>4.3233904387264897E-2</v>
      </c>
      <c r="W176" s="18">
        <v>35732.7319687618</v>
      </c>
      <c r="X176" s="19">
        <v>4.9154167529634502E-2</v>
      </c>
      <c r="Y176" s="18">
        <v>33660.149028457898</v>
      </c>
      <c r="Z176" s="19">
        <v>0.19794496105669601</v>
      </c>
      <c r="AA176" s="18">
        <v>173672.93010002299</v>
      </c>
      <c r="AB176" s="19">
        <v>-3.7271602844647402E-3</v>
      </c>
      <c r="AC176" s="18">
        <v>12131.988676671701</v>
      </c>
      <c r="AD176" s="19">
        <v>-6.06341506505448E-3</v>
      </c>
      <c r="AE176" s="18">
        <v>15987.0056217572</v>
      </c>
      <c r="AF176" s="19">
        <v>3.5911821736362998E-3</v>
      </c>
      <c r="AG176" s="18"/>
      <c r="AH176" s="19"/>
    </row>
    <row r="177" spans="1:34" x14ac:dyDescent="0.3">
      <c r="A177" s="17">
        <v>2021</v>
      </c>
      <c r="B177" s="17">
        <v>2</v>
      </c>
      <c r="C177" s="18">
        <v>190516.87552611</v>
      </c>
      <c r="D177" s="19">
        <v>0.13388688695537199</v>
      </c>
      <c r="E177" s="18">
        <v>104843.072205163</v>
      </c>
      <c r="F177" s="19">
        <v>8.5043598987230004E-2</v>
      </c>
      <c r="G177" s="18">
        <v>36892.066674962203</v>
      </c>
      <c r="H177" s="19">
        <v>0.60380199043402105</v>
      </c>
      <c r="I177" s="18">
        <v>44937.985395091797</v>
      </c>
      <c r="J177" s="19">
        <v>1.6230881443072501E-2</v>
      </c>
      <c r="K177" s="18">
        <v>10682.147441188599</v>
      </c>
      <c r="L177" s="19">
        <v>0.122403992684228</v>
      </c>
      <c r="M177" s="18">
        <v>-6838.3961902963601</v>
      </c>
      <c r="N177" s="19">
        <v>0.27941147690011497</v>
      </c>
      <c r="O177" s="18">
        <v>185843.00117861701</v>
      </c>
      <c r="P177" s="19">
        <v>0.120611284499981</v>
      </c>
      <c r="Q177" s="18">
        <v>812.99729507091695</v>
      </c>
      <c r="R177" s="19">
        <v>1.07313555707991E-2</v>
      </c>
      <c r="S177" s="18">
        <v>7423.1953506465297</v>
      </c>
      <c r="T177" s="19">
        <v>0.16476705337619199</v>
      </c>
      <c r="U177" s="18">
        <v>116.152705943298</v>
      </c>
      <c r="V177" s="19">
        <v>0.244557539802851</v>
      </c>
      <c r="W177" s="18">
        <v>38637.020757726699</v>
      </c>
      <c r="X177" s="19">
        <v>0.138318562864995</v>
      </c>
      <c r="Y177" s="18">
        <v>36816.849755587202</v>
      </c>
      <c r="Z177" s="19">
        <v>0.20131647020474999</v>
      </c>
      <c r="AA177" s="18">
        <v>182002.05081067001</v>
      </c>
      <c r="AB177" s="19">
        <v>0.12348139389228401</v>
      </c>
      <c r="AC177" s="18">
        <v>12212.6836671691</v>
      </c>
      <c r="AD177" s="19">
        <v>2.4219663304147999E-3</v>
      </c>
      <c r="AE177" s="18">
        <v>16053.6340351161</v>
      </c>
      <c r="AF177" s="19">
        <v>1.74710107604259E-3</v>
      </c>
      <c r="AG177" s="18"/>
      <c r="AH177" s="19"/>
    </row>
    <row r="178" spans="1:34" x14ac:dyDescent="0.3">
      <c r="A178" s="17">
        <v>2021</v>
      </c>
      <c r="B178" s="17">
        <v>3</v>
      </c>
      <c r="C178" s="18">
        <v>194587.90720722399</v>
      </c>
      <c r="D178" s="19">
        <v>9.0208004634958705E-2</v>
      </c>
      <c r="E178" s="18">
        <v>105075.11788510501</v>
      </c>
      <c r="F178" s="19">
        <v>5.0836825655220498E-2</v>
      </c>
      <c r="G178" s="18">
        <v>39887.093505798599</v>
      </c>
      <c r="H178" s="19">
        <v>0.33409544421238402</v>
      </c>
      <c r="I178" s="18">
        <v>45847.453704769701</v>
      </c>
      <c r="J178" s="19">
        <v>4.1696810448321499E-2</v>
      </c>
      <c r="K178" s="18">
        <v>10683.690278723299</v>
      </c>
      <c r="L178" s="19">
        <v>4.9654495865584902E-2</v>
      </c>
      <c r="M178" s="18">
        <v>-6905.4481671721796</v>
      </c>
      <c r="N178" s="19">
        <v>0.234504658176172</v>
      </c>
      <c r="O178" s="18">
        <v>192403.647175436</v>
      </c>
      <c r="P178" s="19">
        <v>7.7403088569834202E-2</v>
      </c>
      <c r="Q178" s="18">
        <v>815.20603577095801</v>
      </c>
      <c r="R178" s="19">
        <v>-1.0906362879643499E-3</v>
      </c>
      <c r="S178" s="18">
        <v>7539.3942518760696</v>
      </c>
      <c r="T178" s="19">
        <v>5.9777107932899302E-2</v>
      </c>
      <c r="U178" s="18">
        <v>115.656930324743</v>
      </c>
      <c r="V178" s="19">
        <v>1.1856599308165801E-2</v>
      </c>
      <c r="W178" s="18">
        <v>40895.166870293797</v>
      </c>
      <c r="X178" s="19">
        <v>0.16785863052591099</v>
      </c>
      <c r="Y178" s="18">
        <v>36470.895616302303</v>
      </c>
      <c r="Z178" s="19">
        <v>0.26901578104934099</v>
      </c>
      <c r="AA178" s="18">
        <v>188532.806310224</v>
      </c>
      <c r="AB178" s="19">
        <v>7.9363737396181702E-2</v>
      </c>
      <c r="AC178" s="18">
        <v>12391.7398878488</v>
      </c>
      <c r="AD178" s="19">
        <v>1.85958544697176E-2</v>
      </c>
      <c r="AE178" s="18">
        <v>16262.5807530599</v>
      </c>
      <c r="AF178" s="19">
        <v>1.1598227347910699E-2</v>
      </c>
      <c r="AG178" s="18"/>
      <c r="AH178" s="19"/>
    </row>
    <row r="179" spans="1:34" x14ac:dyDescent="0.3">
      <c r="A179" s="17">
        <v>2021</v>
      </c>
      <c r="B179" s="17">
        <v>4</v>
      </c>
      <c r="C179" s="18">
        <v>201697.94426326401</v>
      </c>
      <c r="D179" s="19">
        <v>9.0653687107064701E-2</v>
      </c>
      <c r="E179" s="18">
        <v>109611.61527187499</v>
      </c>
      <c r="F179" s="19">
        <v>5.7423668484042303E-2</v>
      </c>
      <c r="G179" s="18">
        <v>41735.774234095203</v>
      </c>
      <c r="H179" s="19">
        <v>0.26525701484631198</v>
      </c>
      <c r="I179" s="18">
        <v>46582.974580591203</v>
      </c>
      <c r="J179" s="19">
        <v>5.0650320591806998E-2</v>
      </c>
      <c r="K179" s="18">
        <v>10536.7099634309</v>
      </c>
      <c r="L179" s="19">
        <v>5.7476383742049102E-2</v>
      </c>
      <c r="M179" s="18">
        <v>-6769.1297867283602</v>
      </c>
      <c r="N179" s="19">
        <v>0.12568443671021601</v>
      </c>
      <c r="O179" s="18">
        <v>187828.08045874399</v>
      </c>
      <c r="P179" s="19">
        <v>0.16122776710876699</v>
      </c>
      <c r="Q179" s="18">
        <v>820.67418703935903</v>
      </c>
      <c r="R179" s="19">
        <v>9.2098428889240101E-3</v>
      </c>
      <c r="S179" s="18">
        <v>7621.8109601968699</v>
      </c>
      <c r="T179" s="19">
        <v>7.7501985194381895E-2</v>
      </c>
      <c r="U179" s="18">
        <v>119.293796196377</v>
      </c>
      <c r="V179" s="19">
        <v>0.113099545523959</v>
      </c>
      <c r="W179" s="18">
        <v>42730.907972141598</v>
      </c>
      <c r="X179" s="19">
        <v>0.53643068061451304</v>
      </c>
      <c r="Y179" s="18">
        <v>49918.928799700501</v>
      </c>
      <c r="Z179" s="19">
        <v>0.11321602202146699</v>
      </c>
      <c r="AA179" s="18">
        <v>183867.520581763</v>
      </c>
      <c r="AB179" s="19">
        <v>0.16498158551205599</v>
      </c>
      <c r="AC179" s="18">
        <v>12672.7539379955</v>
      </c>
      <c r="AD179" s="19">
        <v>4.30616976299798E-2</v>
      </c>
      <c r="AE179" s="18">
        <v>16633.313814976798</v>
      </c>
      <c r="AF179" s="19">
        <v>3.5025405095472799E-2</v>
      </c>
      <c r="AG179" s="18"/>
      <c r="AH179" s="19"/>
    </row>
    <row r="180" spans="1:34" x14ac:dyDescent="0.3">
      <c r="A180" s="17">
        <v>2022</v>
      </c>
      <c r="B180" s="17">
        <v>1</v>
      </c>
      <c r="C180" s="18">
        <v>199637.42051132201</v>
      </c>
      <c r="D180" s="19">
        <v>0.100072364617577</v>
      </c>
      <c r="E180" s="18">
        <v>125537.827953345</v>
      </c>
      <c r="F180" s="19">
        <v>9.5795358462309896E-2</v>
      </c>
      <c r="G180" s="18">
        <v>21787.930554643299</v>
      </c>
      <c r="H180" s="19">
        <v>0.17468282412591801</v>
      </c>
      <c r="I180" s="18">
        <v>47554.773423906598</v>
      </c>
      <c r="J180" s="19">
        <v>6.6440567575032805E-2</v>
      </c>
      <c r="K180" s="18">
        <v>11179.582810715699</v>
      </c>
      <c r="L180" s="19">
        <v>8.0622100566362306E-2</v>
      </c>
      <c r="M180" s="18">
        <v>-6422.6942312888204</v>
      </c>
      <c r="N180" s="19">
        <v>-2.2728004192306701E-2</v>
      </c>
      <c r="O180" s="18">
        <v>190219.98042176399</v>
      </c>
      <c r="P180" s="19">
        <v>7.1493156924926402E-2</v>
      </c>
      <c r="Q180" s="18">
        <v>839.06284834707401</v>
      </c>
      <c r="R180" s="19">
        <v>3.6609872877708401E-2</v>
      </c>
      <c r="S180" s="18">
        <v>7760.6251022311199</v>
      </c>
      <c r="T180" s="19">
        <v>0.121129842000093</v>
      </c>
      <c r="U180" s="18">
        <v>97.517425961293597</v>
      </c>
      <c r="V180" s="19">
        <v>6.6283031443230597E-2</v>
      </c>
      <c r="W180" s="18">
        <v>33957.115227100097</v>
      </c>
      <c r="X180" s="19">
        <v>-4.9691603295656799E-2</v>
      </c>
      <c r="Y180" s="18">
        <v>36550.510488734901</v>
      </c>
      <c r="Z180" s="19">
        <v>8.5868944247196294E-2</v>
      </c>
      <c r="AA180" s="18">
        <v>186066.70933061099</v>
      </c>
      <c r="AB180" s="19">
        <v>7.13627577046754E-2</v>
      </c>
      <c r="AC180" s="18">
        <v>13062.9653159601</v>
      </c>
      <c r="AD180" s="19">
        <v>7.6737348187489104E-2</v>
      </c>
      <c r="AE180" s="18">
        <v>17216.236407112599</v>
      </c>
      <c r="AF180" s="19">
        <v>7.6889369681747394E-2</v>
      </c>
      <c r="AG180" s="18"/>
      <c r="AH180" s="19"/>
    </row>
    <row r="181" spans="1:34" x14ac:dyDescent="0.3">
      <c r="A181" s="17">
        <v>2022</v>
      </c>
      <c r="B181" s="17">
        <v>2</v>
      </c>
      <c r="C181" s="18">
        <v>204207.29051331399</v>
      </c>
      <c r="D181" s="19">
        <v>7.1859329780621595E-2</v>
      </c>
      <c r="E181" s="18">
        <v>111511.94221600299</v>
      </c>
      <c r="F181" s="19">
        <v>6.3608113255108303E-2</v>
      </c>
      <c r="G181" s="18">
        <v>39434.0790505806</v>
      </c>
      <c r="H181" s="19">
        <v>6.8904038313026605E-2</v>
      </c>
      <c r="I181" s="18">
        <v>48333.429641026603</v>
      </c>
      <c r="J181" s="19">
        <v>7.5558443843938894E-2</v>
      </c>
      <c r="K181" s="18">
        <v>11058.621947890901</v>
      </c>
      <c r="L181" s="19">
        <v>3.52433355535531E-2</v>
      </c>
      <c r="M181" s="18">
        <v>-6130.7823421869998</v>
      </c>
      <c r="N181" s="19">
        <v>-0.103476579656712</v>
      </c>
      <c r="O181" s="18">
        <v>201654.78946356499</v>
      </c>
      <c r="P181" s="19">
        <v>8.5081429941776393E-2</v>
      </c>
      <c r="Q181" s="18">
        <v>846.00463162757501</v>
      </c>
      <c r="R181" s="19">
        <v>4.0599565037640999E-2</v>
      </c>
      <c r="S181" s="18">
        <v>7905.4028955526601</v>
      </c>
      <c r="T181" s="19">
        <v>6.4959565541291106E-2</v>
      </c>
      <c r="U181" s="18">
        <v>111.039577790122</v>
      </c>
      <c r="V181" s="19">
        <v>-4.40207407279175E-2</v>
      </c>
      <c r="W181" s="18">
        <v>41146.323082741299</v>
      </c>
      <c r="X181" s="19">
        <v>6.4945543828266394E-2</v>
      </c>
      <c r="Y181" s="18">
        <v>36750.465446355498</v>
      </c>
      <c r="Z181" s="19">
        <v>-1.80309585617322E-3</v>
      </c>
      <c r="AA181" s="18">
        <v>197436.59441107701</v>
      </c>
      <c r="AB181" s="19">
        <v>8.4804229027411998E-2</v>
      </c>
      <c r="AC181" s="18">
        <v>13434.7089994702</v>
      </c>
      <c r="AD181" s="19">
        <v>0.100061981920173</v>
      </c>
      <c r="AE181" s="18">
        <v>17652.904051958401</v>
      </c>
      <c r="AF181" s="19">
        <v>9.9620435681043507E-2</v>
      </c>
      <c r="AG181" s="18"/>
      <c r="AH181" s="19"/>
    </row>
    <row r="182" spans="1:34" x14ac:dyDescent="0.3">
      <c r="A182" s="17">
        <v>2022</v>
      </c>
      <c r="B182" s="17">
        <v>3</v>
      </c>
      <c r="C182" s="18">
        <v>205117.94364216799</v>
      </c>
      <c r="D182" s="19">
        <v>5.4114546921610697E-2</v>
      </c>
      <c r="E182" s="18">
        <v>108518.36390904</v>
      </c>
      <c r="F182" s="19">
        <v>3.2769375787903697E-2</v>
      </c>
      <c r="G182" s="18">
        <v>42527.882779258602</v>
      </c>
      <c r="H182" s="19">
        <v>6.6206610744301994E-2</v>
      </c>
      <c r="I182" s="18">
        <v>49050.822834461098</v>
      </c>
      <c r="J182" s="19">
        <v>6.9870164444008995E-2</v>
      </c>
      <c r="K182" s="18">
        <v>10861.414665942601</v>
      </c>
      <c r="L182" s="19">
        <v>1.6635112267644001E-2</v>
      </c>
      <c r="M182" s="18">
        <v>-5840.5405465347203</v>
      </c>
      <c r="N182" s="19">
        <v>-0.15421267307456299</v>
      </c>
      <c r="O182" s="18">
        <v>199651.029031671</v>
      </c>
      <c r="P182" s="19">
        <v>3.76675908312036E-2</v>
      </c>
      <c r="Q182" s="18">
        <v>848.00707646664</v>
      </c>
      <c r="R182" s="19">
        <v>4.0236503725909097E-2</v>
      </c>
      <c r="S182" s="18">
        <v>8038.6369464617901</v>
      </c>
      <c r="T182" s="19">
        <v>6.6217878772089706E-2</v>
      </c>
      <c r="U182" s="18">
        <v>106.920148614773</v>
      </c>
      <c r="V182" s="19">
        <v>-7.5540494507671405E-2</v>
      </c>
      <c r="W182" s="18">
        <v>42097.936193520101</v>
      </c>
      <c r="X182" s="19">
        <v>2.94110384007258E-2</v>
      </c>
      <c r="Y182" s="18">
        <v>40481.141082636401</v>
      </c>
      <c r="Z182" s="19">
        <v>0.10995741668985801</v>
      </c>
      <c r="AA182" s="18">
        <v>195443.16796091199</v>
      </c>
      <c r="AB182" s="19">
        <v>3.6653364398115701E-2</v>
      </c>
      <c r="AC182" s="18">
        <v>13798.4662084631</v>
      </c>
      <c r="AD182" s="19">
        <v>0.11352129187231</v>
      </c>
      <c r="AE182" s="18">
        <v>18006.327279221699</v>
      </c>
      <c r="AF182" s="19">
        <v>0.10722446533178499</v>
      </c>
      <c r="AG182" s="18"/>
      <c r="AH182" s="19"/>
    </row>
    <row r="183" spans="1:34" x14ac:dyDescent="0.3">
      <c r="A183" s="17">
        <v>2022</v>
      </c>
      <c r="B183" s="17">
        <v>4</v>
      </c>
      <c r="C183" s="18">
        <v>210741.03205271999</v>
      </c>
      <c r="D183" s="19">
        <v>4.4834803956418999E-2</v>
      </c>
      <c r="E183" s="18">
        <v>114121.126403061</v>
      </c>
      <c r="F183" s="19">
        <v>4.1140814502192799E-2</v>
      </c>
      <c r="G183" s="18">
        <v>42293.622106915303</v>
      </c>
      <c r="H183" s="19">
        <v>1.33661800471487E-2</v>
      </c>
      <c r="I183" s="18">
        <v>49788.477798612497</v>
      </c>
      <c r="J183" s="19">
        <v>6.88127636090652E-2</v>
      </c>
      <c r="K183" s="18">
        <v>10388.370679640801</v>
      </c>
      <c r="L183" s="19">
        <v>-1.40783303616512E-2</v>
      </c>
      <c r="M183" s="18">
        <v>-5850.5649355094502</v>
      </c>
      <c r="N183" s="19">
        <v>-0.13569910463526</v>
      </c>
      <c r="O183" s="18">
        <v>198293.74354697799</v>
      </c>
      <c r="P183" s="19">
        <v>5.5719374135504401E-2</v>
      </c>
      <c r="Q183" s="18">
        <v>845.14262952562103</v>
      </c>
      <c r="R183" s="19">
        <v>2.9815050689644899E-2</v>
      </c>
      <c r="S183" s="18">
        <v>8160.4188589965397</v>
      </c>
      <c r="T183" s="19">
        <v>7.0666656731900104E-2</v>
      </c>
      <c r="U183" s="18">
        <v>108.522847633811</v>
      </c>
      <c r="V183" s="19">
        <v>-9.0289259844119493E-2</v>
      </c>
      <c r="W183" s="18">
        <v>52580.9272411645</v>
      </c>
      <c r="X183" s="19">
        <v>0.23051275379976799</v>
      </c>
      <c r="Y183" s="18">
        <v>57821.462365069099</v>
      </c>
      <c r="Z183" s="19">
        <v>0.15830735465253101</v>
      </c>
      <c r="AA183" s="18">
        <v>194134.576893563</v>
      </c>
      <c r="AB183" s="19">
        <v>5.5839423294091299E-2</v>
      </c>
      <c r="AC183" s="18">
        <v>14164.4328103855</v>
      </c>
      <c r="AD183" s="19">
        <v>0.11770755430812101</v>
      </c>
      <c r="AE183" s="18">
        <v>18323.599463801202</v>
      </c>
      <c r="AF183" s="19">
        <v>0.101620498935242</v>
      </c>
      <c r="AG183" s="18"/>
      <c r="AH183" s="19"/>
    </row>
    <row r="184" spans="1:34" x14ac:dyDescent="0.3">
      <c r="A184" s="17">
        <v>2023</v>
      </c>
      <c r="B184" s="17">
        <v>1</v>
      </c>
      <c r="C184" s="18">
        <v>207392.577930439</v>
      </c>
      <c r="D184" s="19">
        <v>3.8846211292723497E-2</v>
      </c>
      <c r="E184" s="18">
        <v>130384.27475401</v>
      </c>
      <c r="F184" s="19">
        <v>3.86054695996969E-2</v>
      </c>
      <c r="G184" s="18">
        <v>21439.178694957001</v>
      </c>
      <c r="H184" s="19">
        <v>-1.6006653721042999E-2</v>
      </c>
      <c r="I184" s="18">
        <v>50351.849799788099</v>
      </c>
      <c r="J184" s="19">
        <v>5.8817993957161599E-2</v>
      </c>
      <c r="K184" s="18">
        <v>11178.915051338199</v>
      </c>
      <c r="L184" s="19">
        <v>-5.9730259058477001E-5</v>
      </c>
      <c r="M184" s="18">
        <v>-5961.6403696543302</v>
      </c>
      <c r="N184" s="19">
        <v>-7.1785117745200105E-2</v>
      </c>
      <c r="O184" s="18">
        <v>187757.44015963699</v>
      </c>
      <c r="P184" s="19">
        <v>-1.2945749740207201E-2</v>
      </c>
      <c r="Q184" s="18">
        <v>830.04269039176404</v>
      </c>
      <c r="R184" s="19">
        <v>-1.07502768988998E-2</v>
      </c>
      <c r="S184" s="18">
        <v>8270.82308748586</v>
      </c>
      <c r="T184" s="19">
        <v>6.5741867250882699E-2</v>
      </c>
      <c r="U184" s="18">
        <v>93.085021560001294</v>
      </c>
      <c r="V184" s="19">
        <v>-4.5452434348006998E-2</v>
      </c>
      <c r="W184" s="18">
        <v>41201.898994505202</v>
      </c>
      <c r="X184" s="19">
        <v>0.21335097869630801</v>
      </c>
      <c r="Y184" s="18">
        <v>53489.341389772999</v>
      </c>
      <c r="Z184" s="19">
        <v>0.46343623316174398</v>
      </c>
      <c r="AA184" s="18">
        <v>183655.42222856899</v>
      </c>
      <c r="AB184" s="19">
        <v>-1.2959261281703299E-2</v>
      </c>
      <c r="AC184" s="18">
        <v>14542.8836131197</v>
      </c>
      <c r="AD184" s="19">
        <v>0.11329114495554</v>
      </c>
      <c r="AE184" s="18">
        <v>18644.901544187102</v>
      </c>
      <c r="AF184" s="19">
        <v>8.2983591958823599E-2</v>
      </c>
      <c r="AG184" s="18"/>
      <c r="AH184" s="19"/>
    </row>
    <row r="185" spans="1:34" x14ac:dyDescent="0.3">
      <c r="A185" s="17">
        <v>2023</v>
      </c>
      <c r="B185" s="17">
        <v>2</v>
      </c>
      <c r="C185" s="18">
        <v>207764.86587616199</v>
      </c>
      <c r="D185" s="19">
        <v>1.7421392516913499E-2</v>
      </c>
      <c r="E185" s="18">
        <v>115715.501093539</v>
      </c>
      <c r="F185" s="19">
        <v>3.7696042181689003E-2</v>
      </c>
      <c r="G185" s="18">
        <v>36169.107813212497</v>
      </c>
      <c r="H185" s="19">
        <v>-8.27956761252161E-2</v>
      </c>
      <c r="I185" s="18">
        <v>51064.379609523297</v>
      </c>
      <c r="J185" s="19">
        <v>5.6502300556356098E-2</v>
      </c>
      <c r="K185" s="18">
        <v>10739.5479261728</v>
      </c>
      <c r="L185" s="19">
        <v>-2.8852964069270199E-2</v>
      </c>
      <c r="M185" s="18">
        <v>-5923.6705662862196</v>
      </c>
      <c r="N185" s="19">
        <v>-3.3782275138951302E-2</v>
      </c>
      <c r="O185" s="18">
        <v>202463.03117507399</v>
      </c>
      <c r="P185" s="19">
        <v>4.0080461944855799E-3</v>
      </c>
      <c r="Q185" s="18">
        <v>828.88904023600196</v>
      </c>
      <c r="R185" s="19">
        <v>-2.02310847384429E-2</v>
      </c>
      <c r="S185" s="18">
        <v>8384.4777040691297</v>
      </c>
      <c r="T185" s="19">
        <v>6.06009351890184E-2</v>
      </c>
      <c r="U185" s="18">
        <v>104.340217111355</v>
      </c>
      <c r="V185" s="19">
        <v>-6.0333088544600198E-2</v>
      </c>
      <c r="W185" s="18">
        <v>49534.793321685502</v>
      </c>
      <c r="X185" s="19">
        <v>0.20386925514768001</v>
      </c>
      <c r="Y185" s="18">
        <v>47385.3795760516</v>
      </c>
      <c r="Z185" s="19">
        <v>0.28938175341533501</v>
      </c>
      <c r="AA185" s="18">
        <v>198381.36940507501</v>
      </c>
      <c r="AB185" s="19">
        <v>4.7852071031553303E-3</v>
      </c>
      <c r="AC185" s="18">
        <v>14910.461074888401</v>
      </c>
      <c r="AD185" s="19">
        <v>0.109846225584524</v>
      </c>
      <c r="AE185" s="18">
        <v>18992.122844887199</v>
      </c>
      <c r="AF185" s="19">
        <v>7.5863936550440297E-2</v>
      </c>
      <c r="AG185" s="18"/>
      <c r="AH185" s="19"/>
    </row>
    <row r="186" spans="1:34" x14ac:dyDescent="0.3">
      <c r="A186" s="17">
        <v>2023</v>
      </c>
      <c r="B186" s="17">
        <v>3</v>
      </c>
      <c r="C186" s="18">
        <v>207293.36781984899</v>
      </c>
      <c r="D186" s="19">
        <v>1.06057234147996E-2</v>
      </c>
      <c r="E186" s="18">
        <v>112868.93316947699</v>
      </c>
      <c r="F186" s="19">
        <v>4.0090627095001399E-2</v>
      </c>
      <c r="G186" s="18">
        <v>37975.722780004697</v>
      </c>
      <c r="H186" s="19">
        <v>-0.107039422180548</v>
      </c>
      <c r="I186" s="18">
        <v>51617.329705888202</v>
      </c>
      <c r="J186" s="19">
        <v>5.2323421364177398E-2</v>
      </c>
      <c r="K186" s="18">
        <v>10732.4965283493</v>
      </c>
      <c r="L186" s="19">
        <v>-1.18693689135716E-2</v>
      </c>
      <c r="M186" s="18">
        <v>-5901.1143638702397</v>
      </c>
      <c r="N186" s="19">
        <v>1.03712690380096E-2</v>
      </c>
      <c r="O186" s="18">
        <v>203534.85831169999</v>
      </c>
      <c r="P186" s="19">
        <v>1.9453089217050801E-2</v>
      </c>
      <c r="Q186" s="18">
        <v>832.914740660917</v>
      </c>
      <c r="R186" s="19">
        <v>-1.77974172911473E-2</v>
      </c>
      <c r="S186" s="18">
        <v>8501.3686107899393</v>
      </c>
      <c r="T186" s="19">
        <v>5.7563448556017902E-2</v>
      </c>
      <c r="U186" s="18">
        <v>106.79669255546401</v>
      </c>
      <c r="V186" s="19">
        <v>-1.1546566377636E-3</v>
      </c>
      <c r="W186" s="18">
        <v>51131.498069421403</v>
      </c>
      <c r="X186" s="19">
        <v>0.214584435549877</v>
      </c>
      <c r="Y186" s="18">
        <v>47328.3503999967</v>
      </c>
      <c r="Z186" s="19">
        <v>0.169145659787175</v>
      </c>
      <c r="AA186" s="18">
        <v>199401.184999252</v>
      </c>
      <c r="AB186" s="19">
        <v>2.02514985795339E-2</v>
      </c>
      <c r="AC186" s="18">
        <v>15277.49755874</v>
      </c>
      <c r="AD186" s="19">
        <v>0.107188098150346</v>
      </c>
      <c r="AE186" s="18">
        <v>19411.1708711877</v>
      </c>
      <c r="AF186" s="19">
        <v>7.8019441176496701E-2</v>
      </c>
      <c r="AG186" s="18"/>
      <c r="AH186" s="19"/>
    </row>
    <row r="187" spans="1:34" x14ac:dyDescent="0.3">
      <c r="A187" s="17">
        <v>2023</v>
      </c>
      <c r="B187" s="17">
        <v>4</v>
      </c>
      <c r="C187" s="18">
        <v>211738.99966246501</v>
      </c>
      <c r="D187" s="19">
        <v>4.7355163824713796E-3</v>
      </c>
      <c r="E187" s="18">
        <v>117629.022093826</v>
      </c>
      <c r="F187" s="19">
        <v>3.07383549508198E-2</v>
      </c>
      <c r="G187" s="18">
        <v>37877.894579284402</v>
      </c>
      <c r="H187" s="19">
        <v>-0.10440646385093801</v>
      </c>
      <c r="I187" s="18">
        <v>52078.470283524097</v>
      </c>
      <c r="J187" s="19">
        <v>4.5994426545320703E-2</v>
      </c>
      <c r="K187" s="18">
        <v>10230.159726419701</v>
      </c>
      <c r="L187" s="19">
        <v>-1.5229621477709E-2</v>
      </c>
      <c r="M187" s="18">
        <v>-6076.5470205892098</v>
      </c>
      <c r="N187" s="19">
        <v>3.8625686163772398E-2</v>
      </c>
      <c r="O187" s="18">
        <v>205261.961726507</v>
      </c>
      <c r="P187" s="19">
        <v>3.5140887729915297E-2</v>
      </c>
      <c r="Q187" s="18">
        <v>840.69435006098695</v>
      </c>
      <c r="R187" s="19">
        <v>-5.2633476400676402E-3</v>
      </c>
      <c r="S187" s="18">
        <v>8621.5923176777596</v>
      </c>
      <c r="T187" s="19">
        <v>5.6513454352014297E-2</v>
      </c>
      <c r="U187" s="18">
        <v>108.778068773179</v>
      </c>
      <c r="V187" s="19">
        <v>2.3517733355931099E-3</v>
      </c>
      <c r="W187" s="18">
        <v>41317.989199174903</v>
      </c>
      <c r="X187" s="19">
        <v>-0.21420196700472199</v>
      </c>
      <c r="Y187" s="18">
        <v>40122.907236288702</v>
      </c>
      <c r="Z187" s="19">
        <v>-0.30608971833047999</v>
      </c>
      <c r="AA187" s="18">
        <v>200954.580717668</v>
      </c>
      <c r="AB187" s="19">
        <v>3.5130289169682298E-2</v>
      </c>
      <c r="AC187" s="18">
        <v>15654.3060988695</v>
      </c>
      <c r="AD187" s="19">
        <v>0.10518411209459499</v>
      </c>
      <c r="AE187" s="18">
        <v>19961.6871077094</v>
      </c>
      <c r="AF187" s="19">
        <v>8.9397699788420507E-2</v>
      </c>
      <c r="AG187" s="18"/>
      <c r="AH187" s="19"/>
    </row>
    <row r="188" spans="1:34" x14ac:dyDescent="0.3">
      <c r="A188" s="17">
        <v>2024</v>
      </c>
      <c r="B188" s="17">
        <v>1</v>
      </c>
      <c r="C188" s="18">
        <v>208817.70960822399</v>
      </c>
      <c r="D188" s="19">
        <v>6.8716619080901901E-3</v>
      </c>
      <c r="E188" s="18">
        <v>134770.94528651901</v>
      </c>
      <c r="F188" s="19">
        <v>3.36441686759026E-2</v>
      </c>
      <c r="G188" s="18">
        <v>16215.5975123222</v>
      </c>
      <c r="H188" s="19">
        <v>-0.243646515426615</v>
      </c>
      <c r="I188" s="18">
        <v>52358.061897625397</v>
      </c>
      <c r="J188" s="19">
        <v>3.9843860867366798E-2</v>
      </c>
      <c r="K188" s="18">
        <v>11613.5132659999</v>
      </c>
      <c r="L188" s="19">
        <v>3.8876600516763102E-2</v>
      </c>
      <c r="M188" s="18">
        <v>-6140.4083542425096</v>
      </c>
      <c r="N188" s="19">
        <v>2.9986375142340399E-2</v>
      </c>
      <c r="O188" s="18">
        <v>201182.43283371101</v>
      </c>
      <c r="P188" s="19">
        <v>7.1501787959293406E-2</v>
      </c>
      <c r="Q188" s="18">
        <v>856.70719358865597</v>
      </c>
      <c r="R188" s="19">
        <v>3.21242551805467E-2</v>
      </c>
      <c r="S188" s="18">
        <v>8744.7944812506794</v>
      </c>
      <c r="T188" s="19">
        <v>5.7306435979987698E-2</v>
      </c>
      <c r="U188" s="18">
        <v>92.856047083925802</v>
      </c>
      <c r="V188" s="19">
        <v>-2.4598423273482998E-3</v>
      </c>
      <c r="W188" s="18">
        <v>44965.960026819099</v>
      </c>
      <c r="X188" s="19">
        <v>9.13564938551963E-2</v>
      </c>
      <c r="Y188" s="18">
        <v>44806.0055607541</v>
      </c>
      <c r="Z188" s="19">
        <v>-0.16233768454436601</v>
      </c>
      <c r="AA188" s="18">
        <v>196505.530654242</v>
      </c>
      <c r="AB188" s="19">
        <v>6.9968576313961001E-2</v>
      </c>
      <c r="AC188" s="18">
        <v>16051.548879849601</v>
      </c>
      <c r="AD188" s="19">
        <v>0.103739073134632</v>
      </c>
      <c r="AE188" s="18">
        <v>20728.451059318701</v>
      </c>
      <c r="AF188" s="19">
        <v>0.111749022122415</v>
      </c>
      <c r="AG188" s="18"/>
      <c r="AH188" s="19"/>
    </row>
    <row r="189" spans="1:34" x14ac:dyDescent="0.3">
      <c r="A189" s="17">
        <v>2024</v>
      </c>
      <c r="B189" s="17">
        <v>2</v>
      </c>
      <c r="C189" s="18">
        <v>213160.36547572399</v>
      </c>
      <c r="D189" s="19">
        <v>2.5969258935138399E-2</v>
      </c>
      <c r="E189" s="18">
        <v>120271.925644635</v>
      </c>
      <c r="F189" s="19">
        <v>3.9376094888202699E-2</v>
      </c>
      <c r="G189" s="18">
        <v>35136.939138145703</v>
      </c>
      <c r="H189" s="19">
        <v>-2.8537299852605801E-2</v>
      </c>
      <c r="I189" s="18">
        <v>52639.6604206255</v>
      </c>
      <c r="J189" s="19">
        <v>3.0848917056232501E-2</v>
      </c>
      <c r="K189" s="18">
        <v>11230.6641886704</v>
      </c>
      <c r="L189" s="19">
        <v>4.57296960611095E-2</v>
      </c>
      <c r="M189" s="18">
        <v>-6118.8239163519102</v>
      </c>
      <c r="N189" s="19">
        <v>3.29446662980191E-2</v>
      </c>
      <c r="O189" s="18">
        <v>209259.06014137701</v>
      </c>
      <c r="P189" s="19">
        <v>3.3566764889668498E-2</v>
      </c>
      <c r="Q189" s="18">
        <v>865.61551984014</v>
      </c>
      <c r="R189" s="19">
        <v>4.4308077223075101E-2</v>
      </c>
      <c r="S189" s="18">
        <v>8834.6677236570595</v>
      </c>
      <c r="T189" s="19">
        <v>5.3693269333812403E-2</v>
      </c>
      <c r="U189" s="18">
        <v>112.52815738905301</v>
      </c>
      <c r="V189" s="19">
        <v>7.84734832299534E-2</v>
      </c>
      <c r="W189" s="18">
        <v>49548.126737328799</v>
      </c>
      <c r="X189" s="19">
        <v>2.6917273191662299E-4</v>
      </c>
      <c r="Y189" s="18">
        <v>45592.908025247802</v>
      </c>
      <c r="Z189" s="19">
        <v>-3.7827523317122497E-2</v>
      </c>
      <c r="AA189" s="18">
        <v>204427.24855028701</v>
      </c>
      <c r="AB189" s="19">
        <v>3.0476043004152398E-2</v>
      </c>
      <c r="AC189" s="18">
        <v>16269.498477505</v>
      </c>
      <c r="AD189" s="19">
        <v>9.1146571242215702E-2</v>
      </c>
      <c r="AE189" s="18">
        <v>21101.3100685955</v>
      </c>
      <c r="AF189" s="19">
        <v>0.111055896222579</v>
      </c>
      <c r="AG189" s="18"/>
      <c r="AH189" s="19"/>
    </row>
    <row r="190" spans="1:34" x14ac:dyDescent="0.3">
      <c r="A190" s="17">
        <v>2024</v>
      </c>
      <c r="B190" s="17">
        <v>3</v>
      </c>
      <c r="C190" s="18">
        <v>214032.611491252</v>
      </c>
      <c r="D190" s="19">
        <v>3.2510657443030701E-2</v>
      </c>
      <c r="E190" s="18">
        <v>116284.196975094</v>
      </c>
      <c r="F190" s="19">
        <v>3.0258670031801899E-2</v>
      </c>
      <c r="G190" s="18">
        <v>39393.579796026301</v>
      </c>
      <c r="H190" s="19">
        <v>3.7335879668052997E-2</v>
      </c>
      <c r="I190" s="18">
        <v>53227.664694086998</v>
      </c>
      <c r="J190" s="19">
        <v>3.1197564797992499E-2</v>
      </c>
      <c r="K190" s="18">
        <v>11312.112622164699</v>
      </c>
      <c r="L190" s="19">
        <v>5.4005709881613399E-2</v>
      </c>
      <c r="M190" s="18">
        <v>-6184.9425961194802</v>
      </c>
      <c r="N190" s="19">
        <v>4.80973956354738E-2</v>
      </c>
      <c r="O190" s="18">
        <v>205375.29639686499</v>
      </c>
      <c r="P190" s="19">
        <v>9.0423728909687605E-3</v>
      </c>
      <c r="Q190" s="18">
        <v>870.74550520705498</v>
      </c>
      <c r="R190" s="19">
        <v>4.5419732295912202E-2</v>
      </c>
      <c r="S190" s="18">
        <v>8890.8022649342893</v>
      </c>
      <c r="T190" s="19">
        <v>4.5808348275838198E-2</v>
      </c>
      <c r="U190" s="18">
        <v>111.828839721107</v>
      </c>
      <c r="V190" s="19">
        <v>4.7118942031179098E-2</v>
      </c>
      <c r="W190" s="18">
        <v>46991.8618708914</v>
      </c>
      <c r="X190" s="19">
        <v>-8.0960588968264302E-2</v>
      </c>
      <c r="Y190" s="18">
        <v>47740.9490452725</v>
      </c>
      <c r="Z190" s="19">
        <v>8.71779053756838E-3</v>
      </c>
      <c r="AA190" s="18">
        <v>200557.36370375901</v>
      </c>
      <c r="AB190" s="19">
        <v>5.7982539296899099E-3</v>
      </c>
      <c r="AC190" s="18">
        <v>16313.1411308118</v>
      </c>
      <c r="AD190" s="19">
        <v>6.7788822619007996E-2</v>
      </c>
      <c r="AE190" s="18">
        <v>21131.073823917599</v>
      </c>
      <c r="AF190" s="19">
        <v>8.86037717221273E-2</v>
      </c>
      <c r="AG190" s="18"/>
      <c r="AH190" s="19"/>
    </row>
    <row r="191" spans="1:34" x14ac:dyDescent="0.3">
      <c r="A191" s="17">
        <v>2024</v>
      </c>
      <c r="B191" s="17">
        <v>4</v>
      </c>
      <c r="C191" s="18">
        <v>217946.298203721</v>
      </c>
      <c r="D191" s="19">
        <v>2.9315801770816802E-2</v>
      </c>
      <c r="E191" s="18">
        <v>121288.370891987</v>
      </c>
      <c r="F191" s="19">
        <v>3.11092342095824E-2</v>
      </c>
      <c r="G191" s="18">
        <v>38543.700766696202</v>
      </c>
      <c r="H191" s="19">
        <v>1.7577697884399598E-2</v>
      </c>
      <c r="I191" s="18">
        <v>53550.266924898897</v>
      </c>
      <c r="J191" s="19">
        <v>2.82611342722245E-2</v>
      </c>
      <c r="K191" s="18">
        <v>10851.942007924999</v>
      </c>
      <c r="L191" s="19">
        <v>6.0779332692085103E-2</v>
      </c>
      <c r="M191" s="18">
        <v>-6287.9823877860999</v>
      </c>
      <c r="N191" s="19">
        <v>3.4795314918238299E-2</v>
      </c>
      <c r="O191" s="18">
        <v>211562.00681854601</v>
      </c>
      <c r="P191" s="19">
        <v>3.0692706232794902E-2</v>
      </c>
      <c r="Q191" s="18">
        <v>872.22008866201895</v>
      </c>
      <c r="R191" s="19">
        <v>3.7499643715632497E-2</v>
      </c>
      <c r="S191" s="18">
        <v>8913.2183186983693</v>
      </c>
      <c r="T191" s="19">
        <v>3.3825074333736299E-2</v>
      </c>
      <c r="U191" s="18">
        <v>113.786955805914</v>
      </c>
      <c r="V191" s="19">
        <v>4.6046846475825902E-2</v>
      </c>
      <c r="W191" s="18">
        <v>50679.515960260702</v>
      </c>
      <c r="X191" s="19">
        <v>0.226572661025642</v>
      </c>
      <c r="Y191" s="18">
        <v>49136.596071204498</v>
      </c>
      <c r="Z191" s="19">
        <v>0.224651937154832</v>
      </c>
      <c r="AA191" s="18">
        <v>206940.293190286</v>
      </c>
      <c r="AB191" s="19">
        <v>2.9786394772596501E-2</v>
      </c>
      <c r="AC191" s="18">
        <v>16181.2351842513</v>
      </c>
      <c r="AD191" s="19">
        <v>3.3660328477914399E-2</v>
      </c>
      <c r="AE191" s="18">
        <v>20802.948812512001</v>
      </c>
      <c r="AF191" s="19">
        <v>4.2143817817767999E-2</v>
      </c>
      <c r="AG191" s="18"/>
      <c r="AH191" s="19"/>
    </row>
    <row r="192" spans="1:34" x14ac:dyDescent="0.3">
      <c r="A192" s="17">
        <v>2025</v>
      </c>
      <c r="B192" s="17">
        <v>1</v>
      </c>
      <c r="C192" s="18">
        <v>215928.90837477299</v>
      </c>
      <c r="D192" s="19">
        <v>3.4054576979560602E-2</v>
      </c>
      <c r="E192" s="18">
        <v>136375.36951669399</v>
      </c>
      <c r="F192" s="19">
        <v>1.19048228589915E-2</v>
      </c>
      <c r="G192" s="18">
        <v>20275.715004306501</v>
      </c>
      <c r="H192" s="19">
        <v>0.25038346498789199</v>
      </c>
      <c r="I192" s="18">
        <v>53894.345640364598</v>
      </c>
      <c r="J192" s="19">
        <v>2.9341875674142599E-2</v>
      </c>
      <c r="K192" s="18">
        <v>11767.559543375801</v>
      </c>
      <c r="L192" s="19">
        <v>1.3264399312034301E-2</v>
      </c>
      <c r="M192" s="18">
        <v>-6384.0813299678302</v>
      </c>
      <c r="N192" s="19">
        <v>3.9683513158691897E-2</v>
      </c>
      <c r="O192" s="18">
        <v>202774.04474035199</v>
      </c>
      <c r="P192" s="19">
        <v>7.9112867074084808E-3</v>
      </c>
      <c r="Q192" s="18">
        <v>871.94251073479302</v>
      </c>
      <c r="R192" s="19">
        <v>1.77835756022049E-2</v>
      </c>
      <c r="S192" s="18">
        <v>8845.8101902206799</v>
      </c>
      <c r="T192" s="19">
        <v>1.1551524645500201E-2</v>
      </c>
      <c r="U192" s="18">
        <v>101.93299579361999</v>
      </c>
      <c r="V192" s="19">
        <v>9.7752908881530806E-2</v>
      </c>
      <c r="W192" s="18">
        <v>43004.352380311502</v>
      </c>
      <c r="X192" s="19">
        <v>-4.3624280352019401E-2</v>
      </c>
      <c r="Y192" s="18">
        <v>48287.281331039703</v>
      </c>
      <c r="Z192" s="19">
        <v>7.7696633000795504E-2</v>
      </c>
      <c r="AA192" s="18">
        <v>198606.60180976699</v>
      </c>
      <c r="AB192" s="19">
        <v>1.06921731339082E-2</v>
      </c>
      <c r="AC192" s="18">
        <v>15866.266724118201</v>
      </c>
      <c r="AD192" s="19">
        <v>-1.1542945613431299E-2</v>
      </c>
      <c r="AE192" s="18">
        <v>20033.709654703001</v>
      </c>
      <c r="AF192" s="19">
        <v>-3.3516320280156303E-2</v>
      </c>
      <c r="AG192" s="18"/>
      <c r="AH192" s="19"/>
    </row>
    <row r="193" spans="1:34" x14ac:dyDescent="0.3">
      <c r="A193" s="17">
        <v>2025</v>
      </c>
      <c r="B193" s="17">
        <v>2</v>
      </c>
      <c r="C193" s="18">
        <v>217322.35743783999</v>
      </c>
      <c r="D193" s="19">
        <v>1.9525168071591499E-2</v>
      </c>
      <c r="E193" s="18">
        <v>121202.544112448</v>
      </c>
      <c r="F193" s="19">
        <v>7.7376200873611198E-3</v>
      </c>
      <c r="G193" s="18">
        <v>36657.343185641403</v>
      </c>
      <c r="H193" s="19">
        <v>4.3270816547738199E-2</v>
      </c>
      <c r="I193" s="18">
        <v>54280.760504363199</v>
      </c>
      <c r="J193" s="19">
        <v>3.1176114561231299E-2</v>
      </c>
      <c r="K193" s="18">
        <v>11531.168254279601</v>
      </c>
      <c r="L193" s="19">
        <v>2.67574615856143E-2</v>
      </c>
      <c r="M193" s="18">
        <v>-6349.4586188927897</v>
      </c>
      <c r="N193" s="19">
        <v>3.7692652328910302E-2</v>
      </c>
      <c r="O193" s="18">
        <v>207601.00904439099</v>
      </c>
      <c r="P193" s="19">
        <v>-7.9234375604372298E-3</v>
      </c>
      <c r="Q193" s="18">
        <v>873.53239837651597</v>
      </c>
      <c r="R193" s="19">
        <v>9.1459526255242007E-3</v>
      </c>
      <c r="S193" s="18">
        <v>8871.1002252396993</v>
      </c>
      <c r="T193" s="19">
        <v>4.1238111859125404E-3</v>
      </c>
      <c r="U193" s="18">
        <v>115.825082268504</v>
      </c>
      <c r="V193" s="19">
        <v>2.9298665826829901E-2</v>
      </c>
      <c r="W193" s="18">
        <v>45655.381723805403</v>
      </c>
      <c r="X193" s="19">
        <v>-7.8564928078112398E-2</v>
      </c>
      <c r="Y193" s="18">
        <v>47494.987372659001</v>
      </c>
      <c r="Z193" s="19">
        <v>4.1718754731720202E-2</v>
      </c>
      <c r="AA193" s="18">
        <v>203647.01265733701</v>
      </c>
      <c r="AB193" s="19">
        <v>-3.8166922388456199E-3</v>
      </c>
      <c r="AC193" s="18">
        <v>15618.9566474121</v>
      </c>
      <c r="AD193" s="19">
        <v>-3.9985364699002698E-2</v>
      </c>
      <c r="AE193" s="18">
        <v>19572.953034466998</v>
      </c>
      <c r="AF193" s="19">
        <v>-7.2429485617725706E-2</v>
      </c>
      <c r="AG193" s="18"/>
      <c r="AH193" s="19"/>
    </row>
    <row r="194" spans="1:34" x14ac:dyDescent="0.3">
      <c r="A194" s="17">
        <v>2025</v>
      </c>
      <c r="B194" s="17">
        <v>3</v>
      </c>
      <c r="C194" s="18">
        <v>215197.09282284201</v>
      </c>
      <c r="D194" s="19">
        <v>5.44067244461477E-3</v>
      </c>
      <c r="E194" s="18">
        <v>119686.45893745399</v>
      </c>
      <c r="F194" s="19">
        <v>2.9258162767285399E-2</v>
      </c>
      <c r="G194" s="18">
        <v>35746.864351719203</v>
      </c>
      <c r="H194" s="19">
        <v>-9.2571313985404705E-2</v>
      </c>
      <c r="I194" s="18">
        <v>54453.572627604299</v>
      </c>
      <c r="J194" s="19">
        <v>2.3031405577587299E-2</v>
      </c>
      <c r="K194" s="18">
        <v>11656.0267561939</v>
      </c>
      <c r="L194" s="19">
        <v>3.04022904930519E-2</v>
      </c>
      <c r="M194" s="18">
        <v>-6345.8298501298996</v>
      </c>
      <c r="N194" s="19">
        <v>2.6012731971250001E-2</v>
      </c>
      <c r="O194" s="18">
        <v>204772.326324597</v>
      </c>
      <c r="P194" s="19">
        <v>-2.9359425541782801E-3</v>
      </c>
      <c r="Q194" s="18">
        <v>874.553130026242</v>
      </c>
      <c r="R194" s="19">
        <v>4.3728331601109397E-3</v>
      </c>
      <c r="S194" s="18">
        <v>8880.2266170494695</v>
      </c>
      <c r="T194" s="19">
        <v>-1.1895043405165701E-3</v>
      </c>
      <c r="U194" s="18">
        <v>122.580064114565</v>
      </c>
      <c r="V194" s="19">
        <v>9.6139997698900401E-2</v>
      </c>
      <c r="W194" s="18">
        <v>41660.918741649701</v>
      </c>
      <c r="X194" s="19">
        <v>-0.113443964912227</v>
      </c>
      <c r="Y194" s="18">
        <v>44202.5918169863</v>
      </c>
      <c r="Z194" s="19">
        <v>-7.4115770612997706E-2</v>
      </c>
      <c r="AA194" s="18">
        <v>200887.90093820199</v>
      </c>
      <c r="AB194" s="19">
        <v>1.64809323546478E-3</v>
      </c>
      <c r="AC194" s="18">
        <v>15427.6677121837</v>
      </c>
      <c r="AD194" s="19">
        <v>-5.4279762035263399E-2</v>
      </c>
      <c r="AE194" s="18">
        <v>19312.093098578101</v>
      </c>
      <c r="AF194" s="19">
        <v>-8.6080846647777806E-2</v>
      </c>
      <c r="AG194" s="18"/>
      <c r="AH194" s="19"/>
    </row>
    <row r="195" spans="1:34" x14ac:dyDescent="0.3">
      <c r="A195" s="17"/>
      <c r="B195" s="17"/>
      <c r="C195" s="18"/>
      <c r="D195" s="19"/>
      <c r="E195" s="18"/>
      <c r="F195" s="19"/>
      <c r="G195" s="18"/>
      <c r="H195" s="19"/>
      <c r="I195" s="18"/>
      <c r="J195" s="19"/>
      <c r="K195" s="18"/>
      <c r="L195" s="19"/>
      <c r="M195" s="18"/>
      <c r="N195" s="19"/>
      <c r="O195" s="18"/>
      <c r="P195" s="19"/>
      <c r="Q195" s="18"/>
      <c r="R195" s="19"/>
      <c r="S195" s="18"/>
      <c r="T195" s="19"/>
      <c r="U195" s="18"/>
      <c r="V195" s="19"/>
      <c r="W195" s="18"/>
      <c r="X195" s="19"/>
      <c r="Y195" s="18"/>
      <c r="Z195" s="19"/>
      <c r="AA195" s="18"/>
      <c r="AB195" s="19"/>
      <c r="AC195" s="18"/>
      <c r="AD195" s="19"/>
      <c r="AE195" s="18"/>
      <c r="AF195" s="19"/>
      <c r="AG195" s="18"/>
      <c r="AH195" s="19"/>
    </row>
  </sheetData>
  <sheetProtection password="DD0B" sheet="1"/>
  <mergeCells count="33">
    <mergeCell ref="AA4:AF4"/>
    <mergeCell ref="AC5:AD10"/>
    <mergeCell ref="AE5:AF10"/>
    <mergeCell ref="C4:N4"/>
    <mergeCell ref="E5:F10"/>
    <mergeCell ref="G5:H10"/>
    <mergeCell ref="I5:J10"/>
    <mergeCell ref="K5:L10"/>
    <mergeCell ref="M5:N10"/>
    <mergeCell ref="Q5:R10"/>
    <mergeCell ref="S5:T10"/>
    <mergeCell ref="W5:X10"/>
    <mergeCell ref="Y5:Z10"/>
    <mergeCell ref="O4:Z4"/>
    <mergeCell ref="AC11:AD11"/>
    <mergeCell ref="AE11:AF11"/>
    <mergeCell ref="AA11:AB11"/>
    <mergeCell ref="Q11:R11"/>
    <mergeCell ref="S11:T11"/>
    <mergeCell ref="W11:X11"/>
    <mergeCell ref="Y11:Z11"/>
    <mergeCell ref="O11:P11"/>
    <mergeCell ref="AA6:AB10"/>
    <mergeCell ref="O5:P10"/>
    <mergeCell ref="C5:D10"/>
    <mergeCell ref="C11:D11"/>
    <mergeCell ref="E11:F11"/>
    <mergeCell ref="G11:H11"/>
    <mergeCell ref="I11:J11"/>
    <mergeCell ref="K11:L11"/>
    <mergeCell ref="M11:N11"/>
    <mergeCell ref="U5:V10"/>
    <mergeCell ref="U11:V11"/>
  </mergeCells>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Table04"/>
  <dimension ref="A1:AH57"/>
  <sheetViews>
    <sheetView showGridLines="0" zoomScaleNormal="100" workbookViewId="0">
      <pane xSplit="2" ySplit="11" topLeftCell="C12" activePane="bottomRight" state="frozen"/>
      <selection pane="topRight"/>
      <selection pane="bottomLeft"/>
      <selection pane="bottomRight" activeCell="H38" sqref="H38"/>
    </sheetView>
  </sheetViews>
  <sheetFormatPr baseColWidth="10" defaultRowHeight="10.15" x14ac:dyDescent="0.3"/>
  <cols>
    <col min="1" max="1" width="9.75" customWidth="1"/>
    <col min="2" max="2" width="2.6640625" customWidth="1"/>
    <col min="3" max="34" width="9.75" customWidth="1"/>
  </cols>
  <sheetData>
    <row r="1" spans="1:34" ht="11.25" customHeight="1" x14ac:dyDescent="0.3">
      <c r="A1" s="6" t="str">
        <f ca="1">INDIRECT("beschriftung!"&amp;ADDRESS(beschriftung!$C$1*12+ROW(beschriftung!$A1)-1,COLUMN(beschriftung!A$1)))</f>
        <v>ESA 2010, Quarterly aggregates of Gross Domestic Product, income approach, raw data</v>
      </c>
      <c r="C1" s="9"/>
      <c r="D1" s="10"/>
      <c r="E1" s="9"/>
      <c r="F1" s="10"/>
      <c r="G1" s="9"/>
      <c r="H1" s="10"/>
      <c r="I1" s="9"/>
      <c r="J1" s="10"/>
      <c r="K1" s="9"/>
      <c r="L1" s="10"/>
      <c r="M1" s="9"/>
      <c r="N1" s="10"/>
      <c r="O1" s="9"/>
      <c r="P1" s="10"/>
      <c r="Q1" s="9"/>
      <c r="R1" s="10"/>
      <c r="S1" s="9"/>
      <c r="T1" s="10"/>
      <c r="U1" s="10"/>
      <c r="V1" s="10"/>
      <c r="W1" s="9"/>
      <c r="X1" s="10"/>
      <c r="Y1" s="9"/>
      <c r="Z1" s="10"/>
      <c r="AA1" s="9"/>
      <c r="AB1" s="10"/>
      <c r="AC1" s="9"/>
      <c r="AD1" s="10"/>
      <c r="AE1" s="9"/>
      <c r="AF1" s="10"/>
    </row>
    <row r="2" spans="1:34" ht="11.25" customHeight="1" x14ac:dyDescent="0.3">
      <c r="A2" s="3" t="str">
        <f ca="1">INDIRECT("beschriftung!"&amp;ADDRESS(beschriftung!$C$1*12+ROW(beschriftung!$A2)-1,COLUMN(beschriftung!B$1)))</f>
        <v>In Mio. Swiss Francs, at current prices, percentage change to previous year</v>
      </c>
      <c r="C2" s="9"/>
      <c r="D2" s="10"/>
      <c r="E2" s="9"/>
      <c r="F2" s="10"/>
      <c r="G2" s="9"/>
      <c r="H2" s="10"/>
      <c r="I2" s="9"/>
      <c r="J2" s="10"/>
      <c r="K2" s="9"/>
      <c r="L2" s="10"/>
      <c r="M2" s="9"/>
      <c r="N2" s="10"/>
      <c r="O2" s="9"/>
      <c r="P2" s="10"/>
      <c r="Q2" s="9"/>
      <c r="R2" s="10"/>
      <c r="S2" s="9"/>
      <c r="T2" s="10"/>
      <c r="U2" s="10"/>
      <c r="V2" s="10"/>
      <c r="W2" s="9"/>
      <c r="X2" s="10"/>
      <c r="Y2" s="9"/>
      <c r="Z2" s="10"/>
      <c r="AA2" s="9"/>
      <c r="AB2" s="10"/>
      <c r="AC2" s="9"/>
      <c r="AD2" s="10"/>
      <c r="AE2" s="9"/>
      <c r="AF2" s="10"/>
    </row>
    <row r="3" spans="1:34" ht="11.25" customHeight="1" x14ac:dyDescent="0.3">
      <c r="C3" s="9"/>
      <c r="D3" s="10"/>
      <c r="E3" s="9"/>
      <c r="F3" s="10"/>
      <c r="G3" s="9"/>
      <c r="H3" s="10"/>
      <c r="I3" s="9"/>
      <c r="J3" s="10"/>
      <c r="K3" s="9"/>
      <c r="L3" s="10"/>
      <c r="M3" s="9"/>
      <c r="N3" s="10"/>
      <c r="O3" s="9"/>
      <c r="P3" s="10"/>
      <c r="Q3" s="9"/>
      <c r="R3" s="10"/>
      <c r="S3" s="9"/>
      <c r="T3" s="10"/>
      <c r="U3" s="10"/>
      <c r="V3" s="10"/>
      <c r="W3" s="9"/>
      <c r="X3" s="10"/>
      <c r="Y3" s="9"/>
      <c r="Z3" s="10"/>
      <c r="AA3" s="9"/>
      <c r="AB3" s="10"/>
      <c r="AC3" s="9"/>
      <c r="AD3" s="10"/>
      <c r="AE3" s="9"/>
      <c r="AF3" s="10"/>
    </row>
    <row r="4" spans="1:34" ht="11.25" customHeight="1" x14ac:dyDescent="0.3">
      <c r="A4" s="5"/>
      <c r="C4" s="38" t="str">
        <f ca="1">INDIRECT("beschriftung!"&amp;ADDRESS(beschriftung!$C$1*12+ROW(beschriftung!$A5)-1,COLUMN(beschriftung!C$1)))</f>
        <v xml:space="preserve">Gross domestic product </v>
      </c>
      <c r="D4" s="44" t="e">
        <f ca="1">IF(INDIRECT("beschriftung.!"&amp;ADDRESS(#REF!*12+ROW($A5)-1,COLUMN(D$1)))="","",INDIRECT("beschriftung.!"&amp;ADDRESS(#REF!*12+ROW($A5)-1,COLUMN(D$1))))</f>
        <v>#REF!</v>
      </c>
      <c r="E4" s="44" t="e">
        <f ca="1">IF(INDIRECT("beschriftung.!"&amp;ADDRESS(#REF!*12+ROW($A5)-1,COLUMN(E$1)))="","",INDIRECT("beschriftung.!"&amp;ADDRESS(#REF!*12+ROW($A5)-1,COLUMN(E$1))))</f>
        <v>#REF!</v>
      </c>
      <c r="F4" s="44" t="e">
        <f ca="1">IF(INDIRECT("beschriftung.!"&amp;ADDRESS(#REF!*12+ROW($A5)-1,COLUMN(F$1)))="","",INDIRECT("beschriftung.!"&amp;ADDRESS(#REF!*12+ROW($A5)-1,COLUMN(F$1))))</f>
        <v>#REF!</v>
      </c>
      <c r="G4" s="44" t="e">
        <f ca="1">IF(INDIRECT("beschriftung.!"&amp;ADDRESS(#REF!*12+ROW($A5)-1,COLUMN(G$1)))="","",INDIRECT("beschriftung.!"&amp;ADDRESS(#REF!*12+ROW($A5)-1,COLUMN(G$1))))</f>
        <v>#REF!</v>
      </c>
      <c r="H4" s="44" t="e">
        <f ca="1">IF(INDIRECT("beschriftung.!"&amp;ADDRESS(#REF!*12+ROW($A5)-1,COLUMN(H$1)))="","",INDIRECT("beschriftung.!"&amp;ADDRESS(#REF!*12+ROW($A5)-1,COLUMN(H$1))))</f>
        <v>#REF!</v>
      </c>
      <c r="I4" s="44" t="e">
        <f ca="1">IF(INDIRECT("beschriftung.!"&amp;ADDRESS(#REF!*12+ROW($A5)-1,COLUMN(I$1)))="","",INDIRECT("beschriftung.!"&amp;ADDRESS(#REF!*12+ROW($A5)-1,COLUMN(I$1))))</f>
        <v>#REF!</v>
      </c>
      <c r="J4" s="44" t="e">
        <f ca="1">IF(INDIRECT("beschriftung.!"&amp;ADDRESS(#REF!*12+ROW($A5)-1,COLUMN(J$1)))="","",INDIRECT("beschriftung.!"&amp;ADDRESS(#REF!*12+ROW($A5)-1,COLUMN(J$1))))</f>
        <v>#REF!</v>
      </c>
      <c r="K4" s="44" t="e">
        <f ca="1">IF(INDIRECT("beschriftung.!"&amp;ADDRESS(#REF!*12+ROW($A5)-1,COLUMN(K$1)))="","",INDIRECT("beschriftung.!"&amp;ADDRESS(#REF!*12+ROW($A5)-1,COLUMN(K$1))))</f>
        <v>#REF!</v>
      </c>
      <c r="L4" s="44" t="e">
        <f ca="1">IF(INDIRECT("beschriftung.!"&amp;ADDRESS(#REF!*12+ROW($A5)-1,COLUMN(L$1)))="","",INDIRECT("beschriftung.!"&amp;ADDRESS(#REF!*12+ROW($A5)-1,COLUMN(L$1))))</f>
        <v>#REF!</v>
      </c>
      <c r="M4" s="44" t="e">
        <f ca="1">IF(INDIRECT("beschriftung.!"&amp;ADDRESS(#REF!*12+ROW($A5)-1,COLUMN(M$1)))="","",INDIRECT("beschriftung.!"&amp;ADDRESS(#REF!*12+ROW($A5)-1,COLUMN(M$1))))</f>
        <v>#REF!</v>
      </c>
      <c r="N4" s="39" t="e">
        <f ca="1">IF(INDIRECT("beschriftung.!"&amp;ADDRESS(#REF!*12+ROW($A5)-1,COLUMN(N$1)))="","",INDIRECT("beschriftung.!"&amp;ADDRESS(#REF!*12+ROW($A5)-1,COLUMN(N$1))))</f>
        <v>#REF!</v>
      </c>
      <c r="O4" s="38" t="str">
        <f ca="1">IF(INDIRECT("beschriftung!"&amp;ADDRESS(beschriftung!$C$1*12+ROW($A5)-1,COLUMN(O$1)))="","",INDIRECT("beschriftung!"&amp;ADDRESS(beschriftung!$C$1*12+ROW($A5)-1,COLUMN(O$1))))</f>
        <v>Gross national income</v>
      </c>
      <c r="P4" s="44" t="e">
        <f ca="1">IF(INDIRECT("beschriftung.!"&amp;ADDRESS(#REF!*12+ROW($A5)-1,COLUMN(P$1)))="","",INDIRECT("beschriftung.!"&amp;ADDRESS(#REF!*12+ROW($A5)-1,COLUMN(P$1))))</f>
        <v>#REF!</v>
      </c>
      <c r="Q4" s="44" t="e">
        <f ca="1">IF(INDIRECT("beschriftung.!"&amp;ADDRESS(#REF!*12+ROW($A5)-1,COLUMN(Q$1)))="","",INDIRECT("beschriftung.!"&amp;ADDRESS(#REF!*12+ROW($A5)-1,COLUMN(Q$1))))</f>
        <v>#REF!</v>
      </c>
      <c r="R4" s="44" t="e">
        <f ca="1">IF(INDIRECT("beschriftung.!"&amp;ADDRESS(#REF!*12+ROW($A5)-1,COLUMN(R$1)))="","",INDIRECT("beschriftung.!"&amp;ADDRESS(#REF!*12+ROW($A5)-1,COLUMN(R$1))))</f>
        <v>#REF!</v>
      </c>
      <c r="S4" s="44" t="e">
        <f ca="1">IF(INDIRECT("beschriftung.!"&amp;ADDRESS(#REF!*12+ROW($A5)-1,COLUMN(S$1)))="","",INDIRECT("beschriftung.!"&amp;ADDRESS(#REF!*12+ROW($A5)-1,COLUMN(S$1))))</f>
        <v>#REF!</v>
      </c>
      <c r="T4" s="44" t="e">
        <f ca="1">IF(INDIRECT("beschriftung.!"&amp;ADDRESS(#REF!*12+ROW($A5)-1,COLUMN(T$1)))="","",INDIRECT("beschriftung.!"&amp;ADDRESS(#REF!*12+ROW($A5)-1,COLUMN(T$1))))</f>
        <v>#REF!</v>
      </c>
      <c r="U4" s="44"/>
      <c r="V4" s="44"/>
      <c r="W4" s="44" t="e">
        <f ca="1">IF(INDIRECT("beschriftung.!"&amp;ADDRESS(#REF!*12+ROW($A5)-1,COLUMN(W$1)))="","",INDIRECT("beschriftung.!"&amp;ADDRESS(#REF!*12+ROW($A5)-1,COLUMN(W$1))))</f>
        <v>#REF!</v>
      </c>
      <c r="X4" s="44" t="e">
        <f ca="1">IF(INDIRECT("beschriftung.!"&amp;ADDRESS(#REF!*12+ROW($A5)-1,COLUMN(X$1)))="","",INDIRECT("beschriftung.!"&amp;ADDRESS(#REF!*12+ROW($A5)-1,COLUMN(X$1))))</f>
        <v>#REF!</v>
      </c>
      <c r="Y4" s="44" t="e">
        <f ca="1">IF(INDIRECT("beschriftung.!"&amp;ADDRESS(#REF!*12+ROW($A5)-1,COLUMN(Y$1)))="","",INDIRECT("beschriftung.!"&amp;ADDRESS(#REF!*12+ROW($A5)-1,COLUMN(Y$1))))</f>
        <v>#REF!</v>
      </c>
      <c r="Z4" s="39" t="e">
        <f ca="1">IF(INDIRECT("beschriftung.!"&amp;ADDRESS(#REF!*12+ROW($A5)-1,COLUMN(Z$1)))="","",INDIRECT("beschriftung.!"&amp;ADDRESS(#REF!*12+ROW($A5)-1,COLUMN(Z$1))))</f>
        <v>#REF!</v>
      </c>
      <c r="AA4" s="38" t="str">
        <f ca="1">INDIRECT("beschriftung!"&amp;ADDRESS(beschriftung!$C$1*12+ROW(beschriftung!$A5)-1,COLUMN(beschriftung!AA$1)))</f>
        <v>Disposable income, gross</v>
      </c>
      <c r="AB4" s="44"/>
      <c r="AC4" s="44"/>
      <c r="AD4" s="44"/>
      <c r="AE4" s="44"/>
      <c r="AF4" s="39"/>
    </row>
    <row r="5" spans="1:34" ht="11.25" customHeight="1" x14ac:dyDescent="0.3">
      <c r="A5" s="5"/>
      <c r="C5" s="31"/>
      <c r="D5" s="26"/>
      <c r="E5" s="38" t="str">
        <f ca="1">INDIRECT("beschriftung!"&amp;ADDRESS(beschriftung!$C$1*12+ROW(beschriftung!$A7)-1,COLUMN(beschriftung!E$1)))</f>
        <v>Compensation of employees</v>
      </c>
      <c r="F5" s="39"/>
      <c r="G5" s="38" t="str">
        <f ca="1">INDIRECT("beschriftung!"&amp;ADDRESS(beschriftung!$C$1*12+ROW(beschriftung!$A7)-1,COLUMN(beschriftung!G$1)))</f>
        <v>Net operating surplus and net mixed income</v>
      </c>
      <c r="H5" s="39"/>
      <c r="I5" s="38" t="str">
        <f ca="1">INDIRECT("beschriftung!"&amp;ADDRESS(beschriftung!$C$1*12+ROW(beschriftung!$A7)-1,COLUMN(beschriftung!I$1)))</f>
        <v xml:space="preserve">Consumption of fixed capital </v>
      </c>
      <c r="J5" s="39"/>
      <c r="K5" s="38" t="str">
        <f ca="1">INDIRECT("beschriftung!"&amp;ADDRESS(beschriftung!$C$1*12+ROW(beschriftung!$A7)-1,COLUMN(beschriftung!K$1)))</f>
        <v>Taxes on production and imports</v>
      </c>
      <c r="L5" s="39"/>
      <c r="M5" s="38" t="str">
        <f ca="1">INDIRECT("beschriftung!"&amp;ADDRESS(beschriftung!$C$1*12+ROW(beschriftung!$A7)-1,COLUMN(beschriftung!M$1)))</f>
        <v>Subsidies</v>
      </c>
      <c r="N5" s="39"/>
      <c r="O5" s="25" t="str">
        <f ca="1">IF(INDIRECT("beschriftung!"&amp;ADDRESS(beschriftung!$C$1*12+ROW($A6)-1,COLUMN(O$1)))="","",INDIRECT("beschriftung!"&amp;ADDRESS(beschriftung!$C$1*12+ROW($A6)-1,COLUMN(O$1))))</f>
        <v/>
      </c>
      <c r="P5" s="26" t="e">
        <f ca="1">IF(INDIRECT("beschriftung.!"&amp;ADDRESS(#REF!*12+ROW($A6)-1,COLUMN(P$1)))="","",INDIRECT("beschriftung.!"&amp;ADDRESS(#REF!*12+ROW($A6)-1,COLUMN(P$1))))</f>
        <v>#REF!</v>
      </c>
      <c r="Q5" s="38" t="str">
        <f ca="1">INDIRECT("beschriftung!"&amp;ADDRESS(beschriftung!$C$1*12+ROW(beschriftung!$A7)-1,COLUMN(beschriftung!Q$1)))</f>
        <v>Compensation of employees received from the rest of the world</v>
      </c>
      <c r="R5" s="39"/>
      <c r="S5" s="38" t="str">
        <f ca="1">INDIRECT("beschriftung!"&amp;ADDRESS(beschriftung!$C$1*12+ROW(beschriftung!$A7)-1,COLUMN(beschriftung!S$1)))</f>
        <v>Compensation of employees paid to the rest of the world</v>
      </c>
      <c r="T5" s="39"/>
      <c r="U5" s="38" t="str">
        <f ca="1">INDIRECT("beschriftung!"&amp;ADDRESS(beschriftung!$C$1*12+ROW(beschriftung!$A7)-1,COLUMN(beschriftung!U$1)))</f>
        <v>Taxes on production and imports received from the rest of the world</v>
      </c>
      <c r="V5" s="39"/>
      <c r="W5" s="38" t="str">
        <f ca="1">INDIRECT("beschriftung!"&amp;ADDRESS(beschriftung!$C$1*12+ROW(beschriftung!$A7)-1,COLUMN(beschriftung!W$1)))</f>
        <v>Property income received from the rest of the world</v>
      </c>
      <c r="X5" s="39"/>
      <c r="Y5" s="38" t="str">
        <f ca="1">INDIRECT("beschriftung!"&amp;ADDRESS(beschriftung!$C$1*12+ROW(beschriftung!$A7)-1,COLUMN(beschriftung!Y$1)))</f>
        <v>Property income paid to the rest of the world</v>
      </c>
      <c r="Z5" s="39"/>
      <c r="AA5" s="8"/>
      <c r="AB5" s="11" t="str">
        <f ca="1">IF(INDIRECT("beschriftung!"&amp;ADDRESS(beschriftung!$C$1*12+ROW($A6)-1,COLUMN(AB$1)))="","",INDIRECT("beschriftung!"&amp;ADDRESS(beschriftung!$C$1*12+ROW($A6)-1,COLUMN(AB$1))))</f>
        <v/>
      </c>
      <c r="AC5" s="38" t="str">
        <f ca="1">INDIRECT("beschriftung!"&amp;ADDRESS(beschriftung!$C$1*12+ROW(beschriftung!$A7)-1,COLUMN(beschriftung!AC$1)))</f>
        <v>Current transfers receivable from the rest of the world</v>
      </c>
      <c r="AD5" s="39"/>
      <c r="AE5" s="38" t="str">
        <f ca="1">INDIRECT("beschriftung!"&amp;ADDRESS(beschriftung!$C$1*12+ROW(beschriftung!$A7)-1,COLUMN(beschriftung!AE$1)))</f>
        <v>Current transfers payable to the rest of the world</v>
      </c>
      <c r="AF5" s="39"/>
      <c r="AG5" s="4" t="str">
        <f ca="1">IF(INDIRECT("beschriftung!"&amp;ADDRESS(beschriftung!$C$1*12+ROW($A6)-1,COLUMN(AG$1)))="","",INDIRECT("beschriftung!"&amp;ADDRESS(beschriftung!$C$1*12+ROW($A6)-1,COLUMN(AG$1))))</f>
        <v/>
      </c>
    </row>
    <row r="6" spans="1:34" ht="11.25" customHeight="1" x14ac:dyDescent="0.3">
      <c r="A6" s="5"/>
      <c r="C6" s="32"/>
      <c r="D6" s="28"/>
      <c r="E6" s="40"/>
      <c r="F6" s="41"/>
      <c r="G6" s="40"/>
      <c r="H6" s="41"/>
      <c r="I6" s="40"/>
      <c r="J6" s="41"/>
      <c r="K6" s="40"/>
      <c r="L6" s="41"/>
      <c r="M6" s="40"/>
      <c r="N6" s="41"/>
      <c r="O6" s="27" t="e">
        <f ca="1">INDIRECT("beschriftung.!"&amp;ADDRESS(#REF!*12+ROW(#REF!)-1,COLUMN(#REF!)))</f>
        <v>#REF!</v>
      </c>
      <c r="P6" s="28"/>
      <c r="Q6" s="40"/>
      <c r="R6" s="41"/>
      <c r="S6" s="40"/>
      <c r="T6" s="41"/>
      <c r="U6" s="40"/>
      <c r="V6" s="41"/>
      <c r="W6" s="40"/>
      <c r="X6" s="41"/>
      <c r="Y6" s="40"/>
      <c r="Z6" s="41"/>
      <c r="AA6" s="23"/>
      <c r="AB6" s="24"/>
      <c r="AC6" s="40"/>
      <c r="AD6" s="41"/>
      <c r="AE6" s="40"/>
      <c r="AF6" s="41"/>
    </row>
    <row r="7" spans="1:34" ht="11.25" customHeight="1" x14ac:dyDescent="0.3">
      <c r="A7" s="7"/>
      <c r="B7" s="7"/>
      <c r="C7" s="32"/>
      <c r="D7" s="28"/>
      <c r="E7" s="40"/>
      <c r="F7" s="41"/>
      <c r="G7" s="40"/>
      <c r="H7" s="41"/>
      <c r="I7" s="40"/>
      <c r="J7" s="41"/>
      <c r="K7" s="40"/>
      <c r="L7" s="41"/>
      <c r="M7" s="40"/>
      <c r="N7" s="41"/>
      <c r="O7" s="27"/>
      <c r="P7" s="28"/>
      <c r="Q7" s="40"/>
      <c r="R7" s="41"/>
      <c r="S7" s="40"/>
      <c r="T7" s="41"/>
      <c r="U7" s="40"/>
      <c r="V7" s="41"/>
      <c r="W7" s="40"/>
      <c r="X7" s="41"/>
      <c r="Y7" s="40"/>
      <c r="Z7" s="41"/>
      <c r="AA7" s="23"/>
      <c r="AB7" s="24"/>
      <c r="AC7" s="40"/>
      <c r="AD7" s="41"/>
      <c r="AE7" s="40"/>
      <c r="AF7" s="41"/>
    </row>
    <row r="8" spans="1:34" ht="11.25" customHeight="1" x14ac:dyDescent="0.3">
      <c r="A8" s="4"/>
      <c r="B8" s="4"/>
      <c r="C8" s="32"/>
      <c r="D8" s="28"/>
      <c r="E8" s="40"/>
      <c r="F8" s="41"/>
      <c r="G8" s="40"/>
      <c r="H8" s="41"/>
      <c r="I8" s="40"/>
      <c r="J8" s="41"/>
      <c r="K8" s="40"/>
      <c r="L8" s="41"/>
      <c r="M8" s="40"/>
      <c r="N8" s="41"/>
      <c r="O8" s="27"/>
      <c r="P8" s="28"/>
      <c r="Q8" s="40"/>
      <c r="R8" s="41"/>
      <c r="S8" s="40"/>
      <c r="T8" s="41"/>
      <c r="U8" s="40"/>
      <c r="V8" s="41"/>
      <c r="W8" s="40"/>
      <c r="X8" s="41"/>
      <c r="Y8" s="40"/>
      <c r="Z8" s="41"/>
      <c r="AA8" s="23"/>
      <c r="AB8" s="24"/>
      <c r="AC8" s="40"/>
      <c r="AD8" s="41"/>
      <c r="AE8" s="40"/>
      <c r="AF8" s="41"/>
    </row>
    <row r="9" spans="1:34" ht="11.25" customHeight="1" x14ac:dyDescent="0.3">
      <c r="A9" s="4"/>
      <c r="B9" s="4"/>
      <c r="C9" s="32"/>
      <c r="D9" s="28"/>
      <c r="E9" s="40"/>
      <c r="F9" s="41"/>
      <c r="G9" s="40"/>
      <c r="H9" s="41"/>
      <c r="I9" s="40"/>
      <c r="J9" s="41"/>
      <c r="K9" s="40"/>
      <c r="L9" s="41"/>
      <c r="M9" s="40"/>
      <c r="N9" s="41"/>
      <c r="O9" s="27"/>
      <c r="P9" s="28"/>
      <c r="Q9" s="40"/>
      <c r="R9" s="41"/>
      <c r="S9" s="40"/>
      <c r="T9" s="41"/>
      <c r="U9" s="40"/>
      <c r="V9" s="41"/>
      <c r="W9" s="40"/>
      <c r="X9" s="41"/>
      <c r="Y9" s="40"/>
      <c r="Z9" s="41"/>
      <c r="AA9" s="23"/>
      <c r="AB9" s="24"/>
      <c r="AC9" s="40"/>
      <c r="AD9" s="41"/>
      <c r="AE9" s="40"/>
      <c r="AF9" s="41"/>
    </row>
    <row r="10" spans="1:34" ht="11.25" customHeight="1" x14ac:dyDescent="0.3">
      <c r="A10" s="4"/>
      <c r="B10" s="7"/>
      <c r="C10" s="33"/>
      <c r="D10" s="30"/>
      <c r="E10" s="42"/>
      <c r="F10" s="43"/>
      <c r="G10" s="42"/>
      <c r="H10" s="43"/>
      <c r="I10" s="42"/>
      <c r="J10" s="43"/>
      <c r="K10" s="42"/>
      <c r="L10" s="43"/>
      <c r="M10" s="42"/>
      <c r="N10" s="43"/>
      <c r="O10" s="29"/>
      <c r="P10" s="30"/>
      <c r="Q10" s="42"/>
      <c r="R10" s="43"/>
      <c r="S10" s="42"/>
      <c r="T10" s="43"/>
      <c r="U10" s="42"/>
      <c r="V10" s="43"/>
      <c r="W10" s="42"/>
      <c r="X10" s="43"/>
      <c r="Y10" s="42"/>
      <c r="Z10" s="43"/>
      <c r="AA10" s="23"/>
      <c r="AB10" s="24"/>
      <c r="AC10" s="42"/>
      <c r="AD10" s="43"/>
      <c r="AE10" s="42"/>
      <c r="AF10" s="43"/>
    </row>
    <row r="11" spans="1:34" ht="11.25" customHeight="1" x14ac:dyDescent="0.3">
      <c r="A11" s="4"/>
      <c r="B11" s="7"/>
      <c r="C11" s="34" t="s">
        <v>99</v>
      </c>
      <c r="D11" s="35"/>
      <c r="E11" s="36" t="s">
        <v>100</v>
      </c>
      <c r="F11" s="37"/>
      <c r="G11" s="36" t="s">
        <v>118</v>
      </c>
      <c r="H11" s="37"/>
      <c r="I11" s="36" t="s">
        <v>101</v>
      </c>
      <c r="J11" s="37"/>
      <c r="K11" s="36" t="s">
        <v>102</v>
      </c>
      <c r="L11" s="37"/>
      <c r="M11" s="36" t="s">
        <v>103</v>
      </c>
      <c r="N11" s="37"/>
      <c r="O11" s="21" t="s">
        <v>104</v>
      </c>
      <c r="P11" s="22"/>
      <c r="Q11" s="21" t="s">
        <v>105</v>
      </c>
      <c r="R11" s="22"/>
      <c r="S11" s="21" t="s">
        <v>106</v>
      </c>
      <c r="T11" s="22"/>
      <c r="U11" s="21" t="s">
        <v>107</v>
      </c>
      <c r="V11" s="22"/>
      <c r="W11" s="21" t="s">
        <v>108</v>
      </c>
      <c r="X11" s="22"/>
      <c r="Y11" s="21" t="s">
        <v>109</v>
      </c>
      <c r="Z11" s="22"/>
      <c r="AA11" s="21" t="s">
        <v>110</v>
      </c>
      <c r="AB11" s="22"/>
      <c r="AC11" s="21" t="s">
        <v>111</v>
      </c>
      <c r="AD11" s="22"/>
      <c r="AE11" s="21" t="s">
        <v>112</v>
      </c>
      <c r="AF11" s="22"/>
    </row>
    <row r="12" spans="1:34" x14ac:dyDescent="0.3">
      <c r="A12" s="17">
        <v>1980</v>
      </c>
      <c r="B12" s="17"/>
      <c r="C12" s="18">
        <v>208464.80421551599</v>
      </c>
      <c r="D12" s="19"/>
      <c r="E12" s="18"/>
      <c r="F12" s="19"/>
      <c r="G12" s="18"/>
      <c r="H12" s="19"/>
      <c r="I12" s="18"/>
      <c r="J12" s="19"/>
      <c r="K12" s="18"/>
      <c r="L12" s="19"/>
      <c r="M12" s="18"/>
      <c r="N12" s="19"/>
      <c r="O12" s="18"/>
      <c r="P12" s="19"/>
      <c r="Q12" s="18"/>
      <c r="R12" s="19"/>
      <c r="S12" s="18"/>
      <c r="T12" s="19"/>
      <c r="U12" s="18"/>
      <c r="V12" s="19"/>
      <c r="W12" s="18"/>
      <c r="X12" s="19"/>
      <c r="Y12" s="18"/>
      <c r="Z12" s="19"/>
      <c r="AA12" s="18"/>
      <c r="AB12" s="19"/>
      <c r="AC12" s="18"/>
      <c r="AD12" s="19"/>
      <c r="AE12" s="18"/>
      <c r="AF12" s="19"/>
      <c r="AG12" s="18"/>
      <c r="AH12" s="19"/>
    </row>
    <row r="13" spans="1:34" x14ac:dyDescent="0.3">
      <c r="A13" s="17">
        <v>1981</v>
      </c>
      <c r="B13" s="17"/>
      <c r="C13" s="18">
        <v>223793.42257401199</v>
      </c>
      <c r="D13" s="19">
        <v>7.3530965652354799E-2</v>
      </c>
      <c r="E13" s="18"/>
      <c r="F13" s="19"/>
      <c r="G13" s="18"/>
      <c r="H13" s="19"/>
      <c r="I13" s="18"/>
      <c r="J13" s="19"/>
      <c r="K13" s="18"/>
      <c r="L13" s="19"/>
      <c r="M13" s="18"/>
      <c r="N13" s="19"/>
      <c r="O13" s="18"/>
      <c r="P13" s="19"/>
      <c r="Q13" s="18"/>
      <c r="R13" s="19"/>
      <c r="S13" s="18"/>
      <c r="T13" s="19"/>
      <c r="U13" s="18"/>
      <c r="V13" s="19"/>
      <c r="W13" s="18"/>
      <c r="X13" s="19"/>
      <c r="Y13" s="18"/>
      <c r="Z13" s="19"/>
      <c r="AA13" s="18"/>
      <c r="AB13" s="19"/>
      <c r="AC13" s="18"/>
      <c r="AD13" s="19"/>
      <c r="AE13" s="18"/>
      <c r="AF13" s="19"/>
      <c r="AG13" s="18"/>
      <c r="AH13" s="19"/>
    </row>
    <row r="14" spans="1:34" x14ac:dyDescent="0.3">
      <c r="A14" s="17">
        <v>1982</v>
      </c>
      <c r="B14" s="17"/>
      <c r="C14" s="18">
        <v>237092.138635243</v>
      </c>
      <c r="D14" s="19">
        <v>5.9424070235276003E-2</v>
      </c>
      <c r="E14" s="18"/>
      <c r="F14" s="19"/>
      <c r="G14" s="18"/>
      <c r="H14" s="19"/>
      <c r="I14" s="18"/>
      <c r="J14" s="19"/>
      <c r="K14" s="18"/>
      <c r="L14" s="19"/>
      <c r="M14" s="18"/>
      <c r="N14" s="19"/>
      <c r="O14" s="18"/>
      <c r="P14" s="19"/>
      <c r="Q14" s="18"/>
      <c r="R14" s="19"/>
      <c r="S14" s="18"/>
      <c r="T14" s="19"/>
      <c r="U14" s="18"/>
      <c r="V14" s="19"/>
      <c r="W14" s="18"/>
      <c r="X14" s="19"/>
      <c r="Y14" s="18"/>
      <c r="Z14" s="19"/>
      <c r="AA14" s="18"/>
      <c r="AB14" s="19"/>
      <c r="AC14" s="18"/>
      <c r="AD14" s="19"/>
      <c r="AE14" s="18"/>
      <c r="AF14" s="19"/>
      <c r="AG14" s="18"/>
      <c r="AH14" s="19"/>
    </row>
    <row r="15" spans="1:34" x14ac:dyDescent="0.3">
      <c r="A15" s="17">
        <v>1983</v>
      </c>
      <c r="B15" s="17"/>
      <c r="C15" s="18">
        <v>244254.905181682</v>
      </c>
      <c r="D15" s="19">
        <v>3.0210898546319202E-2</v>
      </c>
      <c r="E15" s="18"/>
      <c r="F15" s="19"/>
      <c r="G15" s="18"/>
      <c r="H15" s="19"/>
      <c r="I15" s="18"/>
      <c r="J15" s="19"/>
      <c r="K15" s="18"/>
      <c r="L15" s="19"/>
      <c r="M15" s="18"/>
      <c r="N15" s="19"/>
      <c r="O15" s="18"/>
      <c r="P15" s="19"/>
      <c r="Q15" s="18"/>
      <c r="R15" s="19"/>
      <c r="S15" s="18"/>
      <c r="T15" s="19"/>
      <c r="U15" s="18"/>
      <c r="V15" s="19"/>
      <c r="W15" s="18"/>
      <c r="X15" s="19"/>
      <c r="Y15" s="18"/>
      <c r="Z15" s="19"/>
      <c r="AA15" s="18"/>
      <c r="AB15" s="19"/>
      <c r="AC15" s="18"/>
      <c r="AD15" s="19"/>
      <c r="AE15" s="18"/>
      <c r="AF15" s="19"/>
      <c r="AG15" s="18"/>
      <c r="AH15" s="19"/>
    </row>
    <row r="16" spans="1:34" x14ac:dyDescent="0.3">
      <c r="A16" s="17">
        <v>1984</v>
      </c>
      <c r="B16" s="17"/>
      <c r="C16" s="18">
        <v>261062.577179913</v>
      </c>
      <c r="D16" s="19">
        <v>6.8812014177275393E-2</v>
      </c>
      <c r="E16" s="18"/>
      <c r="F16" s="19"/>
      <c r="G16" s="18"/>
      <c r="H16" s="19"/>
      <c r="I16" s="18"/>
      <c r="J16" s="19"/>
      <c r="K16" s="18"/>
      <c r="L16" s="19"/>
      <c r="M16" s="18"/>
      <c r="N16" s="19"/>
      <c r="O16" s="18"/>
      <c r="P16" s="19"/>
      <c r="Q16" s="18"/>
      <c r="R16" s="19"/>
      <c r="S16" s="18"/>
      <c r="T16" s="19"/>
      <c r="U16" s="18"/>
      <c r="V16" s="19"/>
      <c r="W16" s="18"/>
      <c r="X16" s="19"/>
      <c r="Y16" s="18"/>
      <c r="Z16" s="19"/>
      <c r="AA16" s="18"/>
      <c r="AB16" s="19"/>
      <c r="AC16" s="18"/>
      <c r="AD16" s="19"/>
      <c r="AE16" s="18"/>
      <c r="AF16" s="19"/>
      <c r="AG16" s="18"/>
      <c r="AH16" s="19"/>
    </row>
    <row r="17" spans="1:34" x14ac:dyDescent="0.3">
      <c r="A17" s="17">
        <v>1985</v>
      </c>
      <c r="B17" s="17"/>
      <c r="C17" s="18">
        <v>276798.76097352902</v>
      </c>
      <c r="D17" s="19">
        <v>6.0277439852174201E-2</v>
      </c>
      <c r="E17" s="18"/>
      <c r="F17" s="19"/>
      <c r="G17" s="18"/>
      <c r="H17" s="19"/>
      <c r="I17" s="18"/>
      <c r="J17" s="19"/>
      <c r="K17" s="18"/>
      <c r="L17" s="19"/>
      <c r="M17" s="18"/>
      <c r="N17" s="19"/>
      <c r="O17" s="18"/>
      <c r="P17" s="19"/>
      <c r="Q17" s="18"/>
      <c r="R17" s="19"/>
      <c r="S17" s="18"/>
      <c r="T17" s="19"/>
      <c r="U17" s="18"/>
      <c r="V17" s="19"/>
      <c r="W17" s="18"/>
      <c r="X17" s="19"/>
      <c r="Y17" s="18"/>
      <c r="Z17" s="19"/>
      <c r="AA17" s="18"/>
      <c r="AB17" s="19"/>
      <c r="AC17" s="18"/>
      <c r="AD17" s="19"/>
      <c r="AE17" s="18"/>
      <c r="AF17" s="19"/>
      <c r="AG17" s="18"/>
      <c r="AH17" s="19"/>
    </row>
    <row r="18" spans="1:34" x14ac:dyDescent="0.3">
      <c r="A18" s="17">
        <v>1986</v>
      </c>
      <c r="B18" s="17"/>
      <c r="C18" s="18">
        <v>290499.27185702301</v>
      </c>
      <c r="D18" s="19">
        <v>4.9496286888381001E-2</v>
      </c>
      <c r="E18" s="18"/>
      <c r="F18" s="19"/>
      <c r="G18" s="18"/>
      <c r="H18" s="19"/>
      <c r="I18" s="18"/>
      <c r="J18" s="19"/>
      <c r="K18" s="18"/>
      <c r="L18" s="19"/>
      <c r="M18" s="18"/>
      <c r="N18" s="19"/>
      <c r="O18" s="18"/>
      <c r="P18" s="19"/>
      <c r="Q18" s="18"/>
      <c r="R18" s="19"/>
      <c r="S18" s="18"/>
      <c r="T18" s="19"/>
      <c r="U18" s="18"/>
      <c r="V18" s="19"/>
      <c r="W18" s="18"/>
      <c r="X18" s="19"/>
      <c r="Y18" s="18"/>
      <c r="Z18" s="19"/>
      <c r="AA18" s="18"/>
      <c r="AB18" s="19"/>
      <c r="AC18" s="18"/>
      <c r="AD18" s="19"/>
      <c r="AE18" s="18"/>
      <c r="AF18" s="19"/>
      <c r="AG18" s="18"/>
      <c r="AH18" s="19"/>
    </row>
    <row r="19" spans="1:34" x14ac:dyDescent="0.3">
      <c r="A19" s="17">
        <v>1987</v>
      </c>
      <c r="B19" s="17"/>
      <c r="C19" s="18">
        <v>301578.15232860198</v>
      </c>
      <c r="D19" s="19">
        <v>3.81373777660678E-2</v>
      </c>
      <c r="E19" s="18"/>
      <c r="F19" s="19"/>
      <c r="G19" s="18"/>
      <c r="H19" s="19"/>
      <c r="I19" s="18"/>
      <c r="J19" s="19"/>
      <c r="K19" s="18"/>
      <c r="L19" s="19"/>
      <c r="M19" s="18"/>
      <c r="N19" s="19"/>
      <c r="O19" s="18"/>
      <c r="P19" s="19"/>
      <c r="Q19" s="18"/>
      <c r="R19" s="19"/>
      <c r="S19" s="18"/>
      <c r="T19" s="19"/>
      <c r="U19" s="18"/>
      <c r="V19" s="19"/>
      <c r="W19" s="18"/>
      <c r="X19" s="19"/>
      <c r="Y19" s="18"/>
      <c r="Z19" s="19"/>
      <c r="AA19" s="18"/>
      <c r="AB19" s="19"/>
      <c r="AC19" s="18"/>
      <c r="AD19" s="19"/>
      <c r="AE19" s="18"/>
      <c r="AF19" s="19"/>
      <c r="AG19" s="18"/>
      <c r="AH19" s="19"/>
    </row>
    <row r="20" spans="1:34" x14ac:dyDescent="0.3">
      <c r="A20" s="17">
        <v>1988</v>
      </c>
      <c r="B20" s="17"/>
      <c r="C20" s="18">
        <v>320153.21761587699</v>
      </c>
      <c r="D20" s="19">
        <v>6.1592874496543E-2</v>
      </c>
      <c r="E20" s="18"/>
      <c r="F20" s="19"/>
      <c r="G20" s="18"/>
      <c r="H20" s="19"/>
      <c r="I20" s="18"/>
      <c r="J20" s="19"/>
      <c r="K20" s="18"/>
      <c r="L20" s="19"/>
      <c r="M20" s="18"/>
      <c r="N20" s="19"/>
      <c r="O20" s="18"/>
      <c r="P20" s="19"/>
      <c r="Q20" s="18"/>
      <c r="R20" s="19"/>
      <c r="S20" s="18"/>
      <c r="T20" s="19"/>
      <c r="U20" s="18"/>
      <c r="V20" s="19"/>
      <c r="W20" s="18"/>
      <c r="X20" s="19"/>
      <c r="Y20" s="18"/>
      <c r="Z20" s="19"/>
      <c r="AA20" s="18"/>
      <c r="AB20" s="19"/>
      <c r="AC20" s="18"/>
      <c r="AD20" s="19"/>
      <c r="AE20" s="18"/>
      <c r="AF20" s="19"/>
      <c r="AG20" s="18"/>
      <c r="AH20" s="19"/>
    </row>
    <row r="21" spans="1:34" x14ac:dyDescent="0.3">
      <c r="A21" s="17">
        <v>1989</v>
      </c>
      <c r="B21" s="17"/>
      <c r="C21" s="18">
        <v>345570.28803694498</v>
      </c>
      <c r="D21" s="19">
        <v>7.9390332573710601E-2</v>
      </c>
      <c r="E21" s="18"/>
      <c r="F21" s="19"/>
      <c r="G21" s="18"/>
      <c r="H21" s="19"/>
      <c r="I21" s="18"/>
      <c r="J21" s="19"/>
      <c r="K21" s="18"/>
      <c r="L21" s="19"/>
      <c r="M21" s="18"/>
      <c r="N21" s="19"/>
      <c r="O21" s="18"/>
      <c r="P21" s="19"/>
      <c r="Q21" s="18"/>
      <c r="R21" s="19"/>
      <c r="S21" s="18"/>
      <c r="T21" s="19"/>
      <c r="U21" s="18"/>
      <c r="V21" s="19"/>
      <c r="W21" s="18"/>
      <c r="X21" s="19"/>
      <c r="Y21" s="18"/>
      <c r="Z21" s="19"/>
      <c r="AA21" s="18"/>
      <c r="AB21" s="19"/>
      <c r="AC21" s="18"/>
      <c r="AD21" s="19"/>
      <c r="AE21" s="18"/>
      <c r="AF21" s="19"/>
      <c r="AG21" s="18"/>
      <c r="AH21" s="19"/>
    </row>
    <row r="22" spans="1:34" x14ac:dyDescent="0.3">
      <c r="A22" s="17">
        <v>1990</v>
      </c>
      <c r="B22" s="17"/>
      <c r="C22" s="18">
        <v>374762.03661856701</v>
      </c>
      <c r="D22" s="19">
        <v>8.4474127528293697E-2</v>
      </c>
      <c r="E22" s="18">
        <v>203731.01214603899</v>
      </c>
      <c r="F22" s="19"/>
      <c r="G22" s="18">
        <v>79044.620603616393</v>
      </c>
      <c r="H22" s="19"/>
      <c r="I22" s="18">
        <v>83944.672117875496</v>
      </c>
      <c r="J22" s="19"/>
      <c r="K22" s="18">
        <v>18568.786066836201</v>
      </c>
      <c r="L22" s="19"/>
      <c r="M22" s="18">
        <v>-10527.0543158</v>
      </c>
      <c r="N22" s="19"/>
      <c r="O22" s="18">
        <v>381689.776636686</v>
      </c>
      <c r="P22" s="19"/>
      <c r="Q22" s="18">
        <v>1188.2247650745801</v>
      </c>
      <c r="R22" s="19"/>
      <c r="S22" s="18">
        <v>9468.1329435275093</v>
      </c>
      <c r="T22" s="19"/>
      <c r="U22" s="18">
        <v>21.290654914677798</v>
      </c>
      <c r="V22" s="19"/>
      <c r="W22" s="18">
        <v>38012.444907204503</v>
      </c>
      <c r="X22" s="19"/>
      <c r="Y22" s="18">
        <v>22826.0873655469</v>
      </c>
      <c r="Z22" s="19"/>
      <c r="AA22" s="18">
        <v>378726.13615742698</v>
      </c>
      <c r="AB22" s="19"/>
      <c r="AC22" s="18">
        <v>14349.277789534</v>
      </c>
      <c r="AD22" s="19"/>
      <c r="AE22" s="18">
        <v>17312.918268793899</v>
      </c>
      <c r="AF22" s="19"/>
      <c r="AG22" s="18"/>
      <c r="AH22" s="19"/>
    </row>
    <row r="23" spans="1:34" x14ac:dyDescent="0.3">
      <c r="A23" s="17">
        <v>1991</v>
      </c>
      <c r="B23" s="17"/>
      <c r="C23" s="18">
        <v>391415.52755128301</v>
      </c>
      <c r="D23" s="19">
        <v>4.44375078195711E-2</v>
      </c>
      <c r="E23" s="18">
        <v>218738.34568153901</v>
      </c>
      <c r="F23" s="19">
        <v>7.3662489463029807E-2</v>
      </c>
      <c r="G23" s="18">
        <v>76828.038137784999</v>
      </c>
      <c r="H23" s="19">
        <v>-2.8042167182341898E-2</v>
      </c>
      <c r="I23" s="18">
        <v>89063.359040906595</v>
      </c>
      <c r="J23" s="19">
        <v>6.0976912457808098E-2</v>
      </c>
      <c r="K23" s="18">
        <v>18826.302565772501</v>
      </c>
      <c r="L23" s="19">
        <v>1.38682463145083E-2</v>
      </c>
      <c r="M23" s="18">
        <v>-12040.517874720001</v>
      </c>
      <c r="N23" s="19">
        <v>0.143768951267634</v>
      </c>
      <c r="O23" s="18">
        <v>399434.24633522</v>
      </c>
      <c r="P23" s="19">
        <v>4.6489245415193697E-2</v>
      </c>
      <c r="Q23" s="18">
        <v>1321.26420090072</v>
      </c>
      <c r="R23" s="19">
        <v>0.11196487376509801</v>
      </c>
      <c r="S23" s="18">
        <v>10466.799881531701</v>
      </c>
      <c r="T23" s="19">
        <v>0.105476649299362</v>
      </c>
      <c r="U23" s="18">
        <v>22.690424666384502</v>
      </c>
      <c r="V23" s="19">
        <v>6.5745734798497796E-2</v>
      </c>
      <c r="W23" s="18">
        <v>37774.335587264002</v>
      </c>
      <c r="X23" s="19">
        <v>-6.26398329604383E-3</v>
      </c>
      <c r="Y23" s="18">
        <v>20632.771547362601</v>
      </c>
      <c r="Z23" s="19">
        <v>-9.6088119836727007E-2</v>
      </c>
      <c r="AA23" s="18">
        <v>396735.12568793102</v>
      </c>
      <c r="AB23" s="19">
        <v>4.7551483278192502E-2</v>
      </c>
      <c r="AC23" s="18">
        <v>15910.1036462713</v>
      </c>
      <c r="AD23" s="19">
        <v>0.10877382678281799</v>
      </c>
      <c r="AE23" s="18">
        <v>18609.224293560299</v>
      </c>
      <c r="AF23" s="19">
        <v>7.4875073320421107E-2</v>
      </c>
      <c r="AG23" s="18"/>
      <c r="AH23" s="19"/>
    </row>
    <row r="24" spans="1:34" x14ac:dyDescent="0.3">
      <c r="A24" s="17">
        <v>1992</v>
      </c>
      <c r="B24" s="17"/>
      <c r="C24" s="18">
        <v>399556.86425075599</v>
      </c>
      <c r="D24" s="19">
        <v>2.079972848907E-2</v>
      </c>
      <c r="E24" s="18">
        <v>225744.297943346</v>
      </c>
      <c r="F24" s="19">
        <v>3.20289167405838E-2</v>
      </c>
      <c r="G24" s="18">
        <v>75906.012277514994</v>
      </c>
      <c r="H24" s="19">
        <v>-1.20011636717365E-2</v>
      </c>
      <c r="I24" s="18">
        <v>91710.313051464298</v>
      </c>
      <c r="J24" s="19">
        <v>2.9719898722234201E-2</v>
      </c>
      <c r="K24" s="18">
        <v>18734.5747605305</v>
      </c>
      <c r="L24" s="19">
        <v>-4.8723218444798296E-3</v>
      </c>
      <c r="M24" s="18">
        <v>-12538.3337821</v>
      </c>
      <c r="N24" s="19">
        <v>4.1345057792339997E-2</v>
      </c>
      <c r="O24" s="18">
        <v>407015.57705125201</v>
      </c>
      <c r="P24" s="19">
        <v>1.8980172044811901E-2</v>
      </c>
      <c r="Q24" s="18">
        <v>1388.9875211994799</v>
      </c>
      <c r="R24" s="19">
        <v>5.1256455940146502E-2</v>
      </c>
      <c r="S24" s="18">
        <v>10413.414505574299</v>
      </c>
      <c r="T24" s="19">
        <v>-5.1004487103644101E-3</v>
      </c>
      <c r="U24" s="18">
        <v>23.425547381920701</v>
      </c>
      <c r="V24" s="19">
        <v>3.23979267177519E-2</v>
      </c>
      <c r="W24" s="18">
        <v>35248.896848652301</v>
      </c>
      <c r="X24" s="19">
        <v>-6.6855940663140004E-2</v>
      </c>
      <c r="Y24" s="18">
        <v>18789.1826111632</v>
      </c>
      <c r="Z24" s="19">
        <v>-8.9352462027093002E-2</v>
      </c>
      <c r="AA24" s="18">
        <v>402449.703332228</v>
      </c>
      <c r="AB24" s="19">
        <v>1.44040123354054E-2</v>
      </c>
      <c r="AC24" s="18">
        <v>18687.367071026601</v>
      </c>
      <c r="AD24" s="19">
        <v>0.17455973175927</v>
      </c>
      <c r="AE24" s="18">
        <v>23253.240790050299</v>
      </c>
      <c r="AF24" s="19">
        <v>0.24955454473709901</v>
      </c>
      <c r="AG24" s="18"/>
      <c r="AH24" s="19"/>
    </row>
    <row r="25" spans="1:34" x14ac:dyDescent="0.3">
      <c r="A25" s="17">
        <v>1993</v>
      </c>
      <c r="B25" s="17"/>
      <c r="C25" s="18">
        <v>408319.60620642401</v>
      </c>
      <c r="D25" s="19">
        <v>2.1931151081836499E-2</v>
      </c>
      <c r="E25" s="18">
        <v>228474.05115768799</v>
      </c>
      <c r="F25" s="19">
        <v>1.20922355036714E-2</v>
      </c>
      <c r="G25" s="18">
        <v>81352.737932190401</v>
      </c>
      <c r="H25" s="19">
        <v>7.1756182300316801E-2</v>
      </c>
      <c r="I25" s="18">
        <v>91929.025693728894</v>
      </c>
      <c r="J25" s="19">
        <v>2.3848205832843702E-3</v>
      </c>
      <c r="K25" s="18">
        <v>19500.539721726698</v>
      </c>
      <c r="L25" s="19">
        <v>4.08850999281773E-2</v>
      </c>
      <c r="M25" s="18">
        <v>-12936.748298910001</v>
      </c>
      <c r="N25" s="19">
        <v>3.1775714678993899E-2</v>
      </c>
      <c r="O25" s="18">
        <v>417883.765922433</v>
      </c>
      <c r="P25" s="19">
        <v>2.6702144792390699E-2</v>
      </c>
      <c r="Q25" s="18">
        <v>1506.1594453902801</v>
      </c>
      <c r="R25" s="19">
        <v>8.4357794726344498E-2</v>
      </c>
      <c r="S25" s="18">
        <v>10127.3409719631</v>
      </c>
      <c r="T25" s="19">
        <v>-2.7471636076530099E-2</v>
      </c>
      <c r="U25" s="18">
        <v>23.798187422841</v>
      </c>
      <c r="V25" s="19">
        <v>1.5907420853178401E-2</v>
      </c>
      <c r="W25" s="18">
        <v>35506.569854735302</v>
      </c>
      <c r="X25" s="19">
        <v>7.3101012831497903E-3</v>
      </c>
      <c r="Y25" s="18">
        <v>17345.026799576201</v>
      </c>
      <c r="Z25" s="19">
        <v>-7.6861023785515403E-2</v>
      </c>
      <c r="AA25" s="18">
        <v>414186.49214756599</v>
      </c>
      <c r="AB25" s="19">
        <v>2.9163368038685598E-2</v>
      </c>
      <c r="AC25" s="18">
        <v>19721.413013663801</v>
      </c>
      <c r="AD25" s="19">
        <v>5.5333955752408598E-2</v>
      </c>
      <c r="AE25" s="18">
        <v>23418.6867885309</v>
      </c>
      <c r="AF25" s="19">
        <v>7.1149651773010402E-3</v>
      </c>
      <c r="AG25" s="18"/>
      <c r="AH25" s="19"/>
    </row>
    <row r="26" spans="1:34" x14ac:dyDescent="0.3">
      <c r="A26" s="17">
        <v>1994</v>
      </c>
      <c r="B26" s="17"/>
      <c r="C26" s="18">
        <v>418401.76711088698</v>
      </c>
      <c r="D26" s="19">
        <v>2.4691836373309101E-2</v>
      </c>
      <c r="E26" s="18">
        <v>229826.66281080601</v>
      </c>
      <c r="F26" s="19">
        <v>5.9201981418210998E-3</v>
      </c>
      <c r="G26" s="18">
        <v>89929.649890297194</v>
      </c>
      <c r="H26" s="19">
        <v>0.105428682255978</v>
      </c>
      <c r="I26" s="18">
        <v>91906.195261186804</v>
      </c>
      <c r="J26" s="19">
        <v>-2.4834846632793001E-4</v>
      </c>
      <c r="K26" s="18">
        <v>19748.383557896901</v>
      </c>
      <c r="L26" s="19">
        <v>1.27095885399553E-2</v>
      </c>
      <c r="M26" s="18">
        <v>-13009.1244093</v>
      </c>
      <c r="N26" s="19">
        <v>5.5946137868432303E-3</v>
      </c>
      <c r="O26" s="18">
        <v>424935.120317347</v>
      </c>
      <c r="P26" s="19">
        <v>1.6873961062709601E-2</v>
      </c>
      <c r="Q26" s="18">
        <v>1640.06184315119</v>
      </c>
      <c r="R26" s="19">
        <v>8.8903202227844896E-2</v>
      </c>
      <c r="S26" s="18">
        <v>9877.1955711164501</v>
      </c>
      <c r="T26" s="19">
        <v>-2.4700007784784001E-2</v>
      </c>
      <c r="U26" s="18">
        <v>26.283673806684799</v>
      </c>
      <c r="V26" s="19">
        <v>0.10444015502871</v>
      </c>
      <c r="W26" s="18">
        <v>34856.508097060199</v>
      </c>
      <c r="X26" s="19">
        <v>-1.8308210574397198E-2</v>
      </c>
      <c r="Y26" s="18">
        <v>20112.304836441901</v>
      </c>
      <c r="Z26" s="19">
        <v>0.15954302457078501</v>
      </c>
      <c r="AA26" s="18">
        <v>420058.62019479298</v>
      </c>
      <c r="AB26" s="19">
        <v>1.4177497717946699E-2</v>
      </c>
      <c r="AC26" s="18">
        <v>18385.2959297622</v>
      </c>
      <c r="AD26" s="19">
        <v>-6.7749561503320593E-2</v>
      </c>
      <c r="AE26" s="18">
        <v>23261.7960523164</v>
      </c>
      <c r="AF26" s="19">
        <v>-6.69938231939393E-3</v>
      </c>
      <c r="AG26" s="18"/>
      <c r="AH26" s="19"/>
    </row>
    <row r="27" spans="1:34" x14ac:dyDescent="0.3">
      <c r="A27" s="17">
        <v>1995</v>
      </c>
      <c r="B27" s="17"/>
      <c r="C27" s="18">
        <v>423515.35549793398</v>
      </c>
      <c r="D27" s="19">
        <v>1.22217179491302E-2</v>
      </c>
      <c r="E27" s="18">
        <v>235263.12031416199</v>
      </c>
      <c r="F27" s="19">
        <v>2.3654598804453E-2</v>
      </c>
      <c r="G27" s="18">
        <v>88845.8131586331</v>
      </c>
      <c r="H27" s="19">
        <v>-1.2052051053086901E-2</v>
      </c>
      <c r="I27" s="18">
        <v>90073.676767328798</v>
      </c>
      <c r="J27" s="19">
        <v>-1.9939009428582798E-2</v>
      </c>
      <c r="K27" s="18">
        <v>22653.29144673</v>
      </c>
      <c r="L27" s="19">
        <v>0.14709598283407299</v>
      </c>
      <c r="M27" s="18">
        <v>-13320.54618892</v>
      </c>
      <c r="N27" s="19">
        <v>2.3938719457349902E-2</v>
      </c>
      <c r="O27" s="18">
        <v>432741.10517547402</v>
      </c>
      <c r="P27" s="19">
        <v>1.8369827498131701E-2</v>
      </c>
      <c r="Q27" s="18">
        <v>1721.05544275175</v>
      </c>
      <c r="R27" s="19">
        <v>4.9384478968756501E-2</v>
      </c>
      <c r="S27" s="18">
        <v>9901.9735937127007</v>
      </c>
      <c r="T27" s="19">
        <v>2.5086090902877202E-3</v>
      </c>
      <c r="U27" s="18">
        <v>41.552108000000104</v>
      </c>
      <c r="V27" s="19">
        <v>0.58090943852118904</v>
      </c>
      <c r="W27" s="18">
        <v>35560.395333189299</v>
      </c>
      <c r="X27" s="19">
        <v>2.0193854019140901E-2</v>
      </c>
      <c r="Y27" s="18">
        <v>18195.2796126881</v>
      </c>
      <c r="Z27" s="19">
        <v>-9.5316038581531107E-2</v>
      </c>
      <c r="AA27" s="18">
        <v>427767.63367341598</v>
      </c>
      <c r="AB27" s="19">
        <v>1.8352232540897399E-2</v>
      </c>
      <c r="AC27" s="18">
        <v>17912.051815381499</v>
      </c>
      <c r="AD27" s="19">
        <v>-2.5740358827437301E-2</v>
      </c>
      <c r="AE27" s="18">
        <v>22885.523317439802</v>
      </c>
      <c r="AF27" s="19">
        <v>-1.6175566754619699E-2</v>
      </c>
      <c r="AG27" s="18"/>
      <c r="AH27" s="19"/>
    </row>
    <row r="28" spans="1:34" x14ac:dyDescent="0.3">
      <c r="A28" s="17">
        <v>1996</v>
      </c>
      <c r="B28" s="17"/>
      <c r="C28" s="18">
        <v>426881.82800179801</v>
      </c>
      <c r="D28" s="19">
        <v>7.9488794447752902E-3</v>
      </c>
      <c r="E28" s="18">
        <v>235831.05806013601</v>
      </c>
      <c r="F28" s="19">
        <v>2.4140534445673502E-3</v>
      </c>
      <c r="G28" s="18">
        <v>92158.899006478998</v>
      </c>
      <c r="H28" s="19">
        <v>3.72902867345071E-2</v>
      </c>
      <c r="I28" s="18">
        <v>90384.262289993203</v>
      </c>
      <c r="J28" s="19">
        <v>3.4481275086240002E-3</v>
      </c>
      <c r="K28" s="18">
        <v>22723.879517009998</v>
      </c>
      <c r="L28" s="19">
        <v>3.11601828131614E-3</v>
      </c>
      <c r="M28" s="18">
        <v>-14216.270871819999</v>
      </c>
      <c r="N28" s="19">
        <v>6.7243840469924696E-2</v>
      </c>
      <c r="O28" s="18">
        <v>437218.98141029099</v>
      </c>
      <c r="P28" s="19">
        <v>1.03477025437675E-2</v>
      </c>
      <c r="Q28" s="18">
        <v>1718.1710140944999</v>
      </c>
      <c r="R28" s="19">
        <v>-1.6759649838116199E-3</v>
      </c>
      <c r="S28" s="18">
        <v>9931.0074594777707</v>
      </c>
      <c r="T28" s="19">
        <v>2.9321291851864802E-3</v>
      </c>
      <c r="U28" s="18">
        <v>41.291610000000098</v>
      </c>
      <c r="V28" s="19">
        <v>-6.2691885571740701E-3</v>
      </c>
      <c r="W28" s="18">
        <v>39219.445405606501</v>
      </c>
      <c r="X28" s="19">
        <v>0.102896777106474</v>
      </c>
      <c r="Y28" s="18">
        <v>20710.747161730302</v>
      </c>
      <c r="Z28" s="19">
        <v>0.13824835905726299</v>
      </c>
      <c r="AA28" s="18">
        <v>432126.61830258998</v>
      </c>
      <c r="AB28" s="19">
        <v>1.0190075840338601E-2</v>
      </c>
      <c r="AC28" s="18">
        <v>19392.819386966999</v>
      </c>
      <c r="AD28" s="19">
        <v>8.2668785622534297E-2</v>
      </c>
      <c r="AE28" s="18">
        <v>24485.182494667999</v>
      </c>
      <c r="AF28" s="19">
        <v>6.9898300119236798E-2</v>
      </c>
      <c r="AG28" s="18"/>
      <c r="AH28" s="19"/>
    </row>
    <row r="29" spans="1:34" x14ac:dyDescent="0.3">
      <c r="A29" s="17">
        <v>1997</v>
      </c>
      <c r="B29" s="17"/>
      <c r="C29" s="18">
        <v>433747.49206923298</v>
      </c>
      <c r="D29" s="19">
        <v>1.6083289606336301E-2</v>
      </c>
      <c r="E29" s="18">
        <v>238617.77292695799</v>
      </c>
      <c r="F29" s="19">
        <v>1.18165728031945E-2</v>
      </c>
      <c r="G29" s="18">
        <v>95351.807568306598</v>
      </c>
      <c r="H29" s="19">
        <v>3.46456890897009E-2</v>
      </c>
      <c r="I29" s="18">
        <v>90688.4288774788</v>
      </c>
      <c r="J29" s="19">
        <v>3.3652604975598099E-3</v>
      </c>
      <c r="K29" s="18">
        <v>23522.550729670002</v>
      </c>
      <c r="L29" s="19">
        <v>3.5146780815403997E-2</v>
      </c>
      <c r="M29" s="18">
        <v>-14433.068033179999</v>
      </c>
      <c r="N29" s="19">
        <v>1.5249931808048799E-2</v>
      </c>
      <c r="O29" s="18">
        <v>451652.82284185698</v>
      </c>
      <c r="P29" s="19">
        <v>3.3012842637819298E-2</v>
      </c>
      <c r="Q29" s="18">
        <v>1773.89154140765</v>
      </c>
      <c r="R29" s="19">
        <v>3.2430140455206501E-2</v>
      </c>
      <c r="S29" s="18">
        <v>9599.9291290702004</v>
      </c>
      <c r="T29" s="19">
        <v>-3.3337839263387001E-2</v>
      </c>
      <c r="U29" s="18">
        <v>42.704433000000101</v>
      </c>
      <c r="V29" s="19">
        <v>3.42157401951639E-2</v>
      </c>
      <c r="W29" s="18">
        <v>48909.5725800031</v>
      </c>
      <c r="X29" s="19">
        <v>0.247074558912843</v>
      </c>
      <c r="Y29" s="18">
        <v>23220.9086527172</v>
      </c>
      <c r="Z29" s="19">
        <v>0.12120091425891399</v>
      </c>
      <c r="AA29" s="18">
        <v>447126.90073199198</v>
      </c>
      <c r="AB29" s="19">
        <v>3.4712701773206997E-2</v>
      </c>
      <c r="AC29" s="18">
        <v>19779.571077558001</v>
      </c>
      <c r="AD29" s="19">
        <v>1.9943035763583701E-2</v>
      </c>
      <c r="AE29" s="18">
        <v>24305.4931874223</v>
      </c>
      <c r="AF29" s="19">
        <v>-7.3386958534955599E-3</v>
      </c>
      <c r="AG29" s="18"/>
      <c r="AH29" s="19"/>
    </row>
    <row r="30" spans="1:34" x14ac:dyDescent="0.3">
      <c r="A30" s="17">
        <v>1998</v>
      </c>
      <c r="B30" s="17"/>
      <c r="C30" s="18">
        <v>444954.84281793702</v>
      </c>
      <c r="D30" s="19">
        <v>2.5838422016546601E-2</v>
      </c>
      <c r="E30" s="18">
        <v>242856.12062233599</v>
      </c>
      <c r="F30" s="19">
        <v>1.7762078840100899E-2</v>
      </c>
      <c r="G30" s="18">
        <v>98586.619056308002</v>
      </c>
      <c r="H30" s="19">
        <v>3.3925014852855602E-2</v>
      </c>
      <c r="I30" s="18">
        <v>93257.573677733002</v>
      </c>
      <c r="J30" s="19">
        <v>2.83293561488995E-2</v>
      </c>
      <c r="K30" s="18">
        <v>25752.902030839999</v>
      </c>
      <c r="L30" s="19">
        <v>9.4817578535679695E-2</v>
      </c>
      <c r="M30" s="18">
        <v>-15498.37256928</v>
      </c>
      <c r="N30" s="19">
        <v>7.3809985073927803E-2</v>
      </c>
      <c r="O30" s="18">
        <v>465197.74734882999</v>
      </c>
      <c r="P30" s="19">
        <v>2.99896819458518E-2</v>
      </c>
      <c r="Q30" s="18">
        <v>1799.06377221912</v>
      </c>
      <c r="R30" s="19">
        <v>1.419040015913E-2</v>
      </c>
      <c r="S30" s="18">
        <v>9509.9275158389501</v>
      </c>
      <c r="T30" s="19">
        <v>-9.3752372565658604E-3</v>
      </c>
      <c r="U30" s="18">
        <v>45.790094000000202</v>
      </c>
      <c r="V30" s="19">
        <v>7.2256222205317105E-2</v>
      </c>
      <c r="W30" s="18">
        <v>65493.945264103102</v>
      </c>
      <c r="X30" s="19">
        <v>0.33908234746832899</v>
      </c>
      <c r="Y30" s="18">
        <v>37585.967083590098</v>
      </c>
      <c r="Z30" s="19">
        <v>0.61862602560955204</v>
      </c>
      <c r="AA30" s="18">
        <v>459892.79791721702</v>
      </c>
      <c r="AB30" s="19">
        <v>2.8550948655349701E-2</v>
      </c>
      <c r="AC30" s="18">
        <v>21106.251285390201</v>
      </c>
      <c r="AD30" s="19">
        <v>6.7073254654013106E-2</v>
      </c>
      <c r="AE30" s="18">
        <v>26411.200717003201</v>
      </c>
      <c r="AF30" s="19">
        <v>8.6635046379991906E-2</v>
      </c>
      <c r="AG30" s="18"/>
      <c r="AH30" s="19"/>
    </row>
    <row r="31" spans="1:34" x14ac:dyDescent="0.3">
      <c r="A31" s="17">
        <v>1999</v>
      </c>
      <c r="B31" s="17"/>
      <c r="C31" s="18">
        <v>453531.10713721003</v>
      </c>
      <c r="D31" s="19">
        <v>1.92744599990393E-2</v>
      </c>
      <c r="E31" s="18">
        <v>247677.31386747799</v>
      </c>
      <c r="F31" s="19">
        <v>1.9852055747194602E-2</v>
      </c>
      <c r="G31" s="18">
        <v>93727.482219836704</v>
      </c>
      <c r="H31" s="19">
        <v>-4.9287995500646498E-2</v>
      </c>
      <c r="I31" s="18">
        <v>98103.476519475298</v>
      </c>
      <c r="J31" s="19">
        <v>5.1962566155625098E-2</v>
      </c>
      <c r="K31" s="18">
        <v>27883.297295230001</v>
      </c>
      <c r="L31" s="19">
        <v>8.2724473608402793E-2</v>
      </c>
      <c r="M31" s="18">
        <v>-13860.462764809999</v>
      </c>
      <c r="N31" s="19">
        <v>-0.105682696499152</v>
      </c>
      <c r="O31" s="18">
        <v>477426.83376883098</v>
      </c>
      <c r="P31" s="19">
        <v>2.62879312930786E-2</v>
      </c>
      <c r="Q31" s="18">
        <v>1851.88871241898</v>
      </c>
      <c r="R31" s="19">
        <v>2.9362461195414601E-2</v>
      </c>
      <c r="S31" s="18">
        <v>9610.4925780950107</v>
      </c>
      <c r="T31" s="19">
        <v>1.05747454003791E-2</v>
      </c>
      <c r="U31" s="18">
        <v>48.931972000000101</v>
      </c>
      <c r="V31" s="19">
        <v>6.8614796903450306E-2</v>
      </c>
      <c r="W31" s="18">
        <v>73979.299451145896</v>
      </c>
      <c r="X31" s="19">
        <v>0.12955936847025701</v>
      </c>
      <c r="Y31" s="18">
        <v>42373.900925848699</v>
      </c>
      <c r="Z31" s="19">
        <v>0.12738620857115099</v>
      </c>
      <c r="AA31" s="18">
        <v>473559.47795632703</v>
      </c>
      <c r="AB31" s="19">
        <v>2.97170995088516E-2</v>
      </c>
      <c r="AC31" s="18">
        <v>22615.962368636701</v>
      </c>
      <c r="AD31" s="19">
        <v>7.1529096419482602E-2</v>
      </c>
      <c r="AE31" s="18">
        <v>26483.318181140599</v>
      </c>
      <c r="AF31" s="19">
        <v>2.73056363132218E-3</v>
      </c>
      <c r="AG31" s="18"/>
      <c r="AH31" s="19"/>
    </row>
    <row r="32" spans="1:34" x14ac:dyDescent="0.3">
      <c r="A32" s="17">
        <v>2000</v>
      </c>
      <c r="B32" s="17"/>
      <c r="C32" s="18">
        <v>476794.43183223403</v>
      </c>
      <c r="D32" s="19">
        <v>5.1293779696540497E-2</v>
      </c>
      <c r="E32" s="18">
        <v>257661.955427184</v>
      </c>
      <c r="F32" s="19">
        <v>4.0313104998581401E-2</v>
      </c>
      <c r="G32" s="18">
        <v>97948.326774442394</v>
      </c>
      <c r="H32" s="19">
        <v>4.50331584145802E-2</v>
      </c>
      <c r="I32" s="18">
        <v>104324.530136858</v>
      </c>
      <c r="J32" s="19">
        <v>6.34131820613653E-2</v>
      </c>
      <c r="K32" s="18">
        <v>30694.881650830001</v>
      </c>
      <c r="L32" s="19">
        <v>0.100833998426756</v>
      </c>
      <c r="M32" s="18">
        <v>-13835.26215708</v>
      </c>
      <c r="N32" s="19">
        <v>-1.8181649601178901E-3</v>
      </c>
      <c r="O32" s="18">
        <v>506964.45950273098</v>
      </c>
      <c r="P32" s="19">
        <v>6.18683820109747E-2</v>
      </c>
      <c r="Q32" s="18">
        <v>1906.6539312172299</v>
      </c>
      <c r="R32" s="19">
        <v>2.95726295165506E-2</v>
      </c>
      <c r="S32" s="18">
        <v>10460.247157674001</v>
      </c>
      <c r="T32" s="19">
        <v>8.8419461611761493E-2</v>
      </c>
      <c r="U32" s="18">
        <v>90.606671000000205</v>
      </c>
      <c r="V32" s="19">
        <v>0.85168648016066095</v>
      </c>
      <c r="W32" s="18">
        <v>102832.13781394099</v>
      </c>
      <c r="X32" s="19">
        <v>0.39001232205299302</v>
      </c>
      <c r="Y32" s="18">
        <v>64199.123587987102</v>
      </c>
      <c r="Z32" s="19">
        <v>0.515062861461138</v>
      </c>
      <c r="AA32" s="18">
        <v>504602.338879538</v>
      </c>
      <c r="AB32" s="19">
        <v>6.5552190101184002E-2</v>
      </c>
      <c r="AC32" s="18">
        <v>28163.251827094999</v>
      </c>
      <c r="AD32" s="19">
        <v>0.24528204318871499</v>
      </c>
      <c r="AE32" s="18">
        <v>30525.3724502884</v>
      </c>
      <c r="AF32" s="19">
        <v>0.15262642851250599</v>
      </c>
      <c r="AG32" s="18"/>
      <c r="AH32" s="19"/>
    </row>
    <row r="33" spans="1:34" x14ac:dyDescent="0.3">
      <c r="A33" s="17">
        <v>2001</v>
      </c>
      <c r="B33" s="17"/>
      <c r="C33" s="18">
        <v>489674.25564941502</v>
      </c>
      <c r="D33" s="19">
        <v>2.7013368775483399E-2</v>
      </c>
      <c r="E33" s="18">
        <v>272298.95455554599</v>
      </c>
      <c r="F33" s="19">
        <v>5.68069861307028E-2</v>
      </c>
      <c r="G33" s="18">
        <v>90871.448591660403</v>
      </c>
      <c r="H33" s="19">
        <v>-7.2251139103976805E-2</v>
      </c>
      <c r="I33" s="18">
        <v>110615.68810560901</v>
      </c>
      <c r="J33" s="19">
        <v>6.0303726846393103E-2</v>
      </c>
      <c r="K33" s="18">
        <v>30761.562310550002</v>
      </c>
      <c r="L33" s="19">
        <v>2.1723706407643698E-3</v>
      </c>
      <c r="M33" s="18">
        <v>-14873.397913950001</v>
      </c>
      <c r="N33" s="19">
        <v>7.5035495900505705E-2</v>
      </c>
      <c r="O33" s="18">
        <v>507948.67908954201</v>
      </c>
      <c r="P33" s="19">
        <v>1.94139760364243E-3</v>
      </c>
      <c r="Q33" s="18">
        <v>2282.30203501499</v>
      </c>
      <c r="R33" s="19">
        <v>0.19701955223617401</v>
      </c>
      <c r="S33" s="18">
        <v>11676.660637818</v>
      </c>
      <c r="T33" s="19">
        <v>0.116289171929517</v>
      </c>
      <c r="U33" s="18">
        <v>201.60129499999999</v>
      </c>
      <c r="V33" s="19">
        <v>1.2250160255860101</v>
      </c>
      <c r="W33" s="18">
        <v>87436.500357906596</v>
      </c>
      <c r="X33" s="19">
        <v>-0.149716205296543</v>
      </c>
      <c r="Y33" s="18">
        <v>59969.319609977203</v>
      </c>
      <c r="Z33" s="19">
        <v>-6.5885696589188497E-2</v>
      </c>
      <c r="AA33" s="18">
        <v>506797.66810662602</v>
      </c>
      <c r="AB33" s="19">
        <v>4.35061246834967E-3</v>
      </c>
      <c r="AC33" s="18">
        <v>33272.016734290402</v>
      </c>
      <c r="AD33" s="19">
        <v>0.18139826105877499</v>
      </c>
      <c r="AE33" s="18">
        <v>34423.0277172067</v>
      </c>
      <c r="AF33" s="19">
        <v>0.12768575627588999</v>
      </c>
      <c r="AG33" s="18"/>
      <c r="AH33" s="19"/>
    </row>
    <row r="34" spans="1:34" x14ac:dyDescent="0.3">
      <c r="A34" s="17">
        <v>2002</v>
      </c>
      <c r="B34" s="17"/>
      <c r="C34" s="18">
        <v>489292.79718540399</v>
      </c>
      <c r="D34" s="19">
        <v>-7.7900453129831103E-4</v>
      </c>
      <c r="E34" s="18">
        <v>280029.43086562498</v>
      </c>
      <c r="F34" s="19">
        <v>2.8389665772668101E-2</v>
      </c>
      <c r="G34" s="18">
        <v>81309.619586122601</v>
      </c>
      <c r="H34" s="19">
        <v>-0.10522368855926099</v>
      </c>
      <c r="I34" s="18">
        <v>113730.163228127</v>
      </c>
      <c r="J34" s="19">
        <v>2.8155817460037098E-2</v>
      </c>
      <c r="K34" s="18">
        <v>29854.062466719999</v>
      </c>
      <c r="L34" s="19">
        <v>-2.9501097332717899E-2</v>
      </c>
      <c r="M34" s="18">
        <v>-15630.47896119</v>
      </c>
      <c r="N34" s="19">
        <v>5.0901687134311098E-2</v>
      </c>
      <c r="O34" s="18">
        <v>501380.74746060499</v>
      </c>
      <c r="P34" s="19">
        <v>-1.29303055590364E-2</v>
      </c>
      <c r="Q34" s="18">
        <v>2227.61045150779</v>
      </c>
      <c r="R34" s="19">
        <v>-2.3963341691030499E-2</v>
      </c>
      <c r="S34" s="18">
        <v>12349.712844654199</v>
      </c>
      <c r="T34" s="19">
        <v>5.7640812533023403E-2</v>
      </c>
      <c r="U34" s="18">
        <v>203.62697299999999</v>
      </c>
      <c r="V34" s="19">
        <v>1.00479414083143E-2</v>
      </c>
      <c r="W34" s="18">
        <v>64190.8814190712</v>
      </c>
      <c r="X34" s="19">
        <v>-0.265857151689322</v>
      </c>
      <c r="Y34" s="18">
        <v>42184.455723724102</v>
      </c>
      <c r="Z34" s="19">
        <v>-0.29656604413591098</v>
      </c>
      <c r="AA34" s="18">
        <v>495387.87620959402</v>
      </c>
      <c r="AB34" s="19">
        <v>-2.2513505122582E-2</v>
      </c>
      <c r="AC34" s="18">
        <v>37216.645091742401</v>
      </c>
      <c r="AD34" s="19">
        <v>0.118556935966753</v>
      </c>
      <c r="AE34" s="18">
        <v>43209.516342753101</v>
      </c>
      <c r="AF34" s="19">
        <v>0.25525031376465401</v>
      </c>
      <c r="AG34" s="18"/>
      <c r="AH34" s="19"/>
    </row>
    <row r="35" spans="1:34" x14ac:dyDescent="0.3">
      <c r="A35" s="17">
        <v>2003</v>
      </c>
      <c r="B35" s="17"/>
      <c r="C35" s="18">
        <v>493651.67529704701</v>
      </c>
      <c r="D35" s="19">
        <v>8.90852703476663E-3</v>
      </c>
      <c r="E35" s="18">
        <v>281023.04822666099</v>
      </c>
      <c r="F35" s="19">
        <v>3.54826047378176E-3</v>
      </c>
      <c r="G35" s="18">
        <v>81639.355459541301</v>
      </c>
      <c r="H35" s="19">
        <v>4.05531196797049E-3</v>
      </c>
      <c r="I35" s="18">
        <v>116796.481103875</v>
      </c>
      <c r="J35" s="19">
        <v>2.6961342432942199E-2</v>
      </c>
      <c r="K35" s="18">
        <v>30222.412235719999</v>
      </c>
      <c r="L35" s="19">
        <v>1.23383465620677E-2</v>
      </c>
      <c r="M35" s="18">
        <v>-16029.62172875</v>
      </c>
      <c r="N35" s="19">
        <v>2.5536182771561899E-2</v>
      </c>
      <c r="O35" s="18">
        <v>524543.08985578199</v>
      </c>
      <c r="P35" s="19">
        <v>4.61971117010158E-2</v>
      </c>
      <c r="Q35" s="18">
        <v>2382.0844138797302</v>
      </c>
      <c r="R35" s="19">
        <v>6.93451416819231E-2</v>
      </c>
      <c r="S35" s="18">
        <v>12620.959189343101</v>
      </c>
      <c r="T35" s="19">
        <v>2.1963777465993099E-2</v>
      </c>
      <c r="U35" s="18">
        <v>205.32318100000001</v>
      </c>
      <c r="V35" s="19">
        <v>8.3299769917997094E-3</v>
      </c>
      <c r="W35" s="18">
        <v>83876.504602497196</v>
      </c>
      <c r="X35" s="19">
        <v>0.30667320261437298</v>
      </c>
      <c r="Y35" s="18">
        <v>42951.5384492995</v>
      </c>
      <c r="Z35" s="19">
        <v>1.8184013813031599E-2</v>
      </c>
      <c r="AA35" s="18">
        <v>520118.55857375998</v>
      </c>
      <c r="AB35" s="19">
        <v>4.9921856290448902E-2</v>
      </c>
      <c r="AC35" s="18">
        <v>26013.482359502199</v>
      </c>
      <c r="AD35" s="19">
        <v>-0.30102559498910803</v>
      </c>
      <c r="AE35" s="18">
        <v>30438.013641523201</v>
      </c>
      <c r="AF35" s="19">
        <v>-0.29557152641843598</v>
      </c>
      <c r="AG35" s="18"/>
      <c r="AH35" s="19"/>
    </row>
    <row r="36" spans="1:34" x14ac:dyDescent="0.3">
      <c r="A36" s="17">
        <v>2004</v>
      </c>
      <c r="B36" s="17"/>
      <c r="C36" s="18">
        <v>508607.55280216801</v>
      </c>
      <c r="D36" s="19">
        <v>3.02964180079437E-2</v>
      </c>
      <c r="E36" s="18">
        <v>283625.61458260799</v>
      </c>
      <c r="F36" s="19">
        <v>9.2610423677701396E-3</v>
      </c>
      <c r="G36" s="18">
        <v>90477.270484397304</v>
      </c>
      <c r="H36" s="19">
        <v>0.10825557079803</v>
      </c>
      <c r="I36" s="18">
        <v>119274.35993984299</v>
      </c>
      <c r="J36" s="19">
        <v>2.1215355227733899E-2</v>
      </c>
      <c r="K36" s="18">
        <v>31404.528685450001</v>
      </c>
      <c r="L36" s="19">
        <v>3.9113901316350001E-2</v>
      </c>
      <c r="M36" s="18">
        <v>-16174.22089013</v>
      </c>
      <c r="N36" s="19">
        <v>9.0207469537884107E-3</v>
      </c>
      <c r="O36" s="18">
        <v>538651.393610092</v>
      </c>
      <c r="P36" s="19">
        <v>2.68963675761873E-2</v>
      </c>
      <c r="Q36" s="18">
        <v>2432.2484244529401</v>
      </c>
      <c r="R36" s="19">
        <v>2.10588719194491E-2</v>
      </c>
      <c r="S36" s="18">
        <v>13193.5578984515</v>
      </c>
      <c r="T36" s="19">
        <v>4.5368874149588803E-2</v>
      </c>
      <c r="U36" s="18">
        <v>198.53213700000001</v>
      </c>
      <c r="V36" s="19">
        <v>-3.3074901562137701E-2</v>
      </c>
      <c r="W36" s="18">
        <v>88806.951323543093</v>
      </c>
      <c r="X36" s="19">
        <v>5.8782214929102801E-2</v>
      </c>
      <c r="Y36" s="18">
        <v>48200.333178621098</v>
      </c>
      <c r="Z36" s="19">
        <v>0.122202717733087</v>
      </c>
      <c r="AA36" s="18">
        <v>528375.65597338194</v>
      </c>
      <c r="AB36" s="19">
        <v>1.58754139099813E-2</v>
      </c>
      <c r="AC36" s="18">
        <v>25864.708134917</v>
      </c>
      <c r="AD36" s="19">
        <v>-5.7191198982573504E-3</v>
      </c>
      <c r="AE36" s="18">
        <v>36140.445771626801</v>
      </c>
      <c r="AF36" s="19">
        <v>0.18734573803871399</v>
      </c>
      <c r="AG36" s="18"/>
      <c r="AH36" s="19"/>
    </row>
    <row r="37" spans="1:34" x14ac:dyDescent="0.3">
      <c r="A37" s="17">
        <v>2005</v>
      </c>
      <c r="B37" s="17"/>
      <c r="C37" s="18">
        <v>528601.15710151696</v>
      </c>
      <c r="D37" s="19">
        <v>3.93104746266442E-2</v>
      </c>
      <c r="E37" s="18">
        <v>292269.17517148802</v>
      </c>
      <c r="F37" s="19">
        <v>3.0475246749488E-2</v>
      </c>
      <c r="G37" s="18">
        <v>97764.108483215299</v>
      </c>
      <c r="H37" s="19">
        <v>8.0537774402408294E-2</v>
      </c>
      <c r="I37" s="18">
        <v>122564.10077375401</v>
      </c>
      <c r="J37" s="19">
        <v>2.7581291029943798E-2</v>
      </c>
      <c r="K37" s="18">
        <v>32480.002539429999</v>
      </c>
      <c r="L37" s="19">
        <v>3.42458205551186E-2</v>
      </c>
      <c r="M37" s="18">
        <v>-16476.229866369998</v>
      </c>
      <c r="N37" s="19">
        <v>1.8672242594652201E-2</v>
      </c>
      <c r="O37" s="18">
        <v>570652.303836787</v>
      </c>
      <c r="P37" s="19">
        <v>5.9409314830176203E-2</v>
      </c>
      <c r="Q37" s="18">
        <v>2466.9621230718799</v>
      </c>
      <c r="R37" s="19">
        <v>1.4272266874527199E-2</v>
      </c>
      <c r="S37" s="18">
        <v>13503.568850232799</v>
      </c>
      <c r="T37" s="19">
        <v>2.3497145665134299E-2</v>
      </c>
      <c r="U37" s="18">
        <v>390.79407200000003</v>
      </c>
      <c r="V37" s="19">
        <v>0.96841719383698799</v>
      </c>
      <c r="W37" s="18">
        <v>127658.66574346701</v>
      </c>
      <c r="X37" s="19">
        <v>0.437485059906839</v>
      </c>
      <c r="Y37" s="18">
        <v>74961.706353036803</v>
      </c>
      <c r="Z37" s="19">
        <v>0.55521137323352598</v>
      </c>
      <c r="AA37" s="18">
        <v>560520.68569979502</v>
      </c>
      <c r="AB37" s="19">
        <v>6.0837454116228401E-2</v>
      </c>
      <c r="AC37" s="18">
        <v>26735.940129553899</v>
      </c>
      <c r="AD37" s="19">
        <v>3.3684199724672202E-2</v>
      </c>
      <c r="AE37" s="18">
        <v>36867.558266546002</v>
      </c>
      <c r="AF37" s="19">
        <v>2.01190793139037E-2</v>
      </c>
      <c r="AG37" s="18"/>
      <c r="AH37" s="19"/>
    </row>
    <row r="38" spans="1:34" x14ac:dyDescent="0.3">
      <c r="A38" s="17">
        <v>2006</v>
      </c>
      <c r="B38" s="17"/>
      <c r="C38" s="18">
        <v>562159.63845092803</v>
      </c>
      <c r="D38" s="19">
        <v>6.3485448146617399E-2</v>
      </c>
      <c r="E38" s="18">
        <v>303607.44506135001</v>
      </c>
      <c r="F38" s="19">
        <v>3.87939298874376E-2</v>
      </c>
      <c r="G38" s="18">
        <v>114030.914763591</v>
      </c>
      <c r="H38" s="19">
        <v>0.16638832525300501</v>
      </c>
      <c r="I38" s="18">
        <v>126945.381284847</v>
      </c>
      <c r="J38" s="19">
        <v>3.5746849880461798E-2</v>
      </c>
      <c r="K38" s="18">
        <v>34115.870315009997</v>
      </c>
      <c r="L38" s="19">
        <v>5.0365383241398602E-2</v>
      </c>
      <c r="M38" s="18">
        <v>-16539.972973870001</v>
      </c>
      <c r="N38" s="19">
        <v>3.8687920730038302E-3</v>
      </c>
      <c r="O38" s="18">
        <v>601681.52564348804</v>
      </c>
      <c r="P38" s="19">
        <v>5.4375004881389799E-2</v>
      </c>
      <c r="Q38" s="18">
        <v>2614.8255234868302</v>
      </c>
      <c r="R38" s="19">
        <v>5.9937442505533498E-2</v>
      </c>
      <c r="S38" s="18">
        <v>14621.0701555134</v>
      </c>
      <c r="T38" s="19">
        <v>8.2755997149696697E-2</v>
      </c>
      <c r="U38" s="18">
        <v>400.97973300000001</v>
      </c>
      <c r="V38" s="19">
        <v>2.6064011022152601E-2</v>
      </c>
      <c r="W38" s="18">
        <v>137439.03749282399</v>
      </c>
      <c r="X38" s="19">
        <v>7.6613457397485707E-2</v>
      </c>
      <c r="Y38" s="18">
        <v>86311.885401236796</v>
      </c>
      <c r="Z38" s="19">
        <v>0.15141302940391499</v>
      </c>
      <c r="AA38" s="18">
        <v>590749.07345091004</v>
      </c>
      <c r="AB38" s="19">
        <v>5.3929120766304198E-2</v>
      </c>
      <c r="AC38" s="18">
        <v>27363.067608508001</v>
      </c>
      <c r="AD38" s="19">
        <v>2.34563466223832E-2</v>
      </c>
      <c r="AE38" s="18">
        <v>38295.519801085902</v>
      </c>
      <c r="AF38" s="19">
        <v>3.8732197131580798E-2</v>
      </c>
      <c r="AG38" s="18"/>
      <c r="AH38" s="19"/>
    </row>
    <row r="39" spans="1:34" x14ac:dyDescent="0.3">
      <c r="A39" s="17">
        <v>2007</v>
      </c>
      <c r="B39" s="17"/>
      <c r="C39" s="18">
        <v>598992.21216647106</v>
      </c>
      <c r="D39" s="19">
        <v>6.5519776227689105E-2</v>
      </c>
      <c r="E39" s="18">
        <v>320152.43053767498</v>
      </c>
      <c r="F39" s="19">
        <v>5.4494663241811299E-2</v>
      </c>
      <c r="G39" s="18">
        <v>125166.010020635</v>
      </c>
      <c r="H39" s="19">
        <v>9.7649793305000204E-2</v>
      </c>
      <c r="I39" s="18">
        <v>133504.30201078099</v>
      </c>
      <c r="J39" s="19">
        <v>5.1667265555856101E-2</v>
      </c>
      <c r="K39" s="18">
        <v>35635.03881667</v>
      </c>
      <c r="L39" s="19">
        <v>4.4529671605405802E-2</v>
      </c>
      <c r="M39" s="18">
        <v>-15465.569219290001</v>
      </c>
      <c r="N39" s="19">
        <v>-6.4958011495989301E-2</v>
      </c>
      <c r="O39" s="18">
        <v>601421.72895018605</v>
      </c>
      <c r="P39" s="19">
        <v>-4.3178439461744001E-4</v>
      </c>
      <c r="Q39" s="18">
        <v>2472.7150801709599</v>
      </c>
      <c r="R39" s="19">
        <v>-5.4347963961422101E-2</v>
      </c>
      <c r="S39" s="18">
        <v>16076.955638281201</v>
      </c>
      <c r="T39" s="19">
        <v>9.9574481709110901E-2</v>
      </c>
      <c r="U39" s="18">
        <v>406.37747300000001</v>
      </c>
      <c r="V39" s="19">
        <v>1.34613786078812E-2</v>
      </c>
      <c r="W39" s="18">
        <v>149348.370801752</v>
      </c>
      <c r="X39" s="19">
        <v>8.6651751395958806E-2</v>
      </c>
      <c r="Y39" s="18">
        <v>133720.990932927</v>
      </c>
      <c r="Z39" s="19">
        <v>0.54927667622251697</v>
      </c>
      <c r="AA39" s="18">
        <v>592288.96894371905</v>
      </c>
      <c r="AB39" s="19">
        <v>2.6066828743596098E-3</v>
      </c>
      <c r="AC39" s="18">
        <v>30329.1753975547</v>
      </c>
      <c r="AD39" s="19">
        <v>0.108398218777358</v>
      </c>
      <c r="AE39" s="18">
        <v>39461.935404021999</v>
      </c>
      <c r="AF39" s="19">
        <v>3.0458278383337801E-2</v>
      </c>
      <c r="AG39" s="18"/>
      <c r="AH39" s="19"/>
    </row>
    <row r="40" spans="1:34" x14ac:dyDescent="0.3">
      <c r="A40" s="17">
        <v>2008</v>
      </c>
      <c r="B40" s="17"/>
      <c r="C40" s="18">
        <v>622461.84339465504</v>
      </c>
      <c r="D40" s="19">
        <v>3.9181863722898398E-2</v>
      </c>
      <c r="E40" s="18">
        <v>335872.92269249202</v>
      </c>
      <c r="F40" s="19">
        <v>4.9103147923679397E-2</v>
      </c>
      <c r="G40" s="18">
        <v>123079.55951443</v>
      </c>
      <c r="H40" s="19">
        <v>-1.6669465662930601E-2</v>
      </c>
      <c r="I40" s="18">
        <v>142439.977584323</v>
      </c>
      <c r="J40" s="19">
        <v>6.6931742565273303E-2</v>
      </c>
      <c r="K40" s="18">
        <v>36732.247075090003</v>
      </c>
      <c r="L40" s="19">
        <v>3.0790151908203701E-2</v>
      </c>
      <c r="M40" s="18">
        <v>-15662.863471680001</v>
      </c>
      <c r="N40" s="19">
        <v>1.2756999085679699E-2</v>
      </c>
      <c r="O40" s="18">
        <v>582029.60130411503</v>
      </c>
      <c r="P40" s="19">
        <v>-3.2243809481112599E-2</v>
      </c>
      <c r="Q40" s="18">
        <v>2700.99694362123</v>
      </c>
      <c r="R40" s="19">
        <v>9.2320326462556307E-2</v>
      </c>
      <c r="S40" s="18">
        <v>17124.637000795999</v>
      </c>
      <c r="T40" s="19">
        <v>6.5166651329194206E-2</v>
      </c>
      <c r="U40" s="18">
        <v>432.96596099999999</v>
      </c>
      <c r="V40" s="19">
        <v>6.5428055850919903E-2</v>
      </c>
      <c r="W40" s="18">
        <v>93989.443228825301</v>
      </c>
      <c r="X40" s="19">
        <v>-0.37066977882478103</v>
      </c>
      <c r="Y40" s="18">
        <v>120431.011223191</v>
      </c>
      <c r="Z40" s="19">
        <v>-9.9385890106079802E-2</v>
      </c>
      <c r="AA40" s="18">
        <v>571316.72088230401</v>
      </c>
      <c r="AB40" s="19">
        <v>-3.5408810835725703E-2</v>
      </c>
      <c r="AC40" s="18">
        <v>40471.526761209199</v>
      </c>
      <c r="AD40" s="19">
        <v>0.33440907082730098</v>
      </c>
      <c r="AE40" s="18">
        <v>51184.407183020397</v>
      </c>
      <c r="AF40" s="19">
        <v>0.29705770026179801</v>
      </c>
      <c r="AG40" s="18"/>
      <c r="AH40" s="19"/>
    </row>
    <row r="41" spans="1:34" x14ac:dyDescent="0.3">
      <c r="A41" s="17">
        <v>2009</v>
      </c>
      <c r="B41" s="17"/>
      <c r="C41" s="18">
        <v>613317.965337715</v>
      </c>
      <c r="D41" s="19">
        <v>-1.46898611601205E-2</v>
      </c>
      <c r="E41" s="18">
        <v>343635.84407322702</v>
      </c>
      <c r="F41" s="19">
        <v>2.3112674039051501E-2</v>
      </c>
      <c r="G41" s="18">
        <v>100573.727279977</v>
      </c>
      <c r="H41" s="19">
        <v>-0.182855969937188</v>
      </c>
      <c r="I41" s="18">
        <v>149678.859024301</v>
      </c>
      <c r="J41" s="19">
        <v>5.0820574130549197E-2</v>
      </c>
      <c r="K41" s="18">
        <v>36070.434106000001</v>
      </c>
      <c r="L41" s="19">
        <v>-1.80172197942884E-2</v>
      </c>
      <c r="M41" s="18">
        <v>-16640.899145790001</v>
      </c>
      <c r="N41" s="19">
        <v>6.2442967461114898E-2</v>
      </c>
      <c r="O41" s="18">
        <v>622134.83670944802</v>
      </c>
      <c r="P41" s="19">
        <v>6.8905834540842203E-2</v>
      </c>
      <c r="Q41" s="18">
        <v>2853.9158241305799</v>
      </c>
      <c r="R41" s="19">
        <v>5.6615717715078603E-2</v>
      </c>
      <c r="S41" s="18">
        <v>17804.0182529515</v>
      </c>
      <c r="T41" s="19">
        <v>3.96727388804754E-2</v>
      </c>
      <c r="U41" s="18">
        <v>423.49505599999998</v>
      </c>
      <c r="V41" s="19">
        <v>-2.187447941202E-2</v>
      </c>
      <c r="W41" s="18">
        <v>100875.44146491399</v>
      </c>
      <c r="X41" s="19">
        <v>7.3263528323326096E-2</v>
      </c>
      <c r="Y41" s="18">
        <v>77531.962720359705</v>
      </c>
      <c r="Z41" s="19">
        <v>-0.35621264047453599</v>
      </c>
      <c r="AA41" s="18">
        <v>610527.51413832104</v>
      </c>
      <c r="AB41" s="19">
        <v>6.8632322182804503E-2</v>
      </c>
      <c r="AC41" s="18">
        <v>33510.564761118498</v>
      </c>
      <c r="AD41" s="19">
        <v>-0.17199652588255199</v>
      </c>
      <c r="AE41" s="18">
        <v>45117.887332245802</v>
      </c>
      <c r="AF41" s="19">
        <v>-0.11852281162664401</v>
      </c>
      <c r="AG41" s="18"/>
      <c r="AH41" s="19"/>
    </row>
    <row r="42" spans="1:34" x14ac:dyDescent="0.3">
      <c r="A42" s="17">
        <v>2010</v>
      </c>
      <c r="B42" s="17"/>
      <c r="C42" s="18">
        <v>636172.01998340595</v>
      </c>
      <c r="D42" s="19">
        <v>3.7262979298359401E-2</v>
      </c>
      <c r="E42" s="18">
        <v>346614.67467457597</v>
      </c>
      <c r="F42" s="19">
        <v>8.6685677665045997E-3</v>
      </c>
      <c r="G42" s="18">
        <v>117608.305026513</v>
      </c>
      <c r="H42" s="19">
        <v>0.16937403243607699</v>
      </c>
      <c r="I42" s="18">
        <v>150923.54894169699</v>
      </c>
      <c r="J42" s="19">
        <v>8.3157362737125203E-3</v>
      </c>
      <c r="K42" s="18">
        <v>37801.799804449998</v>
      </c>
      <c r="L42" s="19">
        <v>4.7999580303415203E-2</v>
      </c>
      <c r="M42" s="18">
        <v>-16776.308463829999</v>
      </c>
      <c r="N42" s="19">
        <v>8.1371395171432308E-3</v>
      </c>
      <c r="O42" s="18">
        <v>668962.52662394603</v>
      </c>
      <c r="P42" s="19">
        <v>7.5269358266731201E-2</v>
      </c>
      <c r="Q42" s="18">
        <v>2910.4337279215401</v>
      </c>
      <c r="R42" s="19">
        <v>1.98036337698149E-2</v>
      </c>
      <c r="S42" s="18">
        <v>19266.057597210001</v>
      </c>
      <c r="T42" s="19">
        <v>8.2118504007719001E-2</v>
      </c>
      <c r="U42" s="18">
        <v>438.64318700000001</v>
      </c>
      <c r="V42" s="19">
        <v>3.5769321944575799E-2</v>
      </c>
      <c r="W42" s="18">
        <v>127608.66672004601</v>
      </c>
      <c r="X42" s="19">
        <v>0.26501222564096799</v>
      </c>
      <c r="Y42" s="18">
        <v>78901.179397217595</v>
      </c>
      <c r="Z42" s="19">
        <v>1.7660028571652601E-2</v>
      </c>
      <c r="AA42" s="18">
        <v>657200.55075897195</v>
      </c>
      <c r="AB42" s="19">
        <v>7.6447065103239398E-2</v>
      </c>
      <c r="AC42" s="18">
        <v>31443.9870765384</v>
      </c>
      <c r="AD42" s="19">
        <v>-6.1669437662772497E-2</v>
      </c>
      <c r="AE42" s="18">
        <v>43205.9629415124</v>
      </c>
      <c r="AF42" s="19">
        <v>-4.2376194981251697E-2</v>
      </c>
      <c r="AG42" s="18"/>
      <c r="AH42" s="19"/>
    </row>
    <row r="43" spans="1:34" x14ac:dyDescent="0.3">
      <c r="A43" s="17">
        <v>2011</v>
      </c>
      <c r="B43" s="17"/>
      <c r="C43" s="18">
        <v>645812.25803482695</v>
      </c>
      <c r="D43" s="19">
        <v>1.5153508404333899E-2</v>
      </c>
      <c r="E43" s="18">
        <v>359757.35209399601</v>
      </c>
      <c r="F43" s="19">
        <v>3.7917256191646299E-2</v>
      </c>
      <c r="G43" s="18">
        <v>111699.387910672</v>
      </c>
      <c r="H43" s="19">
        <v>-5.0242345678812202E-2</v>
      </c>
      <c r="I43" s="18">
        <v>153645.28138966899</v>
      </c>
      <c r="J43" s="19">
        <v>1.8033848707224E-2</v>
      </c>
      <c r="K43" s="18">
        <v>38476.286591540003</v>
      </c>
      <c r="L43" s="19">
        <v>1.7842716235183301E-2</v>
      </c>
      <c r="M43" s="18">
        <v>-17766.049951050001</v>
      </c>
      <c r="N43" s="19">
        <v>5.8996381078345997E-2</v>
      </c>
      <c r="O43" s="18">
        <v>649868.190009902</v>
      </c>
      <c r="P43" s="19">
        <v>-2.85432081082444E-2</v>
      </c>
      <c r="Q43" s="18">
        <v>2705.0430608646998</v>
      </c>
      <c r="R43" s="19">
        <v>-7.0570466898594905E-2</v>
      </c>
      <c r="S43" s="18">
        <v>20976.899869165401</v>
      </c>
      <c r="T43" s="19">
        <v>8.8800849022851305E-2</v>
      </c>
      <c r="U43" s="18">
        <v>446.64945499999999</v>
      </c>
      <c r="V43" s="19">
        <v>1.8252347778970699E-2</v>
      </c>
      <c r="W43" s="18">
        <v>95780.575691284204</v>
      </c>
      <c r="X43" s="19">
        <v>-0.24941950924530701</v>
      </c>
      <c r="Y43" s="18">
        <v>73899.436362908396</v>
      </c>
      <c r="Z43" s="19">
        <v>-6.3392500245510394E-2</v>
      </c>
      <c r="AA43" s="18">
        <v>639798.11204793304</v>
      </c>
      <c r="AB43" s="19">
        <v>-2.64796471806691E-2</v>
      </c>
      <c r="AC43" s="18">
        <v>32042.811777130399</v>
      </c>
      <c r="AD43" s="19">
        <v>1.9044172074437399E-2</v>
      </c>
      <c r="AE43" s="18">
        <v>42112.889739099097</v>
      </c>
      <c r="AF43" s="19">
        <v>-2.5299128360893201E-2</v>
      </c>
      <c r="AG43" s="18"/>
      <c r="AH43" s="19"/>
    </row>
    <row r="44" spans="1:34" x14ac:dyDescent="0.3">
      <c r="A44" s="17">
        <v>2012</v>
      </c>
      <c r="B44" s="17"/>
      <c r="C44" s="18">
        <v>654393.62395549798</v>
      </c>
      <c r="D44" s="19">
        <v>1.3287709878385E-2</v>
      </c>
      <c r="E44" s="18">
        <v>368980.04398435698</v>
      </c>
      <c r="F44" s="19">
        <v>2.5635867722173501E-2</v>
      </c>
      <c r="G44" s="18">
        <v>114547.534262296</v>
      </c>
      <c r="H44" s="19">
        <v>2.5498316552113199E-2</v>
      </c>
      <c r="I44" s="18">
        <v>151487.303366426</v>
      </c>
      <c r="J44" s="19">
        <v>-1.4045195555144699E-2</v>
      </c>
      <c r="K44" s="18">
        <v>38446.698270239998</v>
      </c>
      <c r="L44" s="19">
        <v>-7.6900147912173399E-4</v>
      </c>
      <c r="M44" s="18">
        <v>-19067.955927819999</v>
      </c>
      <c r="N44" s="19">
        <v>7.3280553660329206E-2</v>
      </c>
      <c r="O44" s="18">
        <v>665528.05591022503</v>
      </c>
      <c r="P44" s="19">
        <v>2.4096987883165399E-2</v>
      </c>
      <c r="Q44" s="18">
        <v>2688.5515469089801</v>
      </c>
      <c r="R44" s="19">
        <v>-6.0965809359234697E-3</v>
      </c>
      <c r="S44" s="18">
        <v>22256.4098254114</v>
      </c>
      <c r="T44" s="19">
        <v>6.0996141671381801E-2</v>
      </c>
      <c r="U44" s="18">
        <v>431.82718799999998</v>
      </c>
      <c r="V44" s="19">
        <v>-3.3185458605339599E-2</v>
      </c>
      <c r="W44" s="18">
        <v>114202.556170866</v>
      </c>
      <c r="X44" s="19">
        <v>0.19233524487218301</v>
      </c>
      <c r="Y44" s="18">
        <v>83932.093125636806</v>
      </c>
      <c r="Z44" s="19">
        <v>0.13576093751865201</v>
      </c>
      <c r="AA44" s="18">
        <v>652684.49299523095</v>
      </c>
      <c r="AB44" s="19">
        <v>2.0141323809240299E-2</v>
      </c>
      <c r="AC44" s="18">
        <v>35293.1529116479</v>
      </c>
      <c r="AD44" s="19">
        <v>0.101437450531022</v>
      </c>
      <c r="AE44" s="18">
        <v>48136.715826641899</v>
      </c>
      <c r="AF44" s="19">
        <v>0.14303996056461801</v>
      </c>
      <c r="AG44" s="18"/>
      <c r="AH44" s="19"/>
    </row>
    <row r="45" spans="1:34" x14ac:dyDescent="0.3">
      <c r="A45" s="17">
        <v>2013</v>
      </c>
      <c r="B45" s="17"/>
      <c r="C45" s="18">
        <v>666210.44413731096</v>
      </c>
      <c r="D45" s="19">
        <v>1.8057663994928801E-2</v>
      </c>
      <c r="E45" s="18">
        <v>377349.12749194098</v>
      </c>
      <c r="F45" s="19">
        <v>2.2681669765150798E-2</v>
      </c>
      <c r="G45" s="18">
        <v>113231.424990955</v>
      </c>
      <c r="H45" s="19">
        <v>-1.14896342362734E-2</v>
      </c>
      <c r="I45" s="18">
        <v>155902.35550023499</v>
      </c>
      <c r="J45" s="19">
        <v>2.91447008144936E-2</v>
      </c>
      <c r="K45" s="18">
        <v>38860.206014670002</v>
      </c>
      <c r="L45" s="19">
        <v>1.07553512534022E-2</v>
      </c>
      <c r="M45" s="18">
        <v>-19132.669860490001</v>
      </c>
      <c r="N45" s="19">
        <v>3.39385788990554E-3</v>
      </c>
      <c r="O45" s="18">
        <v>677300.40362624603</v>
      </c>
      <c r="P45" s="19">
        <v>1.76887324455768E-2</v>
      </c>
      <c r="Q45" s="18">
        <v>2768.9005401639802</v>
      </c>
      <c r="R45" s="19">
        <v>2.9885606376927502E-2</v>
      </c>
      <c r="S45" s="18">
        <v>23476.0307622047</v>
      </c>
      <c r="T45" s="19">
        <v>5.4798637622172998E-2</v>
      </c>
      <c r="U45" s="18">
        <v>424.09733699999998</v>
      </c>
      <c r="V45" s="19">
        <v>-1.7900334242039299E-2</v>
      </c>
      <c r="W45" s="18">
        <v>110994.955709583</v>
      </c>
      <c r="X45" s="19">
        <v>-2.8086941035575099E-2</v>
      </c>
      <c r="Y45" s="18">
        <v>79621.963335606604</v>
      </c>
      <c r="Z45" s="19">
        <v>-5.1352583136207802E-2</v>
      </c>
      <c r="AA45" s="18">
        <v>662912.97459825897</v>
      </c>
      <c r="AB45" s="19">
        <v>1.5671402818363302E-2</v>
      </c>
      <c r="AC45" s="18">
        <v>35735.436664851302</v>
      </c>
      <c r="AD45" s="19">
        <v>1.25317155514724E-2</v>
      </c>
      <c r="AE45" s="18">
        <v>50122.865692838699</v>
      </c>
      <c r="AF45" s="19">
        <v>4.1260601852225201E-2</v>
      </c>
      <c r="AG45" s="18"/>
      <c r="AH45" s="19"/>
    </row>
    <row r="46" spans="1:34" x14ac:dyDescent="0.3">
      <c r="A46" s="17">
        <v>2014</v>
      </c>
      <c r="B46" s="17"/>
      <c r="C46" s="18">
        <v>679021.94921179803</v>
      </c>
      <c r="D46" s="19">
        <v>1.9230417636393798E-2</v>
      </c>
      <c r="E46" s="18">
        <v>383508.77171300899</v>
      </c>
      <c r="F46" s="19">
        <v>1.6323462205963101E-2</v>
      </c>
      <c r="G46" s="18">
        <v>116253.44527723501</v>
      </c>
      <c r="H46" s="19">
        <v>2.66888832894321E-2</v>
      </c>
      <c r="I46" s="18">
        <v>159448.784731675</v>
      </c>
      <c r="J46" s="19">
        <v>2.2747759134626799E-2</v>
      </c>
      <c r="K46" s="18">
        <v>38957.470197210001</v>
      </c>
      <c r="L46" s="19">
        <v>2.50292503604532E-3</v>
      </c>
      <c r="M46" s="18">
        <v>-19146.522707330001</v>
      </c>
      <c r="N46" s="19">
        <v>7.2404149243232596E-4</v>
      </c>
      <c r="O46" s="18">
        <v>678637.86471624603</v>
      </c>
      <c r="P46" s="19">
        <v>1.9746940690414899E-3</v>
      </c>
      <c r="Q46" s="18">
        <v>2718.3075116943101</v>
      </c>
      <c r="R46" s="19">
        <v>-1.82718836360494E-2</v>
      </c>
      <c r="S46" s="18">
        <v>24547.355625358501</v>
      </c>
      <c r="T46" s="19">
        <v>4.56348381038321E-2</v>
      </c>
      <c r="U46" s="18">
        <v>419.88571400000001</v>
      </c>
      <c r="V46" s="19">
        <v>-9.9307933169130395E-3</v>
      </c>
      <c r="W46" s="18">
        <v>138032.348511174</v>
      </c>
      <c r="X46" s="19">
        <v>0.24359118510154701</v>
      </c>
      <c r="Y46" s="18">
        <v>117007.270607062</v>
      </c>
      <c r="Z46" s="19">
        <v>0.46953510947571497</v>
      </c>
      <c r="AA46" s="18">
        <v>658531.01070790598</v>
      </c>
      <c r="AB46" s="19">
        <v>-6.6101646192823198E-3</v>
      </c>
      <c r="AC46" s="18">
        <v>35988.076122092898</v>
      </c>
      <c r="AD46" s="19">
        <v>7.0697179276417704E-3</v>
      </c>
      <c r="AE46" s="18">
        <v>56094.930130432898</v>
      </c>
      <c r="AF46" s="19">
        <v>0.119148503483261</v>
      </c>
      <c r="AG46" s="18"/>
      <c r="AH46" s="19"/>
    </row>
    <row r="47" spans="1:34" x14ac:dyDescent="0.3">
      <c r="A47" s="17">
        <v>2015</v>
      </c>
      <c r="B47" s="17"/>
      <c r="C47" s="18">
        <v>679632.73968588503</v>
      </c>
      <c r="D47" s="19">
        <v>8.9951506692154105E-4</v>
      </c>
      <c r="E47" s="18">
        <v>390648.31645677</v>
      </c>
      <c r="F47" s="19">
        <v>1.8616379260038899E-2</v>
      </c>
      <c r="G47" s="18">
        <v>111045.384841379</v>
      </c>
      <c r="H47" s="19">
        <v>-4.47991921739197E-2</v>
      </c>
      <c r="I47" s="18">
        <v>158394.95331530599</v>
      </c>
      <c r="J47" s="19">
        <v>-6.6092157312003198E-3</v>
      </c>
      <c r="K47" s="18">
        <v>39206.889030470003</v>
      </c>
      <c r="L47" s="19">
        <v>6.4023364966307996E-3</v>
      </c>
      <c r="M47" s="18">
        <v>-19662.80395804</v>
      </c>
      <c r="N47" s="19">
        <v>2.6964752743971601E-2</v>
      </c>
      <c r="O47" s="18">
        <v>684871.81707671797</v>
      </c>
      <c r="P47" s="19">
        <v>9.1859778013985097E-3</v>
      </c>
      <c r="Q47" s="18">
        <v>2862.6455614933202</v>
      </c>
      <c r="R47" s="19">
        <v>5.3098499407466103E-2</v>
      </c>
      <c r="S47" s="18">
        <v>25043.7874619592</v>
      </c>
      <c r="T47" s="19">
        <v>2.0223434417020202E-2</v>
      </c>
      <c r="U47" s="18">
        <v>414.88285500000001</v>
      </c>
      <c r="V47" s="19">
        <v>-1.1914811181215601E-2</v>
      </c>
      <c r="W47" s="18">
        <v>137501.243520491</v>
      </c>
      <c r="X47" s="19">
        <v>-3.8476849550956901E-3</v>
      </c>
      <c r="Y47" s="18">
        <v>110495.907084192</v>
      </c>
      <c r="Z47" s="19">
        <v>-5.5649221532025298E-2</v>
      </c>
      <c r="AA47" s="18">
        <v>669275.90215113002</v>
      </c>
      <c r="AB47" s="19">
        <v>1.6316454758407602E-2</v>
      </c>
      <c r="AC47" s="18">
        <v>38490.042272868799</v>
      </c>
      <c r="AD47" s="19">
        <v>6.9522086768065899E-2</v>
      </c>
      <c r="AE47" s="18">
        <v>54085.957198456701</v>
      </c>
      <c r="AF47" s="19">
        <v>-3.5813805762925602E-2</v>
      </c>
      <c r="AG47" s="18"/>
      <c r="AH47" s="19"/>
    </row>
    <row r="48" spans="1:34" x14ac:dyDescent="0.3">
      <c r="A48" s="17">
        <v>2016</v>
      </c>
      <c r="B48" s="17"/>
      <c r="C48" s="18">
        <v>688404.189284969</v>
      </c>
      <c r="D48" s="19">
        <v>1.2906161058601E-2</v>
      </c>
      <c r="E48" s="18">
        <v>395236.06033632503</v>
      </c>
      <c r="F48" s="19">
        <v>1.1743923335358701E-2</v>
      </c>
      <c r="G48" s="18">
        <v>113379.10453306101</v>
      </c>
      <c r="H48" s="19">
        <v>2.1015908900809999E-2</v>
      </c>
      <c r="I48" s="18">
        <v>160602.16878013301</v>
      </c>
      <c r="J48" s="19">
        <v>1.3934885036604601E-2</v>
      </c>
      <c r="K48" s="18">
        <v>39169.058955859997</v>
      </c>
      <c r="L48" s="19">
        <v>-9.64883354570789E-4</v>
      </c>
      <c r="M48" s="18">
        <v>-19982.203320410001</v>
      </c>
      <c r="N48" s="19">
        <v>1.62438359784083E-2</v>
      </c>
      <c r="O48" s="18">
        <v>680805.10502899101</v>
      </c>
      <c r="P48" s="19">
        <v>-5.9379170617430699E-3</v>
      </c>
      <c r="Q48" s="18">
        <v>3084.23605702744</v>
      </c>
      <c r="R48" s="19">
        <v>7.7407590557080602E-2</v>
      </c>
      <c r="S48" s="18">
        <v>25663.671465271302</v>
      </c>
      <c r="T48" s="19">
        <v>2.47520070298346E-2</v>
      </c>
      <c r="U48" s="18">
        <v>413.25325299999997</v>
      </c>
      <c r="V48" s="19">
        <v>-3.92786055234828E-3</v>
      </c>
      <c r="W48" s="18">
        <v>143015.46929651601</v>
      </c>
      <c r="X48" s="19">
        <v>4.01030975054655E-2</v>
      </c>
      <c r="Y48" s="18">
        <v>128448.37139725</v>
      </c>
      <c r="Z48" s="19">
        <v>0.16247175833743099</v>
      </c>
      <c r="AA48" s="18">
        <v>665413.85053260496</v>
      </c>
      <c r="AB48" s="19">
        <v>-5.7704925668354799E-3</v>
      </c>
      <c r="AC48" s="18">
        <v>43409.821540546698</v>
      </c>
      <c r="AD48" s="19">
        <v>0.127819534018694</v>
      </c>
      <c r="AE48" s="18">
        <v>58801.076036933002</v>
      </c>
      <c r="AF48" s="19">
        <v>8.7178245199122498E-2</v>
      </c>
      <c r="AG48" s="18"/>
      <c r="AH48" s="19"/>
    </row>
    <row r="49" spans="1:34" x14ac:dyDescent="0.3">
      <c r="A49" s="17">
        <v>2017</v>
      </c>
      <c r="B49" s="17"/>
      <c r="C49" s="18">
        <v>695842.64982842503</v>
      </c>
      <c r="D49" s="19">
        <v>1.0805367920817301E-2</v>
      </c>
      <c r="E49" s="18">
        <v>400899.35138967598</v>
      </c>
      <c r="F49" s="19">
        <v>1.43288824621204E-2</v>
      </c>
      <c r="G49" s="18">
        <v>111767.963696461</v>
      </c>
      <c r="H49" s="19">
        <v>-1.4210209572876199E-2</v>
      </c>
      <c r="I49" s="18">
        <v>163146.157173238</v>
      </c>
      <c r="J49" s="19">
        <v>1.58403115750443E-2</v>
      </c>
      <c r="K49" s="18">
        <v>40461.376477509999</v>
      </c>
      <c r="L49" s="19">
        <v>3.2993325755064098E-2</v>
      </c>
      <c r="M49" s="18">
        <v>-20432.198908459999</v>
      </c>
      <c r="N49" s="19">
        <v>2.2519818302037399E-2</v>
      </c>
      <c r="O49" s="18">
        <v>683702.54525542504</v>
      </c>
      <c r="P49" s="19">
        <v>4.2559026144644001E-3</v>
      </c>
      <c r="Q49" s="18">
        <v>3269.6809028541002</v>
      </c>
      <c r="R49" s="19">
        <v>6.0126670720978902E-2</v>
      </c>
      <c r="S49" s="18">
        <v>26536.903616510499</v>
      </c>
      <c r="T49" s="19">
        <v>3.40260025702432E-2</v>
      </c>
      <c r="U49" s="18">
        <v>455.43026500000002</v>
      </c>
      <c r="V49" s="19">
        <v>0.102060931629254</v>
      </c>
      <c r="W49" s="18">
        <v>167217.827763932</v>
      </c>
      <c r="X49" s="19">
        <v>0.16922895534634</v>
      </c>
      <c r="Y49" s="18">
        <v>156546.139888276</v>
      </c>
      <c r="Z49" s="19">
        <v>0.218747565153073</v>
      </c>
      <c r="AA49" s="18">
        <v>668681.71741224104</v>
      </c>
      <c r="AB49" s="19">
        <v>4.9110292444616297E-3</v>
      </c>
      <c r="AC49" s="18">
        <v>50612.367059361801</v>
      </c>
      <c r="AD49" s="19">
        <v>0.16591972192485499</v>
      </c>
      <c r="AE49" s="18">
        <v>65633.194902546107</v>
      </c>
      <c r="AF49" s="19">
        <v>0.11619037143677199</v>
      </c>
      <c r="AG49" s="18"/>
      <c r="AH49" s="19"/>
    </row>
    <row r="50" spans="1:34" x14ac:dyDescent="0.3">
      <c r="A50" s="17">
        <v>2018</v>
      </c>
      <c r="B50" s="17"/>
      <c r="C50" s="18">
        <v>724383.24489115598</v>
      </c>
      <c r="D50" s="19">
        <v>4.1015874881724201E-2</v>
      </c>
      <c r="E50" s="18">
        <v>409780.660806384</v>
      </c>
      <c r="F50" s="19">
        <v>2.2153464169801799E-2</v>
      </c>
      <c r="G50" s="18">
        <v>126709.71565866</v>
      </c>
      <c r="H50" s="19">
        <v>0.133685462882522</v>
      </c>
      <c r="I50" s="18">
        <v>168540.269294542</v>
      </c>
      <c r="J50" s="19">
        <v>3.3063065748929699E-2</v>
      </c>
      <c r="K50" s="18">
        <v>40257.700707570002</v>
      </c>
      <c r="L50" s="19">
        <v>-5.0338319570815103E-3</v>
      </c>
      <c r="M50" s="18">
        <v>-20905.101576000001</v>
      </c>
      <c r="N50" s="19">
        <v>2.3144971799594401E-2</v>
      </c>
      <c r="O50" s="18">
        <v>702899.72708273097</v>
      </c>
      <c r="P50" s="19">
        <v>2.8078265848979999E-2</v>
      </c>
      <c r="Q50" s="18">
        <v>3112.1008752254702</v>
      </c>
      <c r="R50" s="19">
        <v>-4.8194313852180003E-2</v>
      </c>
      <c r="S50" s="18">
        <v>27121.534694479102</v>
      </c>
      <c r="T50" s="19">
        <v>2.2030870157921E-2</v>
      </c>
      <c r="U50" s="18">
        <v>437.43018599999999</v>
      </c>
      <c r="V50" s="19">
        <v>-3.9523238535759897E-2</v>
      </c>
      <c r="W50" s="18">
        <v>175788.751462485</v>
      </c>
      <c r="X50" s="19">
        <v>5.1256040179237898E-2</v>
      </c>
      <c r="Y50" s="18">
        <v>173700.265637656</v>
      </c>
      <c r="Z50" s="19">
        <v>0.10957872076323701</v>
      </c>
      <c r="AA50" s="18">
        <v>688340.95050863805</v>
      </c>
      <c r="AB50" s="19">
        <v>2.9399985949186001E-2</v>
      </c>
      <c r="AC50" s="18">
        <v>44042.725178388602</v>
      </c>
      <c r="AD50" s="19">
        <v>-0.129803094829923</v>
      </c>
      <c r="AE50" s="18">
        <v>58601.501752481403</v>
      </c>
      <c r="AF50" s="19">
        <v>-0.10713623130042001</v>
      </c>
      <c r="AG50" s="18"/>
      <c r="AH50" s="19"/>
    </row>
    <row r="51" spans="1:34" x14ac:dyDescent="0.3">
      <c r="A51" s="17">
        <v>2019</v>
      </c>
      <c r="B51" s="17"/>
      <c r="C51" s="18">
        <v>731800.76850289002</v>
      </c>
      <c r="D51" s="19">
        <v>1.0239777996037499E-2</v>
      </c>
      <c r="E51" s="18">
        <v>421687.434788891</v>
      </c>
      <c r="F51" s="19">
        <v>2.90564565908904E-2</v>
      </c>
      <c r="G51" s="18">
        <v>118045.60644939799</v>
      </c>
      <c r="H51" s="19">
        <v>-6.8377623327651404E-2</v>
      </c>
      <c r="I51" s="18">
        <v>172835.97490358099</v>
      </c>
      <c r="J51" s="19">
        <v>2.5487710604829E-2</v>
      </c>
      <c r="K51" s="18">
        <v>40468.752715499999</v>
      </c>
      <c r="L51" s="19">
        <v>5.2425251373164903E-3</v>
      </c>
      <c r="M51" s="18">
        <v>-21237.000354479998</v>
      </c>
      <c r="N51" s="19">
        <v>1.5876448974590202E-2</v>
      </c>
      <c r="O51" s="18">
        <v>700285.69770511496</v>
      </c>
      <c r="P51" s="19">
        <v>-3.7189221689767301E-3</v>
      </c>
      <c r="Q51" s="18">
        <v>3181.1845864154802</v>
      </c>
      <c r="R51" s="19">
        <v>2.21984164266547E-2</v>
      </c>
      <c r="S51" s="18">
        <v>28280.086305586501</v>
      </c>
      <c r="T51" s="19">
        <v>4.2717037371164703E-2</v>
      </c>
      <c r="U51" s="18">
        <v>430.41919100000001</v>
      </c>
      <c r="V51" s="19">
        <v>-1.6027689044762001E-2</v>
      </c>
      <c r="W51" s="18">
        <v>167081.30434156</v>
      </c>
      <c r="X51" s="19">
        <v>-4.9533585331728601E-2</v>
      </c>
      <c r="Y51" s="18">
        <v>173927.89261116399</v>
      </c>
      <c r="Z51" s="19">
        <v>1.31045840760402E-3</v>
      </c>
      <c r="AA51" s="18">
        <v>686253.36636552401</v>
      </c>
      <c r="AB51" s="19">
        <v>-3.0327763320938698E-3</v>
      </c>
      <c r="AC51" s="18">
        <v>47736.637343970302</v>
      </c>
      <c r="AD51" s="19">
        <v>8.3871108125576702E-2</v>
      </c>
      <c r="AE51" s="18">
        <v>61768.968683561099</v>
      </c>
      <c r="AF51" s="19">
        <v>5.4050951534626399E-2</v>
      </c>
      <c r="AG51" s="18"/>
      <c r="AH51" s="19"/>
    </row>
    <row r="52" spans="1:34" x14ac:dyDescent="0.3">
      <c r="A52" s="17">
        <v>2020</v>
      </c>
      <c r="B52" s="17"/>
      <c r="C52" s="18">
        <v>709854.59789991495</v>
      </c>
      <c r="D52" s="19">
        <v>-2.99892696858911E-2</v>
      </c>
      <c r="E52" s="18">
        <v>415038.27540583903</v>
      </c>
      <c r="F52" s="19">
        <v>-1.5767980818258899E-2</v>
      </c>
      <c r="G52" s="18">
        <v>100815.094472981</v>
      </c>
      <c r="H52" s="19">
        <v>-0.145964873193342</v>
      </c>
      <c r="I52" s="18">
        <v>176488.93440639501</v>
      </c>
      <c r="J52" s="19">
        <v>2.1135411796368499E-2</v>
      </c>
      <c r="K52" s="18">
        <v>39864.963945000003</v>
      </c>
      <c r="L52" s="19">
        <v>-1.49198759532991E-2</v>
      </c>
      <c r="M52" s="18">
        <v>-22352.670330299999</v>
      </c>
      <c r="N52" s="19">
        <v>5.2534254235422101E-2</v>
      </c>
      <c r="O52" s="18">
        <v>684217.68714576995</v>
      </c>
      <c r="P52" s="19">
        <v>-2.2944936062525598E-2</v>
      </c>
      <c r="Q52" s="18">
        <v>3239.7616204536398</v>
      </c>
      <c r="R52" s="19">
        <v>1.8413591681633E-2</v>
      </c>
      <c r="S52" s="18">
        <v>27782.034230458001</v>
      </c>
      <c r="T52" s="19">
        <v>-1.76114057696534E-2</v>
      </c>
      <c r="U52" s="18">
        <v>402.46820000000002</v>
      </c>
      <c r="V52" s="19">
        <v>-6.4938998038310797E-2</v>
      </c>
      <c r="W52" s="18">
        <v>130829.822728317</v>
      </c>
      <c r="X52" s="19">
        <v>-0.21696910827997301</v>
      </c>
      <c r="Y52" s="18">
        <v>132326.92907245699</v>
      </c>
      <c r="Z52" s="19">
        <v>-0.23918511812082199</v>
      </c>
      <c r="AA52" s="18">
        <v>668819.94602758996</v>
      </c>
      <c r="AB52" s="19">
        <v>-2.5403766585895E-2</v>
      </c>
      <c r="AC52" s="18">
        <v>48704.259649633103</v>
      </c>
      <c r="AD52" s="19">
        <v>2.02700139662229E-2</v>
      </c>
      <c r="AE52" s="18">
        <v>64102.000767813399</v>
      </c>
      <c r="AF52" s="19">
        <v>3.77702936276028E-2</v>
      </c>
      <c r="AG52" s="18"/>
      <c r="AH52" s="19"/>
    </row>
    <row r="53" spans="1:34" x14ac:dyDescent="0.3">
      <c r="A53" s="17">
        <v>2021</v>
      </c>
      <c r="B53" s="17"/>
      <c r="C53" s="18">
        <v>768279.35247361602</v>
      </c>
      <c r="D53" s="19">
        <v>8.2305242153180899E-2</v>
      </c>
      <c r="E53" s="18">
        <v>434093.01005531498</v>
      </c>
      <c r="F53" s="19">
        <v>4.5910788904574E-2</v>
      </c>
      <c r="G53" s="18">
        <v>137062.86080584201</v>
      </c>
      <c r="H53" s="19">
        <v>0.35954701547769102</v>
      </c>
      <c r="I53" s="18">
        <v>181960.46584894901</v>
      </c>
      <c r="J53" s="19">
        <v>3.1002121809828202E-2</v>
      </c>
      <c r="K53" s="18">
        <v>42248.054040149997</v>
      </c>
      <c r="L53" s="19">
        <v>5.97790605915971E-2</v>
      </c>
      <c r="M53" s="18">
        <v>-27085.03827664</v>
      </c>
      <c r="N53" s="19">
        <v>0.21171376289324501</v>
      </c>
      <c r="O53" s="18">
        <v>743602.67585790402</v>
      </c>
      <c r="P53" s="19">
        <v>8.67925366850133E-2</v>
      </c>
      <c r="Q53" s="18">
        <v>3258.3072467509501</v>
      </c>
      <c r="R53" s="19">
        <v>5.7243798988868598E-3</v>
      </c>
      <c r="S53" s="18">
        <v>29506.547143338699</v>
      </c>
      <c r="T53" s="19">
        <v>6.2072953282523498E-2</v>
      </c>
      <c r="U53" s="18">
        <v>442.55891200000002</v>
      </c>
      <c r="V53" s="19">
        <v>9.9612123392605903E-2</v>
      </c>
      <c r="W53" s="18">
        <v>157995.827568924</v>
      </c>
      <c r="X53" s="19">
        <v>0.20764382519282501</v>
      </c>
      <c r="Y53" s="18">
        <v>156866.82320004801</v>
      </c>
      <c r="Z53" s="19">
        <v>0.18544898079025099</v>
      </c>
      <c r="AA53" s="18">
        <v>728075.30780267902</v>
      </c>
      <c r="AB53" s="19">
        <v>8.8596881906756395E-2</v>
      </c>
      <c r="AC53" s="18">
        <v>49409.166169685101</v>
      </c>
      <c r="AD53" s="19">
        <v>1.4473200601403899E-2</v>
      </c>
      <c r="AE53" s="18">
        <v>64936.534224909999</v>
      </c>
      <c r="AF53" s="19">
        <v>1.30188363405288E-2</v>
      </c>
      <c r="AG53" s="18"/>
      <c r="AH53" s="19"/>
    </row>
    <row r="54" spans="1:34" x14ac:dyDescent="0.3">
      <c r="A54" s="17">
        <v>2022</v>
      </c>
      <c r="B54" s="17"/>
      <c r="C54" s="18">
        <v>819703.68671952398</v>
      </c>
      <c r="D54" s="19">
        <v>6.6934421809381306E-2</v>
      </c>
      <c r="E54" s="18">
        <v>459689.26048144902</v>
      </c>
      <c r="F54" s="19">
        <v>5.8964898842468E-2</v>
      </c>
      <c r="G54" s="18">
        <v>146043.514491398</v>
      </c>
      <c r="H54" s="19">
        <v>6.5522152629494207E-2</v>
      </c>
      <c r="I54" s="18">
        <v>194727.503698007</v>
      </c>
      <c r="J54" s="19">
        <v>7.0163800633793502E-2</v>
      </c>
      <c r="K54" s="18">
        <v>43487.990104190001</v>
      </c>
      <c r="L54" s="19">
        <v>2.9348950909352099E-2</v>
      </c>
      <c r="M54" s="18">
        <v>-24244.582055520001</v>
      </c>
      <c r="N54" s="19">
        <v>-0.104871781686563</v>
      </c>
      <c r="O54" s="18">
        <v>789819.54246397805</v>
      </c>
      <c r="P54" s="19">
        <v>6.2152636221692897E-2</v>
      </c>
      <c r="Q54" s="18">
        <v>3378.2171859669102</v>
      </c>
      <c r="R54" s="19">
        <v>3.6801298998284701E-2</v>
      </c>
      <c r="S54" s="18">
        <v>31865.083803242102</v>
      </c>
      <c r="T54" s="19">
        <v>7.9932655232276606E-2</v>
      </c>
      <c r="U54" s="18">
        <v>424</v>
      </c>
      <c r="V54" s="19">
        <v>-4.1935461012702298E-2</v>
      </c>
      <c r="W54" s="18">
        <v>169782.30174452599</v>
      </c>
      <c r="X54" s="19">
        <v>7.4599907839086696E-2</v>
      </c>
      <c r="Y54" s="18">
        <v>171603.57938279599</v>
      </c>
      <c r="Z54" s="19">
        <v>9.3944378308436993E-2</v>
      </c>
      <c r="AA54" s="18">
        <v>773081.04859616305</v>
      </c>
      <c r="AB54" s="19">
        <v>6.1814678112502401E-2</v>
      </c>
      <c r="AC54" s="18">
        <v>54460.573334278903</v>
      </c>
      <c r="AD54" s="19">
        <v>0.102236235828102</v>
      </c>
      <c r="AE54" s="18">
        <v>71199.067202093996</v>
      </c>
      <c r="AF54" s="19">
        <v>9.6440825675935704E-2</v>
      </c>
      <c r="AG54" s="18"/>
      <c r="AH54" s="19"/>
    </row>
    <row r="55" spans="1:34" x14ac:dyDescent="0.3">
      <c r="A55" s="17">
        <v>2023</v>
      </c>
      <c r="B55" s="17"/>
      <c r="C55" s="18">
        <v>834189.81128891394</v>
      </c>
      <c r="D55" s="19">
        <v>1.76723916264971E-2</v>
      </c>
      <c r="E55" s="18">
        <v>476597.73111085198</v>
      </c>
      <c r="F55" s="19">
        <v>3.67823921135206E-2</v>
      </c>
      <c r="G55" s="18">
        <v>133461.90386745901</v>
      </c>
      <c r="H55" s="19">
        <v>-8.6149738779945806E-2</v>
      </c>
      <c r="I55" s="18">
        <v>205112.029398724</v>
      </c>
      <c r="J55" s="19">
        <v>5.3328500101464303E-2</v>
      </c>
      <c r="K55" s="18">
        <v>42881.119232279998</v>
      </c>
      <c r="L55" s="19">
        <v>-1.39549073308753E-2</v>
      </c>
      <c r="M55" s="18">
        <v>-23862.9723204</v>
      </c>
      <c r="N55" s="19">
        <v>-1.5740000559552499E-2</v>
      </c>
      <c r="O55" s="18">
        <v>799017.29137291806</v>
      </c>
      <c r="P55" s="19">
        <v>1.16453802602123E-2</v>
      </c>
      <c r="Q55" s="18">
        <v>3332.5408213496698</v>
      </c>
      <c r="R55" s="19">
        <v>-1.3520849046349001E-2</v>
      </c>
      <c r="S55" s="18">
        <v>33778.261720022703</v>
      </c>
      <c r="T55" s="19">
        <v>6.0039946186676497E-2</v>
      </c>
      <c r="U55" s="18">
        <v>413</v>
      </c>
      <c r="V55" s="19">
        <v>-2.5943396226414301E-2</v>
      </c>
      <c r="W55" s="18">
        <v>183186.17958478699</v>
      </c>
      <c r="X55" s="19">
        <v>7.8947438587739602E-2</v>
      </c>
      <c r="Y55" s="18">
        <v>188325.97860211</v>
      </c>
      <c r="Z55" s="19">
        <v>9.7447846248074801E-2</v>
      </c>
      <c r="AA55" s="18">
        <v>782392.55735056498</v>
      </c>
      <c r="AB55" s="19">
        <v>1.20446734159505E-2</v>
      </c>
      <c r="AC55" s="18">
        <v>60385.148345617701</v>
      </c>
      <c r="AD55" s="19">
        <v>0.108786497251393</v>
      </c>
      <c r="AE55" s="18">
        <v>77009.882367971397</v>
      </c>
      <c r="AF55" s="19">
        <v>8.1613641782465995E-2</v>
      </c>
      <c r="AG55" s="18"/>
      <c r="AH55" s="19"/>
    </row>
    <row r="56" spans="1:34" x14ac:dyDescent="0.3">
      <c r="A56" s="17">
        <v>2024</v>
      </c>
      <c r="B56" s="17"/>
      <c r="C56" s="18">
        <v>853956.984778921</v>
      </c>
      <c r="D56" s="19">
        <v>2.3696253805191199E-2</v>
      </c>
      <c r="E56" s="18">
        <v>492615.43879823398</v>
      </c>
      <c r="F56" s="19">
        <v>3.3608443015555198E-2</v>
      </c>
      <c r="G56" s="18">
        <v>129289.81721319001</v>
      </c>
      <c r="H56" s="19">
        <v>-3.1260506057305897E-2</v>
      </c>
      <c r="I56" s="18">
        <v>211775.65393723699</v>
      </c>
      <c r="J56" s="19">
        <v>3.2487731499937202E-2</v>
      </c>
      <c r="K56" s="18">
        <v>45008.232084759999</v>
      </c>
      <c r="L56" s="19">
        <v>4.9604881835237903E-2</v>
      </c>
      <c r="M56" s="18">
        <v>-24732.157254500002</v>
      </c>
      <c r="N56" s="19">
        <v>3.6424001269823099E-2</v>
      </c>
      <c r="O56" s="18">
        <v>827378.79619049898</v>
      </c>
      <c r="P56" s="19">
        <v>3.5495483168892103E-2</v>
      </c>
      <c r="Q56" s="18">
        <v>3465.2883072978698</v>
      </c>
      <c r="R56" s="19">
        <v>3.9833716393738797E-2</v>
      </c>
      <c r="S56" s="18">
        <v>35383.482788540401</v>
      </c>
      <c r="T56" s="19">
        <v>4.7522311296622502E-2</v>
      </c>
      <c r="U56" s="18">
        <v>431</v>
      </c>
      <c r="V56" s="19">
        <v>4.35835351089593E-2</v>
      </c>
      <c r="W56" s="18">
        <v>192185.4645953</v>
      </c>
      <c r="X56" s="19">
        <v>4.9126440820540698E-2</v>
      </c>
      <c r="Y56" s="18">
        <v>187276.45870247899</v>
      </c>
      <c r="Z56" s="19">
        <v>-5.5728896640880902E-3</v>
      </c>
      <c r="AA56" s="18">
        <v>808430.43609857303</v>
      </c>
      <c r="AB56" s="19">
        <v>3.3279813954495599E-2</v>
      </c>
      <c r="AC56" s="18">
        <v>64815.423672417703</v>
      </c>
      <c r="AD56" s="19">
        <v>7.3366969332311294E-2</v>
      </c>
      <c r="AE56" s="18">
        <v>83763.783764343796</v>
      </c>
      <c r="AF56" s="19">
        <v>8.7701749291093006E-2</v>
      </c>
      <c r="AG56" s="18"/>
      <c r="AH56" s="19"/>
    </row>
    <row r="57" spans="1:34" x14ac:dyDescent="0.3">
      <c r="A57" s="17"/>
      <c r="B57" s="17"/>
      <c r="C57" s="18"/>
      <c r="D57" s="19"/>
      <c r="E57" s="18"/>
      <c r="F57" s="19"/>
      <c r="G57" s="18"/>
      <c r="H57" s="19"/>
      <c r="I57" s="18"/>
      <c r="J57" s="19"/>
      <c r="K57" s="18"/>
      <c r="L57" s="19"/>
      <c r="M57" s="18"/>
      <c r="N57" s="19"/>
      <c r="O57" s="18"/>
      <c r="P57" s="19"/>
      <c r="Q57" s="18"/>
      <c r="R57" s="19"/>
      <c r="S57" s="18"/>
      <c r="T57" s="19"/>
      <c r="U57" s="18"/>
      <c r="V57" s="19"/>
      <c r="W57" s="18"/>
      <c r="X57" s="19"/>
      <c r="Y57" s="18"/>
      <c r="Z57" s="19"/>
      <c r="AA57" s="18"/>
      <c r="AB57" s="19"/>
      <c r="AC57" s="18"/>
      <c r="AD57" s="19"/>
      <c r="AE57" s="18"/>
      <c r="AF57" s="19"/>
      <c r="AG57" s="18"/>
      <c r="AH57" s="19"/>
    </row>
  </sheetData>
  <sheetProtection password="DD0B" sheet="1"/>
  <mergeCells count="33">
    <mergeCell ref="C4:N4"/>
    <mergeCell ref="O4:Z4"/>
    <mergeCell ref="AA4:AF4"/>
    <mergeCell ref="E5:F10"/>
    <mergeCell ref="G5:H10"/>
    <mergeCell ref="I5:J10"/>
    <mergeCell ref="K5:L10"/>
    <mergeCell ref="M5:N10"/>
    <mergeCell ref="O5:P10"/>
    <mergeCell ref="C5:D10"/>
    <mergeCell ref="S5:T10"/>
    <mergeCell ref="W5:X10"/>
    <mergeCell ref="Y5:Z10"/>
    <mergeCell ref="C11:D11"/>
    <mergeCell ref="E11:F11"/>
    <mergeCell ref="I11:J11"/>
    <mergeCell ref="K11:L11"/>
    <mergeCell ref="M11:N11"/>
    <mergeCell ref="S11:T11"/>
    <mergeCell ref="W11:X11"/>
    <mergeCell ref="Q5:R10"/>
    <mergeCell ref="G11:H11"/>
    <mergeCell ref="Y11:Z11"/>
    <mergeCell ref="O11:P11"/>
    <mergeCell ref="Q11:R11"/>
    <mergeCell ref="U5:V10"/>
    <mergeCell ref="U11:V11"/>
    <mergeCell ref="AC11:AD11"/>
    <mergeCell ref="AA6:AB10"/>
    <mergeCell ref="AE5:AF10"/>
    <mergeCell ref="AE11:AF11"/>
    <mergeCell ref="AC5:AD10"/>
    <mergeCell ref="AA11:AB11"/>
  </mergeCells>
  <pageMargins left="0.7" right="0.7" top="0.75" bottom="0.75" header="0.3" footer="0.3"/>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E256F5-6106-45E8-A2D5-7B2125FC6023}">
  <dimension ref="A1:AI57"/>
  <sheetViews>
    <sheetView tabSelected="1" topLeftCell="I1" workbookViewId="0">
      <selection activeCell="AH23" sqref="AH23"/>
    </sheetView>
  </sheetViews>
  <sheetFormatPr baseColWidth="10" defaultRowHeight="10.15" x14ac:dyDescent="0.3"/>
  <cols>
    <col min="1" max="1" width="9.75" customWidth="1"/>
    <col min="2" max="2" width="2.6640625" customWidth="1"/>
    <col min="3" max="32" width="9.75" customWidth="1"/>
    <col min="33" max="33" width="15.6640625" customWidth="1"/>
    <col min="34" max="34" width="9.75" customWidth="1"/>
  </cols>
  <sheetData>
    <row r="1" spans="1:34" ht="11.25" customHeight="1" x14ac:dyDescent="0.3">
      <c r="A1" s="6" t="s">
        <v>83</v>
      </c>
      <c r="C1" s="9"/>
      <c r="D1" s="10"/>
      <c r="E1" s="9"/>
      <c r="F1" s="10"/>
      <c r="G1" s="9"/>
      <c r="H1" s="10"/>
      <c r="I1" s="9"/>
      <c r="J1" s="10"/>
      <c r="K1" s="9"/>
      <c r="L1" s="10"/>
      <c r="M1" s="9"/>
      <c r="N1" s="10"/>
      <c r="O1" s="9"/>
      <c r="P1" s="10"/>
      <c r="Q1" s="9"/>
      <c r="R1" s="10"/>
      <c r="S1" s="9"/>
      <c r="T1" s="10"/>
      <c r="U1" s="10"/>
      <c r="V1" s="10"/>
      <c r="W1" s="9"/>
      <c r="X1" s="10"/>
      <c r="Y1" s="9"/>
      <c r="Z1" s="10"/>
      <c r="AA1" s="9"/>
      <c r="AB1" s="10"/>
      <c r="AC1" s="9"/>
      <c r="AD1" s="10"/>
      <c r="AE1" s="9"/>
      <c r="AF1" s="10"/>
    </row>
    <row r="2" spans="1:34" ht="11.25" customHeight="1" x14ac:dyDescent="0.3">
      <c r="A2" s="3" t="s">
        <v>13</v>
      </c>
      <c r="C2" s="9"/>
      <c r="D2" s="10"/>
      <c r="E2" s="9"/>
      <c r="F2" s="10"/>
      <c r="G2" s="9"/>
      <c r="H2" s="10"/>
      <c r="I2" s="9"/>
      <c r="J2" s="10"/>
      <c r="K2" s="9"/>
      <c r="L2" s="10"/>
      <c r="M2" s="9"/>
      <c r="N2" s="10"/>
      <c r="O2" s="9"/>
      <c r="P2" s="10"/>
      <c r="Q2" s="9"/>
      <c r="R2" s="10"/>
      <c r="S2" s="9"/>
      <c r="T2" s="10"/>
      <c r="U2" s="10"/>
      <c r="V2" s="10"/>
      <c r="W2" s="9"/>
      <c r="X2" s="10"/>
      <c r="Y2" s="9"/>
      <c r="Z2" s="10"/>
      <c r="AA2" s="9"/>
      <c r="AB2" s="10"/>
      <c r="AC2" s="9"/>
      <c r="AD2" s="10"/>
      <c r="AE2" s="9"/>
      <c r="AF2" s="10"/>
    </row>
    <row r="3" spans="1:34" ht="11.25" customHeight="1" x14ac:dyDescent="0.3">
      <c r="C3" s="9"/>
      <c r="D3" s="10"/>
      <c r="E3" s="9"/>
      <c r="F3" s="10"/>
      <c r="G3" s="9"/>
      <c r="H3" s="10"/>
      <c r="I3" s="9"/>
      <c r="J3" s="10"/>
      <c r="K3" s="9"/>
      <c r="L3" s="10"/>
      <c r="M3" s="9"/>
      <c r="N3" s="10"/>
      <c r="O3" s="9"/>
      <c r="P3" s="10"/>
      <c r="Q3" s="9"/>
      <c r="R3" s="10"/>
      <c r="S3" s="9"/>
      <c r="T3" s="10"/>
      <c r="U3" s="10"/>
      <c r="V3" s="10"/>
      <c r="W3" s="9"/>
      <c r="X3" s="10"/>
      <c r="Y3" s="9"/>
      <c r="Z3" s="10"/>
      <c r="AA3" s="9"/>
      <c r="AB3" s="10"/>
      <c r="AC3" s="9"/>
      <c r="AD3" s="10"/>
      <c r="AE3" s="9"/>
      <c r="AF3" s="10"/>
    </row>
    <row r="4" spans="1:34" ht="11.25" customHeight="1" x14ac:dyDescent="0.3">
      <c r="A4" s="5"/>
      <c r="C4" s="38" t="s">
        <v>63</v>
      </c>
      <c r="D4" s="44" t="e">
        <f ca="1">IF(INDIRECT("beschriftung.!"&amp;ADDRESS(#REF!*12+ROW($A5)-1,COLUMN(D$1)))="","",INDIRECT("beschriftung.!"&amp;ADDRESS(#REF!*12+ROW($A5)-1,COLUMN(D$1))))</f>
        <v>#REF!</v>
      </c>
      <c r="E4" s="44" t="e">
        <f ca="1">IF(INDIRECT("beschriftung.!"&amp;ADDRESS(#REF!*12+ROW($A5)-1,COLUMN(E$1)))="","",INDIRECT("beschriftung.!"&amp;ADDRESS(#REF!*12+ROW($A5)-1,COLUMN(E$1))))</f>
        <v>#REF!</v>
      </c>
      <c r="F4" s="44" t="e">
        <f ca="1">IF(INDIRECT("beschriftung.!"&amp;ADDRESS(#REF!*12+ROW($A5)-1,COLUMN(F$1)))="","",INDIRECT("beschriftung.!"&amp;ADDRESS(#REF!*12+ROW($A5)-1,COLUMN(F$1))))</f>
        <v>#REF!</v>
      </c>
      <c r="G4" s="44" t="e">
        <f ca="1">IF(INDIRECT("beschriftung.!"&amp;ADDRESS(#REF!*12+ROW($A5)-1,COLUMN(G$1)))="","",INDIRECT("beschriftung.!"&amp;ADDRESS(#REF!*12+ROW($A5)-1,COLUMN(G$1))))</f>
        <v>#REF!</v>
      </c>
      <c r="H4" s="44" t="e">
        <f ca="1">IF(INDIRECT("beschriftung.!"&amp;ADDRESS(#REF!*12+ROW($A5)-1,COLUMN(H$1)))="","",INDIRECT("beschriftung.!"&amp;ADDRESS(#REF!*12+ROW($A5)-1,COLUMN(H$1))))</f>
        <v>#REF!</v>
      </c>
      <c r="I4" s="44" t="e">
        <f ca="1">IF(INDIRECT("beschriftung.!"&amp;ADDRESS(#REF!*12+ROW($A5)-1,COLUMN(I$1)))="","",INDIRECT("beschriftung.!"&amp;ADDRESS(#REF!*12+ROW($A5)-1,COLUMN(I$1))))</f>
        <v>#REF!</v>
      </c>
      <c r="J4" s="44" t="e">
        <f ca="1">IF(INDIRECT("beschriftung.!"&amp;ADDRESS(#REF!*12+ROW($A5)-1,COLUMN(J$1)))="","",INDIRECT("beschriftung.!"&amp;ADDRESS(#REF!*12+ROW($A5)-1,COLUMN(J$1))))</f>
        <v>#REF!</v>
      </c>
      <c r="K4" s="44" t="e">
        <f ca="1">IF(INDIRECT("beschriftung.!"&amp;ADDRESS(#REF!*12+ROW($A5)-1,COLUMN(K$1)))="","",INDIRECT("beschriftung.!"&amp;ADDRESS(#REF!*12+ROW($A5)-1,COLUMN(K$1))))</f>
        <v>#REF!</v>
      </c>
      <c r="L4" s="44" t="e">
        <f ca="1">IF(INDIRECT("beschriftung.!"&amp;ADDRESS(#REF!*12+ROW($A5)-1,COLUMN(L$1)))="","",INDIRECT("beschriftung.!"&amp;ADDRESS(#REF!*12+ROW($A5)-1,COLUMN(L$1))))</f>
        <v>#REF!</v>
      </c>
      <c r="M4" s="44" t="e">
        <f ca="1">IF(INDIRECT("beschriftung.!"&amp;ADDRESS(#REF!*12+ROW($A5)-1,COLUMN(M$1)))="","",INDIRECT("beschriftung.!"&amp;ADDRESS(#REF!*12+ROW($A5)-1,COLUMN(M$1))))</f>
        <v>#REF!</v>
      </c>
      <c r="N4" s="39" t="e">
        <f ca="1">IF(INDIRECT("beschriftung.!"&amp;ADDRESS(#REF!*12+ROW($A5)-1,COLUMN(N$1)))="","",INDIRECT("beschriftung.!"&amp;ADDRESS(#REF!*12+ROW($A5)-1,COLUMN(N$1))))</f>
        <v>#REF!</v>
      </c>
      <c r="O4" s="38" t="s">
        <v>68</v>
      </c>
      <c r="P4" s="44" t="e">
        <f ca="1">IF(INDIRECT("beschriftung.!"&amp;ADDRESS(#REF!*12+ROW($A5)-1,COLUMN(P$1)))="","",INDIRECT("beschriftung.!"&amp;ADDRESS(#REF!*12+ROW($A5)-1,COLUMN(P$1))))</f>
        <v>#REF!</v>
      </c>
      <c r="Q4" s="44" t="e">
        <f ca="1">IF(INDIRECT("beschriftung.!"&amp;ADDRESS(#REF!*12+ROW($A5)-1,COLUMN(Q$1)))="","",INDIRECT("beschriftung.!"&amp;ADDRESS(#REF!*12+ROW($A5)-1,COLUMN(Q$1))))</f>
        <v>#REF!</v>
      </c>
      <c r="R4" s="44" t="e">
        <f ca="1">IF(INDIRECT("beschriftung.!"&amp;ADDRESS(#REF!*12+ROW($A5)-1,COLUMN(R$1)))="","",INDIRECT("beschriftung.!"&amp;ADDRESS(#REF!*12+ROW($A5)-1,COLUMN(R$1))))</f>
        <v>#REF!</v>
      </c>
      <c r="S4" s="44" t="e">
        <f ca="1">IF(INDIRECT("beschriftung.!"&amp;ADDRESS(#REF!*12+ROW($A5)-1,COLUMN(S$1)))="","",INDIRECT("beschriftung.!"&amp;ADDRESS(#REF!*12+ROW($A5)-1,COLUMN(S$1))))</f>
        <v>#REF!</v>
      </c>
      <c r="T4" s="44" t="e">
        <f ca="1">IF(INDIRECT("beschriftung.!"&amp;ADDRESS(#REF!*12+ROW($A5)-1,COLUMN(T$1)))="","",INDIRECT("beschriftung.!"&amp;ADDRESS(#REF!*12+ROW($A5)-1,COLUMN(T$1))))</f>
        <v>#REF!</v>
      </c>
      <c r="U4" s="44"/>
      <c r="V4" s="44"/>
      <c r="W4" s="44" t="e">
        <f ca="1">IF(INDIRECT("beschriftung.!"&amp;ADDRESS(#REF!*12+ROW($A5)-1,COLUMN(W$1)))="","",INDIRECT("beschriftung.!"&amp;ADDRESS(#REF!*12+ROW($A5)-1,COLUMN(W$1))))</f>
        <v>#REF!</v>
      </c>
      <c r="X4" s="44" t="e">
        <f ca="1">IF(INDIRECT("beschriftung.!"&amp;ADDRESS(#REF!*12+ROW($A5)-1,COLUMN(X$1)))="","",INDIRECT("beschriftung.!"&amp;ADDRESS(#REF!*12+ROW($A5)-1,COLUMN(X$1))))</f>
        <v>#REF!</v>
      </c>
      <c r="Y4" s="44" t="e">
        <f ca="1">IF(INDIRECT("beschriftung.!"&amp;ADDRESS(#REF!*12+ROW($A5)-1,COLUMN(Y$1)))="","",INDIRECT("beschriftung.!"&amp;ADDRESS(#REF!*12+ROW($A5)-1,COLUMN(Y$1))))</f>
        <v>#REF!</v>
      </c>
      <c r="Z4" s="39" t="e">
        <f ca="1">IF(INDIRECT("beschriftung.!"&amp;ADDRESS(#REF!*12+ROW($A5)-1,COLUMN(Z$1)))="","",INDIRECT("beschriftung.!"&amp;ADDRESS(#REF!*12+ROW($A5)-1,COLUMN(Z$1))))</f>
        <v>#REF!</v>
      </c>
      <c r="AA4" s="38" t="s">
        <v>73</v>
      </c>
      <c r="AB4" s="44"/>
      <c r="AC4" s="44"/>
      <c r="AD4" s="44"/>
      <c r="AE4" s="44"/>
      <c r="AF4" s="39"/>
    </row>
    <row r="5" spans="1:34" ht="11.25" customHeight="1" x14ac:dyDescent="0.3">
      <c r="A5" s="5"/>
      <c r="C5" s="31"/>
      <c r="D5" s="26"/>
      <c r="E5" s="38" t="s">
        <v>64</v>
      </c>
      <c r="F5" s="39"/>
      <c r="G5" s="38" t="s">
        <v>117</v>
      </c>
      <c r="H5" s="39"/>
      <c r="I5" s="38" t="s">
        <v>66</v>
      </c>
      <c r="J5" s="39"/>
      <c r="K5" s="38" t="s">
        <v>67</v>
      </c>
      <c r="L5" s="39"/>
      <c r="M5" s="38" t="s">
        <v>65</v>
      </c>
      <c r="N5" s="39"/>
      <c r="O5" s="25" t="s">
        <v>119</v>
      </c>
      <c r="P5" s="26" t="e">
        <v>#REF!</v>
      </c>
      <c r="Q5" s="38" t="s">
        <v>69</v>
      </c>
      <c r="R5" s="39"/>
      <c r="S5" s="38" t="s">
        <v>70</v>
      </c>
      <c r="T5" s="39"/>
      <c r="U5" s="38" t="s">
        <v>98</v>
      </c>
      <c r="V5" s="39"/>
      <c r="W5" s="38" t="s">
        <v>71</v>
      </c>
      <c r="X5" s="39"/>
      <c r="Y5" s="38" t="s">
        <v>72</v>
      </c>
      <c r="Z5" s="39"/>
      <c r="AA5" s="8"/>
      <c r="AB5" s="11" t="s">
        <v>119</v>
      </c>
      <c r="AC5" s="38" t="s">
        <v>74</v>
      </c>
      <c r="AD5" s="39"/>
      <c r="AE5" s="38" t="s">
        <v>75</v>
      </c>
      <c r="AF5" s="39"/>
      <c r="AG5" s="4" t="s">
        <v>119</v>
      </c>
    </row>
    <row r="6" spans="1:34" ht="11.25" customHeight="1" x14ac:dyDescent="0.3">
      <c r="A6" s="5"/>
      <c r="C6" s="32"/>
      <c r="D6" s="28"/>
      <c r="E6" s="40"/>
      <c r="F6" s="41"/>
      <c r="G6" s="40"/>
      <c r="H6" s="41"/>
      <c r="I6" s="40"/>
      <c r="J6" s="41"/>
      <c r="K6" s="40"/>
      <c r="L6" s="41"/>
      <c r="M6" s="40"/>
      <c r="N6" s="41"/>
      <c r="O6" s="27" t="e">
        <v>#REF!</v>
      </c>
      <c r="P6" s="28"/>
      <c r="Q6" s="40"/>
      <c r="R6" s="41"/>
      <c r="S6" s="40"/>
      <c r="T6" s="41"/>
      <c r="U6" s="40"/>
      <c r="V6" s="41"/>
      <c r="W6" s="40"/>
      <c r="X6" s="41"/>
      <c r="Y6" s="40"/>
      <c r="Z6" s="41"/>
      <c r="AA6" s="23"/>
      <c r="AB6" s="24"/>
      <c r="AC6" s="40"/>
      <c r="AD6" s="41"/>
      <c r="AE6" s="40"/>
      <c r="AF6" s="41"/>
    </row>
    <row r="7" spans="1:34" ht="11.25" customHeight="1" x14ac:dyDescent="0.3">
      <c r="A7" s="7"/>
      <c r="B7" s="7"/>
      <c r="C7" s="32"/>
      <c r="D7" s="28"/>
      <c r="E7" s="40"/>
      <c r="F7" s="41"/>
      <c r="G7" s="40"/>
      <c r="H7" s="41"/>
      <c r="I7" s="40"/>
      <c r="J7" s="41"/>
      <c r="K7" s="40"/>
      <c r="L7" s="41"/>
      <c r="M7" s="40"/>
      <c r="N7" s="41"/>
      <c r="O7" s="27"/>
      <c r="P7" s="28"/>
      <c r="Q7" s="40"/>
      <c r="R7" s="41"/>
      <c r="S7" s="40"/>
      <c r="T7" s="41"/>
      <c r="U7" s="40"/>
      <c r="V7" s="41"/>
      <c r="W7" s="40"/>
      <c r="X7" s="41"/>
      <c r="Y7" s="40"/>
      <c r="Z7" s="41"/>
      <c r="AA7" s="23"/>
      <c r="AB7" s="24"/>
      <c r="AC7" s="40"/>
      <c r="AD7" s="41"/>
      <c r="AE7" s="40"/>
      <c r="AF7" s="41"/>
    </row>
    <row r="8" spans="1:34" ht="11.25" customHeight="1" x14ac:dyDescent="0.3">
      <c r="A8" s="4"/>
      <c r="B8" s="4"/>
      <c r="C8" s="32"/>
      <c r="D8" s="28"/>
      <c r="E8" s="40"/>
      <c r="F8" s="41"/>
      <c r="G8" s="40"/>
      <c r="H8" s="41"/>
      <c r="I8" s="40"/>
      <c r="J8" s="41"/>
      <c r="K8" s="40"/>
      <c r="L8" s="41"/>
      <c r="M8" s="40"/>
      <c r="N8" s="41"/>
      <c r="O8" s="27"/>
      <c r="P8" s="28"/>
      <c r="Q8" s="40"/>
      <c r="R8" s="41"/>
      <c r="S8" s="40"/>
      <c r="T8" s="41"/>
      <c r="U8" s="40"/>
      <c r="V8" s="41"/>
      <c r="W8" s="40"/>
      <c r="X8" s="41"/>
      <c r="Y8" s="40"/>
      <c r="Z8" s="41"/>
      <c r="AA8" s="23"/>
      <c r="AB8" s="24"/>
      <c r="AC8" s="40"/>
      <c r="AD8" s="41"/>
      <c r="AE8" s="40"/>
      <c r="AF8" s="41"/>
    </row>
    <row r="9" spans="1:34" ht="11.25" customHeight="1" x14ac:dyDescent="0.3">
      <c r="A9" s="4"/>
      <c r="B9" s="4"/>
      <c r="C9" s="32"/>
      <c r="D9" s="28"/>
      <c r="E9" s="40"/>
      <c r="F9" s="41"/>
      <c r="G9" s="40"/>
      <c r="H9" s="41"/>
      <c r="I9" s="40"/>
      <c r="J9" s="41"/>
      <c r="K9" s="40"/>
      <c r="L9" s="41"/>
      <c r="M9" s="40"/>
      <c r="N9" s="41"/>
      <c r="O9" s="27"/>
      <c r="P9" s="28"/>
      <c r="Q9" s="40"/>
      <c r="R9" s="41"/>
      <c r="S9" s="40"/>
      <c r="T9" s="41"/>
      <c r="U9" s="40"/>
      <c r="V9" s="41"/>
      <c r="W9" s="40"/>
      <c r="X9" s="41"/>
      <c r="Y9" s="40"/>
      <c r="Z9" s="41"/>
      <c r="AA9" s="23"/>
      <c r="AB9" s="24"/>
      <c r="AC9" s="40"/>
      <c r="AD9" s="41"/>
      <c r="AE9" s="40"/>
      <c r="AF9" s="41"/>
    </row>
    <row r="10" spans="1:34" ht="11.25" customHeight="1" x14ac:dyDescent="0.3">
      <c r="A10" s="4"/>
      <c r="B10" s="7"/>
      <c r="C10" s="33"/>
      <c r="D10" s="30"/>
      <c r="E10" s="42"/>
      <c r="F10" s="43"/>
      <c r="G10" s="42"/>
      <c r="H10" s="43"/>
      <c r="I10" s="42"/>
      <c r="J10" s="43"/>
      <c r="K10" s="42"/>
      <c r="L10" s="43"/>
      <c r="M10" s="42"/>
      <c r="N10" s="43"/>
      <c r="O10" s="29"/>
      <c r="P10" s="30"/>
      <c r="Q10" s="42"/>
      <c r="R10" s="43"/>
      <c r="S10" s="42"/>
      <c r="T10" s="43"/>
      <c r="U10" s="42"/>
      <c r="V10" s="43"/>
      <c r="W10" s="42"/>
      <c r="X10" s="43"/>
      <c r="Y10" s="42"/>
      <c r="Z10" s="43"/>
      <c r="AA10" s="23"/>
      <c r="AB10" s="24"/>
      <c r="AC10" s="42"/>
      <c r="AD10" s="43"/>
      <c r="AE10" s="42"/>
      <c r="AF10" s="43"/>
    </row>
    <row r="11" spans="1:34" ht="11.25" customHeight="1" x14ac:dyDescent="0.3">
      <c r="A11" s="4"/>
      <c r="B11" s="7"/>
      <c r="C11" s="34" t="s">
        <v>99</v>
      </c>
      <c r="D11" s="35"/>
      <c r="E11" s="36" t="s">
        <v>100</v>
      </c>
      <c r="F11" s="37"/>
      <c r="G11" s="36" t="s">
        <v>118</v>
      </c>
      <c r="H11" s="37"/>
      <c r="I11" s="36" t="s">
        <v>101</v>
      </c>
      <c r="J11" s="37"/>
      <c r="K11" s="36" t="s">
        <v>102</v>
      </c>
      <c r="L11" s="37"/>
      <c r="M11" s="36" t="s">
        <v>103</v>
      </c>
      <c r="N11" s="37"/>
      <c r="O11" s="21" t="s">
        <v>104</v>
      </c>
      <c r="P11" s="22"/>
      <c r="Q11" s="21" t="s">
        <v>105</v>
      </c>
      <c r="R11" s="22"/>
      <c r="S11" s="21" t="s">
        <v>106</v>
      </c>
      <c r="T11" s="22"/>
      <c r="U11" s="21" t="s">
        <v>107</v>
      </c>
      <c r="V11" s="22"/>
      <c r="W11" s="21" t="s">
        <v>108</v>
      </c>
      <c r="X11" s="22"/>
      <c r="Y11" s="21" t="s">
        <v>109</v>
      </c>
      <c r="Z11" s="22"/>
      <c r="AA11" s="21" t="s">
        <v>110</v>
      </c>
      <c r="AB11" s="22"/>
      <c r="AC11" s="21" t="s">
        <v>111</v>
      </c>
      <c r="AD11" s="22"/>
      <c r="AE11" s="21" t="s">
        <v>112</v>
      </c>
      <c r="AF11" s="22"/>
    </row>
    <row r="12" spans="1:34" x14ac:dyDescent="0.3">
      <c r="A12" s="17">
        <v>1980</v>
      </c>
      <c r="B12" s="17"/>
      <c r="C12" s="18">
        <v>208464.80421551599</v>
      </c>
      <c r="D12" s="19"/>
      <c r="E12" s="18"/>
      <c r="F12" s="19"/>
      <c r="G12" s="18"/>
      <c r="H12" s="19"/>
      <c r="I12" s="18"/>
      <c r="J12" s="19"/>
      <c r="K12" s="18"/>
      <c r="L12" s="19"/>
      <c r="M12" s="18"/>
      <c r="N12" s="19"/>
      <c r="O12" s="18"/>
      <c r="P12" s="19"/>
      <c r="Q12" s="18"/>
      <c r="R12" s="19"/>
      <c r="S12" s="18"/>
      <c r="T12" s="19"/>
      <c r="U12" s="18"/>
      <c r="V12" s="19"/>
      <c r="W12" s="18"/>
      <c r="X12" s="19"/>
      <c r="Y12" s="18"/>
      <c r="Z12" s="19"/>
      <c r="AA12" s="18"/>
      <c r="AB12" s="19"/>
      <c r="AC12" s="18"/>
      <c r="AD12" s="19"/>
      <c r="AE12" s="18"/>
      <c r="AF12" s="19"/>
      <c r="AG12" s="18"/>
      <c r="AH12" s="19"/>
    </row>
    <row r="13" spans="1:34" x14ac:dyDescent="0.3">
      <c r="A13" s="17">
        <v>1981</v>
      </c>
      <c r="B13" s="17"/>
      <c r="C13" s="18">
        <v>223793.42257401199</v>
      </c>
      <c r="D13" s="19">
        <v>7.3530965652354799E-2</v>
      </c>
      <c r="E13" s="18"/>
      <c r="F13" s="19"/>
      <c r="G13" s="18"/>
      <c r="H13" s="19"/>
      <c r="I13" s="18"/>
      <c r="J13" s="19"/>
      <c r="K13" s="18"/>
      <c r="L13" s="19"/>
      <c r="M13" s="18"/>
      <c r="N13" s="19"/>
      <c r="O13" s="18"/>
      <c r="P13" s="19"/>
      <c r="Q13" s="18"/>
      <c r="R13" s="19"/>
      <c r="S13" s="18"/>
      <c r="T13" s="19"/>
      <c r="U13" s="18"/>
      <c r="V13" s="19"/>
      <c r="W13" s="18"/>
      <c r="X13" s="19"/>
      <c r="Y13" s="18"/>
      <c r="Z13" s="19"/>
      <c r="AA13" s="18"/>
      <c r="AB13" s="19"/>
      <c r="AC13" s="18"/>
      <c r="AD13" s="19"/>
      <c r="AE13" s="18"/>
      <c r="AF13" s="19"/>
      <c r="AG13" s="18"/>
      <c r="AH13" s="19"/>
    </row>
    <row r="14" spans="1:34" x14ac:dyDescent="0.3">
      <c r="A14" s="17">
        <v>1982</v>
      </c>
      <c r="B14" s="17"/>
      <c r="C14" s="18">
        <v>237092.138635243</v>
      </c>
      <c r="D14" s="19">
        <v>5.9424070235276003E-2</v>
      </c>
      <c r="E14" s="18"/>
      <c r="F14" s="19"/>
      <c r="G14" s="18"/>
      <c r="H14" s="19"/>
      <c r="I14" s="18"/>
      <c r="J14" s="19"/>
      <c r="K14" s="18"/>
      <c r="L14" s="19"/>
      <c r="M14" s="18"/>
      <c r="N14" s="19"/>
      <c r="O14" s="18"/>
      <c r="P14" s="19"/>
      <c r="Q14" s="18"/>
      <c r="R14" s="19"/>
      <c r="S14" s="18"/>
      <c r="T14" s="19"/>
      <c r="U14" s="18"/>
      <c r="V14" s="19"/>
      <c r="W14" s="18"/>
      <c r="X14" s="19"/>
      <c r="Y14" s="18"/>
      <c r="Z14" s="19"/>
      <c r="AA14" s="18"/>
      <c r="AB14" s="19"/>
      <c r="AC14" s="18"/>
      <c r="AD14" s="19"/>
      <c r="AE14" s="18"/>
      <c r="AF14" s="19"/>
      <c r="AG14" s="18"/>
      <c r="AH14" s="19"/>
    </row>
    <row r="15" spans="1:34" x14ac:dyDescent="0.3">
      <c r="A15" s="17">
        <v>1983</v>
      </c>
      <c r="B15" s="17"/>
      <c r="C15" s="18">
        <v>244254.905181682</v>
      </c>
      <c r="D15" s="19">
        <v>3.0210898546319202E-2</v>
      </c>
      <c r="E15" s="18"/>
      <c r="F15" s="19"/>
      <c r="G15" s="18"/>
      <c r="H15" s="19"/>
      <c r="I15" s="18"/>
      <c r="J15" s="19"/>
      <c r="K15" s="18"/>
      <c r="L15" s="19"/>
      <c r="M15" s="18"/>
      <c r="N15" s="19"/>
      <c r="O15" s="18"/>
      <c r="P15" s="19"/>
      <c r="Q15" s="18"/>
      <c r="R15" s="19"/>
      <c r="S15" s="18"/>
      <c r="T15" s="19"/>
      <c r="U15" s="18"/>
      <c r="V15" s="19"/>
      <c r="W15" s="18"/>
      <c r="X15" s="19"/>
      <c r="Y15" s="18"/>
      <c r="Z15" s="19"/>
      <c r="AA15" s="18"/>
      <c r="AB15" s="19"/>
      <c r="AC15" s="18"/>
      <c r="AD15" s="19"/>
      <c r="AE15" s="18"/>
      <c r="AF15" s="19"/>
      <c r="AG15" s="18"/>
      <c r="AH15" s="19"/>
    </row>
    <row r="16" spans="1:34" x14ac:dyDescent="0.3">
      <c r="A16" s="17">
        <v>1984</v>
      </c>
      <c r="B16" s="17"/>
      <c r="C16" s="18">
        <v>261062.577179913</v>
      </c>
      <c r="D16" s="19">
        <v>6.8812014177275393E-2</v>
      </c>
      <c r="E16" s="18"/>
      <c r="F16" s="19"/>
      <c r="G16" s="18"/>
      <c r="H16" s="19"/>
      <c r="I16" s="18"/>
      <c r="J16" s="19"/>
      <c r="K16" s="18"/>
      <c r="L16" s="19"/>
      <c r="M16" s="18"/>
      <c r="N16" s="19"/>
      <c r="O16" s="18"/>
      <c r="P16" s="19"/>
      <c r="Q16" s="18"/>
      <c r="R16" s="19"/>
      <c r="S16" s="18"/>
      <c r="T16" s="19"/>
      <c r="U16" s="18"/>
      <c r="V16" s="19"/>
      <c r="W16" s="18"/>
      <c r="X16" s="19"/>
      <c r="Y16" s="18"/>
      <c r="Z16" s="19"/>
      <c r="AA16" s="18"/>
      <c r="AB16" s="19"/>
      <c r="AC16" s="18"/>
      <c r="AD16" s="19"/>
      <c r="AE16" s="18"/>
      <c r="AF16" s="19"/>
      <c r="AG16" s="18"/>
      <c r="AH16" s="19"/>
    </row>
    <row r="17" spans="1:35" x14ac:dyDescent="0.3">
      <c r="A17" s="17">
        <v>1985</v>
      </c>
      <c r="B17" s="17"/>
      <c r="C17" s="18">
        <v>276798.76097352902</v>
      </c>
      <c r="D17" s="19">
        <v>6.0277439852174201E-2</v>
      </c>
      <c r="E17" s="18"/>
      <c r="F17" s="19"/>
      <c r="G17" s="18"/>
      <c r="H17" s="19"/>
      <c r="I17" s="18"/>
      <c r="J17" s="19"/>
      <c r="K17" s="18"/>
      <c r="L17" s="19"/>
      <c r="M17" s="18"/>
      <c r="N17" s="19"/>
      <c r="O17" s="18"/>
      <c r="P17" s="19"/>
      <c r="Q17" s="18"/>
      <c r="R17" s="19"/>
      <c r="S17" s="18"/>
      <c r="T17" s="19"/>
      <c r="U17" s="18"/>
      <c r="V17" s="19"/>
      <c r="W17" s="18"/>
      <c r="X17" s="19"/>
      <c r="Y17" s="18"/>
      <c r="Z17" s="19"/>
      <c r="AA17" s="18"/>
      <c r="AB17" s="19"/>
      <c r="AC17" s="18"/>
      <c r="AD17" s="19"/>
      <c r="AE17" s="18"/>
      <c r="AF17" s="19"/>
      <c r="AG17" s="18"/>
      <c r="AH17" s="19"/>
    </row>
    <row r="18" spans="1:35" x14ac:dyDescent="0.3">
      <c r="A18" s="17">
        <v>1986</v>
      </c>
      <c r="B18" s="17"/>
      <c r="C18" s="18">
        <v>290499.27185702301</v>
      </c>
      <c r="D18" s="19">
        <v>4.9496286888381001E-2</v>
      </c>
      <c r="E18" s="18"/>
      <c r="F18" s="19"/>
      <c r="G18" s="18"/>
      <c r="H18" s="19"/>
      <c r="I18" s="18"/>
      <c r="J18" s="19"/>
      <c r="K18" s="18"/>
      <c r="L18" s="19"/>
      <c r="M18" s="18"/>
      <c r="N18" s="19"/>
      <c r="O18" s="18"/>
      <c r="P18" s="19"/>
      <c r="Q18" s="18"/>
      <c r="R18" s="19"/>
      <c r="S18" s="18"/>
      <c r="T18" s="19"/>
      <c r="U18" s="18"/>
      <c r="V18" s="19"/>
      <c r="W18" s="18"/>
      <c r="X18" s="19"/>
      <c r="Y18" s="18"/>
      <c r="Z18" s="19"/>
      <c r="AA18" s="18"/>
      <c r="AB18" s="19"/>
      <c r="AC18" s="18"/>
      <c r="AD18" s="19"/>
      <c r="AE18" s="18"/>
      <c r="AF18" s="19"/>
      <c r="AG18" s="18"/>
      <c r="AH18" s="19"/>
    </row>
    <row r="19" spans="1:35" x14ac:dyDescent="0.3">
      <c r="A19" s="17">
        <v>1987</v>
      </c>
      <c r="B19" s="17"/>
      <c r="C19" s="18">
        <v>301578.15232860198</v>
      </c>
      <c r="D19" s="19">
        <v>3.81373777660678E-2</v>
      </c>
      <c r="E19" s="18"/>
      <c r="F19" s="19"/>
      <c r="G19" s="18"/>
      <c r="H19" s="19"/>
      <c r="I19" s="18"/>
      <c r="J19" s="19"/>
      <c r="K19" s="18"/>
      <c r="L19" s="19"/>
      <c r="M19" s="18"/>
      <c r="N19" s="19"/>
      <c r="O19" s="18"/>
      <c r="P19" s="19"/>
      <c r="Q19" s="18"/>
      <c r="R19" s="19"/>
      <c r="S19" s="18"/>
      <c r="T19" s="19"/>
      <c r="U19" s="18"/>
      <c r="V19" s="19"/>
      <c r="W19" s="18"/>
      <c r="X19" s="19"/>
      <c r="Y19" s="18"/>
      <c r="Z19" s="19"/>
      <c r="AA19" s="18"/>
      <c r="AB19" s="19"/>
      <c r="AC19" s="18"/>
      <c r="AD19" s="19"/>
      <c r="AE19" s="18"/>
      <c r="AF19" s="19"/>
      <c r="AG19" s="18"/>
      <c r="AH19" s="19"/>
    </row>
    <row r="20" spans="1:35" x14ac:dyDescent="0.3">
      <c r="A20" s="17">
        <v>1988</v>
      </c>
      <c r="B20" s="17"/>
      <c r="C20" s="18">
        <v>320153.21761587699</v>
      </c>
      <c r="D20" s="19">
        <v>6.1592874496543E-2</v>
      </c>
      <c r="E20" s="18"/>
      <c r="F20" s="19"/>
      <c r="G20" s="18"/>
      <c r="H20" s="19"/>
      <c r="I20" s="18"/>
      <c r="J20" s="19"/>
      <c r="K20" s="18"/>
      <c r="L20" s="19"/>
      <c r="M20" s="18"/>
      <c r="N20" s="19"/>
      <c r="O20" s="18"/>
      <c r="P20" s="19"/>
      <c r="Q20" s="18"/>
      <c r="R20" s="19"/>
      <c r="S20" s="18"/>
      <c r="T20" s="19"/>
      <c r="U20" s="18"/>
      <c r="V20" s="19"/>
      <c r="W20" s="18"/>
      <c r="X20" s="19"/>
      <c r="Y20" s="18"/>
      <c r="Z20" s="19"/>
      <c r="AA20" s="18"/>
      <c r="AB20" s="19"/>
      <c r="AC20" s="18"/>
      <c r="AD20" s="19"/>
      <c r="AE20" s="18"/>
      <c r="AF20" s="19"/>
      <c r="AG20" s="18"/>
      <c r="AH20" s="19"/>
    </row>
    <row r="21" spans="1:35" x14ac:dyDescent="0.3">
      <c r="A21" s="17">
        <v>1989</v>
      </c>
      <c r="B21" s="17"/>
      <c r="C21" s="18">
        <v>345570.28803694498</v>
      </c>
      <c r="D21" s="19">
        <v>7.9390332573710601E-2</v>
      </c>
      <c r="E21" s="18"/>
      <c r="F21" s="19"/>
      <c r="G21" s="18"/>
      <c r="H21" s="19"/>
      <c r="I21" s="18"/>
      <c r="J21" s="19"/>
      <c r="K21" s="18"/>
      <c r="L21" s="19"/>
      <c r="M21" s="18"/>
      <c r="N21" s="19"/>
      <c r="O21" s="18"/>
      <c r="P21" s="19"/>
      <c r="Q21" s="18"/>
      <c r="R21" s="19"/>
      <c r="S21" s="18"/>
      <c r="T21" s="19"/>
      <c r="U21" s="18"/>
      <c r="V21" s="19"/>
      <c r="W21" s="18"/>
      <c r="X21" s="19"/>
      <c r="Y21" s="18"/>
      <c r="Z21" s="19"/>
      <c r="AA21" s="18"/>
      <c r="AB21" s="19"/>
      <c r="AC21" s="18"/>
      <c r="AD21" s="19"/>
      <c r="AE21" s="18"/>
      <c r="AF21" s="19"/>
      <c r="AG21" s="18" t="s">
        <v>120</v>
      </c>
      <c r="AH21" s="19" t="s">
        <v>121</v>
      </c>
    </row>
    <row r="22" spans="1:35" x14ac:dyDescent="0.3">
      <c r="A22" s="17">
        <v>1990</v>
      </c>
      <c r="B22" s="17"/>
      <c r="C22" s="18">
        <v>374762.03661856701</v>
      </c>
      <c r="D22" s="19">
        <v>8.4474127528293697E-2</v>
      </c>
      <c r="E22" s="18">
        <v>203731.01214603899</v>
      </c>
      <c r="F22" s="19"/>
      <c r="G22" s="18">
        <v>79044.620603616393</v>
      </c>
      <c r="H22" s="19"/>
      <c r="I22" s="18">
        <v>83944.672117875496</v>
      </c>
      <c r="J22" s="19"/>
      <c r="K22" s="18">
        <v>18568.786066836201</v>
      </c>
      <c r="L22" s="19"/>
      <c r="M22" s="18">
        <v>-10527.0543158</v>
      </c>
      <c r="N22" s="19"/>
      <c r="O22" s="18">
        <v>381689.776636686</v>
      </c>
      <c r="P22" s="19"/>
      <c r="Q22" s="18">
        <v>1188.2247650745801</v>
      </c>
      <c r="R22" s="19"/>
      <c r="S22" s="18">
        <v>9468.1329435275093</v>
      </c>
      <c r="T22" s="19"/>
      <c r="U22" s="18">
        <v>21.290654914677798</v>
      </c>
      <c r="V22" s="19"/>
      <c r="W22" s="18">
        <v>38012.444907204503</v>
      </c>
      <c r="X22" s="19"/>
      <c r="Y22" s="18">
        <v>22826.0873655469</v>
      </c>
      <c r="Z22" s="19"/>
      <c r="AA22" s="18">
        <v>378726.13615742698</v>
      </c>
      <c r="AB22" s="19"/>
      <c r="AC22" s="18">
        <v>14349.277789534</v>
      </c>
      <c r="AD22" s="19"/>
      <c r="AE22" s="18">
        <v>17312.918268793899</v>
      </c>
      <c r="AF22" s="19"/>
      <c r="AG22">
        <f>E22/C22</f>
        <v>0.54362766833129506</v>
      </c>
      <c r="AH22" s="20">
        <f>(G22+I22+K22+M22)/C22</f>
        <v>0.45637233166870522</v>
      </c>
      <c r="AI22">
        <f>AG22+AH22</f>
        <v>1.0000000000000002</v>
      </c>
    </row>
    <row r="23" spans="1:35" x14ac:dyDescent="0.3">
      <c r="A23" s="17">
        <v>1991</v>
      </c>
      <c r="B23" s="17"/>
      <c r="C23" s="18">
        <v>391415.52755128301</v>
      </c>
      <c r="D23" s="19">
        <v>4.44375078195711E-2</v>
      </c>
      <c r="E23" s="18">
        <v>218738.34568153901</v>
      </c>
      <c r="F23" s="19">
        <v>7.3662489463029807E-2</v>
      </c>
      <c r="G23" s="18">
        <v>76828.038137784999</v>
      </c>
      <c r="H23" s="19">
        <v>-2.8042167182341898E-2</v>
      </c>
      <c r="I23" s="18">
        <v>89063.359040906595</v>
      </c>
      <c r="J23" s="19">
        <v>6.0976912457808098E-2</v>
      </c>
      <c r="K23" s="18">
        <v>18826.302565772501</v>
      </c>
      <c r="L23" s="19">
        <v>1.38682463145083E-2</v>
      </c>
      <c r="M23" s="18">
        <v>-12040.517874720001</v>
      </c>
      <c r="N23" s="19">
        <v>0.143768951267634</v>
      </c>
      <c r="O23" s="18">
        <v>399434.24633522</v>
      </c>
      <c r="P23" s="19">
        <v>4.6489245415193697E-2</v>
      </c>
      <c r="Q23" s="18">
        <v>1321.26420090072</v>
      </c>
      <c r="R23" s="19">
        <v>0.11196487376509801</v>
      </c>
      <c r="S23" s="18">
        <v>10466.799881531701</v>
      </c>
      <c r="T23" s="19">
        <v>0.105476649299362</v>
      </c>
      <c r="U23" s="18">
        <v>22.690424666384502</v>
      </c>
      <c r="V23" s="19">
        <v>6.5745734798497796E-2</v>
      </c>
      <c r="W23" s="18">
        <v>37774.335587264002</v>
      </c>
      <c r="X23" s="19">
        <v>-6.26398329604383E-3</v>
      </c>
      <c r="Y23" s="18">
        <v>20632.771547362601</v>
      </c>
      <c r="Z23" s="19">
        <v>-9.6088119836727007E-2</v>
      </c>
      <c r="AA23" s="18">
        <v>396735.12568793102</v>
      </c>
      <c r="AB23" s="19">
        <v>4.7551483278192502E-2</v>
      </c>
      <c r="AC23" s="18">
        <v>15910.1036462713</v>
      </c>
      <c r="AD23" s="19">
        <v>0.10877382678281799</v>
      </c>
      <c r="AE23" s="18">
        <v>18609.224293560299</v>
      </c>
      <c r="AF23" s="19">
        <v>7.4875073320421107E-2</v>
      </c>
      <c r="AG23">
        <f t="shared" ref="AG23:AG56" si="0">E23/C23</f>
        <v>0.55883921378893187</v>
      </c>
      <c r="AH23" s="20">
        <f t="shared" ref="AH23:AH56" si="1">(G23+I23+K23+M23)/C23</f>
        <v>0.44116078621106825</v>
      </c>
      <c r="AI23">
        <f t="shared" ref="AI23:AI56" si="2">AG23+AH23</f>
        <v>1</v>
      </c>
    </row>
    <row r="24" spans="1:35" x14ac:dyDescent="0.3">
      <c r="A24" s="17">
        <v>1992</v>
      </c>
      <c r="B24" s="17"/>
      <c r="C24" s="18">
        <v>399556.86425075599</v>
      </c>
      <c r="D24" s="19">
        <v>2.079972848907E-2</v>
      </c>
      <c r="E24" s="18">
        <v>225744.297943346</v>
      </c>
      <c r="F24" s="19">
        <v>3.20289167405838E-2</v>
      </c>
      <c r="G24" s="18">
        <v>75906.012277514994</v>
      </c>
      <c r="H24" s="19">
        <v>-1.20011636717365E-2</v>
      </c>
      <c r="I24" s="18">
        <v>91710.313051464298</v>
      </c>
      <c r="J24" s="19">
        <v>2.9719898722234201E-2</v>
      </c>
      <c r="K24" s="18">
        <v>18734.5747605305</v>
      </c>
      <c r="L24" s="19">
        <v>-4.8723218444798296E-3</v>
      </c>
      <c r="M24" s="18">
        <v>-12538.3337821</v>
      </c>
      <c r="N24" s="19">
        <v>4.1345057792339997E-2</v>
      </c>
      <c r="O24" s="18">
        <v>407015.57705125201</v>
      </c>
      <c r="P24" s="19">
        <v>1.8980172044811901E-2</v>
      </c>
      <c r="Q24" s="18">
        <v>1388.9875211994799</v>
      </c>
      <c r="R24" s="19">
        <v>5.1256455940146502E-2</v>
      </c>
      <c r="S24" s="18">
        <v>10413.414505574299</v>
      </c>
      <c r="T24" s="19">
        <v>-5.1004487103644101E-3</v>
      </c>
      <c r="U24" s="18">
        <v>23.425547381920701</v>
      </c>
      <c r="V24" s="19">
        <v>3.23979267177519E-2</v>
      </c>
      <c r="W24" s="18">
        <v>35248.896848652301</v>
      </c>
      <c r="X24" s="19">
        <v>-6.6855940663140004E-2</v>
      </c>
      <c r="Y24" s="18">
        <v>18789.1826111632</v>
      </c>
      <c r="Z24" s="19">
        <v>-8.9352462027093002E-2</v>
      </c>
      <c r="AA24" s="18">
        <v>402449.703332228</v>
      </c>
      <c r="AB24" s="19">
        <v>1.44040123354054E-2</v>
      </c>
      <c r="AC24" s="18">
        <v>18687.367071026601</v>
      </c>
      <c r="AD24" s="19">
        <v>0.17455973175927</v>
      </c>
      <c r="AE24" s="18">
        <v>23253.240790050299</v>
      </c>
      <c r="AF24" s="19">
        <v>0.24955454473709901</v>
      </c>
      <c r="AG24">
        <f t="shared" si="0"/>
        <v>0.56498665932484693</v>
      </c>
      <c r="AH24" s="20">
        <f t="shared" si="1"/>
        <v>0.43501334067515252</v>
      </c>
      <c r="AI24">
        <f t="shared" si="2"/>
        <v>0.99999999999999944</v>
      </c>
    </row>
    <row r="25" spans="1:35" x14ac:dyDescent="0.3">
      <c r="A25" s="17">
        <v>1993</v>
      </c>
      <c r="B25" s="17"/>
      <c r="C25" s="18">
        <v>408319.60620642401</v>
      </c>
      <c r="D25" s="19">
        <v>2.1931151081836499E-2</v>
      </c>
      <c r="E25" s="18">
        <v>228474.05115768799</v>
      </c>
      <c r="F25" s="19">
        <v>1.20922355036714E-2</v>
      </c>
      <c r="G25" s="18">
        <v>81352.737932190401</v>
      </c>
      <c r="H25" s="19">
        <v>7.1756182300316801E-2</v>
      </c>
      <c r="I25" s="18">
        <v>91929.025693728894</v>
      </c>
      <c r="J25" s="19">
        <v>2.3848205832843702E-3</v>
      </c>
      <c r="K25" s="18">
        <v>19500.539721726698</v>
      </c>
      <c r="L25" s="19">
        <v>4.08850999281773E-2</v>
      </c>
      <c r="M25" s="18">
        <v>-12936.748298910001</v>
      </c>
      <c r="N25" s="19">
        <v>3.1775714678993899E-2</v>
      </c>
      <c r="O25" s="18">
        <v>417883.765922433</v>
      </c>
      <c r="P25" s="19">
        <v>2.6702144792390699E-2</v>
      </c>
      <c r="Q25" s="18">
        <v>1506.1594453902801</v>
      </c>
      <c r="R25" s="19">
        <v>8.4357794726344498E-2</v>
      </c>
      <c r="S25" s="18">
        <v>10127.3409719631</v>
      </c>
      <c r="T25" s="19">
        <v>-2.7471636076530099E-2</v>
      </c>
      <c r="U25" s="18">
        <v>23.798187422841</v>
      </c>
      <c r="V25" s="19">
        <v>1.5907420853178401E-2</v>
      </c>
      <c r="W25" s="18">
        <v>35506.569854735302</v>
      </c>
      <c r="X25" s="19">
        <v>7.3101012831497903E-3</v>
      </c>
      <c r="Y25" s="18">
        <v>17345.026799576201</v>
      </c>
      <c r="Z25" s="19">
        <v>-7.6861023785515403E-2</v>
      </c>
      <c r="AA25" s="18">
        <v>414186.49214756599</v>
      </c>
      <c r="AB25" s="19">
        <v>2.9163368038685598E-2</v>
      </c>
      <c r="AC25" s="18">
        <v>19721.413013663801</v>
      </c>
      <c r="AD25" s="19">
        <v>5.5333955752408598E-2</v>
      </c>
      <c r="AE25" s="18">
        <v>23418.6867885309</v>
      </c>
      <c r="AF25" s="19">
        <v>7.1149651773010402E-3</v>
      </c>
      <c r="AG25">
        <f t="shared" si="0"/>
        <v>0.55954709909811196</v>
      </c>
      <c r="AH25" s="20">
        <f t="shared" si="1"/>
        <v>0.44045290090188793</v>
      </c>
      <c r="AI25">
        <f t="shared" si="2"/>
        <v>0.99999999999999989</v>
      </c>
    </row>
    <row r="26" spans="1:35" x14ac:dyDescent="0.3">
      <c r="A26" s="17">
        <v>1994</v>
      </c>
      <c r="B26" s="17"/>
      <c r="C26" s="18">
        <v>418401.76711088698</v>
      </c>
      <c r="D26" s="19">
        <v>2.4691836373309101E-2</v>
      </c>
      <c r="E26" s="18">
        <v>229826.66281080601</v>
      </c>
      <c r="F26" s="19">
        <v>5.9201981418210998E-3</v>
      </c>
      <c r="G26" s="18">
        <v>89929.649890297194</v>
      </c>
      <c r="H26" s="19">
        <v>0.105428682255978</v>
      </c>
      <c r="I26" s="18">
        <v>91906.195261186804</v>
      </c>
      <c r="J26" s="19">
        <v>-2.4834846632793001E-4</v>
      </c>
      <c r="K26" s="18">
        <v>19748.383557896901</v>
      </c>
      <c r="L26" s="19">
        <v>1.27095885399553E-2</v>
      </c>
      <c r="M26" s="18">
        <v>-13009.1244093</v>
      </c>
      <c r="N26" s="19">
        <v>5.5946137868432303E-3</v>
      </c>
      <c r="O26" s="18">
        <v>424935.120317347</v>
      </c>
      <c r="P26" s="19">
        <v>1.6873961062709601E-2</v>
      </c>
      <c r="Q26" s="18">
        <v>1640.06184315119</v>
      </c>
      <c r="R26" s="19">
        <v>8.8903202227844896E-2</v>
      </c>
      <c r="S26" s="18">
        <v>9877.1955711164501</v>
      </c>
      <c r="T26" s="19">
        <v>-2.4700007784784001E-2</v>
      </c>
      <c r="U26" s="18">
        <v>26.283673806684799</v>
      </c>
      <c r="V26" s="19">
        <v>0.10444015502871</v>
      </c>
      <c r="W26" s="18">
        <v>34856.508097060199</v>
      </c>
      <c r="X26" s="19">
        <v>-1.8308210574397198E-2</v>
      </c>
      <c r="Y26" s="18">
        <v>20112.304836441901</v>
      </c>
      <c r="Z26" s="19">
        <v>0.15954302457078501</v>
      </c>
      <c r="AA26" s="18">
        <v>420058.62019479298</v>
      </c>
      <c r="AB26" s="19">
        <v>1.4177497717946699E-2</v>
      </c>
      <c r="AC26" s="18">
        <v>18385.2959297622</v>
      </c>
      <c r="AD26" s="19">
        <v>-6.7749561503320593E-2</v>
      </c>
      <c r="AE26" s="18">
        <v>23261.7960523164</v>
      </c>
      <c r="AF26" s="19">
        <v>-6.69938231939393E-3</v>
      </c>
      <c r="AG26">
        <f t="shared" si="0"/>
        <v>0.54929658733945108</v>
      </c>
      <c r="AH26" s="20">
        <f t="shared" si="1"/>
        <v>0.4507034126605487</v>
      </c>
      <c r="AI26">
        <f t="shared" si="2"/>
        <v>0.99999999999999978</v>
      </c>
    </row>
    <row r="27" spans="1:35" x14ac:dyDescent="0.3">
      <c r="A27" s="17">
        <v>1995</v>
      </c>
      <c r="B27" s="17"/>
      <c r="C27" s="18">
        <v>423515.35549793398</v>
      </c>
      <c r="D27" s="19">
        <v>1.22217179491302E-2</v>
      </c>
      <c r="E27" s="18">
        <v>235263.12031416199</v>
      </c>
      <c r="F27" s="19">
        <v>2.3654598804453E-2</v>
      </c>
      <c r="G27" s="18">
        <v>88845.8131586331</v>
      </c>
      <c r="H27" s="19">
        <v>-1.2052051053086901E-2</v>
      </c>
      <c r="I27" s="18">
        <v>90073.676767328798</v>
      </c>
      <c r="J27" s="19">
        <v>-1.9939009428582798E-2</v>
      </c>
      <c r="K27" s="18">
        <v>22653.29144673</v>
      </c>
      <c r="L27" s="19">
        <v>0.14709598283407299</v>
      </c>
      <c r="M27" s="18">
        <v>-13320.54618892</v>
      </c>
      <c r="N27" s="19">
        <v>2.3938719457349902E-2</v>
      </c>
      <c r="O27" s="18">
        <v>432741.10517547402</v>
      </c>
      <c r="P27" s="19">
        <v>1.8369827498131701E-2</v>
      </c>
      <c r="Q27" s="18">
        <v>1721.05544275175</v>
      </c>
      <c r="R27" s="19">
        <v>4.9384478968756501E-2</v>
      </c>
      <c r="S27" s="18">
        <v>9901.9735937127007</v>
      </c>
      <c r="T27" s="19">
        <v>2.5086090902877202E-3</v>
      </c>
      <c r="U27" s="18">
        <v>41.552108000000104</v>
      </c>
      <c r="V27" s="19">
        <v>0.58090943852118904</v>
      </c>
      <c r="W27" s="18">
        <v>35560.395333189299</v>
      </c>
      <c r="X27" s="19">
        <v>2.0193854019140901E-2</v>
      </c>
      <c r="Y27" s="18">
        <v>18195.2796126881</v>
      </c>
      <c r="Z27" s="19">
        <v>-9.5316038581531107E-2</v>
      </c>
      <c r="AA27" s="18">
        <v>427767.63367341598</v>
      </c>
      <c r="AB27" s="19">
        <v>1.8352232540897399E-2</v>
      </c>
      <c r="AC27" s="18">
        <v>17912.051815381499</v>
      </c>
      <c r="AD27" s="19">
        <v>-2.5740358827437301E-2</v>
      </c>
      <c r="AE27" s="18">
        <v>22885.523317439802</v>
      </c>
      <c r="AF27" s="19">
        <v>-1.6175566754619699E-2</v>
      </c>
      <c r="AG27">
        <f t="shared" si="0"/>
        <v>0.55550080359556098</v>
      </c>
      <c r="AH27" s="20">
        <f t="shared" si="1"/>
        <v>0.4444991964044388</v>
      </c>
      <c r="AI27">
        <f t="shared" si="2"/>
        <v>0.99999999999999978</v>
      </c>
    </row>
    <row r="28" spans="1:35" x14ac:dyDescent="0.3">
      <c r="A28" s="17">
        <v>1996</v>
      </c>
      <c r="B28" s="17"/>
      <c r="C28" s="18">
        <v>426881.82800179801</v>
      </c>
      <c r="D28" s="19">
        <v>7.9488794447752902E-3</v>
      </c>
      <c r="E28" s="18">
        <v>235831.05806013601</v>
      </c>
      <c r="F28" s="19">
        <v>2.4140534445673502E-3</v>
      </c>
      <c r="G28" s="18">
        <v>92158.899006478998</v>
      </c>
      <c r="H28" s="19">
        <v>3.72902867345071E-2</v>
      </c>
      <c r="I28" s="18">
        <v>90384.262289993203</v>
      </c>
      <c r="J28" s="19">
        <v>3.4481275086240002E-3</v>
      </c>
      <c r="K28" s="18">
        <v>22723.879517009998</v>
      </c>
      <c r="L28" s="19">
        <v>3.11601828131614E-3</v>
      </c>
      <c r="M28" s="18">
        <v>-14216.270871819999</v>
      </c>
      <c r="N28" s="19">
        <v>6.7243840469924696E-2</v>
      </c>
      <c r="O28" s="18">
        <v>437218.98141029099</v>
      </c>
      <c r="P28" s="19">
        <v>1.03477025437675E-2</v>
      </c>
      <c r="Q28" s="18">
        <v>1718.1710140944999</v>
      </c>
      <c r="R28" s="19">
        <v>-1.6759649838116199E-3</v>
      </c>
      <c r="S28" s="18">
        <v>9931.0074594777707</v>
      </c>
      <c r="T28" s="19">
        <v>2.9321291851864802E-3</v>
      </c>
      <c r="U28" s="18">
        <v>41.291610000000098</v>
      </c>
      <c r="V28" s="19">
        <v>-6.2691885571740701E-3</v>
      </c>
      <c r="W28" s="18">
        <v>39219.445405606501</v>
      </c>
      <c r="X28" s="19">
        <v>0.102896777106474</v>
      </c>
      <c r="Y28" s="18">
        <v>20710.747161730302</v>
      </c>
      <c r="Z28" s="19">
        <v>0.13824835905726299</v>
      </c>
      <c r="AA28" s="18">
        <v>432126.61830258998</v>
      </c>
      <c r="AB28" s="19">
        <v>1.0190075840338601E-2</v>
      </c>
      <c r="AC28" s="18">
        <v>19392.819386966999</v>
      </c>
      <c r="AD28" s="19">
        <v>8.2668785622534297E-2</v>
      </c>
      <c r="AE28" s="18">
        <v>24485.182494667999</v>
      </c>
      <c r="AF28" s="19">
        <v>6.9898300119236798E-2</v>
      </c>
      <c r="AG28">
        <f t="shared" si="0"/>
        <v>0.55245045019612005</v>
      </c>
      <c r="AH28" s="20">
        <f t="shared" si="1"/>
        <v>0.4475495498038804</v>
      </c>
      <c r="AI28">
        <f t="shared" si="2"/>
        <v>1.0000000000000004</v>
      </c>
    </row>
    <row r="29" spans="1:35" x14ac:dyDescent="0.3">
      <c r="A29" s="17">
        <v>1997</v>
      </c>
      <c r="B29" s="17"/>
      <c r="C29" s="18">
        <v>433747.49206923298</v>
      </c>
      <c r="D29" s="19">
        <v>1.6083289606336301E-2</v>
      </c>
      <c r="E29" s="18">
        <v>238617.77292695799</v>
      </c>
      <c r="F29" s="19">
        <v>1.18165728031945E-2</v>
      </c>
      <c r="G29" s="18">
        <v>95351.807568306598</v>
      </c>
      <c r="H29" s="19">
        <v>3.46456890897009E-2</v>
      </c>
      <c r="I29" s="18">
        <v>90688.4288774788</v>
      </c>
      <c r="J29" s="19">
        <v>3.3652604975598099E-3</v>
      </c>
      <c r="K29" s="18">
        <v>23522.550729670002</v>
      </c>
      <c r="L29" s="19">
        <v>3.5146780815403997E-2</v>
      </c>
      <c r="M29" s="18">
        <v>-14433.068033179999</v>
      </c>
      <c r="N29" s="19">
        <v>1.5249931808048799E-2</v>
      </c>
      <c r="O29" s="18">
        <v>451652.82284185698</v>
      </c>
      <c r="P29" s="19">
        <v>3.3012842637819298E-2</v>
      </c>
      <c r="Q29" s="18">
        <v>1773.89154140765</v>
      </c>
      <c r="R29" s="19">
        <v>3.2430140455206501E-2</v>
      </c>
      <c r="S29" s="18">
        <v>9599.9291290702004</v>
      </c>
      <c r="T29" s="19">
        <v>-3.3337839263387001E-2</v>
      </c>
      <c r="U29" s="18">
        <v>42.704433000000101</v>
      </c>
      <c r="V29" s="19">
        <v>3.42157401951639E-2</v>
      </c>
      <c r="W29" s="18">
        <v>48909.5725800031</v>
      </c>
      <c r="X29" s="19">
        <v>0.247074558912843</v>
      </c>
      <c r="Y29" s="18">
        <v>23220.9086527172</v>
      </c>
      <c r="Z29" s="19">
        <v>0.12120091425891399</v>
      </c>
      <c r="AA29" s="18">
        <v>447126.90073199198</v>
      </c>
      <c r="AB29" s="19">
        <v>3.4712701773206997E-2</v>
      </c>
      <c r="AC29" s="18">
        <v>19779.571077558001</v>
      </c>
      <c r="AD29" s="19">
        <v>1.9943035763583701E-2</v>
      </c>
      <c r="AE29" s="18">
        <v>24305.4931874223</v>
      </c>
      <c r="AF29" s="19">
        <v>-7.3386958534955599E-3</v>
      </c>
      <c r="AG29">
        <f t="shared" si="0"/>
        <v>0.55013061121946683</v>
      </c>
      <c r="AH29" s="20">
        <f t="shared" si="1"/>
        <v>0.44986938878053406</v>
      </c>
      <c r="AI29">
        <f t="shared" si="2"/>
        <v>1.0000000000000009</v>
      </c>
    </row>
    <row r="30" spans="1:35" x14ac:dyDescent="0.3">
      <c r="A30" s="17">
        <v>1998</v>
      </c>
      <c r="B30" s="17"/>
      <c r="C30" s="18">
        <v>444954.84281793702</v>
      </c>
      <c r="D30" s="19">
        <v>2.5838422016546601E-2</v>
      </c>
      <c r="E30" s="18">
        <v>242856.12062233599</v>
      </c>
      <c r="F30" s="19">
        <v>1.7762078840100899E-2</v>
      </c>
      <c r="G30" s="18">
        <v>98586.619056308002</v>
      </c>
      <c r="H30" s="19">
        <v>3.3925014852855602E-2</v>
      </c>
      <c r="I30" s="18">
        <v>93257.573677733002</v>
      </c>
      <c r="J30" s="19">
        <v>2.83293561488995E-2</v>
      </c>
      <c r="K30" s="18">
        <v>25752.902030839999</v>
      </c>
      <c r="L30" s="19">
        <v>9.4817578535679695E-2</v>
      </c>
      <c r="M30" s="18">
        <v>-15498.37256928</v>
      </c>
      <c r="N30" s="19">
        <v>7.3809985073927803E-2</v>
      </c>
      <c r="O30" s="18">
        <v>465197.74734882999</v>
      </c>
      <c r="P30" s="19">
        <v>2.99896819458518E-2</v>
      </c>
      <c r="Q30" s="18">
        <v>1799.06377221912</v>
      </c>
      <c r="R30" s="19">
        <v>1.419040015913E-2</v>
      </c>
      <c r="S30" s="18">
        <v>9509.9275158389501</v>
      </c>
      <c r="T30" s="19">
        <v>-9.3752372565658604E-3</v>
      </c>
      <c r="U30" s="18">
        <v>45.790094000000202</v>
      </c>
      <c r="V30" s="19">
        <v>7.2256222205317105E-2</v>
      </c>
      <c r="W30" s="18">
        <v>65493.945264103102</v>
      </c>
      <c r="X30" s="19">
        <v>0.33908234746832899</v>
      </c>
      <c r="Y30" s="18">
        <v>37585.967083590098</v>
      </c>
      <c r="Z30" s="19">
        <v>0.61862602560955204</v>
      </c>
      <c r="AA30" s="18">
        <v>459892.79791721702</v>
      </c>
      <c r="AB30" s="19">
        <v>2.8550948655349701E-2</v>
      </c>
      <c r="AC30" s="18">
        <v>21106.251285390201</v>
      </c>
      <c r="AD30" s="19">
        <v>6.7073254654013106E-2</v>
      </c>
      <c r="AE30" s="18">
        <v>26411.200717003201</v>
      </c>
      <c r="AF30" s="19">
        <v>8.6635046379991906E-2</v>
      </c>
      <c r="AG30">
        <f t="shared" si="0"/>
        <v>0.5457994772779805</v>
      </c>
      <c r="AH30" s="20">
        <f t="shared" si="1"/>
        <v>0.45420052272201944</v>
      </c>
      <c r="AI30">
        <f t="shared" si="2"/>
        <v>1</v>
      </c>
    </row>
    <row r="31" spans="1:35" x14ac:dyDescent="0.3">
      <c r="A31" s="17">
        <v>1999</v>
      </c>
      <c r="B31" s="17"/>
      <c r="C31" s="18">
        <v>453531.10713721003</v>
      </c>
      <c r="D31" s="19">
        <v>1.92744599990393E-2</v>
      </c>
      <c r="E31" s="18">
        <v>247677.31386747799</v>
      </c>
      <c r="F31" s="19">
        <v>1.9852055747194602E-2</v>
      </c>
      <c r="G31" s="18">
        <v>93727.482219836704</v>
      </c>
      <c r="H31" s="19">
        <v>-4.9287995500646498E-2</v>
      </c>
      <c r="I31" s="18">
        <v>98103.476519475298</v>
      </c>
      <c r="J31" s="19">
        <v>5.1962566155625098E-2</v>
      </c>
      <c r="K31" s="18">
        <v>27883.297295230001</v>
      </c>
      <c r="L31" s="19">
        <v>8.2724473608402793E-2</v>
      </c>
      <c r="M31" s="18">
        <v>-13860.462764809999</v>
      </c>
      <c r="N31" s="19">
        <v>-0.105682696499152</v>
      </c>
      <c r="O31" s="18">
        <v>477426.83376883098</v>
      </c>
      <c r="P31" s="19">
        <v>2.62879312930786E-2</v>
      </c>
      <c r="Q31" s="18">
        <v>1851.88871241898</v>
      </c>
      <c r="R31" s="19">
        <v>2.9362461195414601E-2</v>
      </c>
      <c r="S31" s="18">
        <v>9610.4925780950107</v>
      </c>
      <c r="T31" s="19">
        <v>1.05747454003791E-2</v>
      </c>
      <c r="U31" s="18">
        <v>48.931972000000101</v>
      </c>
      <c r="V31" s="19">
        <v>6.8614796903450306E-2</v>
      </c>
      <c r="W31" s="18">
        <v>73979.299451145896</v>
      </c>
      <c r="X31" s="19">
        <v>0.12955936847025701</v>
      </c>
      <c r="Y31" s="18">
        <v>42373.900925848699</v>
      </c>
      <c r="Z31" s="19">
        <v>0.12738620857115099</v>
      </c>
      <c r="AA31" s="18">
        <v>473559.47795632703</v>
      </c>
      <c r="AB31" s="19">
        <v>2.97170995088516E-2</v>
      </c>
      <c r="AC31" s="18">
        <v>22615.962368636701</v>
      </c>
      <c r="AD31" s="19">
        <v>7.1529096419482602E-2</v>
      </c>
      <c r="AE31" s="18">
        <v>26483.318181140599</v>
      </c>
      <c r="AF31" s="19">
        <v>2.73056363132218E-3</v>
      </c>
      <c r="AG31">
        <f t="shared" si="0"/>
        <v>0.5461087673365399</v>
      </c>
      <c r="AH31" s="20">
        <f t="shared" si="1"/>
        <v>0.4538912326634601</v>
      </c>
      <c r="AI31">
        <f t="shared" si="2"/>
        <v>1</v>
      </c>
    </row>
    <row r="32" spans="1:35" x14ac:dyDescent="0.3">
      <c r="A32" s="17">
        <v>2000</v>
      </c>
      <c r="B32" s="17"/>
      <c r="C32" s="18">
        <v>476794.43183223403</v>
      </c>
      <c r="D32" s="19">
        <v>5.1293779696540497E-2</v>
      </c>
      <c r="E32" s="18">
        <v>257661.955427184</v>
      </c>
      <c r="F32" s="19">
        <v>4.0313104998581401E-2</v>
      </c>
      <c r="G32" s="18">
        <v>97948.326774442394</v>
      </c>
      <c r="H32" s="19">
        <v>4.50331584145802E-2</v>
      </c>
      <c r="I32" s="18">
        <v>104324.530136858</v>
      </c>
      <c r="J32" s="19">
        <v>6.34131820613653E-2</v>
      </c>
      <c r="K32" s="18">
        <v>30694.881650830001</v>
      </c>
      <c r="L32" s="19">
        <v>0.100833998426756</v>
      </c>
      <c r="M32" s="18">
        <v>-13835.26215708</v>
      </c>
      <c r="N32" s="19">
        <v>-1.8181649601178901E-3</v>
      </c>
      <c r="O32" s="18">
        <v>506964.45950273098</v>
      </c>
      <c r="P32" s="19">
        <v>6.18683820109747E-2</v>
      </c>
      <c r="Q32" s="18">
        <v>1906.6539312172299</v>
      </c>
      <c r="R32" s="19">
        <v>2.95726295165506E-2</v>
      </c>
      <c r="S32" s="18">
        <v>10460.247157674001</v>
      </c>
      <c r="T32" s="19">
        <v>8.8419461611761493E-2</v>
      </c>
      <c r="U32" s="18">
        <v>90.606671000000205</v>
      </c>
      <c r="V32" s="19">
        <v>0.85168648016066095</v>
      </c>
      <c r="W32" s="18">
        <v>102832.13781394099</v>
      </c>
      <c r="X32" s="19">
        <v>0.39001232205299302</v>
      </c>
      <c r="Y32" s="18">
        <v>64199.123587987102</v>
      </c>
      <c r="Z32" s="19">
        <v>0.515062861461138</v>
      </c>
      <c r="AA32" s="18">
        <v>504602.338879538</v>
      </c>
      <c r="AB32" s="19">
        <v>6.5552190101184002E-2</v>
      </c>
      <c r="AC32" s="18">
        <v>28163.251827094999</v>
      </c>
      <c r="AD32" s="19">
        <v>0.24528204318871499</v>
      </c>
      <c r="AE32" s="18">
        <v>30525.3724502884</v>
      </c>
      <c r="AF32" s="19">
        <v>0.15262642851250599</v>
      </c>
      <c r="AG32">
        <f t="shared" si="0"/>
        <v>0.54040470740615842</v>
      </c>
      <c r="AH32" s="20">
        <f t="shared" si="1"/>
        <v>0.4595952925938423</v>
      </c>
      <c r="AI32">
        <f t="shared" si="2"/>
        <v>1.0000000000000007</v>
      </c>
    </row>
    <row r="33" spans="1:35" x14ac:dyDescent="0.3">
      <c r="A33" s="17">
        <v>2001</v>
      </c>
      <c r="B33" s="17"/>
      <c r="C33" s="18">
        <v>489674.25564941502</v>
      </c>
      <c r="D33" s="19">
        <v>2.7013368775483399E-2</v>
      </c>
      <c r="E33" s="18">
        <v>272298.95455554599</v>
      </c>
      <c r="F33" s="19">
        <v>5.68069861307028E-2</v>
      </c>
      <c r="G33" s="18">
        <v>90871.448591660403</v>
      </c>
      <c r="H33" s="19">
        <v>-7.2251139103976805E-2</v>
      </c>
      <c r="I33" s="18">
        <v>110615.68810560901</v>
      </c>
      <c r="J33" s="19">
        <v>6.0303726846393103E-2</v>
      </c>
      <c r="K33" s="18">
        <v>30761.562310550002</v>
      </c>
      <c r="L33" s="19">
        <v>2.1723706407643698E-3</v>
      </c>
      <c r="M33" s="18">
        <v>-14873.397913950001</v>
      </c>
      <c r="N33" s="19">
        <v>7.5035495900505705E-2</v>
      </c>
      <c r="O33" s="18">
        <v>507948.67908954201</v>
      </c>
      <c r="P33" s="19">
        <v>1.94139760364243E-3</v>
      </c>
      <c r="Q33" s="18">
        <v>2282.30203501499</v>
      </c>
      <c r="R33" s="19">
        <v>0.19701955223617401</v>
      </c>
      <c r="S33" s="18">
        <v>11676.660637818</v>
      </c>
      <c r="T33" s="19">
        <v>0.116289171929517</v>
      </c>
      <c r="U33" s="18">
        <v>201.60129499999999</v>
      </c>
      <c r="V33" s="19">
        <v>1.2250160255860101</v>
      </c>
      <c r="W33" s="18">
        <v>87436.500357906596</v>
      </c>
      <c r="X33" s="19">
        <v>-0.149716205296543</v>
      </c>
      <c r="Y33" s="18">
        <v>59969.319609977203</v>
      </c>
      <c r="Z33" s="19">
        <v>-6.5885696589188497E-2</v>
      </c>
      <c r="AA33" s="18">
        <v>506797.66810662602</v>
      </c>
      <c r="AB33" s="19">
        <v>4.35061246834967E-3</v>
      </c>
      <c r="AC33" s="18">
        <v>33272.016734290402</v>
      </c>
      <c r="AD33" s="19">
        <v>0.18139826105877499</v>
      </c>
      <c r="AE33" s="18">
        <v>34423.0277172067</v>
      </c>
      <c r="AF33" s="19">
        <v>0.12768575627588999</v>
      </c>
      <c r="AG33">
        <f t="shared" si="0"/>
        <v>0.55608182667152495</v>
      </c>
      <c r="AH33" s="20">
        <f t="shared" si="1"/>
        <v>0.44391817332847583</v>
      </c>
      <c r="AI33">
        <f t="shared" si="2"/>
        <v>1.0000000000000009</v>
      </c>
    </row>
    <row r="34" spans="1:35" x14ac:dyDescent="0.3">
      <c r="A34" s="17">
        <v>2002</v>
      </c>
      <c r="B34" s="17"/>
      <c r="C34" s="18">
        <v>489292.79718540399</v>
      </c>
      <c r="D34" s="19">
        <v>-7.7900453129831103E-4</v>
      </c>
      <c r="E34" s="18">
        <v>280029.43086562498</v>
      </c>
      <c r="F34" s="19">
        <v>2.8389665772668101E-2</v>
      </c>
      <c r="G34" s="18">
        <v>81309.619586122601</v>
      </c>
      <c r="H34" s="19">
        <v>-0.10522368855926099</v>
      </c>
      <c r="I34" s="18">
        <v>113730.163228127</v>
      </c>
      <c r="J34" s="19">
        <v>2.8155817460037098E-2</v>
      </c>
      <c r="K34" s="18">
        <v>29854.062466719999</v>
      </c>
      <c r="L34" s="19">
        <v>-2.9501097332717899E-2</v>
      </c>
      <c r="M34" s="18">
        <v>-15630.47896119</v>
      </c>
      <c r="N34" s="19">
        <v>5.0901687134311098E-2</v>
      </c>
      <c r="O34" s="18">
        <v>501380.74746060499</v>
      </c>
      <c r="P34" s="19">
        <v>-1.29303055590364E-2</v>
      </c>
      <c r="Q34" s="18">
        <v>2227.61045150779</v>
      </c>
      <c r="R34" s="19">
        <v>-2.3963341691030499E-2</v>
      </c>
      <c r="S34" s="18">
        <v>12349.712844654199</v>
      </c>
      <c r="T34" s="19">
        <v>5.7640812533023403E-2</v>
      </c>
      <c r="U34" s="18">
        <v>203.62697299999999</v>
      </c>
      <c r="V34" s="19">
        <v>1.00479414083143E-2</v>
      </c>
      <c r="W34" s="18">
        <v>64190.8814190712</v>
      </c>
      <c r="X34" s="19">
        <v>-0.265857151689322</v>
      </c>
      <c r="Y34" s="18">
        <v>42184.455723724102</v>
      </c>
      <c r="Z34" s="19">
        <v>-0.29656604413591098</v>
      </c>
      <c r="AA34" s="18">
        <v>495387.87620959402</v>
      </c>
      <c r="AB34" s="19">
        <v>-2.2513505122582E-2</v>
      </c>
      <c r="AC34" s="18">
        <v>37216.645091742401</v>
      </c>
      <c r="AD34" s="19">
        <v>0.118556935966753</v>
      </c>
      <c r="AE34" s="18">
        <v>43209.516342753101</v>
      </c>
      <c r="AF34" s="19">
        <v>0.25525031376465401</v>
      </c>
      <c r="AG34">
        <f t="shared" si="0"/>
        <v>0.5723146395705383</v>
      </c>
      <c r="AH34" s="20">
        <f t="shared" si="1"/>
        <v>0.42768536042946292</v>
      </c>
      <c r="AI34">
        <f t="shared" si="2"/>
        <v>1.0000000000000013</v>
      </c>
    </row>
    <row r="35" spans="1:35" x14ac:dyDescent="0.3">
      <c r="A35" s="17">
        <v>2003</v>
      </c>
      <c r="B35" s="17"/>
      <c r="C35" s="18">
        <v>493651.67529704701</v>
      </c>
      <c r="D35" s="19">
        <v>8.90852703476663E-3</v>
      </c>
      <c r="E35" s="18">
        <v>281023.04822666099</v>
      </c>
      <c r="F35" s="19">
        <v>3.54826047378176E-3</v>
      </c>
      <c r="G35" s="18">
        <v>81639.355459541301</v>
      </c>
      <c r="H35" s="19">
        <v>4.05531196797049E-3</v>
      </c>
      <c r="I35" s="18">
        <v>116796.481103875</v>
      </c>
      <c r="J35" s="19">
        <v>2.6961342432942199E-2</v>
      </c>
      <c r="K35" s="18">
        <v>30222.412235719999</v>
      </c>
      <c r="L35" s="19">
        <v>1.23383465620677E-2</v>
      </c>
      <c r="M35" s="18">
        <v>-16029.62172875</v>
      </c>
      <c r="N35" s="19">
        <v>2.5536182771561899E-2</v>
      </c>
      <c r="O35" s="18">
        <v>524543.08985578199</v>
      </c>
      <c r="P35" s="19">
        <v>4.61971117010158E-2</v>
      </c>
      <c r="Q35" s="18">
        <v>2382.0844138797302</v>
      </c>
      <c r="R35" s="19">
        <v>6.93451416819231E-2</v>
      </c>
      <c r="S35" s="18">
        <v>12620.959189343101</v>
      </c>
      <c r="T35" s="19">
        <v>2.1963777465993099E-2</v>
      </c>
      <c r="U35" s="18">
        <v>205.32318100000001</v>
      </c>
      <c r="V35" s="19">
        <v>8.3299769917997094E-3</v>
      </c>
      <c r="W35" s="18">
        <v>83876.504602497196</v>
      </c>
      <c r="X35" s="19">
        <v>0.30667320261437298</v>
      </c>
      <c r="Y35" s="18">
        <v>42951.5384492995</v>
      </c>
      <c r="Z35" s="19">
        <v>1.8184013813031599E-2</v>
      </c>
      <c r="AA35" s="18">
        <v>520118.55857375998</v>
      </c>
      <c r="AB35" s="19">
        <v>4.9921856290448902E-2</v>
      </c>
      <c r="AC35" s="18">
        <v>26013.482359502199</v>
      </c>
      <c r="AD35" s="19">
        <v>-0.30102559498910803</v>
      </c>
      <c r="AE35" s="18">
        <v>30438.013641523201</v>
      </c>
      <c r="AF35" s="19">
        <v>-0.29557152641843598</v>
      </c>
      <c r="AG35">
        <f t="shared" si="0"/>
        <v>0.56927396844659717</v>
      </c>
      <c r="AH35" s="20">
        <f t="shared" si="1"/>
        <v>0.43072603155340333</v>
      </c>
      <c r="AI35">
        <f t="shared" si="2"/>
        <v>1.0000000000000004</v>
      </c>
    </row>
    <row r="36" spans="1:35" x14ac:dyDescent="0.3">
      <c r="A36" s="17">
        <v>2004</v>
      </c>
      <c r="B36" s="17"/>
      <c r="C36" s="18">
        <v>508607.55280216801</v>
      </c>
      <c r="D36" s="19">
        <v>3.02964180079437E-2</v>
      </c>
      <c r="E36" s="18">
        <v>283625.61458260799</v>
      </c>
      <c r="F36" s="19">
        <v>9.2610423677701396E-3</v>
      </c>
      <c r="G36" s="18">
        <v>90477.270484397304</v>
      </c>
      <c r="H36" s="19">
        <v>0.10825557079803</v>
      </c>
      <c r="I36" s="18">
        <v>119274.35993984299</v>
      </c>
      <c r="J36" s="19">
        <v>2.1215355227733899E-2</v>
      </c>
      <c r="K36" s="18">
        <v>31404.528685450001</v>
      </c>
      <c r="L36" s="19">
        <v>3.9113901316350001E-2</v>
      </c>
      <c r="M36" s="18">
        <v>-16174.22089013</v>
      </c>
      <c r="N36" s="19">
        <v>9.0207469537884107E-3</v>
      </c>
      <c r="O36" s="18">
        <v>538651.393610092</v>
      </c>
      <c r="P36" s="19">
        <v>2.68963675761873E-2</v>
      </c>
      <c r="Q36" s="18">
        <v>2432.2484244529401</v>
      </c>
      <c r="R36" s="19">
        <v>2.10588719194491E-2</v>
      </c>
      <c r="S36" s="18">
        <v>13193.5578984515</v>
      </c>
      <c r="T36" s="19">
        <v>4.5368874149588803E-2</v>
      </c>
      <c r="U36" s="18">
        <v>198.53213700000001</v>
      </c>
      <c r="V36" s="19">
        <v>-3.3074901562137701E-2</v>
      </c>
      <c r="W36" s="18">
        <v>88806.951323543093</v>
      </c>
      <c r="X36" s="19">
        <v>5.8782214929102801E-2</v>
      </c>
      <c r="Y36" s="18">
        <v>48200.333178621098</v>
      </c>
      <c r="Z36" s="19">
        <v>0.122202717733087</v>
      </c>
      <c r="AA36" s="18">
        <v>528375.65597338194</v>
      </c>
      <c r="AB36" s="19">
        <v>1.58754139099813E-2</v>
      </c>
      <c r="AC36" s="18">
        <v>25864.708134917</v>
      </c>
      <c r="AD36" s="19">
        <v>-5.7191198982573504E-3</v>
      </c>
      <c r="AE36" s="18">
        <v>36140.445771626801</v>
      </c>
      <c r="AF36" s="19">
        <v>0.18734573803871399</v>
      </c>
      <c r="AG36">
        <f t="shared" si="0"/>
        <v>0.55765120478446617</v>
      </c>
      <c r="AH36" s="20">
        <f t="shared" si="1"/>
        <v>0.44234879521553438</v>
      </c>
      <c r="AI36">
        <f t="shared" si="2"/>
        <v>1.0000000000000004</v>
      </c>
    </row>
    <row r="37" spans="1:35" x14ac:dyDescent="0.3">
      <c r="A37" s="17">
        <v>2005</v>
      </c>
      <c r="B37" s="17"/>
      <c r="C37" s="18">
        <v>528601.15710151696</v>
      </c>
      <c r="D37" s="19">
        <v>3.93104746266442E-2</v>
      </c>
      <c r="E37" s="18">
        <v>292269.17517148802</v>
      </c>
      <c r="F37" s="19">
        <v>3.0475246749488E-2</v>
      </c>
      <c r="G37" s="18">
        <v>97764.108483215299</v>
      </c>
      <c r="H37" s="19">
        <v>8.0537774402408294E-2</v>
      </c>
      <c r="I37" s="18">
        <v>122564.10077375401</v>
      </c>
      <c r="J37" s="19">
        <v>2.7581291029943798E-2</v>
      </c>
      <c r="K37" s="18">
        <v>32480.002539429999</v>
      </c>
      <c r="L37" s="19">
        <v>3.42458205551186E-2</v>
      </c>
      <c r="M37" s="18">
        <v>-16476.229866369998</v>
      </c>
      <c r="N37" s="19">
        <v>1.8672242594652201E-2</v>
      </c>
      <c r="O37" s="18">
        <v>570652.303836787</v>
      </c>
      <c r="P37" s="19">
        <v>5.9409314830176203E-2</v>
      </c>
      <c r="Q37" s="18">
        <v>2466.9621230718799</v>
      </c>
      <c r="R37" s="19">
        <v>1.4272266874527199E-2</v>
      </c>
      <c r="S37" s="18">
        <v>13503.568850232799</v>
      </c>
      <c r="T37" s="19">
        <v>2.3497145665134299E-2</v>
      </c>
      <c r="U37" s="18">
        <v>390.79407200000003</v>
      </c>
      <c r="V37" s="19">
        <v>0.96841719383698799</v>
      </c>
      <c r="W37" s="18">
        <v>127658.66574346701</v>
      </c>
      <c r="X37" s="19">
        <v>0.437485059906839</v>
      </c>
      <c r="Y37" s="18">
        <v>74961.706353036803</v>
      </c>
      <c r="Z37" s="19">
        <v>0.55521137323352598</v>
      </c>
      <c r="AA37" s="18">
        <v>560520.68569979502</v>
      </c>
      <c r="AB37" s="19">
        <v>6.0837454116228401E-2</v>
      </c>
      <c r="AC37" s="18">
        <v>26735.940129553899</v>
      </c>
      <c r="AD37" s="19">
        <v>3.3684199724672202E-2</v>
      </c>
      <c r="AE37" s="18">
        <v>36867.558266546002</v>
      </c>
      <c r="AF37" s="19">
        <v>2.01190793139037E-2</v>
      </c>
      <c r="AG37">
        <f t="shared" si="0"/>
        <v>0.55291058531557136</v>
      </c>
      <c r="AH37" s="20">
        <f t="shared" si="1"/>
        <v>0.44708941468442931</v>
      </c>
      <c r="AI37">
        <f t="shared" si="2"/>
        <v>1.0000000000000007</v>
      </c>
    </row>
    <row r="38" spans="1:35" x14ac:dyDescent="0.3">
      <c r="A38" s="17">
        <v>2006</v>
      </c>
      <c r="B38" s="17"/>
      <c r="C38" s="18">
        <v>562159.63845092803</v>
      </c>
      <c r="D38" s="19">
        <v>6.3485448146617399E-2</v>
      </c>
      <c r="E38" s="18">
        <v>303607.44506135001</v>
      </c>
      <c r="F38" s="19">
        <v>3.87939298874376E-2</v>
      </c>
      <c r="G38" s="18">
        <v>114030.914763591</v>
      </c>
      <c r="H38" s="19">
        <v>0.16638832525300501</v>
      </c>
      <c r="I38" s="18">
        <v>126945.381284847</v>
      </c>
      <c r="J38" s="19">
        <v>3.5746849880461798E-2</v>
      </c>
      <c r="K38" s="18">
        <v>34115.870315009997</v>
      </c>
      <c r="L38" s="19">
        <v>5.0365383241398602E-2</v>
      </c>
      <c r="M38" s="18">
        <v>-16539.972973870001</v>
      </c>
      <c r="N38" s="19">
        <v>3.8687920730038302E-3</v>
      </c>
      <c r="O38" s="18">
        <v>601681.52564348804</v>
      </c>
      <c r="P38" s="19">
        <v>5.4375004881389799E-2</v>
      </c>
      <c r="Q38" s="18">
        <v>2614.8255234868302</v>
      </c>
      <c r="R38" s="19">
        <v>5.9937442505533498E-2</v>
      </c>
      <c r="S38" s="18">
        <v>14621.0701555134</v>
      </c>
      <c r="T38" s="19">
        <v>8.2755997149696697E-2</v>
      </c>
      <c r="U38" s="18">
        <v>400.97973300000001</v>
      </c>
      <c r="V38" s="19">
        <v>2.6064011022152601E-2</v>
      </c>
      <c r="W38" s="18">
        <v>137439.03749282399</v>
      </c>
      <c r="X38" s="19">
        <v>7.6613457397485707E-2</v>
      </c>
      <c r="Y38" s="18">
        <v>86311.885401236796</v>
      </c>
      <c r="Z38" s="19">
        <v>0.15141302940391499</v>
      </c>
      <c r="AA38" s="18">
        <v>590749.07345091004</v>
      </c>
      <c r="AB38" s="19">
        <v>5.3929120766304198E-2</v>
      </c>
      <c r="AC38" s="18">
        <v>27363.067608508001</v>
      </c>
      <c r="AD38" s="19">
        <v>2.34563466223832E-2</v>
      </c>
      <c r="AE38" s="18">
        <v>38295.519801085902</v>
      </c>
      <c r="AF38" s="19">
        <v>3.8732197131580798E-2</v>
      </c>
      <c r="AG38">
        <f t="shared" si="0"/>
        <v>0.54007336047454868</v>
      </c>
      <c r="AH38" s="20">
        <f t="shared" si="1"/>
        <v>0.45992663952545132</v>
      </c>
      <c r="AI38">
        <f t="shared" si="2"/>
        <v>1</v>
      </c>
    </row>
    <row r="39" spans="1:35" x14ac:dyDescent="0.3">
      <c r="A39" s="17">
        <v>2007</v>
      </c>
      <c r="B39" s="17"/>
      <c r="C39" s="18">
        <v>598992.21216647106</v>
      </c>
      <c r="D39" s="19">
        <v>6.5519776227689105E-2</v>
      </c>
      <c r="E39" s="18">
        <v>320152.43053767498</v>
      </c>
      <c r="F39" s="19">
        <v>5.4494663241811299E-2</v>
      </c>
      <c r="G39" s="18">
        <v>125166.010020635</v>
      </c>
      <c r="H39" s="19">
        <v>9.7649793305000204E-2</v>
      </c>
      <c r="I39" s="18">
        <v>133504.30201078099</v>
      </c>
      <c r="J39" s="19">
        <v>5.1667265555856101E-2</v>
      </c>
      <c r="K39" s="18">
        <v>35635.03881667</v>
      </c>
      <c r="L39" s="19">
        <v>4.4529671605405802E-2</v>
      </c>
      <c r="M39" s="18">
        <v>-15465.569219290001</v>
      </c>
      <c r="N39" s="19">
        <v>-6.4958011495989301E-2</v>
      </c>
      <c r="O39" s="18">
        <v>601421.72895018605</v>
      </c>
      <c r="P39" s="19">
        <v>-4.3178439461744001E-4</v>
      </c>
      <c r="Q39" s="18">
        <v>2472.7150801709599</v>
      </c>
      <c r="R39" s="19">
        <v>-5.4347963961422101E-2</v>
      </c>
      <c r="S39" s="18">
        <v>16076.955638281201</v>
      </c>
      <c r="T39" s="19">
        <v>9.9574481709110901E-2</v>
      </c>
      <c r="U39" s="18">
        <v>406.37747300000001</v>
      </c>
      <c r="V39" s="19">
        <v>1.34613786078812E-2</v>
      </c>
      <c r="W39" s="18">
        <v>149348.370801752</v>
      </c>
      <c r="X39" s="19">
        <v>8.6651751395958806E-2</v>
      </c>
      <c r="Y39" s="18">
        <v>133720.990932927</v>
      </c>
      <c r="Z39" s="19">
        <v>0.54927667622251697</v>
      </c>
      <c r="AA39" s="18">
        <v>592288.96894371905</v>
      </c>
      <c r="AB39" s="19">
        <v>2.6066828743596098E-3</v>
      </c>
      <c r="AC39" s="18">
        <v>30329.1753975547</v>
      </c>
      <c r="AD39" s="19">
        <v>0.108398218777358</v>
      </c>
      <c r="AE39" s="18">
        <v>39461.935404021999</v>
      </c>
      <c r="AF39" s="19">
        <v>3.0458278383337801E-2</v>
      </c>
      <c r="AG39">
        <f t="shared" si="0"/>
        <v>0.53448513024856936</v>
      </c>
      <c r="AH39" s="20">
        <f t="shared" si="1"/>
        <v>0.46551486975143053</v>
      </c>
      <c r="AI39">
        <f t="shared" si="2"/>
        <v>0.99999999999999989</v>
      </c>
    </row>
    <row r="40" spans="1:35" x14ac:dyDescent="0.3">
      <c r="A40" s="17">
        <v>2008</v>
      </c>
      <c r="B40" s="17"/>
      <c r="C40" s="18">
        <v>622461.84339465504</v>
      </c>
      <c r="D40" s="19">
        <v>3.9181863722898398E-2</v>
      </c>
      <c r="E40" s="18">
        <v>335872.92269249202</v>
      </c>
      <c r="F40" s="19">
        <v>4.9103147923679397E-2</v>
      </c>
      <c r="G40" s="18">
        <v>123079.55951443</v>
      </c>
      <c r="H40" s="19">
        <v>-1.6669465662930601E-2</v>
      </c>
      <c r="I40" s="18">
        <v>142439.977584323</v>
      </c>
      <c r="J40" s="19">
        <v>6.6931742565273303E-2</v>
      </c>
      <c r="K40" s="18">
        <v>36732.247075090003</v>
      </c>
      <c r="L40" s="19">
        <v>3.0790151908203701E-2</v>
      </c>
      <c r="M40" s="18">
        <v>-15662.863471680001</v>
      </c>
      <c r="N40" s="19">
        <v>1.2756999085679699E-2</v>
      </c>
      <c r="O40" s="18">
        <v>582029.60130411503</v>
      </c>
      <c r="P40" s="19">
        <v>-3.2243809481112599E-2</v>
      </c>
      <c r="Q40" s="18">
        <v>2700.99694362123</v>
      </c>
      <c r="R40" s="19">
        <v>9.2320326462556307E-2</v>
      </c>
      <c r="S40" s="18">
        <v>17124.637000795999</v>
      </c>
      <c r="T40" s="19">
        <v>6.5166651329194206E-2</v>
      </c>
      <c r="U40" s="18">
        <v>432.96596099999999</v>
      </c>
      <c r="V40" s="19">
        <v>6.5428055850919903E-2</v>
      </c>
      <c r="W40" s="18">
        <v>93989.443228825301</v>
      </c>
      <c r="X40" s="19">
        <v>-0.37066977882478103</v>
      </c>
      <c r="Y40" s="18">
        <v>120431.011223191</v>
      </c>
      <c r="Z40" s="19">
        <v>-9.9385890106079802E-2</v>
      </c>
      <c r="AA40" s="18">
        <v>571316.72088230401</v>
      </c>
      <c r="AB40" s="19">
        <v>-3.5408810835725703E-2</v>
      </c>
      <c r="AC40" s="18">
        <v>40471.526761209199</v>
      </c>
      <c r="AD40" s="19">
        <v>0.33440907082730098</v>
      </c>
      <c r="AE40" s="18">
        <v>51184.407183020397</v>
      </c>
      <c r="AF40" s="19">
        <v>0.29705770026179801</v>
      </c>
      <c r="AG40">
        <f t="shared" si="0"/>
        <v>0.53958797034172734</v>
      </c>
      <c r="AH40" s="20">
        <f t="shared" si="1"/>
        <v>0.46041202965827271</v>
      </c>
      <c r="AI40">
        <f t="shared" si="2"/>
        <v>1</v>
      </c>
    </row>
    <row r="41" spans="1:35" x14ac:dyDescent="0.3">
      <c r="A41" s="17">
        <v>2009</v>
      </c>
      <c r="B41" s="17"/>
      <c r="C41" s="18">
        <v>613317.965337715</v>
      </c>
      <c r="D41" s="19">
        <v>-1.46898611601205E-2</v>
      </c>
      <c r="E41" s="18">
        <v>343635.84407322702</v>
      </c>
      <c r="F41" s="19">
        <v>2.3112674039051501E-2</v>
      </c>
      <c r="G41" s="18">
        <v>100573.727279977</v>
      </c>
      <c r="H41" s="19">
        <v>-0.182855969937188</v>
      </c>
      <c r="I41" s="18">
        <v>149678.859024301</v>
      </c>
      <c r="J41" s="19">
        <v>5.0820574130549197E-2</v>
      </c>
      <c r="K41" s="18">
        <v>36070.434106000001</v>
      </c>
      <c r="L41" s="19">
        <v>-1.80172197942884E-2</v>
      </c>
      <c r="M41" s="18">
        <v>-16640.899145790001</v>
      </c>
      <c r="N41" s="19">
        <v>6.2442967461114898E-2</v>
      </c>
      <c r="O41" s="18">
        <v>622134.83670944802</v>
      </c>
      <c r="P41" s="19">
        <v>6.8905834540842203E-2</v>
      </c>
      <c r="Q41" s="18">
        <v>2853.9158241305799</v>
      </c>
      <c r="R41" s="19">
        <v>5.6615717715078603E-2</v>
      </c>
      <c r="S41" s="18">
        <v>17804.0182529515</v>
      </c>
      <c r="T41" s="19">
        <v>3.96727388804754E-2</v>
      </c>
      <c r="U41" s="18">
        <v>423.49505599999998</v>
      </c>
      <c r="V41" s="19">
        <v>-2.187447941202E-2</v>
      </c>
      <c r="W41" s="18">
        <v>100875.44146491399</v>
      </c>
      <c r="X41" s="19">
        <v>7.3263528323326096E-2</v>
      </c>
      <c r="Y41" s="18">
        <v>77531.962720359705</v>
      </c>
      <c r="Z41" s="19">
        <v>-0.35621264047453599</v>
      </c>
      <c r="AA41" s="18">
        <v>610527.51413832104</v>
      </c>
      <c r="AB41" s="19">
        <v>6.8632322182804503E-2</v>
      </c>
      <c r="AC41" s="18">
        <v>33510.564761118498</v>
      </c>
      <c r="AD41" s="19">
        <v>-0.17199652588255199</v>
      </c>
      <c r="AE41" s="18">
        <v>45117.887332245802</v>
      </c>
      <c r="AF41" s="19">
        <v>-0.11852281162664401</v>
      </c>
      <c r="AG41">
        <f t="shared" si="0"/>
        <v>0.56028987163943378</v>
      </c>
      <c r="AH41" s="20">
        <f t="shared" si="1"/>
        <v>0.43971012836056622</v>
      </c>
      <c r="AI41">
        <f t="shared" si="2"/>
        <v>1</v>
      </c>
    </row>
    <row r="42" spans="1:35" x14ac:dyDescent="0.3">
      <c r="A42" s="17">
        <v>2010</v>
      </c>
      <c r="B42" s="17"/>
      <c r="C42" s="18">
        <v>636172.01998340595</v>
      </c>
      <c r="D42" s="19">
        <v>3.7262979298359401E-2</v>
      </c>
      <c r="E42" s="18">
        <v>346614.67467457597</v>
      </c>
      <c r="F42" s="19">
        <v>8.6685677665045997E-3</v>
      </c>
      <c r="G42" s="18">
        <v>117608.305026513</v>
      </c>
      <c r="H42" s="19">
        <v>0.16937403243607699</v>
      </c>
      <c r="I42" s="18">
        <v>150923.54894169699</v>
      </c>
      <c r="J42" s="19">
        <v>8.3157362737125203E-3</v>
      </c>
      <c r="K42" s="18">
        <v>37801.799804449998</v>
      </c>
      <c r="L42" s="19">
        <v>4.7999580303415203E-2</v>
      </c>
      <c r="M42" s="18">
        <v>-16776.308463829999</v>
      </c>
      <c r="N42" s="19">
        <v>8.1371395171432308E-3</v>
      </c>
      <c r="O42" s="18">
        <v>668962.52662394603</v>
      </c>
      <c r="P42" s="19">
        <v>7.5269358266731201E-2</v>
      </c>
      <c r="Q42" s="18">
        <v>2910.4337279215401</v>
      </c>
      <c r="R42" s="19">
        <v>1.98036337698149E-2</v>
      </c>
      <c r="S42" s="18">
        <v>19266.057597210001</v>
      </c>
      <c r="T42" s="19">
        <v>8.2118504007719001E-2</v>
      </c>
      <c r="U42" s="18">
        <v>438.64318700000001</v>
      </c>
      <c r="V42" s="19">
        <v>3.5769321944575799E-2</v>
      </c>
      <c r="W42" s="18">
        <v>127608.66672004601</v>
      </c>
      <c r="X42" s="19">
        <v>0.26501222564096799</v>
      </c>
      <c r="Y42" s="18">
        <v>78901.179397217595</v>
      </c>
      <c r="Z42" s="19">
        <v>1.7660028571652601E-2</v>
      </c>
      <c r="AA42" s="18">
        <v>657200.55075897195</v>
      </c>
      <c r="AB42" s="19">
        <v>7.6447065103239398E-2</v>
      </c>
      <c r="AC42" s="18">
        <v>31443.9870765384</v>
      </c>
      <c r="AD42" s="19">
        <v>-6.1669437662772497E-2</v>
      </c>
      <c r="AE42" s="18">
        <v>43205.9629415124</v>
      </c>
      <c r="AF42" s="19">
        <v>-4.2376194981251697E-2</v>
      </c>
      <c r="AG42">
        <f t="shared" si="0"/>
        <v>0.5448442619083077</v>
      </c>
      <c r="AH42" s="20">
        <f t="shared" si="1"/>
        <v>0.45515573809169241</v>
      </c>
      <c r="AI42">
        <f t="shared" si="2"/>
        <v>1</v>
      </c>
    </row>
    <row r="43" spans="1:35" x14ac:dyDescent="0.3">
      <c r="A43" s="17">
        <v>2011</v>
      </c>
      <c r="B43" s="17"/>
      <c r="C43" s="18">
        <v>645812.25803482695</v>
      </c>
      <c r="D43" s="19">
        <v>1.5153508404333899E-2</v>
      </c>
      <c r="E43" s="18">
        <v>359757.35209399601</v>
      </c>
      <c r="F43" s="19">
        <v>3.7917256191646299E-2</v>
      </c>
      <c r="G43" s="18">
        <v>111699.387910672</v>
      </c>
      <c r="H43" s="19">
        <v>-5.0242345678812202E-2</v>
      </c>
      <c r="I43" s="18">
        <v>153645.28138966899</v>
      </c>
      <c r="J43" s="19">
        <v>1.8033848707224E-2</v>
      </c>
      <c r="K43" s="18">
        <v>38476.286591540003</v>
      </c>
      <c r="L43" s="19">
        <v>1.7842716235183301E-2</v>
      </c>
      <c r="M43" s="18">
        <v>-17766.049951050001</v>
      </c>
      <c r="N43" s="19">
        <v>5.8996381078345997E-2</v>
      </c>
      <c r="O43" s="18">
        <v>649868.190009902</v>
      </c>
      <c r="P43" s="19">
        <v>-2.85432081082444E-2</v>
      </c>
      <c r="Q43" s="18">
        <v>2705.0430608646998</v>
      </c>
      <c r="R43" s="19">
        <v>-7.0570466898594905E-2</v>
      </c>
      <c r="S43" s="18">
        <v>20976.899869165401</v>
      </c>
      <c r="T43" s="19">
        <v>8.8800849022851305E-2</v>
      </c>
      <c r="U43" s="18">
        <v>446.64945499999999</v>
      </c>
      <c r="V43" s="19">
        <v>1.8252347778970699E-2</v>
      </c>
      <c r="W43" s="18">
        <v>95780.575691284204</v>
      </c>
      <c r="X43" s="19">
        <v>-0.24941950924530701</v>
      </c>
      <c r="Y43" s="18">
        <v>73899.436362908396</v>
      </c>
      <c r="Z43" s="19">
        <v>-6.3392500245510394E-2</v>
      </c>
      <c r="AA43" s="18">
        <v>639798.11204793304</v>
      </c>
      <c r="AB43" s="19">
        <v>-2.64796471806691E-2</v>
      </c>
      <c r="AC43" s="18">
        <v>32042.811777130399</v>
      </c>
      <c r="AD43" s="19">
        <v>1.9044172074437399E-2</v>
      </c>
      <c r="AE43" s="18">
        <v>42112.889739099097</v>
      </c>
      <c r="AF43" s="19">
        <v>-2.5299128360893201E-2</v>
      </c>
      <c r="AG43">
        <f t="shared" si="0"/>
        <v>0.55706182039455077</v>
      </c>
      <c r="AH43" s="20">
        <f t="shared" si="1"/>
        <v>0.4429381796054494</v>
      </c>
      <c r="AI43">
        <f t="shared" si="2"/>
        <v>1.0000000000000002</v>
      </c>
    </row>
    <row r="44" spans="1:35" x14ac:dyDescent="0.3">
      <c r="A44" s="17">
        <v>2012</v>
      </c>
      <c r="B44" s="17"/>
      <c r="C44" s="18">
        <v>654393.62395549798</v>
      </c>
      <c r="D44" s="19">
        <v>1.3287709878385E-2</v>
      </c>
      <c r="E44" s="18">
        <v>368980.04398435698</v>
      </c>
      <c r="F44" s="19">
        <v>2.5635867722173501E-2</v>
      </c>
      <c r="G44" s="18">
        <v>114547.534262296</v>
      </c>
      <c r="H44" s="19">
        <v>2.5498316552113199E-2</v>
      </c>
      <c r="I44" s="18">
        <v>151487.303366426</v>
      </c>
      <c r="J44" s="19">
        <v>-1.4045195555144699E-2</v>
      </c>
      <c r="K44" s="18">
        <v>38446.698270239998</v>
      </c>
      <c r="L44" s="19">
        <v>-7.6900147912173399E-4</v>
      </c>
      <c r="M44" s="18">
        <v>-19067.955927819999</v>
      </c>
      <c r="N44" s="19">
        <v>7.3280553660329206E-2</v>
      </c>
      <c r="O44" s="18">
        <v>665528.05591022503</v>
      </c>
      <c r="P44" s="19">
        <v>2.4096987883165399E-2</v>
      </c>
      <c r="Q44" s="18">
        <v>2688.5515469089801</v>
      </c>
      <c r="R44" s="19">
        <v>-6.0965809359234697E-3</v>
      </c>
      <c r="S44" s="18">
        <v>22256.4098254114</v>
      </c>
      <c r="T44" s="19">
        <v>6.0996141671381801E-2</v>
      </c>
      <c r="U44" s="18">
        <v>431.82718799999998</v>
      </c>
      <c r="V44" s="19">
        <v>-3.3185458605339599E-2</v>
      </c>
      <c r="W44" s="18">
        <v>114202.556170866</v>
      </c>
      <c r="X44" s="19">
        <v>0.19233524487218301</v>
      </c>
      <c r="Y44" s="18">
        <v>83932.093125636806</v>
      </c>
      <c r="Z44" s="19">
        <v>0.13576093751865201</v>
      </c>
      <c r="AA44" s="18">
        <v>652684.49299523095</v>
      </c>
      <c r="AB44" s="19">
        <v>2.0141323809240299E-2</v>
      </c>
      <c r="AC44" s="18">
        <v>35293.1529116479</v>
      </c>
      <c r="AD44" s="19">
        <v>0.101437450531022</v>
      </c>
      <c r="AE44" s="18">
        <v>48136.715826641899</v>
      </c>
      <c r="AF44" s="19">
        <v>0.14303996056461801</v>
      </c>
      <c r="AG44">
        <f t="shared" si="0"/>
        <v>0.56385030427718452</v>
      </c>
      <c r="AH44" s="20">
        <f t="shared" si="1"/>
        <v>0.43614969572281703</v>
      </c>
      <c r="AI44">
        <f t="shared" si="2"/>
        <v>1.0000000000000016</v>
      </c>
    </row>
    <row r="45" spans="1:35" x14ac:dyDescent="0.3">
      <c r="A45" s="17">
        <v>2013</v>
      </c>
      <c r="B45" s="17"/>
      <c r="C45" s="18">
        <v>666210.44413731096</v>
      </c>
      <c r="D45" s="19">
        <v>1.8057663994928801E-2</v>
      </c>
      <c r="E45" s="18">
        <v>377349.12749194098</v>
      </c>
      <c r="F45" s="19">
        <v>2.2681669765150798E-2</v>
      </c>
      <c r="G45" s="18">
        <v>113231.424990955</v>
      </c>
      <c r="H45" s="19">
        <v>-1.14896342362734E-2</v>
      </c>
      <c r="I45" s="18">
        <v>155902.35550023499</v>
      </c>
      <c r="J45" s="19">
        <v>2.91447008144936E-2</v>
      </c>
      <c r="K45" s="18">
        <v>38860.206014670002</v>
      </c>
      <c r="L45" s="19">
        <v>1.07553512534022E-2</v>
      </c>
      <c r="M45" s="18">
        <v>-19132.669860490001</v>
      </c>
      <c r="N45" s="19">
        <v>3.39385788990554E-3</v>
      </c>
      <c r="O45" s="18">
        <v>677300.40362624603</v>
      </c>
      <c r="P45" s="19">
        <v>1.76887324455768E-2</v>
      </c>
      <c r="Q45" s="18">
        <v>2768.9005401639802</v>
      </c>
      <c r="R45" s="19">
        <v>2.9885606376927502E-2</v>
      </c>
      <c r="S45" s="18">
        <v>23476.0307622047</v>
      </c>
      <c r="T45" s="19">
        <v>5.4798637622172998E-2</v>
      </c>
      <c r="U45" s="18">
        <v>424.09733699999998</v>
      </c>
      <c r="V45" s="19">
        <v>-1.7900334242039299E-2</v>
      </c>
      <c r="W45" s="18">
        <v>110994.955709583</v>
      </c>
      <c r="X45" s="19">
        <v>-2.8086941035575099E-2</v>
      </c>
      <c r="Y45" s="18">
        <v>79621.963335606604</v>
      </c>
      <c r="Z45" s="19">
        <v>-5.1352583136207802E-2</v>
      </c>
      <c r="AA45" s="18">
        <v>662912.97459825897</v>
      </c>
      <c r="AB45" s="19">
        <v>1.5671402818363302E-2</v>
      </c>
      <c r="AC45" s="18">
        <v>35735.436664851302</v>
      </c>
      <c r="AD45" s="19">
        <v>1.25317155514724E-2</v>
      </c>
      <c r="AE45" s="18">
        <v>50122.865692838699</v>
      </c>
      <c r="AF45" s="19">
        <v>4.1260601852225201E-2</v>
      </c>
      <c r="AG45">
        <f t="shared" si="0"/>
        <v>0.56641130563568065</v>
      </c>
      <c r="AH45" s="20">
        <f t="shared" si="1"/>
        <v>0.43358869436431935</v>
      </c>
      <c r="AI45">
        <f t="shared" si="2"/>
        <v>1</v>
      </c>
    </row>
    <row r="46" spans="1:35" x14ac:dyDescent="0.3">
      <c r="A46" s="17">
        <v>2014</v>
      </c>
      <c r="B46" s="17"/>
      <c r="C46" s="18">
        <v>679021.94921179803</v>
      </c>
      <c r="D46" s="19">
        <v>1.9230417636393798E-2</v>
      </c>
      <c r="E46" s="18">
        <v>383508.77171300899</v>
      </c>
      <c r="F46" s="19">
        <v>1.6323462205963101E-2</v>
      </c>
      <c r="G46" s="18">
        <v>116253.44527723501</v>
      </c>
      <c r="H46" s="19">
        <v>2.66888832894321E-2</v>
      </c>
      <c r="I46" s="18">
        <v>159448.784731675</v>
      </c>
      <c r="J46" s="19">
        <v>2.2747759134626799E-2</v>
      </c>
      <c r="K46" s="18">
        <v>38957.470197210001</v>
      </c>
      <c r="L46" s="19">
        <v>2.50292503604532E-3</v>
      </c>
      <c r="M46" s="18">
        <v>-19146.522707330001</v>
      </c>
      <c r="N46" s="19">
        <v>7.2404149243232596E-4</v>
      </c>
      <c r="O46" s="18">
        <v>678637.86471624603</v>
      </c>
      <c r="P46" s="19">
        <v>1.9746940690414899E-3</v>
      </c>
      <c r="Q46" s="18">
        <v>2718.3075116943101</v>
      </c>
      <c r="R46" s="19">
        <v>-1.82718836360494E-2</v>
      </c>
      <c r="S46" s="18">
        <v>24547.355625358501</v>
      </c>
      <c r="T46" s="19">
        <v>4.56348381038321E-2</v>
      </c>
      <c r="U46" s="18">
        <v>419.88571400000001</v>
      </c>
      <c r="V46" s="19">
        <v>-9.9307933169130395E-3</v>
      </c>
      <c r="W46" s="18">
        <v>138032.348511174</v>
      </c>
      <c r="X46" s="19">
        <v>0.24359118510154701</v>
      </c>
      <c r="Y46" s="18">
        <v>117007.270607062</v>
      </c>
      <c r="Z46" s="19">
        <v>0.46953510947571497</v>
      </c>
      <c r="AA46" s="18">
        <v>658531.01070790598</v>
      </c>
      <c r="AB46" s="19">
        <v>-6.6101646192823198E-3</v>
      </c>
      <c r="AC46" s="18">
        <v>35988.076122092898</v>
      </c>
      <c r="AD46" s="19">
        <v>7.0697179276417704E-3</v>
      </c>
      <c r="AE46" s="18">
        <v>56094.930130432898</v>
      </c>
      <c r="AF46" s="19">
        <v>0.119148503483261</v>
      </c>
      <c r="AG46">
        <f t="shared" si="0"/>
        <v>0.5647958393070831</v>
      </c>
      <c r="AH46" s="20">
        <f t="shared" si="1"/>
        <v>0.4352041606929184</v>
      </c>
      <c r="AI46">
        <f t="shared" si="2"/>
        <v>1.0000000000000016</v>
      </c>
    </row>
    <row r="47" spans="1:35" x14ac:dyDescent="0.3">
      <c r="A47" s="17">
        <v>2015</v>
      </c>
      <c r="B47" s="17"/>
      <c r="C47" s="18">
        <v>679632.73968588503</v>
      </c>
      <c r="D47" s="19">
        <v>8.9951506692154105E-4</v>
      </c>
      <c r="E47" s="18">
        <v>390648.31645677</v>
      </c>
      <c r="F47" s="19">
        <v>1.8616379260038899E-2</v>
      </c>
      <c r="G47" s="18">
        <v>111045.384841379</v>
      </c>
      <c r="H47" s="19">
        <v>-4.47991921739197E-2</v>
      </c>
      <c r="I47" s="18">
        <v>158394.95331530599</v>
      </c>
      <c r="J47" s="19">
        <v>-6.6092157312003198E-3</v>
      </c>
      <c r="K47" s="18">
        <v>39206.889030470003</v>
      </c>
      <c r="L47" s="19">
        <v>6.4023364966307996E-3</v>
      </c>
      <c r="M47" s="18">
        <v>-19662.80395804</v>
      </c>
      <c r="N47" s="19">
        <v>2.6964752743971601E-2</v>
      </c>
      <c r="O47" s="18">
        <v>684871.81707671797</v>
      </c>
      <c r="P47" s="19">
        <v>9.1859778013985097E-3</v>
      </c>
      <c r="Q47" s="18">
        <v>2862.6455614933202</v>
      </c>
      <c r="R47" s="19">
        <v>5.3098499407466103E-2</v>
      </c>
      <c r="S47" s="18">
        <v>25043.7874619592</v>
      </c>
      <c r="T47" s="19">
        <v>2.0223434417020202E-2</v>
      </c>
      <c r="U47" s="18">
        <v>414.88285500000001</v>
      </c>
      <c r="V47" s="19">
        <v>-1.1914811181215601E-2</v>
      </c>
      <c r="W47" s="18">
        <v>137501.243520491</v>
      </c>
      <c r="X47" s="19">
        <v>-3.8476849550956901E-3</v>
      </c>
      <c r="Y47" s="18">
        <v>110495.907084192</v>
      </c>
      <c r="Z47" s="19">
        <v>-5.5649221532025298E-2</v>
      </c>
      <c r="AA47" s="18">
        <v>669275.90215113002</v>
      </c>
      <c r="AB47" s="19">
        <v>1.6316454758407602E-2</v>
      </c>
      <c r="AC47" s="18">
        <v>38490.042272868799</v>
      </c>
      <c r="AD47" s="19">
        <v>6.9522086768065899E-2</v>
      </c>
      <c r="AE47" s="18">
        <v>54085.957198456701</v>
      </c>
      <c r="AF47" s="19">
        <v>-3.5813805762925602E-2</v>
      </c>
      <c r="AG47">
        <f t="shared" si="0"/>
        <v>0.57479325766048461</v>
      </c>
      <c r="AH47" s="20">
        <f t="shared" si="1"/>
        <v>0.42520674233951528</v>
      </c>
      <c r="AI47">
        <f t="shared" si="2"/>
        <v>0.99999999999999989</v>
      </c>
    </row>
    <row r="48" spans="1:35" x14ac:dyDescent="0.3">
      <c r="A48" s="17">
        <v>2016</v>
      </c>
      <c r="B48" s="17"/>
      <c r="C48" s="18">
        <v>688404.189284969</v>
      </c>
      <c r="D48" s="19">
        <v>1.2906161058601E-2</v>
      </c>
      <c r="E48" s="18">
        <v>395236.06033632503</v>
      </c>
      <c r="F48" s="19">
        <v>1.1743923335358701E-2</v>
      </c>
      <c r="G48" s="18">
        <v>113379.10453306101</v>
      </c>
      <c r="H48" s="19">
        <v>2.1015908900809999E-2</v>
      </c>
      <c r="I48" s="18">
        <v>160602.16878013301</v>
      </c>
      <c r="J48" s="19">
        <v>1.3934885036604601E-2</v>
      </c>
      <c r="K48" s="18">
        <v>39169.058955859997</v>
      </c>
      <c r="L48" s="19">
        <v>-9.64883354570789E-4</v>
      </c>
      <c r="M48" s="18">
        <v>-19982.203320410001</v>
      </c>
      <c r="N48" s="19">
        <v>1.62438359784083E-2</v>
      </c>
      <c r="O48" s="18">
        <v>680805.10502899101</v>
      </c>
      <c r="P48" s="19">
        <v>-5.9379170617430699E-3</v>
      </c>
      <c r="Q48" s="18">
        <v>3084.23605702744</v>
      </c>
      <c r="R48" s="19">
        <v>7.7407590557080602E-2</v>
      </c>
      <c r="S48" s="18">
        <v>25663.671465271302</v>
      </c>
      <c r="T48" s="19">
        <v>2.47520070298346E-2</v>
      </c>
      <c r="U48" s="18">
        <v>413.25325299999997</v>
      </c>
      <c r="V48" s="19">
        <v>-3.92786055234828E-3</v>
      </c>
      <c r="W48" s="18">
        <v>143015.46929651601</v>
      </c>
      <c r="X48" s="19">
        <v>4.01030975054655E-2</v>
      </c>
      <c r="Y48" s="18">
        <v>128448.37139725</v>
      </c>
      <c r="Z48" s="19">
        <v>0.16247175833743099</v>
      </c>
      <c r="AA48" s="18">
        <v>665413.85053260496</v>
      </c>
      <c r="AB48" s="19">
        <v>-5.7704925668354799E-3</v>
      </c>
      <c r="AC48" s="18">
        <v>43409.821540546698</v>
      </c>
      <c r="AD48" s="19">
        <v>0.127819534018694</v>
      </c>
      <c r="AE48" s="18">
        <v>58801.076036933002</v>
      </c>
      <c r="AF48" s="19">
        <v>8.7178245199122498E-2</v>
      </c>
      <c r="AG48">
        <f t="shared" si="0"/>
        <v>0.5741337233099183</v>
      </c>
      <c r="AH48" s="20">
        <f t="shared" si="1"/>
        <v>0.42586627669008176</v>
      </c>
      <c r="AI48">
        <f t="shared" si="2"/>
        <v>1</v>
      </c>
    </row>
    <row r="49" spans="1:35" x14ac:dyDescent="0.3">
      <c r="A49" s="17">
        <v>2017</v>
      </c>
      <c r="B49" s="17"/>
      <c r="C49" s="18">
        <v>695842.64982842503</v>
      </c>
      <c r="D49" s="19">
        <v>1.0805367920817301E-2</v>
      </c>
      <c r="E49" s="18">
        <v>400899.35138967598</v>
      </c>
      <c r="F49" s="19">
        <v>1.43288824621204E-2</v>
      </c>
      <c r="G49" s="18">
        <v>111767.963696461</v>
      </c>
      <c r="H49" s="19">
        <v>-1.4210209572876199E-2</v>
      </c>
      <c r="I49" s="18">
        <v>163146.157173238</v>
      </c>
      <c r="J49" s="19">
        <v>1.58403115750443E-2</v>
      </c>
      <c r="K49" s="18">
        <v>40461.376477509999</v>
      </c>
      <c r="L49" s="19">
        <v>3.2993325755064098E-2</v>
      </c>
      <c r="M49" s="18">
        <v>-20432.198908459999</v>
      </c>
      <c r="N49" s="19">
        <v>2.2519818302037399E-2</v>
      </c>
      <c r="O49" s="18">
        <v>683702.54525542504</v>
      </c>
      <c r="P49" s="19">
        <v>4.2559026144644001E-3</v>
      </c>
      <c r="Q49" s="18">
        <v>3269.6809028541002</v>
      </c>
      <c r="R49" s="19">
        <v>6.0126670720978902E-2</v>
      </c>
      <c r="S49" s="18">
        <v>26536.903616510499</v>
      </c>
      <c r="T49" s="19">
        <v>3.40260025702432E-2</v>
      </c>
      <c r="U49" s="18">
        <v>455.43026500000002</v>
      </c>
      <c r="V49" s="19">
        <v>0.102060931629254</v>
      </c>
      <c r="W49" s="18">
        <v>167217.827763932</v>
      </c>
      <c r="X49" s="19">
        <v>0.16922895534634</v>
      </c>
      <c r="Y49" s="18">
        <v>156546.139888276</v>
      </c>
      <c r="Z49" s="19">
        <v>0.218747565153073</v>
      </c>
      <c r="AA49" s="18">
        <v>668681.71741224104</v>
      </c>
      <c r="AB49" s="19">
        <v>4.9110292444616297E-3</v>
      </c>
      <c r="AC49" s="18">
        <v>50612.367059361801</v>
      </c>
      <c r="AD49" s="19">
        <v>0.16591972192485499</v>
      </c>
      <c r="AE49" s="18">
        <v>65633.194902546107</v>
      </c>
      <c r="AF49" s="19">
        <v>0.11619037143677199</v>
      </c>
      <c r="AG49">
        <f t="shared" si="0"/>
        <v>0.5761350665822601</v>
      </c>
      <c r="AH49" s="20">
        <f t="shared" si="1"/>
        <v>0.42386493341773984</v>
      </c>
      <c r="AI49">
        <f t="shared" si="2"/>
        <v>1</v>
      </c>
    </row>
    <row r="50" spans="1:35" x14ac:dyDescent="0.3">
      <c r="A50" s="17">
        <v>2018</v>
      </c>
      <c r="B50" s="17"/>
      <c r="C50" s="18">
        <v>724383.24489115598</v>
      </c>
      <c r="D50" s="19">
        <v>4.1015874881724201E-2</v>
      </c>
      <c r="E50" s="18">
        <v>409780.660806384</v>
      </c>
      <c r="F50" s="19">
        <v>2.2153464169801799E-2</v>
      </c>
      <c r="G50" s="18">
        <v>126709.71565866</v>
      </c>
      <c r="H50" s="19">
        <v>0.133685462882522</v>
      </c>
      <c r="I50" s="18">
        <v>168540.269294542</v>
      </c>
      <c r="J50" s="19">
        <v>3.3063065748929699E-2</v>
      </c>
      <c r="K50" s="18">
        <v>40257.700707570002</v>
      </c>
      <c r="L50" s="19">
        <v>-5.0338319570815103E-3</v>
      </c>
      <c r="M50" s="18">
        <v>-20905.101576000001</v>
      </c>
      <c r="N50" s="19">
        <v>2.3144971799594401E-2</v>
      </c>
      <c r="O50" s="18">
        <v>702899.72708273097</v>
      </c>
      <c r="P50" s="19">
        <v>2.8078265848979999E-2</v>
      </c>
      <c r="Q50" s="18">
        <v>3112.1008752254702</v>
      </c>
      <c r="R50" s="19">
        <v>-4.8194313852180003E-2</v>
      </c>
      <c r="S50" s="18">
        <v>27121.534694479102</v>
      </c>
      <c r="T50" s="19">
        <v>2.2030870157921E-2</v>
      </c>
      <c r="U50" s="18">
        <v>437.43018599999999</v>
      </c>
      <c r="V50" s="19">
        <v>-3.9523238535759897E-2</v>
      </c>
      <c r="W50" s="18">
        <v>175788.751462485</v>
      </c>
      <c r="X50" s="19">
        <v>5.1256040179237898E-2</v>
      </c>
      <c r="Y50" s="18">
        <v>173700.265637656</v>
      </c>
      <c r="Z50" s="19">
        <v>0.10957872076323701</v>
      </c>
      <c r="AA50" s="18">
        <v>688340.95050863805</v>
      </c>
      <c r="AB50" s="19">
        <v>2.9399985949186001E-2</v>
      </c>
      <c r="AC50" s="18">
        <v>44042.725178388602</v>
      </c>
      <c r="AD50" s="19">
        <v>-0.129803094829923</v>
      </c>
      <c r="AE50" s="18">
        <v>58601.501752481403</v>
      </c>
      <c r="AF50" s="19">
        <v>-0.10713623130042001</v>
      </c>
      <c r="AG50">
        <f t="shared" si="0"/>
        <v>0.56569594023113634</v>
      </c>
      <c r="AH50" s="20">
        <f t="shared" si="1"/>
        <v>0.43430405976886371</v>
      </c>
      <c r="AI50">
        <f t="shared" si="2"/>
        <v>1</v>
      </c>
    </row>
    <row r="51" spans="1:35" x14ac:dyDescent="0.3">
      <c r="A51" s="17">
        <v>2019</v>
      </c>
      <c r="B51" s="17"/>
      <c r="C51" s="18">
        <v>731800.76850289002</v>
      </c>
      <c r="D51" s="19">
        <v>1.0239777996037499E-2</v>
      </c>
      <c r="E51" s="18">
        <v>421687.434788891</v>
      </c>
      <c r="F51" s="19">
        <v>2.90564565908904E-2</v>
      </c>
      <c r="G51" s="18">
        <v>118045.60644939799</v>
      </c>
      <c r="H51" s="19">
        <v>-6.8377623327651404E-2</v>
      </c>
      <c r="I51" s="18">
        <v>172835.97490358099</v>
      </c>
      <c r="J51" s="19">
        <v>2.5487710604829E-2</v>
      </c>
      <c r="K51" s="18">
        <v>40468.752715499999</v>
      </c>
      <c r="L51" s="19">
        <v>5.2425251373164903E-3</v>
      </c>
      <c r="M51" s="18">
        <v>-21237.000354479998</v>
      </c>
      <c r="N51" s="19">
        <v>1.5876448974590202E-2</v>
      </c>
      <c r="O51" s="18">
        <v>700285.69770511496</v>
      </c>
      <c r="P51" s="19">
        <v>-3.7189221689767301E-3</v>
      </c>
      <c r="Q51" s="18">
        <v>3181.1845864154802</v>
      </c>
      <c r="R51" s="19">
        <v>2.21984164266547E-2</v>
      </c>
      <c r="S51" s="18">
        <v>28280.086305586501</v>
      </c>
      <c r="T51" s="19">
        <v>4.2717037371164703E-2</v>
      </c>
      <c r="U51" s="18">
        <v>430.41919100000001</v>
      </c>
      <c r="V51" s="19">
        <v>-1.6027689044762001E-2</v>
      </c>
      <c r="W51" s="18">
        <v>167081.30434156</v>
      </c>
      <c r="X51" s="19">
        <v>-4.9533585331728601E-2</v>
      </c>
      <c r="Y51" s="18">
        <v>173927.89261116399</v>
      </c>
      <c r="Z51" s="19">
        <v>1.31045840760402E-3</v>
      </c>
      <c r="AA51" s="18">
        <v>686253.36636552401</v>
      </c>
      <c r="AB51" s="19">
        <v>-3.0327763320938698E-3</v>
      </c>
      <c r="AC51" s="18">
        <v>47736.637343970302</v>
      </c>
      <c r="AD51" s="19">
        <v>8.3871108125576702E-2</v>
      </c>
      <c r="AE51" s="18">
        <v>61768.968683561099</v>
      </c>
      <c r="AF51" s="19">
        <v>5.4050951534626399E-2</v>
      </c>
      <c r="AG51">
        <f t="shared" si="0"/>
        <v>0.57623256621002805</v>
      </c>
      <c r="AH51" s="20">
        <f t="shared" si="1"/>
        <v>0.42376743378997195</v>
      </c>
      <c r="AI51">
        <f t="shared" si="2"/>
        <v>1</v>
      </c>
    </row>
    <row r="52" spans="1:35" x14ac:dyDescent="0.3">
      <c r="A52" s="17">
        <v>2020</v>
      </c>
      <c r="B52" s="17"/>
      <c r="C52" s="18">
        <v>709854.59789991495</v>
      </c>
      <c r="D52" s="19">
        <v>-2.99892696858911E-2</v>
      </c>
      <c r="E52" s="18">
        <v>415038.27540583903</v>
      </c>
      <c r="F52" s="19">
        <v>-1.5767980818258899E-2</v>
      </c>
      <c r="G52" s="18">
        <v>100815.094472981</v>
      </c>
      <c r="H52" s="19">
        <v>-0.145964873193342</v>
      </c>
      <c r="I52" s="18">
        <v>176488.93440639501</v>
      </c>
      <c r="J52" s="19">
        <v>2.1135411796368499E-2</v>
      </c>
      <c r="K52" s="18">
        <v>39864.963945000003</v>
      </c>
      <c r="L52" s="19">
        <v>-1.49198759532991E-2</v>
      </c>
      <c r="M52" s="18">
        <v>-22352.670330299999</v>
      </c>
      <c r="N52" s="19">
        <v>5.2534254235422101E-2</v>
      </c>
      <c r="O52" s="18">
        <v>684217.68714576995</v>
      </c>
      <c r="P52" s="19">
        <v>-2.2944936062525598E-2</v>
      </c>
      <c r="Q52" s="18">
        <v>3239.7616204536398</v>
      </c>
      <c r="R52" s="19">
        <v>1.8413591681633E-2</v>
      </c>
      <c r="S52" s="18">
        <v>27782.034230458001</v>
      </c>
      <c r="T52" s="19">
        <v>-1.76114057696534E-2</v>
      </c>
      <c r="U52" s="18">
        <v>402.46820000000002</v>
      </c>
      <c r="V52" s="19">
        <v>-6.4938998038310797E-2</v>
      </c>
      <c r="W52" s="18">
        <v>130829.822728317</v>
      </c>
      <c r="X52" s="19">
        <v>-0.21696910827997301</v>
      </c>
      <c r="Y52" s="18">
        <v>132326.92907245699</v>
      </c>
      <c r="Z52" s="19">
        <v>-0.23918511812082199</v>
      </c>
      <c r="AA52" s="18">
        <v>668819.94602758996</v>
      </c>
      <c r="AB52" s="19">
        <v>-2.5403766585895E-2</v>
      </c>
      <c r="AC52" s="18">
        <v>48704.259649633103</v>
      </c>
      <c r="AD52" s="19">
        <v>2.02700139662229E-2</v>
      </c>
      <c r="AE52" s="18">
        <v>64102.000767813399</v>
      </c>
      <c r="AF52" s="19">
        <v>3.77702936276028E-2</v>
      </c>
      <c r="AG52">
        <f t="shared" si="0"/>
        <v>0.58468068902239723</v>
      </c>
      <c r="AH52" s="20">
        <f t="shared" si="1"/>
        <v>0.41531931097760288</v>
      </c>
      <c r="AI52">
        <f t="shared" si="2"/>
        <v>1</v>
      </c>
    </row>
    <row r="53" spans="1:35" x14ac:dyDescent="0.3">
      <c r="A53" s="17">
        <v>2021</v>
      </c>
      <c r="B53" s="17"/>
      <c r="C53" s="18">
        <v>768279.35247361602</v>
      </c>
      <c r="D53" s="19">
        <v>8.2305242153180899E-2</v>
      </c>
      <c r="E53" s="18">
        <v>434093.01005531498</v>
      </c>
      <c r="F53" s="19">
        <v>4.5910788904574E-2</v>
      </c>
      <c r="G53" s="18">
        <v>137062.86080584201</v>
      </c>
      <c r="H53" s="19">
        <v>0.35954701547769102</v>
      </c>
      <c r="I53" s="18">
        <v>181960.46584894901</v>
      </c>
      <c r="J53" s="19">
        <v>3.1002121809828202E-2</v>
      </c>
      <c r="K53" s="18">
        <v>42248.054040149997</v>
      </c>
      <c r="L53" s="19">
        <v>5.97790605915971E-2</v>
      </c>
      <c r="M53" s="18">
        <v>-27085.03827664</v>
      </c>
      <c r="N53" s="19">
        <v>0.21171376289324501</v>
      </c>
      <c r="O53" s="18">
        <v>743602.67585790402</v>
      </c>
      <c r="P53" s="19">
        <v>8.67925366850133E-2</v>
      </c>
      <c r="Q53" s="18">
        <v>3258.3072467509501</v>
      </c>
      <c r="R53" s="19">
        <v>5.7243798988868598E-3</v>
      </c>
      <c r="S53" s="18">
        <v>29506.547143338699</v>
      </c>
      <c r="T53" s="19">
        <v>6.2072953282523498E-2</v>
      </c>
      <c r="U53" s="18">
        <v>442.55891200000002</v>
      </c>
      <c r="V53" s="19">
        <v>9.9612123392605903E-2</v>
      </c>
      <c r="W53" s="18">
        <v>157995.827568924</v>
      </c>
      <c r="X53" s="19">
        <v>0.20764382519282501</v>
      </c>
      <c r="Y53" s="18">
        <v>156866.82320004801</v>
      </c>
      <c r="Z53" s="19">
        <v>0.18544898079025099</v>
      </c>
      <c r="AA53" s="18">
        <v>728075.30780267902</v>
      </c>
      <c r="AB53" s="19">
        <v>8.8596881906756395E-2</v>
      </c>
      <c r="AC53" s="18">
        <v>49409.166169685101</v>
      </c>
      <c r="AD53" s="19">
        <v>1.4473200601403899E-2</v>
      </c>
      <c r="AE53" s="18">
        <v>64936.534224909999</v>
      </c>
      <c r="AF53" s="19">
        <v>1.30188363405288E-2</v>
      </c>
      <c r="AG53">
        <f t="shared" si="0"/>
        <v>0.5650197531115122</v>
      </c>
      <c r="AH53" s="20">
        <f t="shared" si="1"/>
        <v>0.4349802468884878</v>
      </c>
      <c r="AI53">
        <f t="shared" si="2"/>
        <v>1</v>
      </c>
    </row>
    <row r="54" spans="1:35" x14ac:dyDescent="0.3">
      <c r="A54" s="17">
        <v>2022</v>
      </c>
      <c r="B54" s="17"/>
      <c r="C54" s="18">
        <v>819703.68671952398</v>
      </c>
      <c r="D54" s="19">
        <v>6.6934421809381306E-2</v>
      </c>
      <c r="E54" s="18">
        <v>459689.26048144902</v>
      </c>
      <c r="F54" s="19">
        <v>5.8964898842468E-2</v>
      </c>
      <c r="G54" s="18">
        <v>146043.514491398</v>
      </c>
      <c r="H54" s="19">
        <v>6.5522152629494207E-2</v>
      </c>
      <c r="I54" s="18">
        <v>194727.503698007</v>
      </c>
      <c r="J54" s="19">
        <v>7.0163800633793502E-2</v>
      </c>
      <c r="K54" s="18">
        <v>43487.990104190001</v>
      </c>
      <c r="L54" s="19">
        <v>2.9348950909352099E-2</v>
      </c>
      <c r="M54" s="18">
        <v>-24244.582055520001</v>
      </c>
      <c r="N54" s="19">
        <v>-0.104871781686563</v>
      </c>
      <c r="O54" s="18">
        <v>789819.54246397805</v>
      </c>
      <c r="P54" s="19">
        <v>6.2152636221692897E-2</v>
      </c>
      <c r="Q54" s="18">
        <v>3378.2171859669102</v>
      </c>
      <c r="R54" s="19">
        <v>3.6801298998284701E-2</v>
      </c>
      <c r="S54" s="18">
        <v>31865.083803242102</v>
      </c>
      <c r="T54" s="19">
        <v>7.9932655232276606E-2</v>
      </c>
      <c r="U54" s="18">
        <v>424</v>
      </c>
      <c r="V54" s="19">
        <v>-4.1935461012702298E-2</v>
      </c>
      <c r="W54" s="18">
        <v>169782.30174452599</v>
      </c>
      <c r="X54" s="19">
        <v>7.4599907839086696E-2</v>
      </c>
      <c r="Y54" s="18">
        <v>171603.57938279599</v>
      </c>
      <c r="Z54" s="19">
        <v>9.3944378308436993E-2</v>
      </c>
      <c r="AA54" s="18">
        <v>773081.04859616305</v>
      </c>
      <c r="AB54" s="19">
        <v>6.1814678112502401E-2</v>
      </c>
      <c r="AC54" s="18">
        <v>54460.573334278903</v>
      </c>
      <c r="AD54" s="19">
        <v>0.102236235828102</v>
      </c>
      <c r="AE54" s="18">
        <v>71199.067202093996</v>
      </c>
      <c r="AF54" s="19">
        <v>9.6440825675935704E-2</v>
      </c>
      <c r="AG54">
        <f t="shared" si="0"/>
        <v>0.56079930824898161</v>
      </c>
      <c r="AH54" s="20">
        <f t="shared" si="1"/>
        <v>0.43920069175101839</v>
      </c>
      <c r="AI54">
        <f t="shared" si="2"/>
        <v>1</v>
      </c>
    </row>
    <row r="55" spans="1:35" x14ac:dyDescent="0.3">
      <c r="A55" s="17">
        <v>2023</v>
      </c>
      <c r="B55" s="17"/>
      <c r="C55" s="18">
        <v>834189.81128891394</v>
      </c>
      <c r="D55" s="19">
        <v>1.76723916264971E-2</v>
      </c>
      <c r="E55" s="18">
        <v>476597.73111085198</v>
      </c>
      <c r="F55" s="19">
        <v>3.67823921135206E-2</v>
      </c>
      <c r="G55" s="18">
        <v>133461.90386745901</v>
      </c>
      <c r="H55" s="19">
        <v>-8.6149738779945806E-2</v>
      </c>
      <c r="I55" s="18">
        <v>205112.029398724</v>
      </c>
      <c r="J55" s="19">
        <v>5.3328500101464303E-2</v>
      </c>
      <c r="K55" s="18">
        <v>42881.119232279998</v>
      </c>
      <c r="L55" s="19">
        <v>-1.39549073308753E-2</v>
      </c>
      <c r="M55" s="18">
        <v>-23862.9723204</v>
      </c>
      <c r="N55" s="19">
        <v>-1.5740000559552499E-2</v>
      </c>
      <c r="O55" s="18">
        <v>799017.29137291806</v>
      </c>
      <c r="P55" s="19">
        <v>1.16453802602123E-2</v>
      </c>
      <c r="Q55" s="18">
        <v>3332.5408213496698</v>
      </c>
      <c r="R55" s="19">
        <v>-1.3520849046349001E-2</v>
      </c>
      <c r="S55" s="18">
        <v>33778.261720022703</v>
      </c>
      <c r="T55" s="19">
        <v>6.0039946186676497E-2</v>
      </c>
      <c r="U55" s="18">
        <v>413</v>
      </c>
      <c r="V55" s="19">
        <v>-2.5943396226414301E-2</v>
      </c>
      <c r="W55" s="18">
        <v>183186.17958478699</v>
      </c>
      <c r="X55" s="19">
        <v>7.8947438587739602E-2</v>
      </c>
      <c r="Y55" s="18">
        <v>188325.97860211</v>
      </c>
      <c r="Z55" s="19">
        <v>9.7447846248074801E-2</v>
      </c>
      <c r="AA55" s="18">
        <v>782392.55735056498</v>
      </c>
      <c r="AB55" s="19">
        <v>1.20446734159505E-2</v>
      </c>
      <c r="AC55" s="18">
        <v>60385.148345617701</v>
      </c>
      <c r="AD55" s="19">
        <v>0.108786497251393</v>
      </c>
      <c r="AE55" s="18">
        <v>77009.882367971397</v>
      </c>
      <c r="AF55" s="19">
        <v>8.1613641782465995E-2</v>
      </c>
      <c r="AG55">
        <f t="shared" si="0"/>
        <v>0.57133007939099212</v>
      </c>
      <c r="AH55" s="20">
        <f t="shared" si="1"/>
        <v>0.4286699206090091</v>
      </c>
      <c r="AI55">
        <f t="shared" si="2"/>
        <v>1.0000000000000013</v>
      </c>
    </row>
    <row r="56" spans="1:35" x14ac:dyDescent="0.3">
      <c r="A56" s="17">
        <v>2024</v>
      </c>
      <c r="B56" s="17"/>
      <c r="C56" s="18">
        <v>853956.984778921</v>
      </c>
      <c r="D56" s="19">
        <v>2.3696253805191199E-2</v>
      </c>
      <c r="E56" s="18">
        <v>492615.43879823398</v>
      </c>
      <c r="F56" s="19">
        <v>3.3608443015555198E-2</v>
      </c>
      <c r="G56" s="18">
        <v>129289.81721319001</v>
      </c>
      <c r="H56" s="19">
        <v>-3.1260506057305897E-2</v>
      </c>
      <c r="I56" s="18">
        <v>211775.65393723699</v>
      </c>
      <c r="J56" s="19">
        <v>3.2487731499937202E-2</v>
      </c>
      <c r="K56" s="18">
        <v>45008.232084759999</v>
      </c>
      <c r="L56" s="19">
        <v>4.9604881835237903E-2</v>
      </c>
      <c r="M56" s="18">
        <v>-24732.157254500002</v>
      </c>
      <c r="N56" s="19">
        <v>3.6424001269823099E-2</v>
      </c>
      <c r="O56" s="18">
        <v>827378.79619049898</v>
      </c>
      <c r="P56" s="19">
        <v>3.5495483168892103E-2</v>
      </c>
      <c r="Q56" s="18">
        <v>3465.2883072978698</v>
      </c>
      <c r="R56" s="19">
        <v>3.9833716393738797E-2</v>
      </c>
      <c r="S56" s="18">
        <v>35383.482788540401</v>
      </c>
      <c r="T56" s="19">
        <v>4.7522311296622502E-2</v>
      </c>
      <c r="U56" s="18">
        <v>431</v>
      </c>
      <c r="V56" s="19">
        <v>4.35835351089593E-2</v>
      </c>
      <c r="W56" s="18">
        <v>192185.4645953</v>
      </c>
      <c r="X56" s="19">
        <v>4.9126440820540698E-2</v>
      </c>
      <c r="Y56" s="18">
        <v>187276.45870247899</v>
      </c>
      <c r="Z56" s="19">
        <v>-5.5728896640880902E-3</v>
      </c>
      <c r="AA56" s="18">
        <v>808430.43609857303</v>
      </c>
      <c r="AB56" s="19">
        <v>3.3279813954495599E-2</v>
      </c>
      <c r="AC56" s="18">
        <v>64815.423672417703</v>
      </c>
      <c r="AD56" s="19">
        <v>7.3366969332311294E-2</v>
      </c>
      <c r="AE56" s="18">
        <v>83763.783764343796</v>
      </c>
      <c r="AF56" s="19">
        <v>8.7701749291093006E-2</v>
      </c>
      <c r="AG56">
        <f t="shared" si="0"/>
        <v>0.57686212254094515</v>
      </c>
      <c r="AH56" s="20">
        <f t="shared" si="1"/>
        <v>0.42313787745905473</v>
      </c>
      <c r="AI56">
        <f t="shared" si="2"/>
        <v>0.99999999999999989</v>
      </c>
    </row>
    <row r="57" spans="1:35" x14ac:dyDescent="0.3">
      <c r="A57" s="17"/>
      <c r="B57" s="17"/>
      <c r="C57" s="18"/>
      <c r="D57" s="19"/>
      <c r="E57" s="18"/>
      <c r="F57" s="19"/>
      <c r="G57" s="18"/>
      <c r="H57" s="19"/>
      <c r="I57" s="18"/>
      <c r="J57" s="19"/>
      <c r="K57" s="18"/>
      <c r="L57" s="19"/>
      <c r="M57" s="18"/>
      <c r="N57" s="19"/>
      <c r="O57" s="18"/>
      <c r="P57" s="19"/>
      <c r="Q57" s="18"/>
      <c r="R57" s="19"/>
      <c r="S57" s="18"/>
      <c r="T57" s="19"/>
      <c r="U57" s="18"/>
      <c r="V57" s="19"/>
      <c r="W57" s="18"/>
      <c r="X57" s="19"/>
      <c r="Y57" s="18"/>
      <c r="Z57" s="19"/>
      <c r="AA57" s="18"/>
      <c r="AB57" s="19"/>
      <c r="AC57" s="18"/>
      <c r="AD57" s="19"/>
      <c r="AE57" s="18"/>
      <c r="AF57" s="19"/>
      <c r="AG57" s="18"/>
      <c r="AH57" s="19"/>
    </row>
  </sheetData>
  <mergeCells count="33">
    <mergeCell ref="C4:N4"/>
    <mergeCell ref="O4:Z4"/>
    <mergeCell ref="AA4:AF4"/>
    <mergeCell ref="C5:D10"/>
    <mergeCell ref="E5:F10"/>
    <mergeCell ref="G5:H10"/>
    <mergeCell ref="I5:J10"/>
    <mergeCell ref="K5:L10"/>
    <mergeCell ref="M5:N10"/>
    <mergeCell ref="O5:P10"/>
    <mergeCell ref="AE5:AF10"/>
    <mergeCell ref="AA6:AB10"/>
    <mergeCell ref="C11:D11"/>
    <mergeCell ref="E11:F11"/>
    <mergeCell ref="G11:H11"/>
    <mergeCell ref="I11:J11"/>
    <mergeCell ref="K11:L11"/>
    <mergeCell ref="M11:N11"/>
    <mergeCell ref="O11:P11"/>
    <mergeCell ref="Q11:R11"/>
    <mergeCell ref="Q5:R10"/>
    <mergeCell ref="S5:T10"/>
    <mergeCell ref="U5:V10"/>
    <mergeCell ref="W5:X10"/>
    <mergeCell ref="Y5:Z10"/>
    <mergeCell ref="AC5:AD10"/>
    <mergeCell ref="AE11:AF11"/>
    <mergeCell ref="S11:T11"/>
    <mergeCell ref="U11:V11"/>
    <mergeCell ref="W11:X11"/>
    <mergeCell ref="Y11:Z11"/>
    <mergeCell ref="AA11:AB11"/>
    <mergeCell ref="AC11:AD1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Table01"/>
  <dimension ref="A1:AR57"/>
  <sheetViews>
    <sheetView workbookViewId="0">
      <pane ySplit="4" topLeftCell="A7" activePane="bottomLeft" state="frozen"/>
      <selection pane="bottomLeft"/>
    </sheetView>
  </sheetViews>
  <sheetFormatPr baseColWidth="10" defaultRowHeight="10.15" x14ac:dyDescent="0.3"/>
  <sheetData>
    <row r="1" spans="1:27" ht="11.25" customHeight="1" x14ac:dyDescent="0.3">
      <c r="A1" s="15" t="s">
        <v>3</v>
      </c>
      <c r="C1" s="14">
        <v>4</v>
      </c>
    </row>
    <row r="2" spans="1:27" ht="11.25" customHeight="1" x14ac:dyDescent="0.3">
      <c r="A2" s="15" t="s">
        <v>4</v>
      </c>
    </row>
    <row r="3" spans="1:27" ht="11.25" customHeight="1" x14ac:dyDescent="0.3">
      <c r="A3" s="15" t="s">
        <v>5</v>
      </c>
    </row>
    <row r="4" spans="1:27" ht="11.25" customHeight="1" x14ac:dyDescent="0.3">
      <c r="A4" s="15" t="s">
        <v>6</v>
      </c>
    </row>
    <row r="11" spans="1:27" ht="11.25" customHeight="1" x14ac:dyDescent="0.3">
      <c r="A11" s="12" t="s">
        <v>3</v>
      </c>
    </row>
    <row r="12" spans="1:27" ht="11.25" customHeight="1" x14ac:dyDescent="0.3">
      <c r="A12" s="15" t="s">
        <v>85</v>
      </c>
      <c r="B12" s="15" t="s">
        <v>79</v>
      </c>
    </row>
    <row r="13" spans="1:27" ht="11.25" customHeight="1" x14ac:dyDescent="0.3">
      <c r="A13" s="15" t="s">
        <v>77</v>
      </c>
      <c r="B13" s="15" t="s">
        <v>76</v>
      </c>
    </row>
    <row r="16" spans="1:27" ht="11.25" customHeight="1" x14ac:dyDescent="0.3">
      <c r="C16" s="15" t="s">
        <v>2</v>
      </c>
      <c r="O16" s="15" t="s">
        <v>31</v>
      </c>
      <c r="AA16" s="15" t="s">
        <v>36</v>
      </c>
    </row>
    <row r="17" spans="1:44" ht="11.25" customHeight="1" x14ac:dyDescent="0.3">
      <c r="AO17" s="15" t="s">
        <v>16</v>
      </c>
      <c r="AQ17" s="15" t="s">
        <v>16</v>
      </c>
      <c r="AR17" s="15" t="s">
        <v>16</v>
      </c>
    </row>
    <row r="18" spans="1:44" ht="11.25" customHeight="1" x14ac:dyDescent="0.3">
      <c r="E18" s="15" t="s">
        <v>27</v>
      </c>
      <c r="G18" s="15" t="s">
        <v>114</v>
      </c>
      <c r="I18" s="15" t="s">
        <v>28</v>
      </c>
      <c r="K18" s="15" t="s">
        <v>29</v>
      </c>
      <c r="M18" s="15" t="s">
        <v>30</v>
      </c>
      <c r="Q18" s="15" t="s">
        <v>32</v>
      </c>
      <c r="S18" s="15" t="s">
        <v>33</v>
      </c>
      <c r="U18" s="15" t="s">
        <v>96</v>
      </c>
      <c r="W18" s="15" t="s">
        <v>34</v>
      </c>
      <c r="Y18" s="15" t="s">
        <v>35</v>
      </c>
      <c r="AC18" s="15" t="s">
        <v>37</v>
      </c>
      <c r="AE18" s="15" t="s">
        <v>38</v>
      </c>
    </row>
    <row r="19" spans="1:44" ht="11.25" customHeight="1" x14ac:dyDescent="0.3">
      <c r="M19" s="15" t="s">
        <v>16</v>
      </c>
      <c r="Y19" s="15" t="s">
        <v>16</v>
      </c>
      <c r="AC19" s="15" t="s">
        <v>16</v>
      </c>
      <c r="AE19" s="15" t="s">
        <v>16</v>
      </c>
      <c r="AI19" s="15" t="s">
        <v>1</v>
      </c>
      <c r="AK19" s="15" t="s">
        <v>1</v>
      </c>
    </row>
    <row r="21" spans="1:44" ht="11.25" customHeight="1" x14ac:dyDescent="0.3">
      <c r="A21" s="15" t="s">
        <v>7</v>
      </c>
      <c r="B21" s="15" t="s">
        <v>8</v>
      </c>
    </row>
    <row r="23" spans="1:44" ht="11.25" customHeight="1" x14ac:dyDescent="0.3">
      <c r="A23" s="12" t="s">
        <v>4</v>
      </c>
    </row>
    <row r="24" spans="1:44" ht="11.25" customHeight="1" x14ac:dyDescent="0.3">
      <c r="A24" s="15" t="s">
        <v>86</v>
      </c>
      <c r="B24" s="15" t="s">
        <v>80</v>
      </c>
    </row>
    <row r="25" spans="1:44" ht="11.25" customHeight="1" x14ac:dyDescent="0.3">
      <c r="A25" s="15" t="s">
        <v>78</v>
      </c>
      <c r="B25" s="15" t="s">
        <v>25</v>
      </c>
    </row>
    <row r="26" spans="1:44" ht="11.25" customHeight="1" x14ac:dyDescent="0.3">
      <c r="A26" s="13"/>
      <c r="B26" s="13"/>
    </row>
    <row r="27" spans="1:44" ht="11.25" customHeight="1" x14ac:dyDescent="0.3">
      <c r="A27" s="14"/>
      <c r="B27" s="14"/>
    </row>
    <row r="28" spans="1:44" ht="11.25" customHeight="1" x14ac:dyDescent="0.3">
      <c r="A28" s="14"/>
      <c r="B28" s="14"/>
      <c r="C28" s="15" t="s">
        <v>0</v>
      </c>
      <c r="O28" s="15" t="s">
        <v>43</v>
      </c>
      <c r="AA28" s="15" t="s">
        <v>48</v>
      </c>
    </row>
    <row r="29" spans="1:44" ht="11.25" customHeight="1" x14ac:dyDescent="0.3">
      <c r="AO29" s="15" t="s">
        <v>16</v>
      </c>
      <c r="AQ29" s="15" t="s">
        <v>16</v>
      </c>
      <c r="AR29" s="15" t="s">
        <v>16</v>
      </c>
    </row>
    <row r="30" spans="1:44" ht="11.25" customHeight="1" x14ac:dyDescent="0.3">
      <c r="E30" s="14" t="s">
        <v>39</v>
      </c>
      <c r="G30" s="14" t="s">
        <v>115</v>
      </c>
      <c r="I30" s="13" t="s">
        <v>40</v>
      </c>
      <c r="K30" s="16" t="s">
        <v>41</v>
      </c>
      <c r="M30" s="14" t="s">
        <v>42</v>
      </c>
      <c r="O30" s="14"/>
      <c r="Q30" s="15" t="s">
        <v>44</v>
      </c>
      <c r="S30" s="14" t="s">
        <v>45</v>
      </c>
      <c r="U30" s="15" t="s">
        <v>97</v>
      </c>
      <c r="W30" s="13" t="s">
        <v>46</v>
      </c>
      <c r="Y30" s="15" t="s">
        <v>47</v>
      </c>
      <c r="AA30" s="14"/>
      <c r="AC30" s="13" t="s">
        <v>49</v>
      </c>
      <c r="AE30" s="14" t="s">
        <v>50</v>
      </c>
      <c r="AG30" s="14"/>
      <c r="AI30" s="14"/>
      <c r="AK30" s="14"/>
      <c r="AO30" s="14"/>
      <c r="AQ30" s="14"/>
    </row>
    <row r="31" spans="1:44" ht="11.25" customHeight="1" x14ac:dyDescent="0.3">
      <c r="K31" s="16"/>
      <c r="M31" s="15" t="s">
        <v>16</v>
      </c>
      <c r="AI31" s="15" t="s">
        <v>1</v>
      </c>
      <c r="AK31" s="15" t="s">
        <v>1</v>
      </c>
    </row>
    <row r="33" spans="1:44" ht="11.25" customHeight="1" x14ac:dyDescent="0.3">
      <c r="A33" s="15" t="s">
        <v>9</v>
      </c>
      <c r="B33" s="15" t="s">
        <v>10</v>
      </c>
    </row>
    <row r="35" spans="1:44" ht="11.25" customHeight="1" x14ac:dyDescent="0.3">
      <c r="A35" s="12" t="s">
        <v>5</v>
      </c>
    </row>
    <row r="36" spans="1:44" ht="11.25" customHeight="1" x14ac:dyDescent="0.3">
      <c r="A36" s="15" t="s">
        <v>81</v>
      </c>
      <c r="B36" s="15" t="s">
        <v>82</v>
      </c>
    </row>
    <row r="37" spans="1:44" ht="11.25" customHeight="1" x14ac:dyDescent="0.3">
      <c r="A37" s="15" t="s">
        <v>26</v>
      </c>
      <c r="B37" s="15" t="s">
        <v>26</v>
      </c>
    </row>
    <row r="38" spans="1:44" ht="11.25" customHeight="1" x14ac:dyDescent="0.3">
      <c r="A38" s="13"/>
      <c r="B38" s="13"/>
    </row>
    <row r="39" spans="1:44" ht="11.25" customHeight="1" x14ac:dyDescent="0.3">
      <c r="A39" s="14"/>
      <c r="B39" s="14"/>
    </row>
    <row r="40" spans="1:44" ht="11.25" customHeight="1" x14ac:dyDescent="0.3">
      <c r="A40" s="14"/>
      <c r="B40" s="14"/>
      <c r="C40" s="15" t="s">
        <v>11</v>
      </c>
      <c r="O40" s="15" t="s">
        <v>52</v>
      </c>
      <c r="AA40" s="15" t="s">
        <v>54</v>
      </c>
    </row>
    <row r="41" spans="1:44" ht="11.25" customHeight="1" x14ac:dyDescent="0.3">
      <c r="AO41" s="15" t="s">
        <v>16</v>
      </c>
      <c r="AQ41" s="15" t="s">
        <v>16</v>
      </c>
      <c r="AR41" s="15" t="s">
        <v>16</v>
      </c>
    </row>
    <row r="42" spans="1:44" ht="11.25" customHeight="1" x14ac:dyDescent="0.3">
      <c r="E42" s="14" t="s">
        <v>53</v>
      </c>
      <c r="G42" s="13" t="s">
        <v>116</v>
      </c>
      <c r="I42" s="13" t="s">
        <v>55</v>
      </c>
      <c r="K42" s="14" t="s">
        <v>56</v>
      </c>
      <c r="M42" s="14" t="s">
        <v>51</v>
      </c>
      <c r="O42" s="14"/>
      <c r="Q42" s="15" t="s">
        <v>57</v>
      </c>
      <c r="S42" s="15" t="s">
        <v>58</v>
      </c>
      <c r="U42" s="15" t="s">
        <v>113</v>
      </c>
      <c r="W42" s="13" t="s">
        <v>59</v>
      </c>
      <c r="Y42" t="s">
        <v>60</v>
      </c>
      <c r="AA42" s="15"/>
      <c r="AC42" s="13" t="s">
        <v>61</v>
      </c>
      <c r="AE42" s="14" t="s">
        <v>62</v>
      </c>
      <c r="AG42" s="14"/>
      <c r="AI42" s="15"/>
      <c r="AK42" s="15"/>
      <c r="AO42" s="14"/>
      <c r="AQ42" s="14"/>
    </row>
    <row r="43" spans="1:44" ht="11.25" customHeight="1" x14ac:dyDescent="0.3">
      <c r="M43" s="15" t="s">
        <v>16</v>
      </c>
      <c r="AI43" s="15" t="s">
        <v>1</v>
      </c>
      <c r="AK43" s="15" t="s">
        <v>1</v>
      </c>
    </row>
    <row r="45" spans="1:44" ht="11.25" customHeight="1" x14ac:dyDescent="0.3">
      <c r="A45" s="15" t="s">
        <v>12</v>
      </c>
      <c r="B45" s="15" t="s">
        <v>10</v>
      </c>
    </row>
    <row r="47" spans="1:44" ht="11.25" customHeight="1" x14ac:dyDescent="0.3">
      <c r="A47" s="12" t="s">
        <v>6</v>
      </c>
    </row>
    <row r="48" spans="1:44" ht="11.25" customHeight="1" x14ac:dyDescent="0.3">
      <c r="A48" s="15" t="s">
        <v>83</v>
      </c>
      <c r="B48" s="15" t="s">
        <v>84</v>
      </c>
    </row>
    <row r="49" spans="1:44" ht="11.25" customHeight="1" x14ac:dyDescent="0.3">
      <c r="A49" s="15" t="s">
        <v>13</v>
      </c>
      <c r="B49" s="15" t="s">
        <v>13</v>
      </c>
    </row>
    <row r="50" spans="1:44" ht="11.25" customHeight="1" x14ac:dyDescent="0.3">
      <c r="A50" s="13"/>
      <c r="B50" s="13"/>
    </row>
    <row r="51" spans="1:44" ht="11.25" customHeight="1" x14ac:dyDescent="0.3">
      <c r="A51" s="14"/>
      <c r="B51" s="14"/>
    </row>
    <row r="52" spans="1:44" ht="11.25" customHeight="1" x14ac:dyDescent="0.3">
      <c r="A52" s="14"/>
      <c r="B52" s="14"/>
      <c r="C52" s="15" t="s">
        <v>63</v>
      </c>
      <c r="O52" s="15" t="s">
        <v>68</v>
      </c>
      <c r="AA52" s="15" t="s">
        <v>73</v>
      </c>
    </row>
    <row r="53" spans="1:44" ht="11.25" customHeight="1" x14ac:dyDescent="0.3">
      <c r="AO53" s="15" t="s">
        <v>16</v>
      </c>
      <c r="AQ53" s="15" t="s">
        <v>16</v>
      </c>
      <c r="AR53" s="15" t="s">
        <v>16</v>
      </c>
    </row>
    <row r="54" spans="1:44" ht="11.25" customHeight="1" x14ac:dyDescent="0.3">
      <c r="E54" s="14" t="s">
        <v>64</v>
      </c>
      <c r="G54" s="14" t="s">
        <v>117</v>
      </c>
      <c r="I54" s="13" t="s">
        <v>66</v>
      </c>
      <c r="K54" s="14" t="s">
        <v>67</v>
      </c>
      <c r="M54" s="14" t="s">
        <v>65</v>
      </c>
      <c r="O54" s="14"/>
      <c r="Q54" s="14" t="s">
        <v>69</v>
      </c>
      <c r="S54" s="14" t="s">
        <v>70</v>
      </c>
      <c r="U54" s="15" t="s">
        <v>98</v>
      </c>
      <c r="W54" s="14" t="s">
        <v>71</v>
      </c>
      <c r="Y54" s="13" t="s">
        <v>72</v>
      </c>
      <c r="AA54" s="14"/>
      <c r="AC54" s="14" t="s">
        <v>74</v>
      </c>
      <c r="AE54" s="13" t="s">
        <v>75</v>
      </c>
      <c r="AG54" s="14"/>
      <c r="AI54" s="15"/>
      <c r="AK54" s="15"/>
      <c r="AO54" s="14"/>
      <c r="AQ54" s="14"/>
    </row>
    <row r="55" spans="1:44" ht="11.25" customHeight="1" x14ac:dyDescent="0.3">
      <c r="M55" s="15" t="s">
        <v>16</v>
      </c>
      <c r="AI55" s="15" t="s">
        <v>1</v>
      </c>
      <c r="AK55" s="15" t="s">
        <v>1</v>
      </c>
    </row>
    <row r="57" spans="1:44" ht="11.25" customHeight="1" x14ac:dyDescent="0.3">
      <c r="A57" s="15" t="s">
        <v>14</v>
      </c>
      <c r="B57" s="15" t="s">
        <v>15</v>
      </c>
    </row>
  </sheetData>
  <pageMargins left="0.78740157499999996" right="0.78740157499999996" top="0.984251969" bottom="0.984251969" header="0.4921259845" footer="0.4921259845"/>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4</vt:i4>
      </vt:variant>
    </vt:vector>
  </HeadingPairs>
  <TitlesOfParts>
    <vt:vector size="4" baseType="lpstr">
      <vt:lpstr>swiss_qna</vt:lpstr>
      <vt:lpstr>nom_q</vt:lpstr>
      <vt:lpstr>nom_y</vt:lpstr>
      <vt:lpstr>Feuil1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Schweiz, BIP, Bruttoinlandprodukt, Bruttoinlandsprodukt, Volkswirtschaft, Wirtschaft, Wachstum, Konjunktur, Aufschwung, Einkommensseite, Bruttonationaleinkommen, Arbeitsnehmerentgelte, Einkommen, Betriebsüberschuss, Nettobetriebsüberschuss, Abschreibungen, Abgaben, Subventionen, Vermögenseinkommen, Bruttoeinkommen, Transfers, Abschwung, Rezession, Boom, volkswirtschaftliche Gesamtrechnung, VGR, Quartalsschätzung, Wirtschaftswachstum, SECO, Ökonomie, Wirtschaftskennzahlen, Svizzera, PIL, prodotto interno lordo, economia nazionale, economia, crescita, congiuntura, ripresa, lato del reddito, reddito da lavoro dipendente, risultato di gestione netto, ammortamenti, imposte, sovvenzioni, reddito nazionale lordo, redditi da capitale, reddito disponibile lordo, trasferimenti correnti, recessione, boom, contabilità nazionale, conti trimestrali, stime trimestrali, crescita economica, SECO, economia, dati economici, Suisse, PIB, croissance, économie nationale, économie, conjoncture, rémunération des salariés, excédent net, impôts, subventions, revenu national brut, revenus de la propriété, transferts courants, approche par les revenus, Switzerland, GDP, gross domestic product, national economy, economy, growth, economic cycle, upswing, income approach, compensation of employees, net operating surplus, consumption of fixed capital, taxes, subsidies, property income, current transfers</dc:title>
  <dc:subject>Schweiz, BIP, Bruttoinlandprodukt, Bruttoinlandsprodukt, Volkswirtschaft, Wirtschaft, Wachstum, Konjunktur, Aufschwung, Einkommensseite, Bruttonationaleinkommen, Arbeitsnehmerentgelte, Einkommen, Betriebsüberschuss, Nettobetriebsüberschuss, Abschreibungen, Abgaben, Subventionen, Vermögenseinkommen, Bruttoeinkommen, Transfers, Abschwung, Rezession, Boom, volkswirtschaftliche Gesamtrechnung, VGR, Quartalsschätzung, Wirtschaftswachstum, SECO, Ökonomie, Wirtschaftskennzahlen, Svizzera, PIL, prodotto interno lordo, economia nazionale, economia, crescita, congiuntura, ripresa, lato del reddito, reddito da lavoro dipendente, risultato di gestione netto, ammortamenti, imposte, sovvenzioni, reddito nazionale lordo, redditi da capitale, reddito disponibile lordo, trasferimenti correnti, recessione, boom, contabilità nazionale, conti trimestrali, stime trimestrali, crescita economica, SECO, economia, dati economici, Suisse, PIB, croissance, économie nationale, économie, conjoncture, rémunération des salariés, excédent net, impôts, subventions, revenu national brut, revenus de la propriété, transferts courants, approche par les revenus, Switzerland, GDP, gross domestic product, national economy, economy, growth, economic cycle, upswing, income approach, compensation of employees, net operating surplus, consumption of fixed capital, taxes, subsidies, property income, current transfers</dc:subject>
  <dc:creator>SECO</dc:creator>
  <cp:keywords>Schweiz, BIP, Bruttoinlandprodukt, Bruttoinlandsprodukt, Volkswirtschaft, Wirtschaft, Wachstum, Konjunktur, Aufschwung, Einkommensseite, Bruttonationaleinkommen, Arbeitsnehmerentgelte, Einkommen, Betriebsüberschuss, Nettobetriebsüberschuss, Abschreibungen, Abgaben, Subventionen, Vermögenseinkommen, Bruttoeinkommen, Transfers, Abschwung, Rezession, Boom, volkswirtschaftliche Gesamtrechnung, VGR, Quartalsschätzung, Wirtschaftswachstum, SECO, Ökonomie, Wirtschaftskennzahlen, Svizzera, PIL, prodotto interno lordo, economia nazionale, economia, crescita, congiuntura, ripresa, lato del reddito, reddito da lavoro dipendente, risultato di gestione netto, ammortamenti, imposte, sovvenzioni, reddito nazionale lordo, redditi da capitale, reddito disponibile lordo, trasferimenti correnti, recessione, boom, contabilità nazionale, conti trimestrali, stime trimestrali, crescita economica, SECO, economia, dati economici, Suisse, PIB, croissance, économie nationale, économie, conjoncture, rémunération des salariés, excédent net, impôts, subventions, revenu national brut, revenus de la propriété, transferts courants, approche par les revenus, Switzerland, GDP, gross domestic product, national economy, economy, growth, economic cycle, upswing, income approach, compensation of employees, net operating surplus, consumption of fixed capital, taxes, subsidies, property income, current transfers</cp:keywords>
  <dc:description>Schweiz, BIP, Bruttoinlandprodukt, Bruttoinlandsprodukt, Volkswirtschaft, Wirtschaft, Wachstum, Konjunktur, Aufschwung, Einkommensseite, Bruttonationaleinkommen, Arbeitsnehmerentgelte, Einkommen, Betriebsüberschuss, Nettobetriebsüberschuss, Abschreibungen, Abgaben, Subventionen, Vermögenseinkommen, Bruttoeinkommen, Transfers, Abschwung, Rezession, Boom, volkswirtschaftliche Gesamtrechnung, VGR, Quartalsschätzung, Wirtschaftswachstum, SECO, Ökonomie, Wirtschaftskennzahlen, Svizzera, PIL, prodotto interno lordo, economia nazionale, economia, crescita, congiuntura, ripresa, lato del reddito, reddito da lavoro dipendente, risultato di gestione netto, ammortamenti, imposte, sovvenzioni, reddito nazionale lordo, redditi da capitale, reddito disponibile lordo, trasferimenti correnti, recessione, boom, contabilità nazionale, conti trimestrali, stime trimestrali, crescita economica, SECO, economia, dati economici, Suisse, PIB, croissance, économie nationale, économie, conjoncture, rémunération des salariés, excédent net, impôts, subventions, revenu national brut, revenus de la propriété, transferts courants, approche par les revenus, Switzerland, GDP, gross domestic product, national economy, economy, growth, economic cycle, upswing, income approach, compensation of employees, net operating surplus, consumption of fixed capital, taxes, subsidies, property income, current transfers</dc:description>
  <cp:lastModifiedBy>Celâl Guney</cp:lastModifiedBy>
  <cp:lastPrinted>2006-09-05T08:16:16Z</cp:lastPrinted>
  <dcterms:created xsi:type="dcterms:W3CDTF">1998-09-01T12:26:41Z</dcterms:created>
  <dcterms:modified xsi:type="dcterms:W3CDTF">2026-03-23T19:40:36Z</dcterms:modified>
  <cp:category>Schweiz, BIP, Bruttoinlandprodukt, Bruttoinlandsprodukt, Volkswirtschaft, Wirtschaft, Wachstum, Konjunktur, Aufschwung, Einkommensseite, Bruttonationaleinkommen, Arbeitsnehmerentgelte, Einkommen, Betriebsüberschuss, Nettobetriebsüberschuss, Abschreibungen, Abgaben, Subventionen, Vermögenseinkommen, Bruttoeinkommen, Transfers, Abschwung, Rezession, Boom, volkswirtschaftliche Gesamtrechnung, VGR, Quartalsschätzung, Wirtschaftswachstum, SECO, Ökonomie, Wirtschaftskennzahlen, Svizzera, PIL, prodotto interno lordo, economia nazionale, economia, crescita, congiuntura, ripresa, lato del reddito, reddito da lavoro dipendente, risultato di gestione netto, ammortamenti, imposte, sovvenzioni, reddito nazionale lordo, redditi da capitale, reddito disponibile lordo, trasferimenti correnti, recessione, boom, contabilità nazionale, conti trimestrali, stime trimestrali, crescita economica, SECO, economia, dati economici, Suisse, PIB, croissance, économie nationale, économie, conjoncture, rémunération des salariés, excédent net, impôts, subventions, revenu national brut, revenus de la propriété, transferts courants, approche par les revenus, Switzerland, GDP, gross domestic product, national economy, economy, growth, economic cycle, upswing, income approach, compensation of employees, net operating surplus, consumption of fixed capital, taxes, subsidies, property income, current transfers</cp:category>
</cp:coreProperties>
</file>
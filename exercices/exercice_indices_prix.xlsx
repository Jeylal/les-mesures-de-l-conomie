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ney\Documents\GitHub\les-mesures-de-l-conomie\exercices\"/>
    </mc:Choice>
  </mc:AlternateContent>
  <xr:revisionPtr revIDLastSave="0" documentId="13_ncr:1_{5E6DD3D7-7662-40DE-A67E-35E963E061B9}" xr6:coauthVersionLast="47" xr6:coauthVersionMax="47" xr10:uidLastSave="{00000000-0000-0000-0000-000000000000}"/>
  <bookViews>
    <workbookView xWindow="-110" yWindow="-110" windowWidth="19420" windowHeight="11500" activeTab="1" xr2:uid="{4B094D14-38C3-40CB-84C2-D4E41A726E94}"/>
  </bookViews>
  <sheets>
    <sheet name="EXERCICE" sheetId="4" r:id="rId1"/>
    <sheet name="SOLU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E23" i="1"/>
  <c r="C23" i="1"/>
  <c r="C13" i="1"/>
  <c r="C11" i="1"/>
  <c r="C12" i="1" s="1"/>
  <c r="E10" i="1"/>
  <c r="C10" i="1"/>
  <c r="E15" i="1"/>
  <c r="G15" i="1" s="1"/>
  <c r="E11" i="1"/>
  <c r="E12" i="1" s="1"/>
  <c r="G10" i="1"/>
  <c r="G11" i="1"/>
  <c r="G12" i="1" s="1"/>
  <c r="E13" i="1"/>
  <c r="E14" i="1" s="1"/>
  <c r="G13" i="1"/>
  <c r="G14" i="1" s="1"/>
  <c r="C19" i="1"/>
  <c r="E19" i="1"/>
  <c r="G19" i="1"/>
  <c r="C20" i="1"/>
  <c r="E20" i="1"/>
  <c r="G20" i="1"/>
  <c r="G21" i="1" s="1"/>
  <c r="C22" i="1"/>
  <c r="E22" i="1"/>
  <c r="G22" i="1"/>
  <c r="C14" i="1" l="1"/>
  <c r="E21" i="1"/>
  <c r="C21" i="1"/>
</calcChain>
</file>

<file path=xl/sharedStrings.xml><?xml version="1.0" encoding="utf-8"?>
<sst xmlns="http://schemas.openxmlformats.org/spreadsheetml/2006/main" count="58" uniqueCount="22">
  <si>
    <t>Understanding national accounts (ocde), exercice 1 chapitre 2</t>
  </si>
  <si>
    <t>Period 1</t>
  </si>
  <si>
    <t>Period 2</t>
  </si>
  <si>
    <t>Period 3</t>
  </si>
  <si>
    <t>quantité</t>
  </si>
  <si>
    <t>prix</t>
  </si>
  <si>
    <t>A</t>
  </si>
  <si>
    <t>B</t>
  </si>
  <si>
    <t>C</t>
  </si>
  <si>
    <t>Indice de Laspeyres</t>
  </si>
  <si>
    <t>Comptes à prix courants</t>
  </si>
  <si>
    <t>Comptes aux quantité de la période 1</t>
  </si>
  <si>
    <t>Indice base période 1</t>
  </si>
  <si>
    <t>Comptes aux quantité de la période 2</t>
  </si>
  <si>
    <t>Indice base période 2</t>
  </si>
  <si>
    <t>Indice en chaine base periode 1</t>
  </si>
  <si>
    <t>Indice de Paasche</t>
  </si>
  <si>
    <t>Comptes aux prix de la période 1</t>
  </si>
  <si>
    <t>Comptes aux prix de la période 2</t>
  </si>
  <si>
    <r>
      <rPr>
        <b/>
        <sz val="10"/>
        <color theme="1"/>
        <rFont val="Liberation Sans"/>
        <family val="2"/>
      </rPr>
      <t xml:space="preserve">L'indice de Laspeyres </t>
    </r>
    <r>
      <rPr>
        <sz val="10"/>
        <color theme="1"/>
        <rFont val="Liberation Sans"/>
        <family val="2"/>
      </rPr>
      <t>prend la forme suivante, avec p_it et q_it les prix et quantités du bien i à la période t, avec 0 la période de base. L'indice de Laspeyres fixe les quantité à la période de base et laisse varier les prix:</t>
    </r>
  </si>
  <si>
    <r>
      <rPr>
        <b/>
        <sz val="10"/>
        <color theme="1"/>
        <rFont val="Liberation Sans"/>
        <family val="2"/>
      </rPr>
      <t>L'indice de Paache</t>
    </r>
    <r>
      <rPr>
        <sz val="10"/>
        <color theme="1"/>
        <rFont val="Liberation Sans"/>
        <family val="2"/>
      </rPr>
      <t xml:space="preserve"> fixe quant à lui les prix et fait varier les quantités:</t>
    </r>
  </si>
  <si>
    <r>
      <rPr>
        <b/>
        <sz val="10"/>
        <color theme="1"/>
        <rFont val="Liberation Sans"/>
      </rPr>
      <t>Indice Laspeyres en chaîne</t>
    </r>
    <r>
      <rPr>
        <sz val="10"/>
        <color theme="1"/>
        <rFont val="Liberation Sans"/>
        <family val="2"/>
      </rPr>
      <t xml:space="preserve">: on fixe 100 à la période de base. Pour calculer l'indice en chaîne à la période 2, on calcule l'indice de Laspeyres en remplaçant l'année de base 0 par l'année précédente, puis on "chaine" en multipliant par 100 (l' indice à l'année précédente donc période 1):
Pour calculer l'indice en chaîne à la période 3, on calcule l'indice laspeyres avec 0 = 2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</si>
</sst>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Liberation Sans"/>
      <family val="2"/>
    </font>
    <font>
      <sz val="10"/>
      <color indexed="8"/>
      <name val="Liberation Sans"/>
      <family val="2"/>
    </font>
    <font>
      <sz val="10"/>
      <color indexed="60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theme="1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b/>
      <sz val="10"/>
      <color theme="1"/>
      <name val="Liberation Sans"/>
    </font>
    <font>
      <sz val="10"/>
      <color theme="1"/>
      <name val="Liberation Sans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3" fillId="0" borderId="0"/>
    <xf numFmtId="0" fontId="4" fillId="7" borderId="0"/>
    <xf numFmtId="0" fontId="4" fillId="8" borderId="0"/>
    <xf numFmtId="0" fontId="3" fillId="2" borderId="0"/>
    <xf numFmtId="0" fontId="5" fillId="9" borderId="0"/>
    <xf numFmtId="0" fontId="1" fillId="0" borderId="0" applyNumberFormat="0" applyFont="0" applyFill="0" applyBorder="0" applyAlignment="0" applyProtection="0"/>
    <xf numFmtId="0" fontId="4" fillId="10" borderId="0"/>
    <xf numFmtId="0" fontId="6" fillId="0" borderId="0"/>
    <xf numFmtId="0" fontId="7" fillId="11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2" fillId="12" borderId="0"/>
    <xf numFmtId="0" fontId="13" fillId="12" borderId="5"/>
    <xf numFmtId="0" fontId="14" fillId="0" borderId="0"/>
    <xf numFmtId="0" fontId="12" fillId="0" borderId="0"/>
    <xf numFmtId="0" fontId="12" fillId="0" borderId="0"/>
    <xf numFmtId="0" fontId="5" fillId="0" borderId="0"/>
  </cellStyleXfs>
  <cellXfs count="24">
    <xf numFmtId="0" fontId="0" fillId="0" borderId="0" xfId="0"/>
    <xf numFmtId="0" fontId="0" fillId="3" borderId="1" xfId="0" applyFill="1" applyBorder="1" applyAlignment="1">
      <alignment horizontal="centerContinuous"/>
    </xf>
    <xf numFmtId="0" fontId="0" fillId="3" borderId="1" xfId="0" applyFill="1" applyBorder="1"/>
    <xf numFmtId="0" fontId="0" fillId="0" borderId="0" xfId="0" applyAlignment="1">
      <alignment horizontal="centerContinuous"/>
    </xf>
    <xf numFmtId="0" fontId="0" fillId="4" borderId="1" xfId="0" applyFill="1" applyBorder="1" applyAlignment="1">
      <alignment horizontal="centerContinuous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2" xfId="0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4" borderId="4" xfId="0" applyFill="1" applyBorder="1" applyAlignment="1">
      <alignment horizontal="centerContinuous"/>
    </xf>
    <xf numFmtId="0" fontId="0" fillId="0" borderId="1" xfId="0" applyBorder="1"/>
    <xf numFmtId="0" fontId="0" fillId="13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6" fillId="0" borderId="0" xfId="0" applyFont="1" applyAlignment="1">
      <alignment horizontal="center" vertical="top" wrapText="1" readingOrder="1"/>
    </xf>
    <xf numFmtId="0" fontId="0" fillId="0" borderId="0" xfId="0" applyAlignment="1">
      <alignment horizontal="center" vertical="top" wrapText="1" readingOrder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20">
    <cellStyle name="Accent" xfId="1" xr:uid="{918E2697-F530-4248-9F95-37B9209E7543}"/>
    <cellStyle name="Accent 1" xfId="2" xr:uid="{8C48C578-90CF-401C-A808-59F9802C55B2}"/>
    <cellStyle name="Accent 2" xfId="3" xr:uid="{D895478D-4B0C-4ECB-B9F3-CE009783E1C2}"/>
    <cellStyle name="Accent 3" xfId="4" xr:uid="{F35437A9-2052-477D-A66F-B6B85114F10D}"/>
    <cellStyle name="Bad" xfId="5" xr:uid="{7AEC3F95-D4B6-4DCB-AA2C-3C3C9CE4DFCD}"/>
    <cellStyle name="Default" xfId="6" xr:uid="{E7B7AEFA-246E-499D-B1EB-7BDBB1F5358D}"/>
    <cellStyle name="Error" xfId="7" xr:uid="{63CE679C-09AB-4EB4-89D8-D73FF75C996B}"/>
    <cellStyle name="Footnote" xfId="8" xr:uid="{E4ACE595-FE7E-47B5-9C92-6AB9429DA804}"/>
    <cellStyle name="Good" xfId="9" xr:uid="{86D313F0-E489-4838-AE6B-6D386265321D}"/>
    <cellStyle name="Heading" xfId="10" xr:uid="{1A0865AC-9D32-46E4-B810-643ECC35EDD7}"/>
    <cellStyle name="Heading 1" xfId="11" xr:uid="{6262C398-BBC3-4223-BCB8-846865702297}"/>
    <cellStyle name="Heading 2" xfId="12" xr:uid="{7C6C7555-3629-453A-AA62-DC93CA54C6A7}"/>
    <cellStyle name="Hyperlink" xfId="13" xr:uid="{516CC1EA-A631-4732-A5EC-B16D12048628}"/>
    <cellStyle name="Neutral" xfId="14" xr:uid="{A61BE0BA-1D14-4F45-B674-842AFA985518}"/>
    <cellStyle name="Normal" xfId="0" builtinId="0" customBuiltin="1"/>
    <cellStyle name="Note" xfId="15" builtinId="10" customBuiltin="1"/>
    <cellStyle name="Result" xfId="16" xr:uid="{02C69811-3E3E-4543-AF44-8BAB13F48F2B}"/>
    <cellStyle name="Status" xfId="17" xr:uid="{E46CFF4D-3311-4727-B4E4-8622538743F6}"/>
    <cellStyle name="Text" xfId="18" xr:uid="{49AA7466-534B-46C7-9AC6-7B7E8F6B79A7}"/>
    <cellStyle name="Warning" xfId="19" xr:uid="{026F6EDA-8135-479D-966E-4BA894020B3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394469</xdr:colOff>
      <xdr:row>10</xdr:row>
      <xdr:rowOff>394965</xdr:rowOff>
    </xdr:from>
    <xdr:ext cx="779317" cy="470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F5D134FA-E70A-47A2-89B1-F201B3E8DC97}"/>
                </a:ext>
              </a:extLst>
            </xdr:cNvPr>
            <xdr:cNvSpPr txBox="1"/>
          </xdr:nvSpPr>
          <xdr:spPr>
            <a:xfrm>
              <a:off x="9420994" y="2315840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F5D134FA-E70A-47A2-89B1-F201B3E8DC97}"/>
                </a:ext>
              </a:extLst>
            </xdr:cNvPr>
            <xdr:cNvSpPr txBox="1"/>
          </xdr:nvSpPr>
          <xdr:spPr>
            <a:xfrm>
              <a:off x="9420994" y="2315840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fr-CH" sz="1100" i="0">
                  <a:latin typeface="Cambria Math" panose="02040503050406030204" pitchFamily="18" charset="0"/>
                </a:rPr>
                <a:t>(∑</a:t>
              </a:r>
              <a:r>
                <a:rPr lang="fr-CH" sz="1100" b="0" i="0">
                  <a:latin typeface="Cambria Math" panose="02040503050406030204" pitchFamily="18" charset="0"/>
                </a:rPr>
                <a:t>_(𝑖=1)^𝑘▒〖𝑝_𝑖𝑡 𝑞_𝑖0 〗)/(∑_(𝑖=1)^𝑘▒〖𝑝_𝑖0 𝑞_𝑖0 〗)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9</xdr:col>
      <xdr:colOff>1024660</xdr:colOff>
      <xdr:row>20</xdr:row>
      <xdr:rowOff>153939</xdr:rowOff>
    </xdr:from>
    <xdr:ext cx="779317" cy="470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0B592573-BE09-43CA-8746-9E116B4E9CA1}"/>
                </a:ext>
              </a:extLst>
            </xdr:cNvPr>
            <xdr:cNvSpPr txBox="1"/>
          </xdr:nvSpPr>
          <xdr:spPr>
            <a:xfrm>
              <a:off x="10051185" y="4630689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0B592573-BE09-43CA-8746-9E116B4E9CA1}"/>
                </a:ext>
              </a:extLst>
            </xdr:cNvPr>
            <xdr:cNvSpPr txBox="1"/>
          </xdr:nvSpPr>
          <xdr:spPr>
            <a:xfrm>
              <a:off x="10051185" y="4630689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fr-CH" sz="1100" i="0">
                  <a:latin typeface="Cambria Math" panose="02040503050406030204" pitchFamily="18" charset="0"/>
                </a:rPr>
                <a:t>(∑</a:t>
              </a:r>
              <a:r>
                <a:rPr lang="fr-CH" sz="1100" b="0" i="0">
                  <a:latin typeface="Cambria Math" panose="02040503050406030204" pitchFamily="18" charset="0"/>
                </a:rPr>
                <a:t>_(𝑖=1)^𝑘▒〖𝑝_𝑖𝑡 𝑞_𝑖𝑡 〗)/(∑_(𝑖=1)^𝑘▒〖𝑝_0𝑡 𝑞_𝑖𝑡 〗)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10</xdr:col>
      <xdr:colOff>1426893</xdr:colOff>
      <xdr:row>10</xdr:row>
      <xdr:rowOff>231385</xdr:rowOff>
    </xdr:from>
    <xdr:ext cx="3116532" cy="4187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DA99BB6E-AF08-465C-88D2-D7F8B7F55F52}"/>
                </a:ext>
              </a:extLst>
            </xdr:cNvPr>
            <xdr:cNvSpPr txBox="1"/>
          </xdr:nvSpPr>
          <xdr:spPr>
            <a:xfrm>
              <a:off x="13085493" y="2155435"/>
              <a:ext cx="3116532" cy="418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fr-CH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fr-CH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400" b="0" i="1"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fr-CH" sz="1400" b="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fr-CH" sz="14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4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=2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4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=1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fr-CH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400" b="0" i="1"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fr-CH" sz="1400" b="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fr-CH" sz="14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4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=1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4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400" b="0" i="1">
                                  <a:latin typeface="Cambria Math" panose="02040503050406030204" pitchFamily="18" charset="0"/>
                                </a:rPr>
                                <m:t>=1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fr-CH" sz="1400"/>
                <a:t> *100 = IC(L)_2/1</a:t>
              </a:r>
              <a:endParaRPr lang="LID4096" sz="14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DA99BB6E-AF08-465C-88D2-D7F8B7F55F52}"/>
                </a:ext>
              </a:extLst>
            </xdr:cNvPr>
            <xdr:cNvSpPr txBox="1"/>
          </xdr:nvSpPr>
          <xdr:spPr>
            <a:xfrm>
              <a:off x="13085493" y="2155435"/>
              <a:ext cx="3116532" cy="418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CH" sz="1400" i="0">
                  <a:latin typeface="Cambria Math" panose="02040503050406030204" pitchFamily="18" charset="0"/>
                </a:rPr>
                <a:t>(∑</a:t>
              </a:r>
              <a:r>
                <a:rPr lang="fr-CH" sz="1400" b="0" i="0">
                  <a:latin typeface="Cambria Math" panose="02040503050406030204" pitchFamily="18" charset="0"/>
                </a:rPr>
                <a:t>_(𝑖=1)^𝑘▒〖𝑝_(𝑖𝑡=2) 𝑞_(𝑖𝑡=1) 〗)/(∑_(𝑖=1)^𝑘▒〖𝑝_(𝑖𝑡=1) 𝑞_(𝑖𝑡=1) 〗)</a:t>
              </a:r>
              <a:r>
                <a:rPr lang="fr-CH" sz="1400"/>
                <a:t> *100 = IC(L)_2/1</a:t>
              </a:r>
              <a:endParaRPr lang="LID4096" sz="1400"/>
            </a:p>
          </xdr:txBody>
        </xdr:sp>
      </mc:Fallback>
    </mc:AlternateContent>
    <xdr:clientData/>
  </xdr:oneCellAnchor>
  <xdr:oneCellAnchor>
    <xdr:from>
      <xdr:col>10</xdr:col>
      <xdr:colOff>1097201</xdr:colOff>
      <xdr:row>12</xdr:row>
      <xdr:rowOff>88488</xdr:rowOff>
    </xdr:from>
    <xdr:ext cx="3011249" cy="7497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80DDD6A5-ECD2-48BA-AFA5-17723DEA74ED}"/>
                </a:ext>
              </a:extLst>
            </xdr:cNvPr>
            <xdr:cNvSpPr txBox="1"/>
          </xdr:nvSpPr>
          <xdr:spPr>
            <a:xfrm>
              <a:off x="12755801" y="3031713"/>
              <a:ext cx="3011249" cy="749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fr-CH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fr-CH" sz="16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600" b="0" i="1"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fr-CH" sz="1600" b="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fr-CH" sz="16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6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=3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6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=2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fr-CH" sz="16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600" b="0" i="1">
                              <a:latin typeface="Cambria Math" panose="02040503050406030204" pitchFamily="18" charset="0"/>
                            </a:rPr>
                            <m:t>𝑖</m:t>
                          </m:r>
                          <m:r>
                            <a:rPr lang="fr-CH" sz="1600" b="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fr-CH" sz="16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6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=2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6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𝑖𝑡</m:t>
                              </m:r>
                              <m:r>
                                <a:rPr lang="fr-CH" sz="1600" b="0" i="1">
                                  <a:latin typeface="Cambria Math" panose="02040503050406030204" pitchFamily="18" charset="0"/>
                                </a:rPr>
                                <m:t>=2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fr-CH" sz="1600"/>
                <a:t> *</a:t>
              </a:r>
              <a:r>
                <a:rPr lang="fr-CH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IC(L)_2/1</a:t>
              </a:r>
              <a:r>
                <a:rPr lang="fr-CH" sz="1600"/>
                <a:t> = IC(L)_3/1</a:t>
              </a:r>
              <a:endParaRPr lang="LID4096" sz="16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80DDD6A5-ECD2-48BA-AFA5-17723DEA74ED}"/>
                </a:ext>
              </a:extLst>
            </xdr:cNvPr>
            <xdr:cNvSpPr txBox="1"/>
          </xdr:nvSpPr>
          <xdr:spPr>
            <a:xfrm>
              <a:off x="12755801" y="3031713"/>
              <a:ext cx="3011249" cy="749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CH" sz="1600" i="0">
                  <a:latin typeface="Cambria Math" panose="02040503050406030204" pitchFamily="18" charset="0"/>
                </a:rPr>
                <a:t>(∑</a:t>
              </a:r>
              <a:r>
                <a:rPr lang="fr-CH" sz="1600" b="0" i="0">
                  <a:latin typeface="Cambria Math" panose="02040503050406030204" pitchFamily="18" charset="0"/>
                </a:rPr>
                <a:t>_(𝑖=1)^𝑘▒〖𝑝_(𝑖𝑡=3) 𝑞_(𝑖𝑡=2) 〗)/(∑_(𝑖=1)^𝑘▒〖𝑝_(𝑖𝑡=2) 𝑞_(𝑖𝑡=2) 〗)</a:t>
              </a:r>
              <a:r>
                <a:rPr lang="fr-CH" sz="1600"/>
                <a:t> *</a:t>
              </a:r>
              <a:r>
                <a:rPr lang="fr-CH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IC(L)_2/1</a:t>
              </a:r>
              <a:r>
                <a:rPr lang="fr-CH" sz="1600"/>
                <a:t> = IC(L)_3/1</a:t>
              </a:r>
              <a:endParaRPr lang="LID4096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52388</xdr:colOff>
      <xdr:row>9</xdr:row>
      <xdr:rowOff>52388</xdr:rowOff>
    </xdr:from>
    <xdr:to>
      <xdr:col>8</xdr:col>
      <xdr:colOff>715963</xdr:colOff>
      <xdr:row>9</xdr:row>
      <xdr:rowOff>427038</xdr:rowOff>
    </xdr:to>
    <xdr:sp macro="" textlink="">
      <xdr:nvSpPr>
        <xdr:cNvPr id="1117" name="ZoneTexte 3">
          <a:extLst>
            <a:ext uri="{FF2B5EF4-FFF2-40B4-BE49-F238E27FC236}">
              <a16:creationId xmlns:a16="http://schemas.microsoft.com/office/drawing/2014/main" id="{46224611-652F-67DE-817D-383E7F30C4AA}"/>
            </a:ext>
          </a:extLst>
        </xdr:cNvPr>
        <xdr:cNvSpPr txBox="1">
          <a:spLocks noChangeArrowheads="1"/>
        </xdr:cNvSpPr>
      </xdr:nvSpPr>
      <xdr:spPr bwMode="auto">
        <a:xfrm>
          <a:off x="8262938" y="1509713"/>
          <a:ext cx="666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612648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???p_it q_it ?</a:t>
          </a:r>
        </a:p>
      </xdr:txBody>
    </xdr:sp>
    <xdr:clientData/>
  </xdr:twoCellAnchor>
  <xdr:twoCellAnchor editAs="oneCell">
    <xdr:from>
      <xdr:col>8</xdr:col>
      <xdr:colOff>85725</xdr:colOff>
      <xdr:row>10</xdr:row>
      <xdr:rowOff>33338</xdr:rowOff>
    </xdr:from>
    <xdr:to>
      <xdr:col>8</xdr:col>
      <xdr:colOff>749300</xdr:colOff>
      <xdr:row>10</xdr:row>
      <xdr:rowOff>400050</xdr:rowOff>
    </xdr:to>
    <xdr:sp macro="" textlink="">
      <xdr:nvSpPr>
        <xdr:cNvPr id="1118" name="ZoneTexte 4">
          <a:extLst>
            <a:ext uri="{FF2B5EF4-FFF2-40B4-BE49-F238E27FC236}">
              <a16:creationId xmlns:a16="http://schemas.microsoft.com/office/drawing/2014/main" id="{E874788A-A0F2-509A-6C70-46D68B21D8E6}"/>
            </a:ext>
          </a:extLst>
        </xdr:cNvPr>
        <xdr:cNvSpPr txBox="1">
          <a:spLocks noChangeArrowheads="1"/>
        </xdr:cNvSpPr>
      </xdr:nvSpPr>
      <xdr:spPr bwMode="auto">
        <a:xfrm>
          <a:off x="8296275" y="1957388"/>
          <a:ext cx="666750" cy="366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???p_it q_(it=1) ?</a:t>
          </a:r>
        </a:p>
      </xdr:txBody>
    </xdr:sp>
    <xdr:clientData/>
  </xdr:twoCellAnchor>
  <xdr:twoCellAnchor editAs="oneCell">
    <xdr:from>
      <xdr:col>7</xdr:col>
      <xdr:colOff>771525</xdr:colOff>
      <xdr:row>11</xdr:row>
      <xdr:rowOff>133350</xdr:rowOff>
    </xdr:from>
    <xdr:to>
      <xdr:col>8</xdr:col>
      <xdr:colOff>901700</xdr:colOff>
      <xdr:row>12</xdr:row>
      <xdr:rowOff>30163</xdr:rowOff>
    </xdr:to>
    <xdr:sp macro="" textlink="">
      <xdr:nvSpPr>
        <xdr:cNvPr id="1119" name="ZoneTexte 5">
          <a:extLst>
            <a:ext uri="{FF2B5EF4-FFF2-40B4-BE49-F238E27FC236}">
              <a16:creationId xmlns:a16="http://schemas.microsoft.com/office/drawing/2014/main" id="{80FE834D-64EA-EB08-A48F-17EBAC16EA81}"/>
            </a:ext>
          </a:extLst>
        </xdr:cNvPr>
        <xdr:cNvSpPr txBox="1">
          <a:spLocks noChangeArrowheads="1"/>
        </xdr:cNvSpPr>
      </xdr:nvSpPr>
      <xdr:spPr bwMode="auto">
        <a:xfrm>
          <a:off x="8153400" y="2495550"/>
          <a:ext cx="962025" cy="481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(???p_it q_(it=1) ?)/(</a:t>
          </a:r>
          <a:r>
            <a:rPr lang="LID4096" sz="1100" b="0" i="0" u="none" strike="noStrike" baseline="0">
              <a:solidFill>
                <a:srgbClr val="000000"/>
              </a:solidFill>
              <a:latin typeface="Aptos Narrow"/>
              <a:ea typeface="Cambria Math"/>
            </a:rPr>
            <a:t>??</a:t>
          </a:r>
          <a:r>
            <a:rPr lang="LID4096" sz="1100" b="0" i="0" u="none" strike="noStrike" baseline="0">
              <a:solidFill>
                <a:srgbClr val="000000"/>
              </a:solidFill>
              <a:latin typeface="Liberation Sans"/>
              <a:ea typeface="Liberation Sans"/>
              <a:cs typeface="Liberation Sans"/>
            </a:rPr>
            <a:t>?</a:t>
          </a:r>
          <a:r>
            <a:rPr lang="LID4096" sz="1100" b="0" i="0" u="none" strike="noStrike" baseline="0">
              <a:solidFill>
                <a:srgbClr val="000000"/>
              </a:solidFill>
              <a:latin typeface="Aptos Narrow"/>
              <a:ea typeface="Liberation Sans"/>
              <a:cs typeface="Liberation Sans"/>
            </a:rPr>
            <a:t>p_(it</a:t>
          </a: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  <a:cs typeface="Liberation Sans"/>
            </a:rPr>
            <a:t>=1</a:t>
          </a:r>
          <a:r>
            <a:rPr lang="LID4096" sz="1100" b="0" i="0" u="none" strike="noStrike" baseline="0">
              <a:solidFill>
                <a:srgbClr val="000000"/>
              </a:solidFill>
              <a:latin typeface="Aptos Narrow"/>
              <a:ea typeface="Cambria Math"/>
              <a:cs typeface="Liberation Sans"/>
            </a:rPr>
            <a:t>) q_(it=1) </a:t>
          </a:r>
          <a:r>
            <a:rPr lang="LID4096" sz="1100" b="0" i="0" u="none" strike="noStrike" baseline="0">
              <a:solidFill>
                <a:srgbClr val="000000"/>
              </a:solidFill>
              <a:latin typeface="Liberation Sans"/>
              <a:ea typeface="Liberation Sans"/>
              <a:cs typeface="Liberation Sans"/>
            </a:rPr>
            <a:t>?</a:t>
          </a: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  <a:cs typeface="Liberation Sans"/>
            </a:rPr>
            <a:t>)</a:t>
          </a:r>
          <a:endParaRPr lang="LID4096" sz="1100" b="0" i="0" u="none" strike="noStrike" baseline="0">
            <a:solidFill>
              <a:srgbClr val="000000"/>
            </a:solidFill>
            <a:latin typeface="Cambria Math"/>
            <a:ea typeface="Cambria Math"/>
          </a:endParaRPr>
        </a:p>
      </xdr:txBody>
    </xdr:sp>
    <xdr:clientData/>
  </xdr:twoCellAnchor>
  <xdr:twoCellAnchor editAs="oneCell">
    <xdr:from>
      <xdr:col>8</xdr:col>
      <xdr:colOff>52388</xdr:colOff>
      <xdr:row>18</xdr:row>
      <xdr:rowOff>52388</xdr:rowOff>
    </xdr:from>
    <xdr:to>
      <xdr:col>8</xdr:col>
      <xdr:colOff>723900</xdr:colOff>
      <xdr:row>19</xdr:row>
      <xdr:rowOff>11113</xdr:rowOff>
    </xdr:to>
    <xdr:sp macro="" textlink="">
      <xdr:nvSpPr>
        <xdr:cNvPr id="1120" name="ZoneTexte 10">
          <a:extLst>
            <a:ext uri="{FF2B5EF4-FFF2-40B4-BE49-F238E27FC236}">
              <a16:creationId xmlns:a16="http://schemas.microsoft.com/office/drawing/2014/main" id="{F4CC6828-203D-0E6D-84B1-9C1144E4F8A6}"/>
            </a:ext>
          </a:extLst>
        </xdr:cNvPr>
        <xdr:cNvSpPr txBox="1">
          <a:spLocks noChangeArrowheads="1"/>
        </xdr:cNvSpPr>
      </xdr:nvSpPr>
      <xdr:spPr bwMode="auto">
        <a:xfrm>
          <a:off x="8262938" y="4129088"/>
          <a:ext cx="67151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???p_it q_it ?</a:t>
          </a:r>
        </a:p>
      </xdr:txBody>
    </xdr:sp>
    <xdr:clientData/>
  </xdr:twoCellAnchor>
  <xdr:twoCellAnchor editAs="oneCell">
    <xdr:from>
      <xdr:col>8</xdr:col>
      <xdr:colOff>90488</xdr:colOff>
      <xdr:row>19</xdr:row>
      <xdr:rowOff>0</xdr:rowOff>
    </xdr:from>
    <xdr:to>
      <xdr:col>8</xdr:col>
      <xdr:colOff>754063</xdr:colOff>
      <xdr:row>20</xdr:row>
      <xdr:rowOff>-1</xdr:rowOff>
    </xdr:to>
    <xdr:sp macro="" textlink="">
      <xdr:nvSpPr>
        <xdr:cNvPr id="1121" name="ZoneTexte 11">
          <a:extLst>
            <a:ext uri="{FF2B5EF4-FFF2-40B4-BE49-F238E27FC236}">
              <a16:creationId xmlns:a16="http://schemas.microsoft.com/office/drawing/2014/main" id="{33D4DCDC-3818-E04B-8F5C-1319775D9FA2}"/>
            </a:ext>
          </a:extLst>
        </xdr:cNvPr>
        <xdr:cNvSpPr txBox="1">
          <a:spLocks noChangeArrowheads="1"/>
        </xdr:cNvSpPr>
      </xdr:nvSpPr>
      <xdr:spPr bwMode="auto">
        <a:xfrm>
          <a:off x="8301038" y="4476750"/>
          <a:ext cx="666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93776" rIns="0" bIns="0" anchor="t" upright="1"/>
        <a:lstStyle/>
        <a:p>
          <a:pPr algn="l" rtl="0">
            <a:defRPr sz="1000"/>
          </a:pPr>
          <a:r>
            <a:rPr lang="LID4096" sz="11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???p_(it=1) q_it ?</a:t>
          </a:r>
        </a:p>
      </xdr:txBody>
    </xdr:sp>
    <xdr:clientData/>
  </xdr:twoCellAnchor>
  <xdr:oneCellAnchor>
    <xdr:from>
      <xdr:col>9</xdr:col>
      <xdr:colOff>394469</xdr:colOff>
      <xdr:row>10</xdr:row>
      <xdr:rowOff>394965</xdr:rowOff>
    </xdr:from>
    <xdr:ext cx="779317" cy="470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8C8C82ED-42AE-8510-0D3E-8E52F79A3F9F}"/>
                </a:ext>
              </a:extLst>
            </xdr:cNvPr>
            <xdr:cNvSpPr txBox="1"/>
          </xdr:nvSpPr>
          <xdr:spPr>
            <a:xfrm>
              <a:off x="9630833" y="2333640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8C8C82ED-42AE-8510-0D3E-8E52F79A3F9F}"/>
                </a:ext>
              </a:extLst>
            </xdr:cNvPr>
            <xdr:cNvSpPr txBox="1"/>
          </xdr:nvSpPr>
          <xdr:spPr>
            <a:xfrm>
              <a:off x="9630833" y="2333640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fr-CH" sz="1100" i="0">
                  <a:latin typeface="Cambria Math" panose="02040503050406030204" pitchFamily="18" charset="0"/>
                </a:rPr>
                <a:t>(∑</a:t>
              </a:r>
              <a:r>
                <a:rPr lang="fr-CH" sz="1100" b="0" i="0">
                  <a:latin typeface="Cambria Math" panose="02040503050406030204" pitchFamily="18" charset="0"/>
                </a:rPr>
                <a:t>_(𝑖=1)^𝑘▒〖𝑝_𝑖𝑡 𝑞_𝑖0 〗)/(∑_(𝑖=1)^𝑘▒〖𝑝_𝑖0 𝑞_𝑖0 〗)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9</xdr:col>
      <xdr:colOff>1024660</xdr:colOff>
      <xdr:row>19</xdr:row>
      <xdr:rowOff>153939</xdr:rowOff>
    </xdr:from>
    <xdr:ext cx="779317" cy="470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64D2D9E8-180D-45EE-8620-C976C6405980}"/>
                </a:ext>
              </a:extLst>
            </xdr:cNvPr>
            <xdr:cNvSpPr txBox="1"/>
          </xdr:nvSpPr>
          <xdr:spPr>
            <a:xfrm>
              <a:off x="10261024" y="4656666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fr-CH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</m:e>
                        </m:nary>
                      </m:num>
                      <m:den>
                        <m:nary>
                          <m:naryPr>
                            <m:chr m:val="∑"/>
                            <m:ctrlPr>
                              <a:rPr lang="fr-CH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CH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CH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fr-CH" sz="1100" b="0" i="1">
                                    <a:latin typeface="Cambria Math" panose="02040503050406030204" pitchFamily="18" charset="0"/>
                                  </a:rPr>
                                  <m:t>𝑖𝑡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LID4096" sz="11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64D2D9E8-180D-45EE-8620-C976C6405980}"/>
                </a:ext>
              </a:extLst>
            </xdr:cNvPr>
            <xdr:cNvSpPr txBox="1"/>
          </xdr:nvSpPr>
          <xdr:spPr>
            <a:xfrm>
              <a:off x="10261024" y="4656666"/>
              <a:ext cx="779317" cy="470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fr-CH" sz="1100" i="0">
                  <a:latin typeface="Cambria Math" panose="02040503050406030204" pitchFamily="18" charset="0"/>
                </a:rPr>
                <a:t>(∑</a:t>
              </a:r>
              <a:r>
                <a:rPr lang="fr-CH" sz="1100" b="0" i="0">
                  <a:latin typeface="Cambria Math" panose="02040503050406030204" pitchFamily="18" charset="0"/>
                </a:rPr>
                <a:t>_(𝑖=1)^𝑘▒〖𝑝_𝑖𝑡 𝑞_𝑖𝑡 〗)/(∑_(𝑖=1)^𝑘▒〖𝑝_0𝑡 𝑞_𝑖𝑡 〗)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10</xdr:col>
      <xdr:colOff>671949</xdr:colOff>
      <xdr:row>10</xdr:row>
      <xdr:rowOff>231385</xdr:rowOff>
    </xdr:from>
    <xdr:ext cx="3349719" cy="41877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24461BE1-27D8-483C-B7BC-72D928F159DA}"/>
                </a:ext>
              </a:extLst>
            </xdr:cNvPr>
            <xdr:cNvSpPr txBox="1"/>
          </xdr:nvSpPr>
          <xdr:spPr>
            <a:xfrm>
              <a:off x="12348893" y="2164607"/>
              <a:ext cx="3349719" cy="418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CH" sz="1100"/>
                <a:t>IC(L)_2/1 = </a:t>
              </a:r>
              <a14:m>
                <m:oMath xmlns:m="http://schemas.openxmlformats.org/officeDocument/2006/math">
                  <m:f>
                    <m:fPr>
                      <m:ctrlPr>
                        <a:rPr lang="fr-CH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fr-CH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=1</m:t>
                          </m:r>
                        </m:sub>
                        <m:sup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=2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=1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fr-CH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=1</m:t>
                          </m:r>
                        </m:sub>
                        <m:sup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=1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=1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fr-CH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*100</a:t>
              </a:r>
              <a:endParaRPr lang="LID4096" sz="1100"/>
            </a:p>
          </xdr:txBody>
        </xdr:sp>
      </mc:Choice>
      <mc:Fallback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24461BE1-27D8-483C-B7BC-72D928F159DA}"/>
                </a:ext>
              </a:extLst>
            </xdr:cNvPr>
            <xdr:cNvSpPr txBox="1"/>
          </xdr:nvSpPr>
          <xdr:spPr>
            <a:xfrm>
              <a:off x="12348893" y="2164607"/>
              <a:ext cx="3349719" cy="418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CH" sz="1100"/>
                <a:t>IC(L)_2/1 = </a:t>
              </a:r>
              <a:r>
                <a:rPr lang="fr-CH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(∑</a:t>
              </a:r>
              <a:r>
                <a:rPr lang="fr-CH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_(𝑖=1)^𝑘▒〖𝑝_(𝑖𝑡=2) 𝑞_(𝑖𝑡=1) 〗)/(∑_(𝑖=1)^𝑘▒〖𝑝_(𝑖𝑡=1) 𝑞_(𝑖𝑡=1) 〗)</a:t>
              </a:r>
              <a:r>
                <a:rPr lang="fr-CH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*100</a:t>
              </a:r>
              <a:endParaRPr lang="LID4096" sz="1100"/>
            </a:p>
          </xdr:txBody>
        </xdr:sp>
      </mc:Fallback>
    </mc:AlternateContent>
    <xdr:clientData/>
  </xdr:oneCellAnchor>
  <xdr:oneCellAnchor>
    <xdr:from>
      <xdr:col>10</xdr:col>
      <xdr:colOff>1090851</xdr:colOff>
      <xdr:row>12</xdr:row>
      <xdr:rowOff>82138</xdr:rowOff>
    </xdr:from>
    <xdr:ext cx="2107243" cy="41877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60E44E7A-F6A6-4C9F-B8CD-BDE8AA320F92}"/>
                </a:ext>
              </a:extLst>
            </xdr:cNvPr>
            <xdr:cNvSpPr txBox="1"/>
          </xdr:nvSpPr>
          <xdr:spPr>
            <a:xfrm>
              <a:off x="12761483" y="3009822"/>
              <a:ext cx="2107243" cy="418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CH" sz="1100"/>
                <a:t>IC(L)_3/1 = </a:t>
              </a:r>
              <a14:m>
                <m:oMath xmlns:m="http://schemas.openxmlformats.org/officeDocument/2006/math">
                  <m:f>
                    <m:fPr>
                      <m:ctrlPr>
                        <a:rPr lang="fr-CH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fr-CH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=1</m:t>
                          </m:r>
                        </m:sub>
                        <m:sup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=3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=2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fr-CH" sz="110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=1</m:t>
                          </m:r>
                        </m:sub>
                        <m:sup>
                          <m:r>
                            <a:rPr lang="fr-CH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𝑘</m:t>
                          </m:r>
                        </m:sup>
                        <m:e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𝑝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=2</m:t>
                              </m:r>
                            </m:sub>
                          </m:sSub>
                          <m:sSub>
                            <m:sSubPr>
                              <m:ctrlP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𝑖𝑡</m:t>
                              </m:r>
                              <m:r>
                                <a:rPr lang="fr-CH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=2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fr-CH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*IC(L)_2/1 </a:t>
              </a:r>
              <a:endParaRPr lang="LID4096" sz="1100"/>
            </a:p>
          </xdr:txBody>
        </xdr:sp>
      </mc:Choice>
      <mc:Fallback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60E44E7A-F6A6-4C9F-B8CD-BDE8AA320F92}"/>
                </a:ext>
              </a:extLst>
            </xdr:cNvPr>
            <xdr:cNvSpPr txBox="1"/>
          </xdr:nvSpPr>
          <xdr:spPr>
            <a:xfrm>
              <a:off x="12761483" y="3009822"/>
              <a:ext cx="2107243" cy="418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CH" sz="1100"/>
                <a:t>IC(L)_3/1 = </a:t>
              </a:r>
              <a:r>
                <a:rPr lang="fr-CH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(∑</a:t>
              </a:r>
              <a:r>
                <a:rPr lang="fr-CH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_(𝑖=1)^𝑘▒〖𝑝_(𝑖𝑡=3) 𝑞_(𝑖𝑡=2) 〗)/(∑_(𝑖=1)^𝑘▒〖𝑝_(𝑖𝑡=2) 𝑞_(𝑖𝑡=2) 〗)</a:t>
              </a:r>
              <a:r>
                <a:rPr lang="fr-CH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*IC(L)_2/1 </a:t>
              </a:r>
              <a:endParaRPr lang="LID4096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09F3-E188-48AD-8947-452FE136C29B}">
  <dimension ref="A1:N23"/>
  <sheetViews>
    <sheetView topLeftCell="A8" workbookViewId="0">
      <selection activeCell="C22" sqref="C22:D22"/>
    </sheetView>
  </sheetViews>
  <sheetFormatPr baseColWidth="10" defaultRowHeight="12.5"/>
  <cols>
    <col min="1" max="1" width="11.6328125" customWidth="1"/>
    <col min="2" max="2" width="33.7265625" customWidth="1"/>
    <col min="3" max="8" width="11.6328125" customWidth="1"/>
    <col min="9" max="9" width="14.453125" customWidth="1"/>
    <col min="10" max="10" width="37.6328125" customWidth="1"/>
    <col min="11" max="11" width="33" customWidth="1"/>
  </cols>
  <sheetData>
    <row r="1" spans="1:14">
      <c r="A1" t="s">
        <v>0</v>
      </c>
    </row>
    <row r="3" spans="1:14">
      <c r="C3" s="1" t="s">
        <v>1</v>
      </c>
      <c r="D3" s="1"/>
      <c r="E3" s="1" t="s">
        <v>2</v>
      </c>
      <c r="F3" s="1"/>
      <c r="G3" s="1" t="s">
        <v>3</v>
      </c>
      <c r="H3" s="1"/>
    </row>
    <row r="4" spans="1:14">
      <c r="C4" s="2" t="s">
        <v>4</v>
      </c>
      <c r="D4" s="2" t="s">
        <v>5</v>
      </c>
      <c r="E4" s="2" t="s">
        <v>4</v>
      </c>
      <c r="F4" s="2" t="s">
        <v>5</v>
      </c>
      <c r="G4" s="2" t="s">
        <v>4</v>
      </c>
      <c r="H4" s="2" t="s">
        <v>5</v>
      </c>
    </row>
    <row r="5" spans="1:14">
      <c r="B5" s="2" t="s">
        <v>6</v>
      </c>
      <c r="C5" s="2">
        <v>20</v>
      </c>
      <c r="D5" s="2">
        <v>5</v>
      </c>
      <c r="E5" s="2">
        <v>40</v>
      </c>
      <c r="F5" s="2">
        <v>3</v>
      </c>
      <c r="G5" s="2">
        <v>60</v>
      </c>
      <c r="H5" s="2">
        <v>2</v>
      </c>
    </row>
    <row r="6" spans="1:14">
      <c r="B6" s="2" t="s">
        <v>7</v>
      </c>
      <c r="C6" s="2">
        <v>150</v>
      </c>
      <c r="D6" s="2">
        <v>0.2</v>
      </c>
      <c r="E6" s="2">
        <v>145</v>
      </c>
      <c r="F6" s="2">
        <v>0.25</v>
      </c>
      <c r="G6" s="2">
        <v>160</v>
      </c>
      <c r="H6" s="2">
        <v>0.25</v>
      </c>
    </row>
    <row r="7" spans="1:14">
      <c r="B7" s="2" t="s">
        <v>8</v>
      </c>
      <c r="C7" s="2">
        <v>12</v>
      </c>
      <c r="D7" s="2">
        <v>25</v>
      </c>
      <c r="E7" s="2">
        <v>6</v>
      </c>
      <c r="F7" s="2">
        <v>40</v>
      </c>
      <c r="G7" s="2">
        <v>5</v>
      </c>
      <c r="H7" s="2">
        <v>35</v>
      </c>
    </row>
    <row r="9" spans="1:14">
      <c r="C9" s="8" t="s">
        <v>9</v>
      </c>
      <c r="D9" s="10"/>
      <c r="E9" s="10"/>
      <c r="F9" s="10"/>
      <c r="G9" s="10"/>
      <c r="H9" s="9"/>
    </row>
    <row r="10" spans="1:14" ht="37" customHeight="1">
      <c r="B10" s="5" t="s">
        <v>10</v>
      </c>
      <c r="C10" s="13"/>
      <c r="D10" s="14"/>
      <c r="E10" s="13"/>
      <c r="F10" s="14"/>
      <c r="G10" s="13"/>
      <c r="H10" s="14"/>
      <c r="J10" s="15" t="s">
        <v>19</v>
      </c>
      <c r="K10" s="16" t="s">
        <v>21</v>
      </c>
      <c r="L10" s="17"/>
      <c r="M10" s="17"/>
      <c r="N10" s="17"/>
    </row>
    <row r="11" spans="1:14" ht="34.5" customHeight="1">
      <c r="B11" s="5" t="s">
        <v>11</v>
      </c>
      <c r="C11" s="13"/>
      <c r="D11" s="14"/>
      <c r="E11" s="13"/>
      <c r="F11" s="14"/>
      <c r="G11" s="13"/>
      <c r="H11" s="14"/>
      <c r="J11" s="15"/>
      <c r="K11" s="17"/>
      <c r="L11" s="17"/>
      <c r="M11" s="17"/>
      <c r="N11" s="17"/>
    </row>
    <row r="12" spans="1:14" ht="46" customHeight="1">
      <c r="B12" s="6" t="s">
        <v>12</v>
      </c>
      <c r="C12" s="18"/>
      <c r="D12" s="19"/>
      <c r="E12" s="18"/>
      <c r="F12" s="19"/>
      <c r="G12" s="18"/>
      <c r="H12" s="19"/>
      <c r="J12" s="15"/>
      <c r="K12" s="17"/>
      <c r="L12" s="17"/>
      <c r="M12" s="17"/>
      <c r="N12" s="17"/>
    </row>
    <row r="13" spans="1:14">
      <c r="B13" s="5" t="s">
        <v>13</v>
      </c>
      <c r="C13" s="13"/>
      <c r="D13" s="14"/>
      <c r="E13" s="13"/>
      <c r="F13" s="14"/>
      <c r="G13" s="13"/>
      <c r="H13" s="14"/>
      <c r="J13" s="3"/>
      <c r="K13" s="17"/>
      <c r="L13" s="17"/>
      <c r="M13" s="17"/>
      <c r="N13" s="17"/>
    </row>
    <row r="14" spans="1:14">
      <c r="B14" s="12" t="s">
        <v>14</v>
      </c>
      <c r="C14" s="20"/>
      <c r="D14" s="20"/>
      <c r="E14" s="20"/>
      <c r="F14" s="20"/>
      <c r="G14" s="20"/>
      <c r="H14" s="20"/>
      <c r="K14" s="17"/>
      <c r="L14" s="17"/>
      <c r="M14" s="17"/>
      <c r="N14" s="17"/>
    </row>
    <row r="15" spans="1:14">
      <c r="B15" s="11" t="s">
        <v>15</v>
      </c>
      <c r="C15" s="21"/>
      <c r="D15" s="21"/>
      <c r="E15" s="21"/>
      <c r="F15" s="21"/>
      <c r="G15" s="21"/>
      <c r="H15" s="21"/>
      <c r="K15" s="17"/>
      <c r="L15" s="17"/>
      <c r="M15" s="17"/>
      <c r="N15" s="17"/>
    </row>
    <row r="16" spans="1:14">
      <c r="C16" s="3"/>
      <c r="D16" s="3"/>
      <c r="E16" s="3"/>
      <c r="F16" s="3"/>
      <c r="G16" s="3"/>
      <c r="H16" s="3"/>
      <c r="K16" s="17"/>
      <c r="L16" s="17"/>
      <c r="M16" s="17"/>
      <c r="N16" s="17"/>
    </row>
    <row r="17" spans="2:14">
      <c r="C17" s="3"/>
      <c r="D17" s="3"/>
      <c r="E17" s="3"/>
      <c r="F17" s="3"/>
      <c r="G17" s="3"/>
      <c r="H17" s="3"/>
      <c r="K17" s="17"/>
      <c r="L17" s="17"/>
      <c r="M17" s="17"/>
      <c r="N17" s="17"/>
    </row>
    <row r="18" spans="2:14">
      <c r="C18" s="4" t="s">
        <v>16</v>
      </c>
      <c r="D18" s="4"/>
      <c r="E18" s="4"/>
      <c r="F18" s="4"/>
      <c r="G18" s="4"/>
      <c r="H18" s="4"/>
      <c r="K18" s="17"/>
      <c r="L18" s="17"/>
      <c r="M18" s="17"/>
      <c r="N18" s="17"/>
    </row>
    <row r="19" spans="2:14">
      <c r="B19" s="5" t="s">
        <v>10</v>
      </c>
      <c r="C19" s="13"/>
      <c r="D19" s="14"/>
      <c r="E19" s="13"/>
      <c r="F19" s="14"/>
      <c r="G19" s="13"/>
      <c r="H19" s="14"/>
      <c r="K19" s="17"/>
      <c r="L19" s="17"/>
      <c r="M19" s="17"/>
      <c r="N19" s="17"/>
    </row>
    <row r="20" spans="2:14" ht="31.5" customHeight="1">
      <c r="B20" s="5" t="s">
        <v>17</v>
      </c>
      <c r="C20" s="13"/>
      <c r="D20" s="14"/>
      <c r="E20" s="13"/>
      <c r="F20" s="14"/>
      <c r="G20" s="13"/>
      <c r="H20" s="14"/>
      <c r="J20" s="15" t="s">
        <v>20</v>
      </c>
    </row>
    <row r="21" spans="2:14" ht="29.5" customHeight="1">
      <c r="B21" s="6" t="s">
        <v>12</v>
      </c>
      <c r="C21" s="18"/>
      <c r="D21" s="19"/>
      <c r="E21" s="18"/>
      <c r="F21" s="19"/>
      <c r="G21" s="18"/>
      <c r="H21" s="19"/>
      <c r="J21" s="15"/>
    </row>
    <row r="22" spans="2:14" ht="45.5" customHeight="1">
      <c r="B22" s="5" t="s">
        <v>18</v>
      </c>
      <c r="C22" s="13"/>
      <c r="D22" s="14"/>
      <c r="E22" s="13"/>
      <c r="F22" s="14"/>
      <c r="G22" s="13"/>
      <c r="H22" s="14"/>
      <c r="J22" s="15"/>
    </row>
    <row r="23" spans="2:14">
      <c r="B23" s="7" t="s">
        <v>14</v>
      </c>
      <c r="C23" s="22"/>
      <c r="D23" s="23"/>
      <c r="E23" s="22"/>
      <c r="F23" s="23"/>
      <c r="G23" s="22"/>
      <c r="H23" s="23"/>
    </row>
  </sheetData>
  <mergeCells count="36">
    <mergeCell ref="C23:D23"/>
    <mergeCell ref="E23:F23"/>
    <mergeCell ref="G23:H23"/>
    <mergeCell ref="J20:J22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G14:H14"/>
    <mergeCell ref="C15:D15"/>
    <mergeCell ref="E15:F15"/>
    <mergeCell ref="G15:H15"/>
    <mergeCell ref="C19:D19"/>
    <mergeCell ref="E19:F19"/>
    <mergeCell ref="G19:H19"/>
    <mergeCell ref="C10:D10"/>
    <mergeCell ref="E10:F10"/>
    <mergeCell ref="G10:H10"/>
    <mergeCell ref="J10:J12"/>
    <mergeCell ref="K10:N19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7D87-4114-4768-9854-07DA7BBB678F}">
  <dimension ref="A1:N23"/>
  <sheetViews>
    <sheetView tabSelected="1" topLeftCell="A7" zoomScale="90" zoomScaleNormal="90" workbookViewId="0">
      <selection activeCell="G24" sqref="G24"/>
    </sheetView>
  </sheetViews>
  <sheetFormatPr baseColWidth="10" defaultRowHeight="12.5"/>
  <cols>
    <col min="1" max="1" width="11.6328125" customWidth="1"/>
    <col min="2" max="2" width="33.7265625" customWidth="1"/>
    <col min="3" max="8" width="11.6328125" customWidth="1"/>
    <col min="9" max="9" width="14.453125" customWidth="1"/>
    <col min="10" max="10" width="37.6328125" customWidth="1"/>
    <col min="11" max="11" width="33" customWidth="1"/>
  </cols>
  <sheetData>
    <row r="1" spans="1:14">
      <c r="A1" t="s">
        <v>0</v>
      </c>
    </row>
    <row r="3" spans="1:14">
      <c r="C3" s="1" t="s">
        <v>1</v>
      </c>
      <c r="D3" s="1"/>
      <c r="E3" s="1" t="s">
        <v>2</v>
      </c>
      <c r="F3" s="1"/>
      <c r="G3" s="1" t="s">
        <v>3</v>
      </c>
      <c r="H3" s="1"/>
    </row>
    <row r="4" spans="1:14">
      <c r="C4" s="2" t="s">
        <v>4</v>
      </c>
      <c r="D4" s="2" t="s">
        <v>5</v>
      </c>
      <c r="E4" s="2" t="s">
        <v>4</v>
      </c>
      <c r="F4" s="2" t="s">
        <v>5</v>
      </c>
      <c r="G4" s="2" t="s">
        <v>4</v>
      </c>
      <c r="H4" s="2" t="s">
        <v>5</v>
      </c>
    </row>
    <row r="5" spans="1:14">
      <c r="B5" s="2" t="s">
        <v>6</v>
      </c>
      <c r="C5" s="2">
        <v>20</v>
      </c>
      <c r="D5" s="2">
        <v>5</v>
      </c>
      <c r="E5" s="2">
        <v>40</v>
      </c>
      <c r="F5" s="2">
        <v>3</v>
      </c>
      <c r="G5" s="2">
        <v>60</v>
      </c>
      <c r="H5" s="2">
        <v>2</v>
      </c>
    </row>
    <row r="6" spans="1:14">
      <c r="B6" s="2" t="s">
        <v>7</v>
      </c>
      <c r="C6" s="2">
        <v>150</v>
      </c>
      <c r="D6" s="2">
        <v>0.2</v>
      </c>
      <c r="E6" s="2">
        <v>145</v>
      </c>
      <c r="F6" s="2">
        <v>0.25</v>
      </c>
      <c r="G6" s="2">
        <v>160</v>
      </c>
      <c r="H6" s="2">
        <v>0.25</v>
      </c>
    </row>
    <row r="7" spans="1:14">
      <c r="B7" s="2" t="s">
        <v>8</v>
      </c>
      <c r="C7" s="2">
        <v>12</v>
      </c>
      <c r="D7" s="2">
        <v>25</v>
      </c>
      <c r="E7" s="2">
        <v>6</v>
      </c>
      <c r="F7" s="2">
        <v>40</v>
      </c>
      <c r="G7" s="2">
        <v>5</v>
      </c>
      <c r="H7" s="2">
        <v>35</v>
      </c>
    </row>
    <row r="9" spans="1:14">
      <c r="C9" s="8" t="s">
        <v>9</v>
      </c>
      <c r="D9" s="10"/>
      <c r="E9" s="10"/>
      <c r="F9" s="10"/>
      <c r="G9" s="10"/>
      <c r="H9" s="9"/>
    </row>
    <row r="10" spans="1:14" ht="37" customHeight="1">
      <c r="B10" s="5" t="s">
        <v>10</v>
      </c>
      <c r="C10" s="13">
        <f>C5*D5+C6*D6+C7*D7</f>
        <v>430</v>
      </c>
      <c r="D10" s="14"/>
      <c r="E10" s="13">
        <f>E5*F5+E6*F6+E7*F7</f>
        <v>396.25</v>
      </c>
      <c r="F10" s="14"/>
      <c r="G10" s="13">
        <f>G5*H5+G6*H6+G7*H7</f>
        <v>335</v>
      </c>
      <c r="H10" s="14"/>
      <c r="J10" s="15" t="s">
        <v>19</v>
      </c>
      <c r="K10" s="16" t="s">
        <v>21</v>
      </c>
      <c r="L10" s="17"/>
      <c r="M10" s="17"/>
      <c r="N10" s="17"/>
    </row>
    <row r="11" spans="1:14" ht="34.5" customHeight="1">
      <c r="B11" s="5" t="s">
        <v>11</v>
      </c>
      <c r="C11" s="13">
        <f>C5*D5+C6*D6+C7*D7</f>
        <v>430</v>
      </c>
      <c r="D11" s="14"/>
      <c r="E11" s="13">
        <f>C5*F5+C6*F6+C7*F7</f>
        <v>577.5</v>
      </c>
      <c r="F11" s="14"/>
      <c r="G11" s="13">
        <f>C5*H5+C6*H6+C7*H7</f>
        <v>497.5</v>
      </c>
      <c r="H11" s="14"/>
      <c r="J11" s="15"/>
      <c r="K11" s="17"/>
      <c r="L11" s="17"/>
      <c r="M11" s="17"/>
      <c r="N11" s="17"/>
    </row>
    <row r="12" spans="1:14" ht="46" customHeight="1">
      <c r="B12" s="6" t="s">
        <v>12</v>
      </c>
      <c r="C12" s="18">
        <f>C11/C10*100</f>
        <v>100</v>
      </c>
      <c r="D12" s="19"/>
      <c r="E12" s="18">
        <f>E11/C10*100</f>
        <v>134.30232558139534</v>
      </c>
      <c r="F12" s="19"/>
      <c r="G12" s="18">
        <f>G11/C10*100</f>
        <v>115.69767441860466</v>
      </c>
      <c r="H12" s="19"/>
      <c r="J12" s="15"/>
      <c r="K12" s="17"/>
      <c r="L12" s="17"/>
      <c r="M12" s="17"/>
      <c r="N12" s="17"/>
    </row>
    <row r="13" spans="1:14">
      <c r="B13" s="5" t="s">
        <v>13</v>
      </c>
      <c r="C13" s="13">
        <f>E5*D5+E6*D6+E7*D7</f>
        <v>379</v>
      </c>
      <c r="D13" s="14"/>
      <c r="E13" s="13">
        <f>E5*F5+E6*F6+E7*F7</f>
        <v>396.25</v>
      </c>
      <c r="F13" s="14"/>
      <c r="G13" s="13">
        <f>E5*H5+E6*H6+E7*H7</f>
        <v>326.25</v>
      </c>
      <c r="H13" s="14"/>
      <c r="J13" s="3"/>
      <c r="K13" s="17"/>
      <c r="L13" s="17"/>
      <c r="M13" s="17"/>
      <c r="N13" s="17"/>
    </row>
    <row r="14" spans="1:14">
      <c r="B14" s="12" t="s">
        <v>14</v>
      </c>
      <c r="C14" s="20">
        <f>C13/E13*100</f>
        <v>95.646687697160885</v>
      </c>
      <c r="D14" s="20"/>
      <c r="E14" s="20">
        <f>E13/E13*100</f>
        <v>100</v>
      </c>
      <c r="F14" s="20"/>
      <c r="G14" s="20">
        <f>G13/E13*100</f>
        <v>82.33438485804416</v>
      </c>
      <c r="H14" s="20"/>
      <c r="K14" s="17"/>
      <c r="L14" s="17"/>
      <c r="M14" s="17"/>
      <c r="N14" s="17"/>
    </row>
    <row r="15" spans="1:14">
      <c r="B15" s="11" t="s">
        <v>15</v>
      </c>
      <c r="C15" s="21">
        <v>100</v>
      </c>
      <c r="D15" s="21"/>
      <c r="E15" s="21">
        <f>((F5*C5+F6*C6+F7*C7)/(D5*C5+D6*C6+D7*C7))*100</f>
        <v>134.30232558139534</v>
      </c>
      <c r="F15" s="21"/>
      <c r="G15" s="21">
        <f>(H5*E5+H6*E6+H7*E7)/(F5*E5+F6*E6+F7*E7)*E15</f>
        <v>110.57699361748953</v>
      </c>
      <c r="H15" s="21"/>
      <c r="K15" s="17"/>
      <c r="L15" s="17"/>
      <c r="M15" s="17"/>
      <c r="N15" s="17"/>
    </row>
    <row r="16" spans="1:14">
      <c r="C16" s="3"/>
      <c r="D16" s="3"/>
      <c r="E16" s="3"/>
      <c r="F16" s="3"/>
      <c r="G16" s="3"/>
      <c r="H16" s="3"/>
      <c r="K16" s="17"/>
      <c r="L16" s="17"/>
      <c r="M16" s="17"/>
      <c r="N16" s="17"/>
    </row>
    <row r="17" spans="2:14">
      <c r="C17" s="3"/>
      <c r="D17" s="3"/>
      <c r="E17" s="3"/>
      <c r="F17" s="3"/>
      <c r="G17" s="3"/>
      <c r="H17" s="3"/>
      <c r="K17" s="17"/>
      <c r="L17" s="17"/>
      <c r="M17" s="17"/>
      <c r="N17" s="17"/>
    </row>
    <row r="18" spans="2:14">
      <c r="C18" s="4" t="s">
        <v>16</v>
      </c>
      <c r="D18" s="4"/>
      <c r="E18" s="4"/>
      <c r="F18" s="4"/>
      <c r="G18" s="4"/>
      <c r="H18" s="4"/>
      <c r="K18" s="17"/>
      <c r="L18" s="17"/>
      <c r="M18" s="17"/>
      <c r="N18" s="17"/>
    </row>
    <row r="19" spans="2:14" ht="31.5" customHeight="1">
      <c r="B19" s="5" t="s">
        <v>10</v>
      </c>
      <c r="C19" s="13">
        <f>C5*D5+C6*D6+C7*D7</f>
        <v>430</v>
      </c>
      <c r="D19" s="14"/>
      <c r="E19" s="13">
        <f>E5*F5+E6*F6+E7*F7</f>
        <v>396.25</v>
      </c>
      <c r="F19" s="14"/>
      <c r="G19" s="13">
        <f>G5*H5+G6*H6+G7*H7</f>
        <v>335</v>
      </c>
      <c r="H19" s="14"/>
      <c r="J19" s="15" t="s">
        <v>20</v>
      </c>
    </row>
    <row r="20" spans="2:14" ht="29.5" customHeight="1">
      <c r="B20" s="5" t="s">
        <v>17</v>
      </c>
      <c r="C20" s="13">
        <f>C5*D5+C6*D6+C7*D7</f>
        <v>430</v>
      </c>
      <c r="D20" s="14"/>
      <c r="E20" s="13">
        <f>E5*D5+E6*D6+E7*D7</f>
        <v>379</v>
      </c>
      <c r="F20" s="14"/>
      <c r="G20" s="13">
        <f>G5*D5+G6*D6+G7*D7</f>
        <v>457</v>
      </c>
      <c r="H20" s="14"/>
      <c r="J20" s="15"/>
    </row>
    <row r="21" spans="2:14" ht="45.5" customHeight="1">
      <c r="B21" s="6" t="s">
        <v>12</v>
      </c>
      <c r="C21" s="18">
        <f>C19/C20*100</f>
        <v>100</v>
      </c>
      <c r="D21" s="19"/>
      <c r="E21" s="18">
        <f>E19/E20*100</f>
        <v>104.55145118733509</v>
      </c>
      <c r="F21" s="19"/>
      <c r="G21" s="18">
        <f>G19/G20*100</f>
        <v>73.304157549234134</v>
      </c>
      <c r="H21" s="19"/>
      <c r="J21" s="15"/>
    </row>
    <row r="22" spans="2:14">
      <c r="B22" s="5" t="s">
        <v>18</v>
      </c>
      <c r="C22" s="13">
        <f>C5*F5+C6*F6+C7*F7</f>
        <v>577.5</v>
      </c>
      <c r="D22" s="14"/>
      <c r="E22" s="13">
        <f>E5*F5+E6*F6+E7*F7</f>
        <v>396.25</v>
      </c>
      <c r="F22" s="14"/>
      <c r="G22" s="13">
        <f>G5*F5+G6*F6+G7*F7</f>
        <v>420</v>
      </c>
      <c r="H22" s="14"/>
    </row>
    <row r="23" spans="2:14">
      <c r="B23" s="7" t="s">
        <v>14</v>
      </c>
      <c r="C23" s="22">
        <f>C19/C22*100</f>
        <v>74.458874458874462</v>
      </c>
      <c r="D23" s="23"/>
      <c r="E23" s="22">
        <f>E19/E22*100</f>
        <v>100</v>
      </c>
      <c r="F23" s="23"/>
      <c r="G23" s="22">
        <f>G19/G22*100</f>
        <v>79.761904761904773</v>
      </c>
      <c r="H23" s="23"/>
    </row>
  </sheetData>
  <mergeCells count="36">
    <mergeCell ref="K10:N18"/>
    <mergeCell ref="J10:J12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23:D23"/>
    <mergeCell ref="E23:F23"/>
    <mergeCell ref="G23:H23"/>
    <mergeCell ref="J19:J21"/>
    <mergeCell ref="C21:D21"/>
    <mergeCell ref="E21:F21"/>
    <mergeCell ref="G21:H21"/>
    <mergeCell ref="C22:D22"/>
    <mergeCell ref="E22:F22"/>
    <mergeCell ref="G22:H22"/>
    <mergeCell ref="C19:D19"/>
    <mergeCell ref="E19:F19"/>
    <mergeCell ref="G19:H19"/>
    <mergeCell ref="C20:D20"/>
    <mergeCell ref="E20:F20"/>
    <mergeCell ref="G20:H20"/>
  </mergeCells>
  <pageMargins left="0" right="0" top="0.39370000000000011" bottom="0.39370000000000011" header="0" footer="0"/>
  <pageSetup paperSize="9" orientation="portrait" verticalDpi="0" r:id="rId1"/>
  <headerFooter alignWithMargins="0"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Celal Güney</cp:lastModifiedBy>
  <cp:revision>3</cp:revision>
  <dcterms:created xsi:type="dcterms:W3CDTF">2026-02-06T11:00:31Z</dcterms:created>
  <dcterms:modified xsi:type="dcterms:W3CDTF">2026-03-31T15:46:16Z</dcterms:modified>
</cp:coreProperties>
</file>
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gueney\Documents\GitHub\les-mesures-de-l-conomie\exercices\"/>
    </mc:Choice>
  </mc:AlternateContent>
  <xr:revisionPtr revIDLastSave="0" documentId="13_ncr:1_{6E636784-BC16-4221-984D-34BA21BE7D38}" xr6:coauthVersionLast="47" xr6:coauthVersionMax="47" xr10:uidLastSave="{00000000-0000-0000-0000-000000000000}"/>
  <bookViews>
    <workbookView xWindow="28680" yWindow="-120" windowWidth="25440" windowHeight="15270" firstSheet="1" activeTab="8" xr2:uid="{00000000-000D-0000-FFFF-FFFF00000000}"/>
  </bookViews>
  <sheets>
    <sheet name="Einleitung" sheetId="33" r:id="rId1"/>
    <sheet name="Introduction" sheetId="34" r:id="rId2"/>
    <sheet name="1.1" sheetId="1" r:id="rId3"/>
    <sheet name="1.2" sheetId="2" r:id="rId4"/>
    <sheet name="1.3" sheetId="3" r:id="rId5"/>
    <sheet name="1.4" sheetId="4" r:id="rId6"/>
    <sheet name="1.5" sheetId="5" r:id="rId7"/>
    <sheet name="CH" sheetId="6" r:id="rId8"/>
    <sheet name="gini ch" sheetId="35" r:id="rId9"/>
    <sheet name="ZH" sheetId="7" r:id="rId10"/>
    <sheet name="BE" sheetId="8" r:id="rId11"/>
    <sheet name="LU" sheetId="9" r:id="rId12"/>
    <sheet name="UR" sheetId="10" r:id="rId13"/>
    <sheet name="SZ" sheetId="11" r:id="rId14"/>
    <sheet name="OW" sheetId="12" r:id="rId15"/>
    <sheet name="NW" sheetId="13" r:id="rId16"/>
    <sheet name="GL" sheetId="14" r:id="rId17"/>
    <sheet name="ZG" sheetId="15" r:id="rId18"/>
    <sheet name="FR" sheetId="16" r:id="rId19"/>
    <sheet name="SO" sheetId="17" r:id="rId20"/>
    <sheet name="BS" sheetId="18" r:id="rId21"/>
    <sheet name="BL" sheetId="19" r:id="rId22"/>
    <sheet name="SH" sheetId="20" r:id="rId23"/>
    <sheet name="AR" sheetId="21" r:id="rId24"/>
    <sheet name="AI" sheetId="22" r:id="rId25"/>
    <sheet name="SG" sheetId="23" r:id="rId26"/>
    <sheet name="GR" sheetId="24" r:id="rId27"/>
    <sheet name="AG" sheetId="25" r:id="rId28"/>
    <sheet name="TG" sheetId="26" r:id="rId29"/>
    <sheet name="TI" sheetId="27" r:id="rId30"/>
    <sheet name="VD" sheetId="28" r:id="rId31"/>
    <sheet name="VS" sheetId="29" r:id="rId32"/>
    <sheet name="NE" sheetId="30" r:id="rId33"/>
    <sheet name="GE" sheetId="31" r:id="rId34"/>
    <sheet name="JU" sheetId="32" r:id="rId35"/>
  </sheets>
  <definedNames>
    <definedName name="_Ref13247244" localSheetId="0">Einleitung!$B$64</definedName>
    <definedName name="_Ref13478546" localSheetId="0">Einleitung!#REF!</definedName>
    <definedName name="_Ref522109637" localSheetId="0">Einleitung!#REF!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35" l="1"/>
  <c r="K28" i="35"/>
  <c r="G6" i="35"/>
  <c r="L25" i="35" l="1"/>
  <c r="K25" i="35"/>
  <c r="O22" i="35"/>
  <c r="N22" i="35"/>
  <c r="M22" i="35"/>
  <c r="J22" i="35"/>
  <c r="K22" i="35"/>
  <c r="L22" i="35" s="1"/>
  <c r="M6" i="35" l="1"/>
  <c r="M7" i="35"/>
  <c r="M8" i="35"/>
  <c r="M9" i="35"/>
  <c r="M10" i="35"/>
  <c r="M11" i="35"/>
  <c r="M12" i="35"/>
  <c r="M13" i="35"/>
  <c r="M14" i="35"/>
  <c r="M15" i="35"/>
  <c r="M16" i="35"/>
  <c r="L8" i="35"/>
  <c r="L9" i="35"/>
  <c r="L10" i="35"/>
  <c r="L11" i="35"/>
  <c r="L12" i="35"/>
  <c r="L13" i="35"/>
  <c r="L14" i="35"/>
  <c r="L15" i="35"/>
  <c r="L16" i="35"/>
  <c r="L7" i="35"/>
  <c r="L6" i="35"/>
  <c r="E7" i="35"/>
  <c r="I7" i="35" s="1"/>
  <c r="K7" i="35"/>
  <c r="K16" i="35"/>
  <c r="K9" i="35"/>
  <c r="K10" i="35"/>
  <c r="K11" i="35"/>
  <c r="K12" i="35"/>
  <c r="K13" i="35"/>
  <c r="K14" i="35"/>
  <c r="K15" i="35"/>
  <c r="K8" i="35"/>
  <c r="K6" i="35"/>
  <c r="J16" i="35"/>
  <c r="J9" i="35"/>
  <c r="J10" i="35"/>
  <c r="J11" i="35"/>
  <c r="J12" i="35"/>
  <c r="J13" i="35"/>
  <c r="J14" i="35"/>
  <c r="J15" i="35"/>
  <c r="J8" i="35"/>
  <c r="J7" i="35"/>
  <c r="I15" i="35"/>
  <c r="I14" i="35"/>
  <c r="I8" i="35"/>
  <c r="I9" i="35"/>
  <c r="I10" i="35"/>
  <c r="I11" i="35"/>
  <c r="I12" i="35"/>
  <c r="I13" i="35"/>
  <c r="I5" i="35"/>
  <c r="A23" i="35"/>
  <c r="A24" i="35"/>
  <c r="A25" i="35"/>
  <c r="A26" i="35"/>
  <c r="A27" i="35"/>
  <c r="A28" i="35"/>
  <c r="A29" i="35"/>
  <c r="A30" i="35"/>
  <c r="A31" i="35"/>
  <c r="A22" i="35"/>
  <c r="H5" i="35"/>
  <c r="H6" i="35" s="1"/>
  <c r="H7" i="35" s="1"/>
  <c r="H8" i="35" s="1"/>
  <c r="H9" i="35" s="1"/>
  <c r="H10" i="35" s="1"/>
  <c r="H11" i="35" s="1"/>
  <c r="H12" i="35" s="1"/>
  <c r="H13" i="35" s="1"/>
  <c r="H14" i="35" s="1"/>
  <c r="H15" i="35" s="1"/>
  <c r="H16" i="35" s="1"/>
  <c r="G7" i="35"/>
  <c r="G8" i="35" s="1"/>
  <c r="G9" i="35" s="1"/>
  <c r="G10" i="35" s="1"/>
  <c r="G11" i="35" s="1"/>
  <c r="G12" i="35" s="1"/>
  <c r="G13" i="35" s="1"/>
  <c r="G14" i="35" s="1"/>
  <c r="G15" i="35" s="1"/>
  <c r="G16" i="35" s="1"/>
  <c r="I6" i="35" l="1"/>
  <c r="I18" i="35" s="1"/>
  <c r="I19" i="35" s="1"/>
  <c r="F8" i="35" l="1"/>
  <c r="C24" i="35" s="1"/>
  <c r="F9" i="35"/>
  <c r="C25" i="35" s="1"/>
  <c r="F10" i="35"/>
  <c r="C26" i="35" s="1"/>
  <c r="F11" i="35"/>
  <c r="C27" i="35" s="1"/>
  <c r="F12" i="35"/>
  <c r="C28" i="35" s="1"/>
  <c r="F13" i="35"/>
  <c r="C29" i="35" s="1"/>
  <c r="F14" i="35"/>
  <c r="C30" i="35" s="1"/>
  <c r="F15" i="35"/>
  <c r="C31" i="35" s="1"/>
  <c r="F16" i="35"/>
  <c r="F7" i="35"/>
  <c r="C23" i="35" s="1"/>
  <c r="F6" i="35"/>
  <c r="E13" i="35"/>
  <c r="E8" i="35"/>
  <c r="E9" i="35"/>
  <c r="E10" i="35"/>
  <c r="E11" i="35"/>
  <c r="E12" i="35"/>
  <c r="E14" i="35"/>
  <c r="E15" i="35"/>
  <c r="E16" i="35"/>
  <c r="E6" i="35"/>
</calcChain>
</file>

<file path=xl/sharedStrings.xml><?xml version="1.0" encoding="utf-8"?>
<sst xmlns="http://schemas.openxmlformats.org/spreadsheetml/2006/main" count="2361" uniqueCount="308">
  <si>
    <t>Anzahl</t>
  </si>
  <si>
    <t>Prozentanteile</t>
  </si>
  <si>
    <t>in CHF</t>
  </si>
  <si>
    <t>Zürich</t>
  </si>
  <si>
    <t>Bern / Berne</t>
  </si>
  <si>
    <t>Luzern</t>
  </si>
  <si>
    <t>Uri</t>
  </si>
  <si>
    <t>Schwyz</t>
  </si>
  <si>
    <t>Obwalden</t>
  </si>
  <si>
    <t>Nidwalden</t>
  </si>
  <si>
    <t>Glarus</t>
  </si>
  <si>
    <t>Zug</t>
  </si>
  <si>
    <t>Fribourg / Freiburg</t>
  </si>
  <si>
    <t>Solothurn</t>
  </si>
  <si>
    <t>Basel-Stadt</t>
  </si>
  <si>
    <t>Basel-Landschaft</t>
  </si>
  <si>
    <t>Schaffhausen</t>
  </si>
  <si>
    <t>Appenzell Ausserrhoden</t>
  </si>
  <si>
    <t>Appenzell Innerrhoden</t>
  </si>
  <si>
    <t>St. Gallen</t>
  </si>
  <si>
    <t>Graubünden / Grigioni / Grischun</t>
  </si>
  <si>
    <t>Aargau</t>
  </si>
  <si>
    <t>Thurgau</t>
  </si>
  <si>
    <t>Ticino</t>
  </si>
  <si>
    <t>Vaud</t>
  </si>
  <si>
    <t>Valais / Wallis</t>
  </si>
  <si>
    <t>Neuchâtel</t>
  </si>
  <si>
    <t>Genève</t>
  </si>
  <si>
    <t>Jura</t>
  </si>
  <si>
    <t>Schweiz / Suisse / Svizzera / Svizra</t>
  </si>
  <si>
    <t>Totale</t>
  </si>
  <si>
    <t>0</t>
  </si>
  <si>
    <t>&gt; 0 - 50'000</t>
  </si>
  <si>
    <t>&gt; 50'000 - 100'000</t>
  </si>
  <si>
    <t>&gt; 100'000 - 200'000</t>
  </si>
  <si>
    <t>&gt; 200'000 - 500'000</t>
  </si>
  <si>
    <t>&gt; 500'000 - 1'000'000</t>
  </si>
  <si>
    <t>&gt; 1'000'000 - 2'000'000</t>
  </si>
  <si>
    <t>&gt; 2'000'000 - 3'000'000</t>
  </si>
  <si>
    <t>&gt; 3'000'000 - 5'000'000</t>
  </si>
  <si>
    <t>&gt; 5'000'000 -10'000'000</t>
  </si>
  <si>
    <t>&gt; 10'000'000 u.m. / et plus</t>
  </si>
  <si>
    <t/>
  </si>
  <si>
    <t>-</t>
  </si>
  <si>
    <t>Einleitung</t>
  </si>
  <si>
    <t>Die vorliegende Statistik orientiert über den Stand der besteuerten Vermögen per</t>
  </si>
  <si>
    <t>der Neugestaltung des Finanzausgleichs und der Aufgabenteilung (NFA) haben</t>
  </si>
  <si>
    <t>die Kantone der Eidg. Steuerverwaltung jährlich die Reinvermögen zu melden.</t>
  </si>
  <si>
    <t>Die Meldungen erfolgen in aggregierter Form nach den vorgegebenen Stufen</t>
  </si>
  <si>
    <t>des Reinvermögens.</t>
  </si>
  <si>
    <t>Definition der erfassten Daten</t>
  </si>
  <si>
    <t>Für die gesamtschweizerische Statistik der besteuerten Vermögen ist das</t>
  </si>
  <si>
    <r>
      <rPr>
        <sz val="12"/>
        <rFont val="Arial"/>
        <family val="2"/>
      </rPr>
      <t xml:space="preserve">veranlagte </t>
    </r>
    <r>
      <rPr>
        <b/>
        <sz val="12"/>
        <rFont val="Arial"/>
        <family val="2"/>
      </rPr>
      <t>Reinvermögen</t>
    </r>
    <r>
      <rPr>
        <sz val="12"/>
        <rFont val="Arial"/>
        <family val="2"/>
      </rPr>
      <t xml:space="preserve"> (Aktiven abzüglich Passiven, vor Berücksichtigung der</t>
    </r>
  </si>
  <si>
    <t>Die Steuerpflichtigen ohne Reinvermögen werden ebenfalls in die Erhebung</t>
  </si>
  <si>
    <t>miteinbezogen.</t>
  </si>
  <si>
    <t>Abgestellt wird, wann immer möglich, auf die definitiven Steuereinschätzungen.</t>
  </si>
  <si>
    <t>Liegen diese im Zeitpunkt der Erhebung nicht vor, werden provisorische</t>
  </si>
  <si>
    <t>Veranlagungen bzw. die Selbstdeklarationen herangezogen.</t>
  </si>
  <si>
    <r>
      <t xml:space="preserve">Für die </t>
    </r>
    <r>
      <rPr>
        <u/>
        <sz val="12"/>
        <rFont val="Arial"/>
        <family val="2"/>
      </rPr>
      <t>unbeschränkt Steuerpflichtigen</t>
    </r>
    <r>
      <rPr>
        <sz val="12"/>
        <rFont val="Arial"/>
        <family val="2"/>
      </rPr>
      <t xml:space="preserve"> (persönliche Zugehörigkeit) ist nur das für</t>
    </r>
  </si>
  <si>
    <t>die Besteuerung massgebende Reinvermögen im Wohnsitzkanton erfasst.</t>
  </si>
  <si>
    <t>Reinvermögen, welches anderen Kantonen oder dem Ausland für die Besteuerung</t>
  </si>
  <si>
    <t>zusteht, fällt somit ausser Betracht. Unbeschränkt Steuerpflichtige, die während</t>
  </si>
  <si>
    <t>der Steuerperiode vom Kanton weggezogen oder verstorben sind, sind in der</t>
  </si>
  <si>
    <t>Datenlieferung für diesen Kanton nicht enthalten.</t>
  </si>
  <si>
    <t>Beispiel 1:</t>
  </si>
  <si>
    <t>Begründung des Wohnsitzes per 31.12. in einem anderen Kanton</t>
  </si>
  <si>
    <t>Eine im Kanton A wohnhafte Person zieht am 30.09. in den Kanton B. Der Kanton A</t>
  </si>
  <si>
    <t>meldet für die relevante Steuerperiode kein Reinvermögen mehr. Der Kanton B</t>
  </si>
  <si>
    <t>hingegen meldet für die relevante Steuerperiode das gesamte Reinvermögen</t>
  </si>
  <si>
    <t>im Kanton.</t>
  </si>
  <si>
    <t>Beispiel 2:</t>
  </si>
  <si>
    <t>Begründung des Wohnsitzes per 31.12. im Ausland</t>
  </si>
  <si>
    <t>Eine im Kanton A wohnhafte Person zieht am 30.09. ins Ausland. Der Kanton A</t>
  </si>
  <si>
    <t>meldet für die relevante Steuerperiode kein Reinvermögen mehr.</t>
  </si>
  <si>
    <t>Beispiel 3:</t>
  </si>
  <si>
    <t>Begründung des Wohnsitzes per 31.12. in dem Kanton, wo vorher nur eine</t>
  </si>
  <si>
    <t>beschränkte Steuerpflicht bestand</t>
  </si>
  <si>
    <t>Eine im Kanton A wohnhafte Person (Vermögenswerte von CHF 600'000) zieht</t>
  </si>
  <si>
    <t>am 30.09. in den Kanton B, wo sie ein Haus (Steuerwert von CHF 700'000) besitzt.</t>
  </si>
  <si>
    <t>Sie wechselt im Verlauf der Steuerperiode im Kanton B von der beschränkten</t>
  </si>
  <si>
    <t>zur unbeschränkten Steuerpflicht und wird somit im Kanton B für die ganze</t>
  </si>
  <si>
    <t>Steuerperiode als unbeschränkt steuerpflichtig veranlagt. Der Kanton A meldet</t>
  </si>
  <si>
    <t>für die relevante Steuerperiode kein Reinvermögen mehr. Der Kanton B</t>
  </si>
  <si>
    <t>hingegen meldet für die relevante Steuerperiode das gesamte Rein-</t>
  </si>
  <si>
    <t>vermögen (CHF 1'300'000) im Kanton.</t>
  </si>
  <si>
    <r>
      <t xml:space="preserve">Für die </t>
    </r>
    <r>
      <rPr>
        <u/>
        <sz val="12"/>
        <rFont val="Arial"/>
        <family val="2"/>
      </rPr>
      <t>beschränkt Steuerpflichtigen</t>
    </r>
    <r>
      <rPr>
        <sz val="12"/>
        <rFont val="Arial"/>
        <family val="2"/>
      </rPr>
      <t xml:space="preserve"> (wirtschaftliche Zugehörigkeit) ist nur das</t>
    </r>
  </si>
  <si>
    <t>Reinvermögen im Liegenschaften- oder Betriebsstätten-Kanton massgebend.</t>
  </si>
  <si>
    <t>Einbezogen sind dabei auch die Steuerpflichtigen mit Wohnsitz im Ausland</t>
  </si>
  <si>
    <t>mit den im Kanton steuerpflichtigen Reinvermögensteilen.</t>
  </si>
  <si>
    <t>Bei der beschränkten Steuerpflicht gestützt auf Art. 4b Abs. 2 StHG besteht die</t>
  </si>
  <si>
    <t>Steuerpflicht für die ganze Steuerperiode, auch wenn sie im Laufe des Jahres</t>
  </si>
  <si>
    <t>begründet, verändert oder aufgehoben wird. In diesem Fall wird der Wert der</t>
  </si>
  <si>
    <t>Vermögensobjekte im Verhältnis zur Dauer der Zugehörigkeit vermindert.</t>
  </si>
  <si>
    <t>Besonderheiten</t>
  </si>
  <si>
    <t>Minuswerte beim Reinvermögen (die Passiven übersteigen die Aktiven) fliessen</t>
  </si>
  <si>
    <t>mit dem Wert 0 (Null) in die Auswertungen ein.</t>
  </si>
  <si>
    <t>Auf eine Korrektur des Reinvermögens wegen allfälligen unterschiedlichen</t>
  </si>
  <si>
    <t>Bewertungen durch die Kantone wurde verzichtet.</t>
  </si>
  <si>
    <t>Steuerpflichtige mit Reinvermögen in zwei oder mehreren Kantonen werden in</t>
  </si>
  <si>
    <t>allen betroffenen Kantonen erfasst. Dies führt hinsichtlich der Anzahl Steuer-</t>
  </si>
  <si>
    <t>pflichtigen zu Doppel- bzw. Mehrfachzählungen. Beispiel für einen</t>
  </si>
  <si>
    <t>Steuerpflichtigen mit einem gesamten Reinvermögen von 100:</t>
  </si>
  <si>
    <t>Verteilung des Reinvermögens auf die Kantone A (Wohnsitzkanton)</t>
  </si>
  <si>
    <t xml:space="preserve">und B (Betriebsstättekanton): </t>
  </si>
  <si>
    <t>-  Reinvermögen von 70 im Kanton A (unbeschränkt steuerpflichtig)</t>
  </si>
  <si>
    <t>-  Reinvermögen von 30 im Kanton B (beschränkt steuerpflichtig)</t>
  </si>
  <si>
    <t>In der Vermögensstatistik ist dieser Steuerpflichtige doppelt erfasst:</t>
  </si>
  <si>
    <t>-  Im Kanton A mit einem Reinvermögen von 70 (unbeschränkt steuerpflichtig)</t>
  </si>
  <si>
    <t>-  Im Kanton B mit einem Reinvermögen von 30 (beschränkt steuerpflichtig)</t>
  </si>
  <si>
    <t>Aussagekraft der Statistik der besteuerten Vermögen</t>
  </si>
  <si>
    <t>Die Aussagekraft der Statistik der besteuerten Vermögen wird durch</t>
  </si>
  <si>
    <t xml:space="preserve">Besonderheiten der Vermögensbesteuerung eingeschränkt. </t>
  </si>
  <si>
    <t>So entstehen etwa Lücken dadurch, dass bestimmte Vermögensteile nicht oder</t>
  </si>
  <si>
    <t xml:space="preserve">nur teilweise zum besteuerten Vermögen gehören, wie beispielsweise </t>
  </si>
  <si>
    <t>-  die anwartschaftlichen Ansprüche gegenüber Einrichtungen der</t>
  </si>
  <si>
    <t xml:space="preserve">   beruflichen Vorsorge (Säule 2)</t>
  </si>
  <si>
    <t>-  die nicht fälligen Ansprüche aus anerkannten Formen der gebundenen</t>
  </si>
  <si>
    <t xml:space="preserve">   Selbstvorsorge (Säule 3a)</t>
  </si>
  <si>
    <t>-  der Hausrat</t>
  </si>
  <si>
    <t>-  die rückkaufsfähigen Lebensversicherungen.</t>
  </si>
  <si>
    <t>Zudem sind in der vorliegenden Statistik Grundstücke und Immobilien</t>
  </si>
  <si>
    <t>mit den kantonalen Steuerwerten erfasst worden. Die Bewertungs-</t>
  </si>
  <si>
    <t>unterschiede zwischen Steuerwert und Verkehrswert sind demnach nicht</t>
  </si>
  <si>
    <t>berücksichtigt.</t>
  </si>
  <si>
    <t>Die Statistik der besteuerten Vermögen lässt sich nicht weiter differenzieren.</t>
  </si>
  <si>
    <t>eine Aufteilung der Reinvermögen nach Vermögenskomponenten nicht möglich.</t>
  </si>
  <si>
    <t>Ebenfalls lassen sich keine Auswertungen nach Gemeinden oder Altersklassen</t>
  </si>
  <si>
    <t>sowie nach detaillierteren Vermögensklassen vornehmen.</t>
  </si>
  <si>
    <t>Die von den Kantonen zu erfassenden Daten wurden gemäss Vorgaben der NFA</t>
  </si>
  <si>
    <t>folglich mit früheren mit früheren Statistiken der besteuerten Vermögen</t>
  </si>
  <si>
    <t>vor 2003 nicht vergleichbar.</t>
  </si>
  <si>
    <t>Wenn zu wenig Beobachtungen vorliegen, sind die Ergebnisse aus Datenschutzgründen eingeschränkt publiziert (mit einem "-" gekennzeichnet), damit keine Rückschlüsse auf einzelne Steuerpflichtigen möglich sind. Dies kann dazu führen, dass Summen einzelner Ergebnisse nicht den Summen von Gesamtergebnissen entsprechen.</t>
  </si>
  <si>
    <t>Auskunft:</t>
  </si>
  <si>
    <t>steuerstatistik@estv.admin.ch</t>
  </si>
  <si>
    <t>Erscheinungsweise:</t>
  </si>
  <si>
    <t>Jährlich</t>
  </si>
  <si>
    <t>Deutsch</t>
  </si>
  <si>
    <t>Copyright:</t>
  </si>
  <si>
    <t>Introduction</t>
  </si>
  <si>
    <t>La présente statistique informe sur l’état de la fortune imposée au</t>
  </si>
  <si>
    <t>Dans le cadre de la réforme de la péréquation financière et de la répartition</t>
  </si>
  <si>
    <t>des tâches (RPT), les cantons sont tenus de déclarer annuellement les fortunes</t>
  </si>
  <si>
    <t>nettes à l’Administration fédérale des contributions. Ces déclarations se font</t>
  </si>
  <si>
    <t>sous la forme d’agrégats, selon les classes de fortune nette définies.</t>
  </si>
  <si>
    <t>Définition des données recensées</t>
  </si>
  <si>
    <r>
      <t xml:space="preserve">C’est la </t>
    </r>
    <r>
      <rPr>
        <b/>
        <sz val="12"/>
        <rFont val="Arial"/>
        <family val="2"/>
      </rPr>
      <t>fortune nette</t>
    </r>
    <r>
      <rPr>
        <sz val="12"/>
        <rFont val="Arial"/>
        <family val="2"/>
      </rPr>
      <t xml:space="preserve"> (actifs moins passifs, avant prise en considération des</t>
    </r>
  </si>
  <si>
    <t>qui est déterminante pour la statistique de la fortune imposée de l’ensemble</t>
  </si>
  <si>
    <t>de la Suisse. Les contribuables sans fortune nette ont également été pris en</t>
  </si>
  <si>
    <t>considération. Dans la mesure du possible, le relevé se fonde sur les taxations</t>
  </si>
  <si>
    <t>définitives. Si ces dernières ne sont pas disponibles au moment de la perception,</t>
  </si>
  <si>
    <t>il se fonde sur les taxations provisoires ou personnelles.</t>
  </si>
  <si>
    <r>
      <t xml:space="preserve">Pour les </t>
    </r>
    <r>
      <rPr>
        <u/>
        <sz val="12"/>
        <rFont val="Arial"/>
        <family val="2"/>
      </rPr>
      <t>contribuables assujettis de manière illimitée</t>
    </r>
    <r>
      <rPr>
        <sz val="12"/>
        <rFont val="Arial"/>
        <family val="2"/>
      </rPr>
      <t xml:space="preserve"> (rattachement personnel),</t>
    </r>
  </si>
  <si>
    <t>seule la fortune nette déterminante pour l’imposition dans le canton du domicile</t>
  </si>
  <si>
    <t>a été prise en considération. Les éléments de la fortune nette imposés dans</t>
  </si>
  <si>
    <t>d’autres cantons ou à l’étranger n’ont donc pas été recensés. Les contribuables</t>
  </si>
  <si>
    <t>assujettis de façon illimitée décédés ou ayant quitté le canton durant la période</t>
  </si>
  <si>
    <t>fiscale ne sont pas pris en compte dans la livraison de données du canton</t>
  </si>
  <si>
    <t>concerné.</t>
  </si>
  <si>
    <t>Exemple 1:</t>
  </si>
  <si>
    <t>Justification de résidence au 31.12. dans un autre canton</t>
  </si>
  <si>
    <t>Une personne vivant dans le canton A déménage dans le canton B le</t>
  </si>
  <si>
    <t>30 septembre. Le canton A ne déclare plus de fortune nette pour la période</t>
  </si>
  <si>
    <t>fiscale pertinente. D'autre part, le canton B déclare la fortune nette totale pour</t>
  </si>
  <si>
    <t>la période fiscale concernée.</t>
  </si>
  <si>
    <t>Exemple 2:</t>
  </si>
  <si>
    <t>Justification de résidence au 31.12. à l'étranger</t>
  </si>
  <si>
    <t>Une personne vivant dans le canton A déménage à l'étranger le 30.09.</t>
  </si>
  <si>
    <t>Le canton A ne déclare plus de fortune nette pour la période fiscale pertinente.</t>
  </si>
  <si>
    <t>Exemple 3:</t>
  </si>
  <si>
    <t>Domicilié au 31.12. dans le canton où existait auparavant seulement un</t>
  </si>
  <si>
    <t>rattachement économique</t>
  </si>
  <si>
    <t>Une personne domiciliée dans le canton A (valeur patrimoniale de CHF 600'000)</t>
  </si>
  <si>
    <t>déménage le 30.09. dans le canton B où elle possède une maison (estimation</t>
  </si>
  <si>
    <t>fiscale de CHF 700'000). Au 31.12., elle est donc assujettie de façon illimitée</t>
  </si>
  <si>
    <t>dans le canton B pour la période fiscale entière. Le canton A ne communique rien.</t>
  </si>
  <si>
    <t>Le canton B par contre communique la totalité de la fortune nette dans le canton</t>
  </si>
  <si>
    <t>(CHF 1'300'000).</t>
  </si>
  <si>
    <r>
      <t xml:space="preserve">Pour les </t>
    </r>
    <r>
      <rPr>
        <u/>
        <sz val="12"/>
        <rFont val="Arial"/>
        <family val="2"/>
      </rPr>
      <t>contribuables assujettis de manière limitée</t>
    </r>
    <r>
      <rPr>
        <sz val="12"/>
        <rFont val="Arial"/>
        <family val="2"/>
      </rPr>
      <t xml:space="preserve"> (rattachement économique),</t>
    </r>
  </si>
  <si>
    <t>seule la fortune nette déposée dans le canton dans lequel se trouve un immeuble</t>
  </si>
  <si>
    <t>ou un établissement stable est déterminante. Il en va de même pour les</t>
  </si>
  <si>
    <t>contribuables domiciliés à l’étranger en ce qui concerne les éléments de la</t>
  </si>
  <si>
    <t>fortune nette imposés dans le canton concerné. L'assujettissement en raison</t>
  </si>
  <si>
    <t>d’un rattachement économique dans un autre canton que celui du domicile au</t>
  </si>
  <si>
    <t>regard du droit fiscal, s'étend selon l’art. 4b al. 2 LHID, à la période fiscale</t>
  </si>
  <si>
    <t>entière, même s'il est créé, modifié ou supprimé pendant l'année. Dans ce cas,</t>
  </si>
  <si>
    <t>la valeur des éléments de fortune est réduite proportionnellement à la durée</t>
  </si>
  <si>
    <t>du rattachement.</t>
  </si>
  <si>
    <t>Particularités</t>
  </si>
  <si>
    <t>Les valeurs négatives de la fortune nette (les passifs dépassent les actifs)</t>
  </si>
  <si>
    <t>doivent être représentées dans l’évaluation par la valeur 0 (zéro).</t>
  </si>
  <si>
    <t>Il ne faut pas corriger la fortune nette en raison d’éventuelles divergences entre</t>
  </si>
  <si>
    <t>les évaluations faites par les cantons.</t>
  </si>
  <si>
    <t>Les contribuables dont la fortune nette est répartie dans deux ou plusieurs</t>
  </si>
  <si>
    <t>cantons sont imposés dans tous les cantons concernés. C’est pourquoi certains</t>
  </si>
  <si>
    <t>contribuables sont comptés deux ou plusieurs fois. En guise d’illustration,</t>
  </si>
  <si>
    <t>prenons l’exemple d’un contribuable dont la fortune nette totale se monte à 100:</t>
  </si>
  <si>
    <t>Répartition de la fortune nette entre les cantons A (canton de domicile)</t>
  </si>
  <si>
    <t xml:space="preserve">et B (canton de l’établissement stable): </t>
  </si>
  <si>
    <t>-  Fortune nette de 70 dans le canton A (assujetti de manière illimitée)</t>
  </si>
  <si>
    <t>-  Fortune nette de 30 dans le canton B (assujetti de manière limitée)</t>
  </si>
  <si>
    <t>Dans la statistique de la fortune des personnes physiques, ce contribuable</t>
  </si>
  <si>
    <t>est donc recensé deux fois:</t>
  </si>
  <si>
    <t>-  Dans le canton A, avec une fortune nette de 70 (assujetti de manière illimitée)</t>
  </si>
  <si>
    <t>-  Dans le canton B, avec une fortune nette de 30 (assujetti de manière limitée)</t>
  </si>
  <si>
    <t>Interprétation de la statistique de la fortune imposée</t>
  </si>
  <si>
    <t>Bien que la statistique de la fortune imposée soit très représentative, il faut émettre</t>
  </si>
  <si>
    <t>quelques réserves en raison de l’existence de quelques lacunes provenant</t>
  </si>
  <si>
    <t>de particularités du système fiscal. En effet, certains éléments de la fortune</t>
  </si>
  <si>
    <t>ne sont pas ou sont seulement partiellement considérés comme faisant partie</t>
  </si>
  <si>
    <t>de la fortune imposée, par exemple</t>
  </si>
  <si>
    <t>-  les droits d’expectative de la prévoyance professionnelle (2e pilier),</t>
  </si>
  <si>
    <t>-  les droits non encore exigibles à des prestations de formes reconnues</t>
  </si>
  <si>
    <t xml:space="preserve">   de la prévoyance liée (pilier 3a),</t>
  </si>
  <si>
    <t>-  les objets mobiliers,</t>
  </si>
  <si>
    <t>-  les assurances-vie susceptibles de rachat.</t>
  </si>
  <si>
    <t>De plus, étant donné que les immeubles ont été recensés dans cette statistique</t>
  </si>
  <si>
    <t>selon leur valeur fiscale cantonale, les différences d’estimation entre la valeur</t>
  </si>
  <si>
    <t>fiscale et la valeur vénale ne sont pas prises en considération.</t>
  </si>
  <si>
    <t>les fortunes nettes ne peuvent pas être réparties d’après leurs éléments.</t>
  </si>
  <si>
    <t>De même, il n’est pas possible de faire des évaluations en fonction des</t>
  </si>
  <si>
    <t>communes ou des classes d’âge, ni même en fonction de classes de revenus</t>
  </si>
  <si>
    <t>plus détaillées.</t>
  </si>
  <si>
    <t>Les données que les cantons doivent recenser ont été redéfinies conformément</t>
  </si>
  <si>
    <t>aux exigences de la RPT. Par conséquent, la présente statistique de la</t>
  </si>
  <si>
    <t>Lorsque le nombre d'observations est insuffisant, les résultats sont publiés de manière restreinte (marqué avec un "-") pour des raisons de protection des données, afin qu'il ne soit pas possible de tirer des conclusions sur des contribuables individuels. Cela peut avoir pour conséquence que les sommes de certains résultats ne correspondent pas aux sommes de résultats globaux.</t>
  </si>
  <si>
    <t>Editeur:</t>
  </si>
  <si>
    <t>Complément d’information:</t>
  </si>
  <si>
    <t>Rédaction:</t>
  </si>
  <si>
    <t>Rythme de parution:</t>
  </si>
  <si>
    <t>Annuel</t>
  </si>
  <si>
    <t>Langue du texte original:</t>
  </si>
  <si>
    <t>Cantons</t>
  </si>
  <si>
    <t>Kantone</t>
  </si>
  <si>
    <t>en CHF</t>
  </si>
  <si>
    <t>Unbeschränkt
steuerpflichtig
in CHF</t>
  </si>
  <si>
    <t>Beschränkt
steuerpflichtig
in CHF</t>
  </si>
  <si>
    <t>Fortune nette en CHF</t>
  </si>
  <si>
    <t>Reinvermögen in CHF</t>
  </si>
  <si>
    <t>Stufen des Reinvermögens in CHF</t>
  </si>
  <si>
    <t>Classes de fortune nette en CHF</t>
  </si>
  <si>
    <t>Anzahl Pflichtige</t>
  </si>
  <si>
    <t>Nombre de contribuables</t>
  </si>
  <si>
    <t>Anzahl Pflichtige in Prozent</t>
  </si>
  <si>
    <t>Nombre de contribuables en pour-cent</t>
  </si>
  <si>
    <t>Prozentanteile
unbeschränkt
steuerpflichtig</t>
  </si>
  <si>
    <t>Pourcentage
d'assujettis
illimités</t>
  </si>
  <si>
    <t>Prozentanteile
beschränkt
steuerpflichtig</t>
  </si>
  <si>
    <t>Pourcentage
d'assujettis
limités</t>
  </si>
  <si>
    <t>Assujettis
limités
en CHF</t>
  </si>
  <si>
    <t>Anzahl
unbeschränkt
steuerpflichtig</t>
  </si>
  <si>
    <t>Nombre
d'assujettis
illimités</t>
  </si>
  <si>
    <t>Anzahl
beschränkt
steuerpflichtig</t>
  </si>
  <si>
    <t>Nombre
d'assujettis
limités</t>
  </si>
  <si>
    <t>Total</t>
  </si>
  <si>
    <t>Steuerperiode</t>
  </si>
  <si>
    <t>Période fiscale</t>
  </si>
  <si>
    <t>Nombres</t>
  </si>
  <si>
    <t>Pourcentages</t>
  </si>
  <si>
    <t>Pflichtige</t>
  </si>
  <si>
    <t>Contribuables</t>
  </si>
  <si>
    <t>Reinvermögen</t>
  </si>
  <si>
    <t>Fortune nette</t>
  </si>
  <si>
    <t>Reinvermögen in Prozent</t>
  </si>
  <si>
    <t>Fortune dans un pour cent</t>
  </si>
  <si>
    <t>Team Steuerstatistik</t>
  </si>
  <si>
    <t>Realisierung:</t>
  </si>
  <si>
    <t>Abteilung Volkswirtschaft, Steuerstatistik und Steuerdokumentation VSS</t>
  </si>
  <si>
    <t>Originaltext:</t>
  </si>
  <si>
    <t xml:space="preserve">   Wiedergabe unter Angabe der Quelle für Nutzung gestattet.</t>
  </si>
  <si>
    <t>Team Statistique fiscale</t>
  </si>
  <si>
    <t>Division Economie, statistique et documentation fiscale</t>
  </si>
  <si>
    <t>Allemand</t>
  </si>
  <si>
    <t xml:space="preserve">   La reproduction est autorisée si la source est mentionnée.</t>
  </si>
  <si>
    <t>Herausgeber:</t>
  </si>
  <si>
    <t>Vermögenssteuerstatistik der natürlichen Personen                                                                          2022</t>
  </si>
  <si>
    <t>31. Dezember 2022 für alle Kantone und für die Schweiz insgesamt. Im Rahmen</t>
  </si>
  <si>
    <t>Sozialabzüge) der natürlichen Personen per 31. Dezember 2022 massgebend.</t>
  </si>
  <si>
    <t>neu definiert. Die vorliegende Statistik der besteuerten Vermögen 2022 ist</t>
  </si>
  <si>
    <t>© Eidgenössische Steuerverwaltung ESTV, November 2025</t>
  </si>
  <si>
    <t>Statistique de la fortune imposée des personnes physiques                                                                          2022</t>
  </si>
  <si>
    <t>31 décembre 2022 pour tous les cantons et pour l’ensemble de la Suisse.</t>
  </si>
  <si>
    <t>déductions sociales) des personnes physiques imposée au 31 décembre 2022</t>
  </si>
  <si>
    <t>fortune 2022 ne peut être comparée avec les précédentes avant 2003.</t>
  </si>
  <si>
    <t>© Administration fédérale des contributions IFD, novembre 2025</t>
  </si>
  <si>
    <t>fortune nette</t>
  </si>
  <si>
    <t>Nombres de contribuables</t>
  </si>
  <si>
    <t>Proportion cumulée de la fortune</t>
  </si>
  <si>
    <t>proportion cumulée des contribuables</t>
  </si>
  <si>
    <t>ligne d'égalité x</t>
  </si>
  <si>
    <t>ligne égalité y</t>
  </si>
  <si>
    <t>Courbe de Lorenz</t>
  </si>
  <si>
    <t>inverse de la proportion cumulée des contribuables</t>
  </si>
  <si>
    <t>fortune moyenne</t>
  </si>
  <si>
    <t>seuil inferieur</t>
  </si>
  <si>
    <t>aire trapèzes</t>
  </si>
  <si>
    <t>gini</t>
  </si>
  <si>
    <t>somme trapèzes</t>
  </si>
  <si>
    <t>Proportion  des contribuables ayant un revenu supérieur au seuil inférieur du groupe</t>
  </si>
  <si>
    <t>Proportion de la fortune possédée par les contribuables ayant une fortune supérieure au seuil inférieur du groupe</t>
  </si>
  <si>
    <t>b = y_bar/s</t>
  </si>
  <si>
    <t>part 1%</t>
  </si>
  <si>
    <t>a = b/(b-1)</t>
  </si>
  <si>
    <t>k = s*p^(1/a)</t>
  </si>
  <si>
    <t>T</t>
  </si>
  <si>
    <t>p (share tax units with income above s</t>
  </si>
  <si>
    <t>y_bar_above_T</t>
  </si>
  <si>
    <t>interpolation lineaire</t>
  </si>
  <si>
    <t>Revenu total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</si>
</sst>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807]#,##0;\-#,##0"/>
    <numFmt numFmtId="165" formatCode="[$-10807]#,##0.00;\-#,##0.00"/>
    <numFmt numFmtId="166" formatCode="0\ \ \ "/>
    <numFmt numFmtId="167" formatCode="#,##0\ "/>
    <numFmt numFmtId="168" formatCode="#,##0.00_ ;\-#,##0.00\ "/>
  </numFmts>
  <fonts count="13" x14ac:knownFonts="1">
    <font>
      <sz val="11"/>
      <color rgb="FF000000"/>
      <name val="Calibri"/>
      <family val="2"/>
      <scheme val="minor"/>
    </font>
    <font>
      <sz val="11"/>
      <name val="Calibri"/>
      <family val="2"/>
    </font>
    <font>
      <sz val="11"/>
      <color rgb="FF000000"/>
      <name val="Calibri"/>
      <family val="2"/>
      <scheme val="minor"/>
    </font>
    <font>
      <sz val="10"/>
      <name val="MS Sans Serif"/>
    </font>
    <font>
      <sz val="7"/>
      <name val="Arial"/>
      <family val="2"/>
    </font>
    <font>
      <sz val="6"/>
      <name val="Arial"/>
      <family val="2"/>
    </font>
    <font>
      <b/>
      <sz val="12"/>
      <name val="Arial"/>
      <family val="2"/>
    </font>
    <font>
      <sz val="12"/>
      <name val="Arial"/>
      <family val="2"/>
    </font>
    <font>
      <u/>
      <sz val="12"/>
      <name val="Arial"/>
      <family val="2"/>
    </font>
    <font>
      <sz val="10"/>
      <name val="Arial"/>
      <family val="2"/>
    </font>
    <font>
      <u/>
      <sz val="11"/>
      <color theme="10"/>
      <name val="Calibri"/>
      <family val="2"/>
      <scheme val="minor"/>
    </font>
    <font>
      <sz val="11"/>
      <name val="Calibri"/>
      <family val="2"/>
      <scheme val="minor"/>
    </font>
    <font>
      <sz val="11"/>
      <name val="Arial"/>
      <family val="2"/>
    </font>
  </fonts>
  <fills count="13">
    <fill>
      <patternFill patternType="none"/>
    </fill>
    <fill>
      <patternFill patternType="gray125"/>
    </fill>
    <fill>
      <patternFill patternType="solid">
        <fgColor rgb="FFFFFFFF"/>
        <bgColor rgb="FFFFFFFF"/>
      </patternFill>
    </fill>
    <fill>
      <patternFill patternType="solid">
        <fgColor rgb="FFFFFFCC"/>
        <bgColor rgb="FFFFFFCC"/>
      </patternFill>
    </fill>
    <fill>
      <patternFill patternType="solid">
        <fgColor theme="0"/>
        <bgColor indexed="64"/>
      </patternFill>
    </fill>
    <fill>
      <patternFill patternType="solid">
        <fgColor theme="0" tint="-4.9989318521683403E-2"/>
        <bgColor indexed="64"/>
      </patternFill>
    </fill>
    <fill>
      <patternFill patternType="solid">
        <fgColor rgb="FFE4E4E4"/>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FF00"/>
        <bgColor rgb="FFFFFFFF"/>
      </patternFill>
    </fill>
    <fill>
      <patternFill patternType="solid">
        <fgColor rgb="FFFFFF00"/>
        <bgColor rgb="FFFFFFCC"/>
      </patternFill>
    </fill>
  </fills>
  <borders count="24">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right/>
      <top/>
      <bottom style="thin">
        <color indexed="22"/>
      </bottom>
      <diagonal/>
    </border>
    <border>
      <left/>
      <right/>
      <top/>
      <bottom style="thin">
        <color indexed="64"/>
      </bottom>
      <diagonal/>
    </border>
    <border>
      <left style="thin">
        <color rgb="FFD3D3D3"/>
      </left>
      <right/>
      <top/>
      <bottom style="thin">
        <color rgb="FFD3D3D3"/>
      </bottom>
      <diagonal/>
    </border>
    <border>
      <left/>
      <right style="thin">
        <color rgb="FFD3D3D3"/>
      </right>
      <top/>
      <bottom style="thin">
        <color rgb="FFD3D3D3"/>
      </bottom>
      <diagonal/>
    </border>
    <border>
      <left style="thin">
        <color rgb="FFD3D3D3"/>
      </left>
      <right style="thin">
        <color rgb="FFD3D3D3"/>
      </right>
      <top style="thin">
        <color rgb="FFD3D3D3"/>
      </top>
      <bottom/>
      <diagonal/>
    </border>
    <border>
      <left/>
      <right/>
      <top style="thin">
        <color rgb="FFD3D3D3"/>
      </top>
      <bottom/>
      <diagonal/>
    </border>
    <border>
      <left/>
      <right style="thin">
        <color rgb="FFD3D3D3"/>
      </right>
      <top style="thin">
        <color rgb="FFD3D3D3"/>
      </top>
      <bottom/>
      <diagonal/>
    </border>
    <border>
      <left/>
      <right style="thin">
        <color rgb="FFD3D3D3"/>
      </right>
      <top/>
      <bottom/>
      <diagonal/>
    </border>
    <border>
      <left style="thin">
        <color rgb="FFD3D3D3"/>
      </left>
      <right/>
      <top style="thin">
        <color rgb="FFD3D3D3"/>
      </top>
      <bottom/>
      <diagonal/>
    </border>
    <border>
      <left style="thin">
        <color rgb="FFD3D3D3"/>
      </left>
      <right/>
      <top/>
      <bottom/>
      <diagonal/>
    </border>
    <border>
      <left/>
      <right/>
      <top/>
      <bottom style="thin">
        <color rgb="FFD3D3D3"/>
      </bottom>
      <diagonal/>
    </border>
    <border>
      <left style="medium">
        <color indexed="64"/>
      </left>
      <right style="medium">
        <color indexed="64"/>
      </right>
      <top style="medium">
        <color indexed="64"/>
      </top>
      <bottom style="medium">
        <color indexed="64"/>
      </bottom>
      <diagonal/>
    </border>
    <border>
      <left style="thin">
        <color rgb="FFD3D3D3"/>
      </left>
      <right/>
      <top style="thin">
        <color rgb="FFD3D3D3"/>
      </top>
      <bottom style="thin">
        <color rgb="FFD3D3D3"/>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3" fillId="0" borderId="0"/>
    <xf numFmtId="0" fontId="10" fillId="0" borderId="0" applyNumberFormat="0" applyFill="0" applyBorder="0" applyAlignment="0" applyProtection="0"/>
    <xf numFmtId="0" fontId="9" fillId="0" borderId="0"/>
  </cellStyleXfs>
  <cellXfs count="111">
    <xf numFmtId="0" fontId="1" fillId="0" borderId="0" xfId="0" applyFont="1"/>
    <xf numFmtId="0" fontId="7" fillId="4" borderId="0" xfId="1" applyFont="1" applyFill="1" applyAlignment="1">
      <alignment horizontal="left" vertical="top" wrapText="1"/>
    </xf>
    <xf numFmtId="0" fontId="4" fillId="0" borderId="4" xfId="1" applyFont="1" applyBorder="1"/>
    <xf numFmtId="0" fontId="5" fillId="4" borderId="4" xfId="1" applyFont="1" applyFill="1" applyBorder="1"/>
    <xf numFmtId="0" fontId="6" fillId="4" borderId="4" xfId="1" applyFont="1" applyFill="1" applyBorder="1" applyAlignment="1">
      <alignment horizontal="center" vertical="center"/>
    </xf>
    <xf numFmtId="0" fontId="5" fillId="0" borderId="0" xfId="1" applyFont="1"/>
    <xf numFmtId="0" fontId="7" fillId="4" borderId="0" xfId="1" applyFont="1" applyFill="1" applyAlignment="1">
      <alignment horizontal="right" vertical="top"/>
    </xf>
    <xf numFmtId="0" fontId="7" fillId="4" borderId="0" xfId="1" applyFont="1" applyFill="1" applyAlignment="1">
      <alignment horizontal="justify" vertical="top" wrapText="1"/>
    </xf>
    <xf numFmtId="0" fontId="7" fillId="4" borderId="0" xfId="1" applyFont="1" applyFill="1" applyAlignment="1">
      <alignment vertical="top"/>
    </xf>
    <xf numFmtId="0" fontId="7" fillId="0" borderId="0" xfId="1" applyFont="1"/>
    <xf numFmtId="166" fontId="6" fillId="4" borderId="0" xfId="1" applyNumberFormat="1" applyFont="1" applyFill="1" applyAlignment="1">
      <alignment horizontal="right" vertical="top"/>
    </xf>
    <xf numFmtId="166" fontId="6" fillId="4" borderId="0" xfId="1" applyNumberFormat="1" applyFont="1" applyFill="1" applyAlignment="1">
      <alignment vertical="top"/>
    </xf>
    <xf numFmtId="0" fontId="6" fillId="4" borderId="0" xfId="1" applyFont="1" applyFill="1" applyAlignment="1">
      <alignment vertical="top"/>
    </xf>
    <xf numFmtId="0" fontId="6" fillId="4" borderId="0" xfId="1" applyFont="1" applyFill="1" applyAlignment="1">
      <alignment vertical="center"/>
    </xf>
    <xf numFmtId="0" fontId="8" fillId="4" borderId="0" xfId="1" applyFont="1" applyFill="1" applyAlignment="1">
      <alignment vertical="top"/>
    </xf>
    <xf numFmtId="0" fontId="7" fillId="4" borderId="0" xfId="1" quotePrefix="1" applyFont="1" applyFill="1" applyAlignment="1">
      <alignment vertical="top"/>
    </xf>
    <xf numFmtId="0" fontId="5" fillId="4" borderId="0" xfId="1" applyFont="1" applyFill="1"/>
    <xf numFmtId="0" fontId="7" fillId="4" borderId="0" xfId="1" applyFont="1" applyFill="1"/>
    <xf numFmtId="0" fontId="7" fillId="4" borderId="0" xfId="1" applyFont="1" applyFill="1" applyAlignment="1">
      <alignment horizontal="left" vertical="top"/>
    </xf>
    <xf numFmtId="0" fontId="7" fillId="4" borderId="5" xfId="1" applyFont="1" applyFill="1" applyBorder="1" applyAlignment="1">
      <alignment horizontal="justify" vertical="top"/>
    </xf>
    <xf numFmtId="0" fontId="7" fillId="0" borderId="0" xfId="1" applyFont="1" applyAlignment="1">
      <alignment horizontal="left"/>
    </xf>
    <xf numFmtId="0" fontId="3" fillId="0" borderId="0" xfId="1"/>
    <xf numFmtId="0" fontId="7" fillId="4" borderId="0" xfId="1" applyFont="1" applyFill="1" applyAlignment="1">
      <alignment horizontal="justify" vertical="top"/>
    </xf>
    <xf numFmtId="0" fontId="2" fillId="5" borderId="3" xfId="0" applyFont="1" applyFill="1" applyBorder="1" applyAlignment="1">
      <alignment horizontal="center" vertical="center" wrapText="1" readingOrder="1"/>
    </xf>
    <xf numFmtId="0" fontId="2" fillId="5" borderId="2" xfId="0" applyFont="1" applyFill="1" applyBorder="1" applyAlignment="1">
      <alignment horizontal="center" vertical="center" wrapText="1" readingOrder="1"/>
    </xf>
    <xf numFmtId="0" fontId="11" fillId="5" borderId="2" xfId="0" applyFont="1" applyFill="1" applyBorder="1" applyAlignment="1">
      <alignment horizontal="center" vertical="center" wrapText="1"/>
    </xf>
    <xf numFmtId="0" fontId="11" fillId="5" borderId="9" xfId="0" applyFont="1" applyFill="1" applyBorder="1" applyAlignment="1">
      <alignment horizontal="centerContinuous" vertical="center" wrapText="1"/>
    </xf>
    <xf numFmtId="0" fontId="11" fillId="5" borderId="10" xfId="0" applyFont="1" applyFill="1" applyBorder="1" applyAlignment="1">
      <alignment horizontal="centerContinuous" vertical="center" wrapText="1"/>
    </xf>
    <xf numFmtId="0" fontId="11" fillId="0" borderId="0" xfId="0" applyFont="1"/>
    <xf numFmtId="0" fontId="11" fillId="5" borderId="0" xfId="0" applyFont="1" applyFill="1" applyAlignment="1">
      <alignment horizontal="centerContinuous" vertical="center" wrapText="1"/>
    </xf>
    <xf numFmtId="0" fontId="11" fillId="5" borderId="11" xfId="0" applyFont="1" applyFill="1" applyBorder="1" applyAlignment="1">
      <alignment horizontal="centerContinuous" vertical="center" wrapText="1"/>
    </xf>
    <xf numFmtId="0" fontId="2" fillId="5" borderId="8" xfId="0" applyFont="1" applyFill="1" applyBorder="1" applyAlignment="1">
      <alignment horizontal="center" vertical="center" wrapText="1" readingOrder="1"/>
    </xf>
    <xf numFmtId="0" fontId="2" fillId="5" borderId="12" xfId="0" applyFont="1" applyFill="1" applyBorder="1" applyAlignment="1">
      <alignment horizontal="centerContinuous" vertical="center" wrapText="1" readingOrder="1"/>
    </xf>
    <xf numFmtId="0" fontId="2" fillId="5" borderId="13" xfId="0" applyFont="1" applyFill="1" applyBorder="1" applyAlignment="1">
      <alignment horizontal="centerContinuous" vertical="center" wrapText="1" readingOrder="1"/>
    </xf>
    <xf numFmtId="0" fontId="11" fillId="5" borderId="3" xfId="0" applyFont="1" applyFill="1" applyBorder="1" applyAlignment="1">
      <alignment horizontal="center" vertical="center" wrapText="1"/>
    </xf>
    <xf numFmtId="0" fontId="2" fillId="2" borderId="1" xfId="0" applyFont="1" applyFill="1" applyBorder="1" applyAlignment="1">
      <alignment horizontal="left" vertical="center" wrapText="1" indent="1" readingOrder="1"/>
    </xf>
    <xf numFmtId="164" fontId="2" fillId="2" borderId="1" xfId="0" applyNumberFormat="1" applyFont="1" applyFill="1" applyBorder="1" applyAlignment="1">
      <alignment horizontal="center" vertical="center" wrapText="1" readingOrder="1"/>
    </xf>
    <xf numFmtId="165" fontId="2" fillId="2" borderId="1" xfId="0" applyNumberFormat="1" applyFont="1" applyFill="1" applyBorder="1" applyAlignment="1">
      <alignment horizontal="center" vertical="center" wrapText="1" readingOrder="1"/>
    </xf>
    <xf numFmtId="0" fontId="2" fillId="3" borderId="1" xfId="0" applyFont="1" applyFill="1" applyBorder="1" applyAlignment="1">
      <alignment horizontal="left" vertical="center" wrapText="1" indent="1" readingOrder="1"/>
    </xf>
    <xf numFmtId="164" fontId="2" fillId="3" borderId="1" xfId="0" applyNumberFormat="1" applyFont="1" applyFill="1" applyBorder="1" applyAlignment="1">
      <alignment horizontal="center" vertical="center" wrapText="1" readingOrder="1"/>
    </xf>
    <xf numFmtId="165" fontId="2" fillId="3" borderId="1" xfId="0" applyNumberFormat="1" applyFont="1" applyFill="1" applyBorder="1" applyAlignment="1">
      <alignment horizontal="center" vertical="center" wrapText="1" readingOrder="1"/>
    </xf>
    <xf numFmtId="0" fontId="2" fillId="6" borderId="2" xfId="0" applyFont="1" applyFill="1" applyBorder="1" applyAlignment="1">
      <alignment horizontal="center" vertical="center" wrapText="1" readingOrder="1"/>
    </xf>
    <xf numFmtId="0" fontId="11" fillId="6" borderId="2" xfId="0" applyFont="1" applyFill="1" applyBorder="1" applyAlignment="1">
      <alignment horizontal="center" vertical="center" wrapText="1"/>
    </xf>
    <xf numFmtId="0" fontId="2" fillId="5" borderId="6" xfId="0" applyFont="1" applyFill="1" applyBorder="1" applyAlignment="1">
      <alignment horizontal="centerContinuous" vertical="top" wrapText="1" readingOrder="1"/>
    </xf>
    <xf numFmtId="0" fontId="11" fillId="5" borderId="14" xfId="0" applyFont="1" applyFill="1" applyBorder="1" applyAlignment="1">
      <alignment horizontal="centerContinuous" vertical="top" wrapText="1"/>
    </xf>
    <xf numFmtId="0" fontId="11" fillId="5" borderId="7" xfId="0" applyFont="1" applyFill="1" applyBorder="1" applyAlignment="1">
      <alignment horizontal="centerContinuous" vertical="top" wrapText="1"/>
    </xf>
    <xf numFmtId="0" fontId="2" fillId="5" borderId="3" xfId="0" applyFont="1" applyFill="1" applyBorder="1" applyAlignment="1">
      <alignment horizontal="centerContinuous" vertical="top" wrapText="1" readingOrder="1"/>
    </xf>
    <xf numFmtId="0" fontId="11" fillId="6" borderId="2" xfId="0" applyFont="1" applyFill="1" applyBorder="1" applyAlignment="1">
      <alignment vertical="center" wrapText="1"/>
    </xf>
    <xf numFmtId="0" fontId="2" fillId="6" borderId="12" xfId="0" applyFont="1" applyFill="1" applyBorder="1" applyAlignment="1">
      <alignment horizontal="centerContinuous" vertical="top" wrapText="1" readingOrder="1"/>
    </xf>
    <xf numFmtId="0" fontId="11" fillId="6" borderId="9" xfId="0" applyFont="1" applyFill="1" applyBorder="1" applyAlignment="1">
      <alignment horizontal="centerContinuous" vertical="top" wrapText="1"/>
    </xf>
    <xf numFmtId="0" fontId="11" fillId="6" borderId="10" xfId="0" applyFont="1" applyFill="1" applyBorder="1" applyAlignment="1">
      <alignment horizontal="centerContinuous" vertical="top" wrapText="1"/>
    </xf>
    <xf numFmtId="0" fontId="11" fillId="5" borderId="2" xfId="0" applyFont="1" applyFill="1" applyBorder="1" applyAlignment="1">
      <alignment vertical="center" wrapText="1"/>
    </xf>
    <xf numFmtId="0" fontId="2" fillId="6" borderId="13" xfId="0" applyFont="1" applyFill="1" applyBorder="1" applyAlignment="1">
      <alignment horizontal="centerContinuous" vertical="center" wrapText="1" readingOrder="1"/>
    </xf>
    <xf numFmtId="0" fontId="11" fillId="6" borderId="0" xfId="0" applyFont="1" applyFill="1" applyAlignment="1">
      <alignment horizontal="centerContinuous" vertical="center" wrapText="1"/>
    </xf>
    <xf numFmtId="0" fontId="11" fillId="6" borderId="11" xfId="0" applyFont="1" applyFill="1" applyBorder="1" applyAlignment="1">
      <alignment horizontal="centerContinuous" vertical="center" wrapText="1"/>
    </xf>
    <xf numFmtId="167" fontId="2" fillId="2" borderId="1" xfId="0" applyNumberFormat="1" applyFont="1" applyFill="1" applyBorder="1" applyAlignment="1">
      <alignment horizontal="center" vertical="center" readingOrder="1"/>
    </xf>
    <xf numFmtId="167" fontId="2" fillId="3" borderId="1" xfId="0" applyNumberFormat="1" applyFont="1" applyFill="1" applyBorder="1" applyAlignment="1">
      <alignment horizontal="center" vertical="center" readingOrder="1"/>
    </xf>
    <xf numFmtId="0" fontId="2" fillId="5" borderId="1" xfId="0" applyFont="1" applyFill="1" applyBorder="1" applyAlignment="1">
      <alignment horizontal="center" vertical="center" wrapText="1" readingOrder="1"/>
    </xf>
    <xf numFmtId="0" fontId="2" fillId="5" borderId="1" xfId="0" applyFont="1" applyFill="1" applyBorder="1" applyAlignment="1">
      <alignment horizontal="centerContinuous" vertical="center" wrapText="1" readingOrder="1"/>
    </xf>
    <xf numFmtId="0" fontId="11" fillId="6" borderId="1" xfId="0" applyFont="1" applyFill="1" applyBorder="1" applyAlignment="1">
      <alignment horizontal="center" vertical="center" wrapText="1"/>
    </xf>
    <xf numFmtId="0" fontId="2" fillId="6" borderId="1" xfId="0" applyFont="1" applyFill="1" applyBorder="1" applyAlignment="1">
      <alignment horizontal="center" vertical="center" wrapText="1" readingOrder="1"/>
    </xf>
    <xf numFmtId="0" fontId="1" fillId="0" borderId="8" xfId="0" applyFont="1" applyBorder="1"/>
    <xf numFmtId="0" fontId="1" fillId="0" borderId="2" xfId="0" applyFont="1" applyBorder="1"/>
    <xf numFmtId="0" fontId="1" fillId="0" borderId="3" xfId="0" applyFont="1" applyBorder="1"/>
    <xf numFmtId="0" fontId="2" fillId="5" borderId="3" xfId="0" applyFont="1" applyFill="1" applyBorder="1" applyAlignment="1">
      <alignment horizontal="centerContinuous" vertical="center" wrapText="1" readingOrder="1"/>
    </xf>
    <xf numFmtId="0" fontId="2" fillId="5" borderId="9" xfId="0" applyFont="1" applyFill="1" applyBorder="1" applyAlignment="1">
      <alignment horizontal="centerContinuous" vertical="center" wrapText="1" readingOrder="1"/>
    </xf>
    <xf numFmtId="0" fontId="2" fillId="5" borderId="10" xfId="0" applyFont="1" applyFill="1" applyBorder="1" applyAlignment="1">
      <alignment horizontal="centerContinuous" vertical="center" wrapText="1" readingOrder="1"/>
    </xf>
    <xf numFmtId="0" fontId="2" fillId="5" borderId="0" xfId="0" applyFont="1" applyFill="1" applyAlignment="1">
      <alignment horizontal="centerContinuous" vertical="center" wrapText="1" readingOrder="1"/>
    </xf>
    <xf numFmtId="0" fontId="2" fillId="5" borderId="11" xfId="0" applyFont="1" applyFill="1" applyBorder="1" applyAlignment="1">
      <alignment horizontal="centerContinuous" vertical="center" wrapText="1" readingOrder="1"/>
    </xf>
    <xf numFmtId="0" fontId="12" fillId="4" borderId="5" xfId="1" applyFont="1" applyFill="1" applyBorder="1" applyAlignment="1">
      <alignment vertical="center"/>
    </xf>
    <xf numFmtId="0" fontId="12" fillId="4" borderId="0" xfId="1" applyFont="1" applyFill="1" applyAlignment="1">
      <alignment vertical="center"/>
    </xf>
    <xf numFmtId="0" fontId="10" fillId="4" borderId="0" xfId="2" applyFill="1" applyAlignment="1" applyProtection="1">
      <alignment horizontal="left"/>
    </xf>
    <xf numFmtId="0" fontId="12" fillId="0" borderId="0" xfId="0" applyFont="1" applyAlignment="1">
      <alignment vertical="center"/>
    </xf>
    <xf numFmtId="0" fontId="12" fillId="4" borderId="0" xfId="1" applyFont="1" applyFill="1"/>
    <xf numFmtId="0" fontId="12" fillId="4" borderId="0" xfId="3" applyFont="1" applyFill="1" applyAlignment="1">
      <alignment horizontal="left" indent="1"/>
    </xf>
    <xf numFmtId="0" fontId="12" fillId="4" borderId="0" xfId="3" quotePrefix="1" applyFont="1" applyFill="1" applyAlignment="1">
      <alignment horizontal="left"/>
    </xf>
    <xf numFmtId="0" fontId="12" fillId="4" borderId="0" xfId="3" applyFont="1" applyFill="1" applyAlignment="1">
      <alignment horizontal="left"/>
    </xf>
    <xf numFmtId="0" fontId="10" fillId="4" borderId="0" xfId="2" applyFill="1"/>
    <xf numFmtId="167" fontId="2" fillId="2" borderId="1" xfId="0" applyNumberFormat="1" applyFont="1" applyFill="1" applyBorder="1" applyAlignment="1">
      <alignment horizontal="right" vertical="center" readingOrder="1"/>
    </xf>
    <xf numFmtId="168" fontId="2" fillId="2" borderId="1" xfId="0" applyNumberFormat="1" applyFont="1" applyFill="1" applyBorder="1" applyAlignment="1">
      <alignment horizontal="right" vertical="center" readingOrder="1"/>
    </xf>
    <xf numFmtId="167" fontId="2" fillId="3" borderId="1" xfId="0" applyNumberFormat="1" applyFont="1" applyFill="1" applyBorder="1" applyAlignment="1">
      <alignment horizontal="right" vertical="center" readingOrder="1"/>
    </xf>
    <xf numFmtId="168" fontId="2" fillId="3" borderId="1" xfId="0" applyNumberFormat="1" applyFont="1" applyFill="1" applyBorder="1" applyAlignment="1">
      <alignment horizontal="right" vertical="center" readingOrder="1"/>
    </xf>
    <xf numFmtId="167" fontId="1" fillId="0" borderId="0" xfId="0" applyNumberFormat="1" applyFont="1"/>
    <xf numFmtId="0" fontId="1" fillId="0" borderId="0" xfId="0" applyFont="1" applyAlignment="1">
      <alignment wrapText="1"/>
    </xf>
    <xf numFmtId="2" fontId="1" fillId="0" borderId="0" xfId="0" applyNumberFormat="1" applyFont="1"/>
    <xf numFmtId="0" fontId="2" fillId="5" borderId="16" xfId="0" applyFont="1" applyFill="1" applyBorder="1" applyAlignment="1">
      <alignment horizontal="center" vertical="center" wrapText="1" readingOrder="1"/>
    </xf>
    <xf numFmtId="0" fontId="1" fillId="8" borderId="17" xfId="0" applyFont="1" applyFill="1" applyBorder="1" applyAlignment="1">
      <alignment horizontal="center"/>
    </xf>
    <xf numFmtId="0" fontId="1" fillId="8" borderId="18" xfId="0" applyFont="1" applyFill="1" applyBorder="1" applyAlignment="1">
      <alignment horizontal="center"/>
    </xf>
    <xf numFmtId="167" fontId="2" fillId="2" borderId="16" xfId="0" applyNumberFormat="1" applyFont="1" applyFill="1" applyBorder="1" applyAlignment="1">
      <alignment horizontal="right" vertical="center" readingOrder="1"/>
    </xf>
    <xf numFmtId="167" fontId="2" fillId="3" borderId="16" xfId="0" applyNumberFormat="1" applyFont="1" applyFill="1" applyBorder="1" applyAlignment="1">
      <alignment horizontal="right" vertical="center" readingOrder="1"/>
    </xf>
    <xf numFmtId="0" fontId="1" fillId="8" borderId="0" xfId="0" applyFont="1" applyFill="1"/>
    <xf numFmtId="0" fontId="1" fillId="8" borderId="19" xfId="0" applyFont="1" applyFill="1" applyBorder="1"/>
    <xf numFmtId="0" fontId="1" fillId="8" borderId="20" xfId="0" applyFont="1" applyFill="1" applyBorder="1"/>
    <xf numFmtId="0" fontId="1" fillId="8" borderId="21" xfId="0" applyFont="1" applyFill="1" applyBorder="1"/>
    <xf numFmtId="0" fontId="1" fillId="8" borderId="15" xfId="0" applyFont="1" applyFill="1" applyBorder="1" applyAlignment="1">
      <alignment horizontal="center"/>
    </xf>
    <xf numFmtId="0" fontId="1" fillId="8" borderId="22" xfId="0" applyFont="1" applyFill="1" applyBorder="1"/>
    <xf numFmtId="0" fontId="1" fillId="8" borderId="23" xfId="0" applyFont="1" applyFill="1" applyBorder="1"/>
    <xf numFmtId="167" fontId="1" fillId="8" borderId="22" xfId="0" applyNumberFormat="1" applyFont="1" applyFill="1" applyBorder="1"/>
    <xf numFmtId="0" fontId="1" fillId="9" borderId="0" xfId="0" applyFont="1" applyFill="1" applyAlignment="1">
      <alignment horizontal="center"/>
    </xf>
    <xf numFmtId="0" fontId="1" fillId="9" borderId="0" xfId="0" applyFont="1" applyFill="1"/>
    <xf numFmtId="0" fontId="1" fillId="10" borderId="0" xfId="0" applyFont="1" applyFill="1"/>
    <xf numFmtId="167" fontId="2" fillId="11" borderId="1" xfId="0" applyNumberFormat="1" applyFont="1" applyFill="1" applyBorder="1" applyAlignment="1">
      <alignment horizontal="center" vertical="center" readingOrder="1"/>
    </xf>
    <xf numFmtId="167" fontId="2" fillId="11" borderId="1" xfId="0" applyNumberFormat="1" applyFont="1" applyFill="1" applyBorder="1" applyAlignment="1">
      <alignment horizontal="right" vertical="center" readingOrder="1"/>
    </xf>
    <xf numFmtId="167" fontId="2" fillId="11" borderId="16" xfId="0" applyNumberFormat="1" applyFont="1" applyFill="1" applyBorder="1" applyAlignment="1">
      <alignment horizontal="right" vertical="center" readingOrder="1"/>
    </xf>
    <xf numFmtId="0" fontId="1" fillId="10" borderId="22" xfId="0" applyFont="1" applyFill="1" applyBorder="1"/>
    <xf numFmtId="0" fontId="1" fillId="10" borderId="19" xfId="0" applyFont="1" applyFill="1" applyBorder="1"/>
    <xf numFmtId="167" fontId="2" fillId="12" borderId="1" xfId="0" applyNumberFormat="1" applyFont="1" applyFill="1" applyBorder="1" applyAlignment="1">
      <alignment horizontal="center" vertical="center" readingOrder="1"/>
    </xf>
    <xf numFmtId="167" fontId="2" fillId="12" borderId="1" xfId="0" applyNumberFormat="1" applyFont="1" applyFill="1" applyBorder="1" applyAlignment="1">
      <alignment horizontal="right" vertical="center" readingOrder="1"/>
    </xf>
    <xf numFmtId="167" fontId="2" fillId="12" borderId="16" xfId="0" applyNumberFormat="1" applyFont="1" applyFill="1" applyBorder="1" applyAlignment="1">
      <alignment horizontal="right" vertical="center" readingOrder="1"/>
    </xf>
    <xf numFmtId="0" fontId="1" fillId="7" borderId="0" xfId="0" applyFont="1" applyFill="1" applyAlignment="1">
      <alignment horizontal="center"/>
    </xf>
    <xf numFmtId="0" fontId="7" fillId="4" borderId="0" xfId="1" applyFont="1" applyFill="1" applyAlignment="1">
      <alignment horizontal="left" vertical="top" wrapText="1"/>
    </xf>
  </cellXfs>
  <cellStyles count="4">
    <cellStyle name="Lien hypertexte" xfId="2" builtinId="8"/>
    <cellStyle name="Normal" xfId="0" builtinId="0"/>
    <cellStyle name="Standard 2" xfId="1" xr:uid="{92BE9A89-C1FA-40EA-8B99-C97B1DE95138}"/>
    <cellStyle name="Standard 2 3" xfId="3" xr:uid="{018362FF-9228-45A8-8C5F-4367B77557F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FFFF"/>
      <rgbColor rgb="00FFFFCC"/>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FF00"/>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4E4E4"/>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'gini ch'!$F$3:$F$4</c:f>
              <c:strCache>
                <c:ptCount val="2"/>
                <c:pt idx="0">
                  <c:v>Courbe de Lorenz</c:v>
                </c:pt>
                <c:pt idx="1">
                  <c:v>Proportion cumulée de la fortune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'gini ch'!$E$5:$E$16</c:f>
              <c:numCache>
                <c:formatCode>General</c:formatCode>
                <c:ptCount val="12"/>
                <c:pt idx="0">
                  <c:v>0</c:v>
                </c:pt>
                <c:pt idx="1">
                  <c:v>0.2232583582291546</c:v>
                </c:pt>
                <c:pt idx="2">
                  <c:v>0.5253548929401346</c:v>
                </c:pt>
                <c:pt idx="3">
                  <c:v>0.62270552111655786</c:v>
                </c:pt>
                <c:pt idx="4">
                  <c:v>0.72400217317771542</c:v>
                </c:pt>
                <c:pt idx="5">
                  <c:v>0.85501488428076988</c:v>
                </c:pt>
                <c:pt idx="6">
                  <c:v>0.93046913287690447</c:v>
                </c:pt>
                <c:pt idx="7">
                  <c:v>0.97097232674929546</c:v>
                </c:pt>
                <c:pt idx="8">
                  <c:v>0.98272898405715536</c:v>
                </c:pt>
                <c:pt idx="9">
                  <c:v>0.99101781590673144</c:v>
                </c:pt>
                <c:pt idx="10">
                  <c:v>0.99627959495741891</c:v>
                </c:pt>
                <c:pt idx="11">
                  <c:v>1</c:v>
                </c:pt>
              </c:numCache>
            </c:numRef>
          </c:xVal>
          <c:yVal>
            <c:numRef>
              <c:f>'gini ch'!$F$5:$F$16</c:f>
              <c:numCache>
                <c:formatCode>#\ ##0\ </c:formatCode>
                <c:ptCount val="12"/>
                <c:pt idx="0" formatCode="General">
                  <c:v>0</c:v>
                </c:pt>
                <c:pt idx="1">
                  <c:v>0</c:v>
                </c:pt>
                <c:pt idx="2" formatCode="General">
                  <c:v>1.2018148586307696E-2</c:v>
                </c:pt>
                <c:pt idx="3" formatCode="General">
                  <c:v>2.8623149880029553E-2</c:v>
                </c:pt>
                <c:pt idx="4" formatCode="General">
                  <c:v>6.2980672192223044E-2</c:v>
                </c:pt>
                <c:pt idx="5" formatCode="General">
                  <c:v>0.16274689814980633</c:v>
                </c:pt>
                <c:pt idx="6" formatCode="General">
                  <c:v>0.28717573304527411</c:v>
                </c:pt>
                <c:pt idx="7" formatCode="General">
                  <c:v>0.41797272339568409</c:v>
                </c:pt>
                <c:pt idx="8" formatCode="General">
                  <c:v>0.48480520838649893</c:v>
                </c:pt>
                <c:pt idx="9" formatCode="General">
                  <c:v>0.55885441479972398</c:v>
                </c:pt>
                <c:pt idx="10" formatCode="General">
                  <c:v>0.64362550427687171</c:v>
                </c:pt>
                <c:pt idx="11" formatCode="General">
                  <c:v>1</c:v>
                </c:pt>
              </c:numCache>
            </c:numRef>
          </c:yVal>
          <c:smooth val="0"/>
          <c:extLst>
            <c:ext xmlns:c16="http://schemas.microsoft.com/office/drawing/2014/chart" uri="{C3380CC4-5D6E-409C-BE32-E72D297353CC}">
              <c16:uniqueId val="{00000000-FAD7-4A68-B02F-CCDD23D96308}"/>
            </c:ext>
          </c:extLst>
        </c:ser>
        <c:ser>
          <c:idx val="1"/>
          <c:order val="1"/>
          <c:tx>
            <c:strRef>
              <c:f>'gini ch'!$H$3:$H$4</c:f>
              <c:strCache>
                <c:ptCount val="2"/>
                <c:pt idx="0">
                  <c:v>Courbe de Lorenz</c:v>
                </c:pt>
                <c:pt idx="1">
                  <c:v>ligne égalité y</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'gini ch'!$G$5:$G$16</c:f>
              <c:numCache>
                <c:formatCode>General</c:formatCode>
                <c:ptCount val="12"/>
                <c:pt idx="0">
                  <c:v>0</c:v>
                </c:pt>
                <c:pt idx="1">
                  <c:v>9.0909090909090912E-2</c:v>
                </c:pt>
                <c:pt idx="2">
                  <c:v>0.18181818181818182</c:v>
                </c:pt>
                <c:pt idx="3">
                  <c:v>0.27272727272727271</c:v>
                </c:pt>
                <c:pt idx="4">
                  <c:v>0.36363636363636365</c:v>
                </c:pt>
                <c:pt idx="5">
                  <c:v>0.45454545454545459</c:v>
                </c:pt>
                <c:pt idx="6">
                  <c:v>0.54545454545454553</c:v>
                </c:pt>
                <c:pt idx="7">
                  <c:v>0.63636363636363646</c:v>
                </c:pt>
                <c:pt idx="8">
                  <c:v>0.7272727272727274</c:v>
                </c:pt>
                <c:pt idx="9">
                  <c:v>0.81818181818181834</c:v>
                </c:pt>
                <c:pt idx="10">
                  <c:v>0.90909090909090928</c:v>
                </c:pt>
                <c:pt idx="11">
                  <c:v>1.0000000000000002</c:v>
                </c:pt>
              </c:numCache>
            </c:numRef>
          </c:xVal>
          <c:yVal>
            <c:numRef>
              <c:f>'gini ch'!$H$5:$H$16</c:f>
              <c:numCache>
                <c:formatCode>General</c:formatCode>
                <c:ptCount val="12"/>
                <c:pt idx="0">
                  <c:v>0</c:v>
                </c:pt>
                <c:pt idx="1">
                  <c:v>9.0909090909090912E-2</c:v>
                </c:pt>
                <c:pt idx="2">
                  <c:v>0.18181818181818182</c:v>
                </c:pt>
                <c:pt idx="3">
                  <c:v>0.27272727272727271</c:v>
                </c:pt>
                <c:pt idx="4">
                  <c:v>0.36363636363636365</c:v>
                </c:pt>
                <c:pt idx="5">
                  <c:v>0.45454545454545459</c:v>
                </c:pt>
                <c:pt idx="6">
                  <c:v>0.54545454545454553</c:v>
                </c:pt>
                <c:pt idx="7">
                  <c:v>0.63636363636363646</c:v>
                </c:pt>
                <c:pt idx="8">
                  <c:v>0.7272727272727274</c:v>
                </c:pt>
                <c:pt idx="9">
                  <c:v>0.81818181818181834</c:v>
                </c:pt>
                <c:pt idx="10">
                  <c:v>0.90909090909090928</c:v>
                </c:pt>
                <c:pt idx="11">
                  <c:v>1.0000000000000002</c:v>
                </c:pt>
              </c:numCache>
            </c:numRef>
          </c:yVal>
          <c:smooth val="0"/>
          <c:extLst>
            <c:ext xmlns:c16="http://schemas.microsoft.com/office/drawing/2014/chart" uri="{C3380CC4-5D6E-409C-BE32-E72D297353CC}">
              <c16:uniqueId val="{00000001-FAD7-4A68-B02F-CCDD23D96308}"/>
            </c:ext>
          </c:extLst>
        </c:ser>
        <c:dLbls>
          <c:showLegendKey val="0"/>
          <c:showVal val="0"/>
          <c:showCatName val="0"/>
          <c:showSerName val="0"/>
          <c:showPercent val="0"/>
          <c:showBubbleSize val="0"/>
        </c:dLbls>
        <c:axId val="59882031"/>
        <c:axId val="59906031"/>
      </c:scatterChart>
      <c:valAx>
        <c:axId val="5988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906031"/>
        <c:crosses val="autoZero"/>
        <c:crossBetween val="midCat"/>
      </c:valAx>
      <c:valAx>
        <c:axId val="5990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882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170394</xdr:colOff>
      <xdr:row>17</xdr:row>
      <xdr:rowOff>28133</xdr:rowOff>
    </xdr:from>
    <xdr:to>
      <xdr:col>6</xdr:col>
      <xdr:colOff>431082</xdr:colOff>
      <xdr:row>30</xdr:row>
      <xdr:rowOff>33071</xdr:rowOff>
    </xdr:to>
    <xdr:graphicFrame macro="">
      <xdr:nvGraphicFramePr>
        <xdr:cNvPr id="4" name="Graphique 3">
          <a:extLst>
            <a:ext uri="{FF2B5EF4-FFF2-40B4-BE49-F238E27FC236}">
              <a16:creationId xmlns:a16="http://schemas.microsoft.com/office/drawing/2014/main" id="{10352C70-9BAE-9B97-F5CE-C4BFF6DCE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teuerstatistik@estv.admin.ch"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steuerstatistik@estv.admin.c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30C28-FB64-45EE-8330-1613430D0A70}">
  <dimension ref="A1:D126"/>
  <sheetViews>
    <sheetView zoomScaleNormal="100" workbookViewId="0"/>
  </sheetViews>
  <sheetFormatPr baseColWidth="10" defaultColWidth="11.453125" defaultRowHeight="15.5" x14ac:dyDescent="0.35"/>
  <cols>
    <col min="1" max="1" width="4.81640625" style="20" customWidth="1"/>
    <col min="2" max="2" width="25.7265625" style="5" customWidth="1"/>
    <col min="3" max="3" width="74.1796875" style="5" bestFit="1" customWidth="1"/>
    <col min="4" max="4" width="5.453125" style="5" customWidth="1"/>
    <col min="5" max="16384" width="11.453125" style="9"/>
  </cols>
  <sheetData>
    <row r="1" spans="1:4" s="5" customFormat="1" ht="16" customHeight="1" x14ac:dyDescent="0.2">
      <c r="A1" s="2" t="s">
        <v>274</v>
      </c>
      <c r="B1" s="3"/>
      <c r="C1" s="3"/>
      <c r="D1" s="4"/>
    </row>
    <row r="2" spans="1:4" ht="8.15" customHeight="1" x14ac:dyDescent="0.35">
      <c r="A2" s="6"/>
      <c r="B2" s="7"/>
      <c r="C2" s="7"/>
      <c r="D2" s="8"/>
    </row>
    <row r="3" spans="1:4" ht="20.149999999999999" customHeight="1" x14ac:dyDescent="0.35">
      <c r="A3" s="10">
        <v>1</v>
      </c>
      <c r="B3" s="11" t="s">
        <v>44</v>
      </c>
      <c r="C3" s="11"/>
      <c r="D3" s="8"/>
    </row>
    <row r="4" spans="1:4" ht="16" customHeight="1" x14ac:dyDescent="0.35">
      <c r="A4" s="6"/>
      <c r="B4" s="8" t="s">
        <v>45</v>
      </c>
      <c r="C4" s="8"/>
      <c r="D4" s="8"/>
    </row>
    <row r="5" spans="1:4" ht="16" customHeight="1" x14ac:dyDescent="0.35">
      <c r="A5" s="6"/>
      <c r="B5" s="8" t="s">
        <v>275</v>
      </c>
      <c r="C5" s="8"/>
      <c r="D5" s="8"/>
    </row>
    <row r="6" spans="1:4" ht="16" customHeight="1" x14ac:dyDescent="0.35">
      <c r="A6" s="6"/>
      <c r="B6" s="8" t="s">
        <v>46</v>
      </c>
      <c r="C6" s="8"/>
      <c r="D6" s="8"/>
    </row>
    <row r="7" spans="1:4" ht="16" customHeight="1" x14ac:dyDescent="0.35">
      <c r="A7" s="6"/>
      <c r="B7" s="8" t="s">
        <v>47</v>
      </c>
      <c r="C7" s="8"/>
      <c r="D7" s="8"/>
    </row>
    <row r="8" spans="1:4" ht="16" customHeight="1" x14ac:dyDescent="0.35">
      <c r="A8" s="6"/>
      <c r="B8" s="8" t="s">
        <v>48</v>
      </c>
      <c r="C8" s="8"/>
      <c r="D8" s="8"/>
    </row>
    <row r="9" spans="1:4" ht="16" customHeight="1" x14ac:dyDescent="0.35">
      <c r="A9" s="6"/>
      <c r="B9" s="8" t="s">
        <v>49</v>
      </c>
      <c r="C9" s="8"/>
      <c r="D9" s="8"/>
    </row>
    <row r="10" spans="1:4" ht="8.15" customHeight="1" x14ac:dyDescent="0.35">
      <c r="A10" s="6"/>
      <c r="B10" s="7"/>
      <c r="C10" s="7"/>
      <c r="D10" s="8"/>
    </row>
    <row r="11" spans="1:4" ht="20.149999999999999" customHeight="1" x14ac:dyDescent="0.35">
      <c r="A11" s="10">
        <v>2</v>
      </c>
      <c r="B11" s="11" t="s">
        <v>50</v>
      </c>
      <c r="C11" s="11"/>
      <c r="D11" s="8"/>
    </row>
    <row r="12" spans="1:4" ht="16" customHeight="1" x14ac:dyDescent="0.35">
      <c r="A12" s="6"/>
      <c r="B12" s="8" t="s">
        <v>51</v>
      </c>
      <c r="C12" s="8"/>
      <c r="D12" s="8"/>
    </row>
    <row r="13" spans="1:4" ht="16" customHeight="1" x14ac:dyDescent="0.35">
      <c r="A13" s="6"/>
      <c r="B13" s="12" t="s">
        <v>52</v>
      </c>
      <c r="C13" s="8"/>
      <c r="D13" s="8"/>
    </row>
    <row r="14" spans="1:4" ht="16" customHeight="1" x14ac:dyDescent="0.35">
      <c r="A14" s="6"/>
      <c r="B14" s="8" t="s">
        <v>276</v>
      </c>
      <c r="C14" s="8"/>
      <c r="D14" s="8"/>
    </row>
    <row r="15" spans="1:4" ht="16" customHeight="1" x14ac:dyDescent="0.35">
      <c r="A15" s="6"/>
      <c r="B15" s="8" t="s">
        <v>53</v>
      </c>
      <c r="C15" s="8"/>
      <c r="D15" s="8"/>
    </row>
    <row r="16" spans="1:4" ht="16" customHeight="1" x14ac:dyDescent="0.35">
      <c r="A16" s="6"/>
      <c r="B16" s="8" t="s">
        <v>54</v>
      </c>
      <c r="C16" s="8"/>
      <c r="D16" s="8"/>
    </row>
    <row r="17" spans="1:4" ht="16" customHeight="1" x14ac:dyDescent="0.35">
      <c r="A17" s="6"/>
      <c r="B17" s="8" t="s">
        <v>55</v>
      </c>
      <c r="C17" s="8"/>
      <c r="D17" s="8"/>
    </row>
    <row r="18" spans="1:4" ht="16" customHeight="1" x14ac:dyDescent="0.35">
      <c r="A18" s="6"/>
      <c r="B18" s="8" t="s">
        <v>56</v>
      </c>
      <c r="C18" s="8"/>
      <c r="D18" s="8"/>
    </row>
    <row r="19" spans="1:4" ht="16" customHeight="1" x14ac:dyDescent="0.35">
      <c r="A19" s="6"/>
      <c r="B19" s="8" t="s">
        <v>57</v>
      </c>
      <c r="C19" s="8"/>
      <c r="D19" s="8"/>
    </row>
    <row r="20" spans="1:4" ht="16" customHeight="1" x14ac:dyDescent="0.35">
      <c r="A20" s="6"/>
      <c r="B20" s="8" t="s">
        <v>58</v>
      </c>
      <c r="C20" s="8"/>
      <c r="D20" s="8"/>
    </row>
    <row r="21" spans="1:4" ht="16" customHeight="1" x14ac:dyDescent="0.35">
      <c r="A21" s="6"/>
      <c r="B21" s="8" t="s">
        <v>59</v>
      </c>
      <c r="C21" s="8"/>
      <c r="D21" s="8"/>
    </row>
    <row r="22" spans="1:4" ht="16" customHeight="1" x14ac:dyDescent="0.35">
      <c r="A22" s="6"/>
      <c r="B22" s="8" t="s">
        <v>60</v>
      </c>
      <c r="C22" s="8"/>
      <c r="D22" s="8"/>
    </row>
    <row r="23" spans="1:4" ht="16" customHeight="1" x14ac:dyDescent="0.35">
      <c r="A23" s="6"/>
      <c r="B23" s="8" t="s">
        <v>61</v>
      </c>
      <c r="C23" s="8"/>
      <c r="D23" s="8"/>
    </row>
    <row r="24" spans="1:4" ht="16" customHeight="1" x14ac:dyDescent="0.35">
      <c r="A24" s="6"/>
      <c r="B24" s="8" t="s">
        <v>62</v>
      </c>
      <c r="C24" s="8"/>
      <c r="D24" s="8"/>
    </row>
    <row r="25" spans="1:4" ht="16" customHeight="1" x14ac:dyDescent="0.35">
      <c r="A25" s="6"/>
      <c r="B25" s="8" t="s">
        <v>63</v>
      </c>
      <c r="C25" s="8"/>
      <c r="D25" s="8"/>
    </row>
    <row r="26" spans="1:4" ht="16" customHeight="1" x14ac:dyDescent="0.35">
      <c r="A26" s="6"/>
      <c r="B26" s="8"/>
      <c r="C26" s="8"/>
      <c r="D26" s="8"/>
    </row>
    <row r="27" spans="1:4" ht="20.149999999999999" customHeight="1" x14ac:dyDescent="0.35">
      <c r="A27" s="6"/>
      <c r="B27" s="13" t="s">
        <v>64</v>
      </c>
      <c r="C27" s="8"/>
      <c r="D27" s="8"/>
    </row>
    <row r="28" spans="1:4" ht="16" customHeight="1" x14ac:dyDescent="0.35">
      <c r="A28" s="6"/>
      <c r="B28" s="14" t="s">
        <v>65</v>
      </c>
      <c r="C28" s="8"/>
      <c r="D28" s="8"/>
    </row>
    <row r="29" spans="1:4" ht="16" customHeight="1" x14ac:dyDescent="0.35">
      <c r="A29" s="6"/>
      <c r="B29" s="8" t="s">
        <v>66</v>
      </c>
      <c r="C29" s="8"/>
      <c r="D29" s="8"/>
    </row>
    <row r="30" spans="1:4" ht="16" customHeight="1" x14ac:dyDescent="0.35">
      <c r="A30" s="6"/>
      <c r="B30" s="8" t="s">
        <v>67</v>
      </c>
      <c r="C30" s="8"/>
      <c r="D30" s="8"/>
    </row>
    <row r="31" spans="1:4" ht="16" customHeight="1" x14ac:dyDescent="0.35">
      <c r="A31" s="6"/>
      <c r="B31" s="8" t="s">
        <v>68</v>
      </c>
      <c r="C31" s="8"/>
      <c r="D31" s="8"/>
    </row>
    <row r="32" spans="1:4" ht="16" customHeight="1" x14ac:dyDescent="0.35">
      <c r="A32" s="6"/>
      <c r="B32" s="8" t="s">
        <v>69</v>
      </c>
      <c r="C32" s="8"/>
      <c r="D32" s="8"/>
    </row>
    <row r="33" spans="1:4" ht="16" customHeight="1" x14ac:dyDescent="0.35">
      <c r="A33" s="6"/>
      <c r="B33" s="8"/>
      <c r="C33" s="8"/>
      <c r="D33" s="8"/>
    </row>
    <row r="34" spans="1:4" ht="20.149999999999999" customHeight="1" x14ac:dyDescent="0.35">
      <c r="A34" s="6"/>
      <c r="B34" s="13" t="s">
        <v>70</v>
      </c>
      <c r="C34" s="8"/>
      <c r="D34" s="8"/>
    </row>
    <row r="35" spans="1:4" ht="16" customHeight="1" x14ac:dyDescent="0.35">
      <c r="A35" s="6"/>
      <c r="B35" s="14" t="s">
        <v>71</v>
      </c>
      <c r="C35" s="8"/>
      <c r="D35" s="8"/>
    </row>
    <row r="36" spans="1:4" ht="16" customHeight="1" x14ac:dyDescent="0.35">
      <c r="A36" s="6"/>
      <c r="B36" s="8" t="s">
        <v>72</v>
      </c>
      <c r="C36" s="8"/>
      <c r="D36" s="8"/>
    </row>
    <row r="37" spans="1:4" ht="16" customHeight="1" x14ac:dyDescent="0.35">
      <c r="A37" s="6"/>
      <c r="B37" s="8" t="s">
        <v>73</v>
      </c>
      <c r="C37" s="8"/>
      <c r="D37" s="8"/>
    </row>
    <row r="38" spans="1:4" ht="16" customHeight="1" x14ac:dyDescent="0.35">
      <c r="A38" s="6"/>
      <c r="B38" s="8"/>
      <c r="C38" s="8"/>
      <c r="D38" s="8"/>
    </row>
    <row r="39" spans="1:4" ht="20.149999999999999" customHeight="1" x14ac:dyDescent="0.35">
      <c r="A39" s="6"/>
      <c r="B39" s="13" t="s">
        <v>74</v>
      </c>
      <c r="C39" s="8"/>
      <c r="D39" s="8"/>
    </row>
    <row r="40" spans="1:4" ht="16" customHeight="1" x14ac:dyDescent="0.35">
      <c r="A40" s="6"/>
      <c r="B40" s="14" t="s">
        <v>75</v>
      </c>
      <c r="C40" s="8"/>
      <c r="D40" s="8"/>
    </row>
    <row r="41" spans="1:4" ht="16" customHeight="1" x14ac:dyDescent="0.35">
      <c r="A41" s="6"/>
      <c r="B41" s="14" t="s">
        <v>76</v>
      </c>
      <c r="C41" s="8"/>
      <c r="D41" s="8"/>
    </row>
    <row r="42" spans="1:4" ht="16" customHeight="1" x14ac:dyDescent="0.35">
      <c r="A42" s="6"/>
      <c r="B42" s="8" t="s">
        <v>77</v>
      </c>
      <c r="C42" s="8"/>
      <c r="D42" s="8"/>
    </row>
    <row r="43" spans="1:4" ht="16" customHeight="1" x14ac:dyDescent="0.35">
      <c r="A43" s="6"/>
      <c r="B43" s="8" t="s">
        <v>78</v>
      </c>
      <c r="C43" s="8"/>
      <c r="D43" s="8"/>
    </row>
    <row r="44" spans="1:4" ht="16" customHeight="1" x14ac:dyDescent="0.35">
      <c r="A44" s="6"/>
      <c r="B44" s="8" t="s">
        <v>79</v>
      </c>
      <c r="C44" s="8"/>
      <c r="D44" s="8"/>
    </row>
    <row r="45" spans="1:4" ht="16" customHeight="1" x14ac:dyDescent="0.35">
      <c r="A45" s="6"/>
      <c r="B45" s="8" t="s">
        <v>80</v>
      </c>
      <c r="C45" s="8"/>
      <c r="D45" s="8"/>
    </row>
    <row r="46" spans="1:4" ht="16" customHeight="1" x14ac:dyDescent="0.35">
      <c r="A46" s="6"/>
      <c r="B46" s="8" t="s">
        <v>81</v>
      </c>
      <c r="C46" s="8"/>
      <c r="D46" s="8"/>
    </row>
    <row r="47" spans="1:4" ht="16" customHeight="1" x14ac:dyDescent="0.35">
      <c r="A47" s="6"/>
      <c r="B47" s="8" t="s">
        <v>82</v>
      </c>
      <c r="C47" s="8"/>
      <c r="D47" s="8"/>
    </row>
    <row r="48" spans="1:4" ht="16" customHeight="1" x14ac:dyDescent="0.35">
      <c r="A48" s="6"/>
      <c r="B48" s="8" t="s">
        <v>83</v>
      </c>
      <c r="C48" s="8"/>
      <c r="D48" s="8"/>
    </row>
    <row r="49" spans="1:4" ht="16" customHeight="1" x14ac:dyDescent="0.35">
      <c r="A49" s="6"/>
      <c r="B49" s="8" t="s">
        <v>84</v>
      </c>
      <c r="C49" s="8"/>
      <c r="D49" s="8"/>
    </row>
    <row r="50" spans="1:4" ht="8.15" customHeight="1" x14ac:dyDescent="0.35">
      <c r="A50" s="6"/>
      <c r="B50" s="7"/>
      <c r="C50" s="7"/>
      <c r="D50" s="8"/>
    </row>
    <row r="51" spans="1:4" ht="16" customHeight="1" x14ac:dyDescent="0.35">
      <c r="A51" s="6"/>
      <c r="B51" s="8" t="s">
        <v>85</v>
      </c>
      <c r="C51" s="8"/>
      <c r="D51" s="8"/>
    </row>
    <row r="52" spans="1:4" ht="16" customHeight="1" x14ac:dyDescent="0.35">
      <c r="A52" s="6"/>
      <c r="B52" s="8" t="s">
        <v>86</v>
      </c>
      <c r="C52" s="8"/>
      <c r="D52" s="8"/>
    </row>
    <row r="53" spans="1:4" ht="16" customHeight="1" x14ac:dyDescent="0.35">
      <c r="A53" s="6"/>
      <c r="B53" s="8" t="s">
        <v>87</v>
      </c>
      <c r="C53" s="8"/>
      <c r="D53" s="8"/>
    </row>
    <row r="54" spans="1:4" ht="16" customHeight="1" x14ac:dyDescent="0.35">
      <c r="A54" s="6"/>
      <c r="B54" s="8" t="s">
        <v>88</v>
      </c>
      <c r="C54" s="8"/>
      <c r="D54" s="8"/>
    </row>
    <row r="55" spans="1:4" ht="16" customHeight="1" x14ac:dyDescent="0.35">
      <c r="A55" s="6"/>
      <c r="B55" s="8" t="s">
        <v>89</v>
      </c>
      <c r="C55" s="8"/>
      <c r="D55" s="8"/>
    </row>
    <row r="56" spans="1:4" ht="16" customHeight="1" x14ac:dyDescent="0.35">
      <c r="A56" s="6"/>
      <c r="B56" s="8" t="s">
        <v>90</v>
      </c>
      <c r="C56" s="8"/>
      <c r="D56" s="8"/>
    </row>
    <row r="57" spans="1:4" ht="16" customHeight="1" x14ac:dyDescent="0.35">
      <c r="A57" s="6"/>
      <c r="B57" s="8" t="s">
        <v>91</v>
      </c>
      <c r="C57" s="8"/>
      <c r="D57" s="8"/>
    </row>
    <row r="58" spans="1:4" ht="16" customHeight="1" x14ac:dyDescent="0.35">
      <c r="A58" s="6"/>
      <c r="B58" s="8" t="s">
        <v>92</v>
      </c>
      <c r="C58" s="8"/>
      <c r="D58" s="8"/>
    </row>
    <row r="59" spans="1:4" ht="8.15" customHeight="1" x14ac:dyDescent="0.35">
      <c r="A59" s="6"/>
      <c r="B59" s="7"/>
      <c r="C59" s="7"/>
      <c r="D59" s="8"/>
    </row>
    <row r="60" spans="1:4" ht="20.149999999999999" customHeight="1" x14ac:dyDescent="0.35">
      <c r="A60" s="10">
        <v>3</v>
      </c>
      <c r="B60" s="11" t="s">
        <v>93</v>
      </c>
      <c r="C60" s="11"/>
      <c r="D60" s="8"/>
    </row>
    <row r="61" spans="1:4" ht="16" customHeight="1" x14ac:dyDescent="0.35">
      <c r="A61" s="6"/>
      <c r="B61" s="8" t="s">
        <v>94</v>
      </c>
      <c r="C61" s="8"/>
      <c r="D61" s="8"/>
    </row>
    <row r="62" spans="1:4" ht="16" customHeight="1" x14ac:dyDescent="0.35">
      <c r="A62" s="6"/>
      <c r="B62" s="8" t="s">
        <v>95</v>
      </c>
      <c r="C62" s="8"/>
      <c r="D62" s="8"/>
    </row>
    <row r="63" spans="1:4" ht="16" customHeight="1" x14ac:dyDescent="0.35">
      <c r="A63" s="6"/>
      <c r="B63" s="8"/>
      <c r="C63" s="8"/>
      <c r="D63" s="8"/>
    </row>
    <row r="64" spans="1:4" ht="16" customHeight="1" x14ac:dyDescent="0.35">
      <c r="A64" s="6"/>
      <c r="B64" s="8" t="s">
        <v>96</v>
      </c>
      <c r="C64" s="8"/>
      <c r="D64" s="8"/>
    </row>
    <row r="65" spans="1:4" ht="16" customHeight="1" x14ac:dyDescent="0.35">
      <c r="A65" s="6"/>
      <c r="B65" s="8" t="s">
        <v>97</v>
      </c>
      <c r="C65" s="8"/>
      <c r="D65" s="8"/>
    </row>
    <row r="66" spans="1:4" ht="16" customHeight="1" x14ac:dyDescent="0.35">
      <c r="A66" s="6"/>
      <c r="B66" s="8"/>
      <c r="C66" s="8"/>
      <c r="D66" s="8"/>
    </row>
    <row r="67" spans="1:4" ht="16" customHeight="1" x14ac:dyDescent="0.35">
      <c r="A67" s="6"/>
      <c r="B67" s="8" t="s">
        <v>98</v>
      </c>
      <c r="C67" s="8"/>
      <c r="D67" s="8"/>
    </row>
    <row r="68" spans="1:4" ht="16" customHeight="1" x14ac:dyDescent="0.35">
      <c r="A68" s="6"/>
      <c r="B68" s="8" t="s">
        <v>99</v>
      </c>
      <c r="C68" s="8"/>
      <c r="D68" s="8"/>
    </row>
    <row r="69" spans="1:4" ht="16" customHeight="1" x14ac:dyDescent="0.35">
      <c r="A69" s="6"/>
      <c r="B69" s="8" t="s">
        <v>100</v>
      </c>
      <c r="C69" s="8"/>
      <c r="D69" s="8"/>
    </row>
    <row r="70" spans="1:4" ht="16" customHeight="1" x14ac:dyDescent="0.35">
      <c r="A70" s="6"/>
      <c r="B70" s="8" t="s">
        <v>101</v>
      </c>
      <c r="C70" s="8"/>
      <c r="D70" s="8"/>
    </row>
    <row r="71" spans="1:4" ht="16" customHeight="1" x14ac:dyDescent="0.35">
      <c r="A71" s="6" t="s">
        <v>43</v>
      </c>
      <c r="B71" s="8" t="s">
        <v>102</v>
      </c>
      <c r="C71" s="8"/>
      <c r="D71" s="8"/>
    </row>
    <row r="72" spans="1:4" ht="16" customHeight="1" x14ac:dyDescent="0.35">
      <c r="A72" s="6"/>
      <c r="B72" s="8" t="s">
        <v>103</v>
      </c>
      <c r="C72" s="8"/>
      <c r="D72" s="8"/>
    </row>
    <row r="73" spans="1:4" ht="16" customHeight="1" x14ac:dyDescent="0.35">
      <c r="A73" s="6"/>
      <c r="B73" s="8" t="s">
        <v>104</v>
      </c>
      <c r="C73" s="8"/>
      <c r="D73" s="8"/>
    </row>
    <row r="74" spans="1:4" ht="16" customHeight="1" x14ac:dyDescent="0.35">
      <c r="A74" s="6"/>
      <c r="B74" s="8" t="s">
        <v>105</v>
      </c>
      <c r="C74" s="8"/>
      <c r="D74" s="8"/>
    </row>
    <row r="75" spans="1:4" ht="16" customHeight="1" x14ac:dyDescent="0.35">
      <c r="A75" s="6" t="s">
        <v>43</v>
      </c>
      <c r="B75" s="8" t="s">
        <v>106</v>
      </c>
      <c r="C75" s="8"/>
      <c r="D75" s="8"/>
    </row>
    <row r="76" spans="1:4" ht="16" customHeight="1" x14ac:dyDescent="0.35">
      <c r="A76" s="6"/>
      <c r="B76" s="15" t="s">
        <v>107</v>
      </c>
      <c r="C76" s="15"/>
      <c r="D76" s="8"/>
    </row>
    <row r="77" spans="1:4" ht="16" customHeight="1" x14ac:dyDescent="0.35">
      <c r="A77" s="6"/>
      <c r="B77" s="15" t="s">
        <v>108</v>
      </c>
      <c r="C77" s="15"/>
      <c r="D77" s="8"/>
    </row>
    <row r="78" spans="1:4" ht="8.15" customHeight="1" x14ac:dyDescent="0.35">
      <c r="A78" s="6"/>
      <c r="B78" s="7"/>
      <c r="C78" s="7"/>
      <c r="D78" s="8"/>
    </row>
    <row r="79" spans="1:4" ht="20.149999999999999" customHeight="1" x14ac:dyDescent="0.35">
      <c r="A79" s="10">
        <v>4</v>
      </c>
      <c r="B79" s="11" t="s">
        <v>109</v>
      </c>
      <c r="C79" s="11"/>
      <c r="D79" s="8"/>
    </row>
    <row r="80" spans="1:4" ht="16" customHeight="1" x14ac:dyDescent="0.35">
      <c r="A80" s="6"/>
      <c r="B80" s="8" t="s">
        <v>110</v>
      </c>
      <c r="C80" s="8"/>
      <c r="D80" s="8"/>
    </row>
    <row r="81" spans="1:4" ht="16" customHeight="1" x14ac:dyDescent="0.35">
      <c r="A81" s="6"/>
      <c r="B81" s="8" t="s">
        <v>111</v>
      </c>
      <c r="C81" s="8"/>
      <c r="D81" s="8"/>
    </row>
    <row r="82" spans="1:4" ht="16" customHeight="1" x14ac:dyDescent="0.35">
      <c r="A82" s="6"/>
      <c r="B82" s="8" t="s">
        <v>112</v>
      </c>
      <c r="C82" s="8"/>
      <c r="D82" s="8"/>
    </row>
    <row r="83" spans="1:4" ht="16" customHeight="1" x14ac:dyDescent="0.35">
      <c r="A83" s="6"/>
      <c r="B83" s="8" t="s">
        <v>113</v>
      </c>
      <c r="C83" s="8"/>
      <c r="D83" s="8"/>
    </row>
    <row r="84" spans="1:4" ht="8.15" customHeight="1" x14ac:dyDescent="0.35">
      <c r="A84" s="6"/>
      <c r="B84" s="15"/>
      <c r="C84" s="15"/>
      <c r="D84" s="8"/>
    </row>
    <row r="85" spans="1:4" ht="16" customHeight="1" x14ac:dyDescent="0.35">
      <c r="A85" s="6"/>
      <c r="B85" s="15" t="s">
        <v>114</v>
      </c>
      <c r="C85" s="15"/>
      <c r="D85" s="8"/>
    </row>
    <row r="86" spans="1:4" ht="16" customHeight="1" x14ac:dyDescent="0.35">
      <c r="A86" s="6"/>
      <c r="B86" s="15" t="s">
        <v>115</v>
      </c>
      <c r="C86" s="15"/>
      <c r="D86" s="8"/>
    </row>
    <row r="87" spans="1:4" ht="8.15" customHeight="1" x14ac:dyDescent="0.35">
      <c r="A87" s="6"/>
      <c r="B87" s="15"/>
      <c r="C87" s="15"/>
      <c r="D87" s="8"/>
    </row>
    <row r="88" spans="1:4" ht="16" customHeight="1" x14ac:dyDescent="0.35">
      <c r="A88" s="6"/>
      <c r="B88" s="15" t="s">
        <v>116</v>
      </c>
      <c r="C88" s="15"/>
      <c r="D88" s="8"/>
    </row>
    <row r="89" spans="1:4" ht="16" customHeight="1" x14ac:dyDescent="0.35">
      <c r="A89" s="6"/>
      <c r="B89" s="15" t="s">
        <v>117</v>
      </c>
      <c r="C89" s="15"/>
      <c r="D89" s="8"/>
    </row>
    <row r="90" spans="1:4" ht="8.15" customHeight="1" x14ac:dyDescent="0.35">
      <c r="A90" s="6"/>
      <c r="B90" s="15"/>
      <c r="C90" s="15"/>
      <c r="D90" s="8"/>
    </row>
    <row r="91" spans="1:4" ht="16" customHeight="1" x14ac:dyDescent="0.35">
      <c r="A91" s="6"/>
      <c r="B91" s="15" t="s">
        <v>118</v>
      </c>
      <c r="C91" s="15"/>
      <c r="D91" s="8"/>
    </row>
    <row r="92" spans="1:4" ht="8.15" customHeight="1" x14ac:dyDescent="0.35">
      <c r="A92" s="6"/>
      <c r="B92" s="15"/>
      <c r="C92" s="15"/>
      <c r="D92" s="8"/>
    </row>
    <row r="93" spans="1:4" ht="16" customHeight="1" x14ac:dyDescent="0.35">
      <c r="A93" s="6"/>
      <c r="B93" s="15" t="s">
        <v>119</v>
      </c>
      <c r="C93" s="15"/>
      <c r="D93" s="8"/>
    </row>
    <row r="94" spans="1:4" ht="8.15" customHeight="1" x14ac:dyDescent="0.35">
      <c r="A94" s="6"/>
      <c r="B94" s="15"/>
      <c r="C94" s="15"/>
      <c r="D94" s="8"/>
    </row>
    <row r="95" spans="1:4" ht="16" customHeight="1" x14ac:dyDescent="0.35">
      <c r="A95" s="6"/>
      <c r="B95" s="15" t="s">
        <v>120</v>
      </c>
      <c r="C95" s="15"/>
      <c r="D95" s="8"/>
    </row>
    <row r="96" spans="1:4" ht="16" customHeight="1" x14ac:dyDescent="0.35">
      <c r="A96" s="6"/>
      <c r="B96" s="8" t="s">
        <v>121</v>
      </c>
      <c r="C96" s="8"/>
      <c r="D96" s="8"/>
    </row>
    <row r="97" spans="1:4" ht="16" customHeight="1" x14ac:dyDescent="0.35">
      <c r="A97" s="6"/>
      <c r="B97" s="8" t="s">
        <v>122</v>
      </c>
      <c r="C97" s="8"/>
      <c r="D97" s="8"/>
    </row>
    <row r="98" spans="1:4" ht="16" customHeight="1" x14ac:dyDescent="0.35">
      <c r="A98" s="6"/>
      <c r="B98" s="8" t="s">
        <v>123</v>
      </c>
      <c r="C98" s="8"/>
      <c r="D98" s="8"/>
    </row>
    <row r="99" spans="1:4" ht="8.15" customHeight="1" x14ac:dyDescent="0.35">
      <c r="A99" s="6"/>
      <c r="B99" s="15"/>
      <c r="C99" s="15"/>
      <c r="D99" s="8"/>
    </row>
    <row r="100" spans="1:4" ht="16" customHeight="1" x14ac:dyDescent="0.35">
      <c r="A100" s="6"/>
      <c r="B100" s="8" t="s">
        <v>124</v>
      </c>
      <c r="C100" s="8"/>
      <c r="D100" s="8"/>
    </row>
    <row r="101" spans="1:4" ht="16" customHeight="1" x14ac:dyDescent="0.35">
      <c r="A101" s="6"/>
      <c r="B101" s="8" t="s">
        <v>125</v>
      </c>
      <c r="C101" s="8"/>
      <c r="D101" s="8"/>
    </row>
    <row r="102" spans="1:4" ht="16" customHeight="1" x14ac:dyDescent="0.35">
      <c r="A102" s="6"/>
      <c r="B102" s="8" t="s">
        <v>126</v>
      </c>
      <c r="C102" s="8"/>
      <c r="D102" s="8"/>
    </row>
    <row r="103" spans="1:4" ht="16" customHeight="1" x14ac:dyDescent="0.35">
      <c r="A103" s="6"/>
      <c r="B103" s="8" t="s">
        <v>127</v>
      </c>
      <c r="C103" s="8"/>
      <c r="D103" s="8"/>
    </row>
    <row r="104" spans="1:4" ht="8.15" customHeight="1" x14ac:dyDescent="0.35">
      <c r="A104" s="6"/>
      <c r="B104" s="8"/>
      <c r="C104" s="8"/>
      <c r="D104" s="8"/>
    </row>
    <row r="105" spans="1:4" ht="16" customHeight="1" x14ac:dyDescent="0.35">
      <c r="A105" s="6"/>
      <c r="B105" s="8" t="s">
        <v>128</v>
      </c>
      <c r="C105" s="8"/>
      <c r="D105" s="8"/>
    </row>
    <row r="106" spans="1:4" ht="16" customHeight="1" x14ac:dyDescent="0.35">
      <c r="A106" s="6"/>
      <c r="B106" s="8" t="s">
        <v>277</v>
      </c>
      <c r="C106" s="8"/>
      <c r="D106" s="8"/>
    </row>
    <row r="107" spans="1:4" ht="16" customHeight="1" x14ac:dyDescent="0.35">
      <c r="A107" s="6"/>
      <c r="B107" s="8" t="s">
        <v>129</v>
      </c>
      <c r="C107" s="8"/>
      <c r="D107" s="8"/>
    </row>
    <row r="108" spans="1:4" ht="16" customHeight="1" x14ac:dyDescent="0.35">
      <c r="A108" s="6"/>
      <c r="B108" s="8" t="s">
        <v>130</v>
      </c>
      <c r="C108" s="16"/>
      <c r="D108" s="8"/>
    </row>
    <row r="109" spans="1:4" ht="16" customHeight="1" x14ac:dyDescent="0.35">
      <c r="A109" s="6"/>
      <c r="B109" s="17"/>
      <c r="C109" s="17"/>
      <c r="D109" s="8"/>
    </row>
    <row r="110" spans="1:4" ht="16" customHeight="1" x14ac:dyDescent="0.35">
      <c r="A110" s="6"/>
      <c r="B110" s="110" t="s">
        <v>131</v>
      </c>
      <c r="C110" s="110"/>
      <c r="D110" s="1"/>
    </row>
    <row r="111" spans="1:4" ht="16" customHeight="1" x14ac:dyDescent="0.35">
      <c r="A111" s="6"/>
      <c r="B111" s="110"/>
      <c r="C111" s="110"/>
      <c r="D111" s="1"/>
    </row>
    <row r="112" spans="1:4" ht="16" customHeight="1" x14ac:dyDescent="0.35">
      <c r="A112" s="6"/>
      <c r="B112" s="110"/>
      <c r="C112" s="110"/>
      <c r="D112" s="1"/>
    </row>
    <row r="113" spans="1:4" ht="16" customHeight="1" x14ac:dyDescent="0.35">
      <c r="A113" s="6"/>
      <c r="B113" s="110"/>
      <c r="C113" s="110"/>
      <c r="D113" s="18"/>
    </row>
    <row r="114" spans="1:4" ht="16" customHeight="1" x14ac:dyDescent="0.35">
      <c r="A114" s="6"/>
      <c r="B114" s="110"/>
      <c r="C114" s="110"/>
      <c r="D114" s="18"/>
    </row>
    <row r="115" spans="1:4" ht="16" customHeight="1" x14ac:dyDescent="0.35">
      <c r="A115" s="10"/>
      <c r="B115" s="69"/>
      <c r="C115" s="69"/>
      <c r="D115" s="69"/>
    </row>
    <row r="116" spans="1:4" ht="16" customHeight="1" x14ac:dyDescent="0.35">
      <c r="A116" s="10"/>
      <c r="B116" s="70"/>
      <c r="C116" s="70"/>
      <c r="D116" s="70"/>
    </row>
    <row r="117" spans="1:4" ht="16" customHeight="1" x14ac:dyDescent="0.35">
      <c r="A117" s="6"/>
      <c r="B117" s="70" t="s">
        <v>273</v>
      </c>
      <c r="C117" s="70" t="s">
        <v>264</v>
      </c>
      <c r="D117" s="18"/>
    </row>
    <row r="118" spans="1:4" ht="16" customHeight="1" x14ac:dyDescent="0.35">
      <c r="A118" s="6"/>
      <c r="B118" s="70" t="s">
        <v>132</v>
      </c>
      <c r="C118" s="71" t="s">
        <v>133</v>
      </c>
      <c r="D118" s="18"/>
    </row>
    <row r="119" spans="1:4" ht="16" customHeight="1" x14ac:dyDescent="0.35">
      <c r="A119" s="6"/>
      <c r="B119" s="70" t="s">
        <v>265</v>
      </c>
      <c r="C119" s="72" t="s">
        <v>266</v>
      </c>
      <c r="D119" s="18"/>
    </row>
    <row r="120" spans="1:4" ht="16" customHeight="1" x14ac:dyDescent="0.35">
      <c r="A120" s="6"/>
      <c r="B120" s="70" t="s">
        <v>134</v>
      </c>
      <c r="C120" s="70" t="s">
        <v>135</v>
      </c>
      <c r="D120" s="18"/>
    </row>
    <row r="121" spans="1:4" ht="16" customHeight="1" x14ac:dyDescent="0.35">
      <c r="A121" s="6"/>
      <c r="B121" s="70" t="s">
        <v>267</v>
      </c>
      <c r="C121" s="70" t="s">
        <v>136</v>
      </c>
      <c r="D121" s="18"/>
    </row>
    <row r="122" spans="1:4" ht="16" customHeight="1" x14ac:dyDescent="0.35">
      <c r="A122" s="6"/>
      <c r="B122" s="70" t="s">
        <v>137</v>
      </c>
      <c r="C122" s="73" t="s">
        <v>278</v>
      </c>
      <c r="D122" s="18"/>
    </row>
    <row r="123" spans="1:4" ht="16" customHeight="1" x14ac:dyDescent="0.35">
      <c r="A123" s="6"/>
      <c r="B123" s="74"/>
      <c r="C123" s="75" t="s">
        <v>268</v>
      </c>
      <c r="D123" s="18"/>
    </row>
    <row r="124" spans="1:4" ht="16" customHeight="1" x14ac:dyDescent="0.35">
      <c r="A124" s="10"/>
      <c r="B124" s="69"/>
      <c r="C124" s="69"/>
      <c r="D124" s="69"/>
    </row>
    <row r="125" spans="1:4" ht="16" customHeight="1" x14ac:dyDescent="0.35">
      <c r="A125" s="10"/>
      <c r="B125" s="70"/>
      <c r="C125" s="70"/>
      <c r="D125" s="70"/>
    </row>
    <row r="126" spans="1:4" ht="16" customHeight="1" x14ac:dyDescent="0.35">
      <c r="A126" s="6"/>
      <c r="B126" s="74"/>
      <c r="C126" s="76"/>
      <c r="D126" s="76"/>
    </row>
  </sheetData>
  <mergeCells count="1">
    <mergeCell ref="B110:C114"/>
  </mergeCells>
  <hyperlinks>
    <hyperlink ref="C118" r:id="rId1" xr:uid="{C01FB3F1-BB82-4C6B-8F0B-4FF1D1973B27}"/>
  </hyperlinks>
  <pageMargins left="0.70866141732283472" right="0.70866141732283472" top="0.39370078740157483" bottom="0.39370078740157483" header="0.31496062992125984" footer="0.31496062992125984"/>
  <pageSetup paperSize="9" scale="7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9BD1E-DABE-4AF9-9A10-C863B4371E27}">
  <dimension ref="A1:H126"/>
  <sheetViews>
    <sheetView topLeftCell="A41" workbookViewId="0">
      <selection activeCell="E11" sqref="E11"/>
    </sheetView>
  </sheetViews>
  <sheetFormatPr baseColWidth="10" defaultColWidth="11.453125" defaultRowHeight="15.5" x14ac:dyDescent="0.35"/>
  <cols>
    <col min="1" max="1" width="4.81640625" style="20" customWidth="1"/>
    <col min="2" max="2" width="25.7265625" style="5" customWidth="1"/>
    <col min="3" max="3" width="68.54296875" style="5" bestFit="1" customWidth="1"/>
    <col min="4" max="4" width="5.453125" style="5" customWidth="1"/>
    <col min="5" max="16384" width="11.453125" style="9"/>
  </cols>
  <sheetData>
    <row r="1" spans="1:4" s="5" customFormat="1" ht="16" customHeight="1" x14ac:dyDescent="0.2">
      <c r="A1" s="2" t="s">
        <v>279</v>
      </c>
      <c r="B1" s="3"/>
      <c r="C1" s="3"/>
      <c r="D1" s="4"/>
    </row>
    <row r="2" spans="1:4" ht="8.15" customHeight="1" x14ac:dyDescent="0.35">
      <c r="A2" s="6"/>
      <c r="B2" s="7"/>
      <c r="C2" s="7"/>
      <c r="D2" s="8"/>
    </row>
    <row r="3" spans="1:4" ht="20.149999999999999" customHeight="1" x14ac:dyDescent="0.35">
      <c r="A3" s="10">
        <v>1</v>
      </c>
      <c r="B3" s="11" t="s">
        <v>138</v>
      </c>
      <c r="C3" s="11"/>
      <c r="D3" s="8"/>
    </row>
    <row r="4" spans="1:4" ht="16" customHeight="1" x14ac:dyDescent="0.35">
      <c r="A4" s="6"/>
      <c r="B4" s="8" t="s">
        <v>139</v>
      </c>
      <c r="C4" s="8"/>
      <c r="D4" s="8"/>
    </row>
    <row r="5" spans="1:4" ht="16" customHeight="1" x14ac:dyDescent="0.35">
      <c r="A5" s="6"/>
      <c r="B5" s="8" t="s">
        <v>280</v>
      </c>
      <c r="C5" s="8"/>
      <c r="D5" s="8"/>
    </row>
    <row r="6" spans="1:4" ht="16" customHeight="1" x14ac:dyDescent="0.35">
      <c r="A6" s="6"/>
      <c r="B6" s="8" t="s">
        <v>140</v>
      </c>
      <c r="C6" s="8"/>
      <c r="D6" s="8"/>
    </row>
    <row r="7" spans="1:4" ht="16" customHeight="1" x14ac:dyDescent="0.35">
      <c r="A7" s="6"/>
      <c r="B7" s="8" t="s">
        <v>141</v>
      </c>
      <c r="C7" s="8"/>
      <c r="D7" s="8"/>
    </row>
    <row r="8" spans="1:4" ht="16" customHeight="1" x14ac:dyDescent="0.35">
      <c r="A8" s="6"/>
      <c r="B8" s="8" t="s">
        <v>142</v>
      </c>
      <c r="C8" s="8"/>
      <c r="D8" s="8"/>
    </row>
    <row r="9" spans="1:4" ht="16" customHeight="1" x14ac:dyDescent="0.35">
      <c r="A9" s="6"/>
      <c r="B9" s="8" t="s">
        <v>143</v>
      </c>
      <c r="C9" s="8"/>
      <c r="D9" s="8"/>
    </row>
    <row r="10" spans="1:4" ht="8.15" customHeight="1" x14ac:dyDescent="0.35">
      <c r="A10" s="6"/>
      <c r="B10" s="7"/>
      <c r="C10" s="7"/>
      <c r="D10" s="8"/>
    </row>
    <row r="11" spans="1:4" ht="20.149999999999999" customHeight="1" x14ac:dyDescent="0.35">
      <c r="A11" s="10">
        <v>2</v>
      </c>
      <c r="B11" s="11" t="s">
        <v>144</v>
      </c>
      <c r="C11" s="11"/>
      <c r="D11" s="8"/>
    </row>
    <row r="12" spans="1:4" ht="16" customHeight="1" x14ac:dyDescent="0.35">
      <c r="A12" s="6"/>
      <c r="B12" s="8" t="s">
        <v>145</v>
      </c>
      <c r="C12" s="8"/>
      <c r="D12" s="8"/>
    </row>
    <row r="13" spans="1:4" ht="16" customHeight="1" x14ac:dyDescent="0.35">
      <c r="A13" s="6"/>
      <c r="B13" s="8" t="s">
        <v>281</v>
      </c>
      <c r="C13" s="8"/>
      <c r="D13" s="8"/>
    </row>
    <row r="14" spans="1:4" ht="16" customHeight="1" x14ac:dyDescent="0.35">
      <c r="A14" s="6"/>
      <c r="B14" s="8" t="s">
        <v>146</v>
      </c>
      <c r="C14" s="8"/>
      <c r="D14" s="8"/>
    </row>
    <row r="15" spans="1:4" ht="16" customHeight="1" x14ac:dyDescent="0.35">
      <c r="A15" s="6"/>
      <c r="B15" s="8" t="s">
        <v>147</v>
      </c>
      <c r="C15" s="8"/>
      <c r="D15" s="8"/>
    </row>
    <row r="16" spans="1:4" ht="16" customHeight="1" x14ac:dyDescent="0.35">
      <c r="A16" s="6"/>
      <c r="B16" s="8" t="s">
        <v>148</v>
      </c>
      <c r="C16" s="8"/>
      <c r="D16" s="8"/>
    </row>
    <row r="17" spans="1:8" ht="16" customHeight="1" x14ac:dyDescent="0.35">
      <c r="A17" s="6"/>
      <c r="B17" s="8" t="s">
        <v>149</v>
      </c>
      <c r="C17" s="8"/>
      <c r="D17" s="8"/>
    </row>
    <row r="18" spans="1:8" ht="16" customHeight="1" x14ac:dyDescent="0.35">
      <c r="A18" s="6"/>
      <c r="B18" s="8" t="s">
        <v>150</v>
      </c>
      <c r="C18" s="8"/>
      <c r="D18" s="8"/>
    </row>
    <row r="19" spans="1:8" ht="16" customHeight="1" x14ac:dyDescent="0.35">
      <c r="A19" s="6"/>
      <c r="B19" s="8" t="s">
        <v>151</v>
      </c>
      <c r="C19" s="8"/>
      <c r="D19" s="8"/>
      <c r="F19" s="21"/>
      <c r="G19" s="21"/>
      <c r="H19" s="21"/>
    </row>
    <row r="20" spans="1:8" ht="16" customHeight="1" x14ac:dyDescent="0.35">
      <c r="A20" s="6"/>
      <c r="B20" s="8" t="s">
        <v>152</v>
      </c>
      <c r="C20" s="8"/>
      <c r="D20" s="8"/>
      <c r="F20" s="21"/>
      <c r="G20" s="21"/>
      <c r="H20" s="21"/>
    </row>
    <row r="21" spans="1:8" ht="16" customHeight="1" x14ac:dyDescent="0.35">
      <c r="A21" s="6"/>
      <c r="B21" s="8" t="s">
        <v>153</v>
      </c>
      <c r="C21" s="8"/>
      <c r="D21" s="8"/>
      <c r="F21" s="21"/>
      <c r="G21" s="21"/>
      <c r="H21" s="21"/>
    </row>
    <row r="22" spans="1:8" ht="16" customHeight="1" x14ac:dyDescent="0.35">
      <c r="A22" s="6"/>
      <c r="B22" s="8" t="s">
        <v>154</v>
      </c>
      <c r="C22" s="8"/>
      <c r="D22" s="8"/>
      <c r="F22" s="21"/>
      <c r="G22" s="21"/>
      <c r="H22" s="21"/>
    </row>
    <row r="23" spans="1:8" ht="16" customHeight="1" x14ac:dyDescent="0.35">
      <c r="A23" s="6"/>
      <c r="B23" s="8" t="s">
        <v>155</v>
      </c>
      <c r="C23" s="8"/>
      <c r="D23" s="8"/>
      <c r="F23" s="21"/>
      <c r="G23" s="21"/>
      <c r="H23" s="21"/>
    </row>
    <row r="24" spans="1:8" ht="16" customHeight="1" x14ac:dyDescent="0.35">
      <c r="A24" s="6"/>
      <c r="B24" s="8" t="s">
        <v>156</v>
      </c>
      <c r="C24" s="8"/>
      <c r="D24" s="8"/>
      <c r="F24" s="21"/>
      <c r="G24" s="21"/>
      <c r="H24" s="21"/>
    </row>
    <row r="25" spans="1:8" ht="16" customHeight="1" x14ac:dyDescent="0.35">
      <c r="A25" s="6"/>
      <c r="B25" s="8" t="s">
        <v>157</v>
      </c>
      <c r="C25" s="8"/>
      <c r="D25" s="8"/>
      <c r="F25" s="21"/>
      <c r="G25" s="21"/>
      <c r="H25" s="21"/>
    </row>
    <row r="26" spans="1:8" ht="16" customHeight="1" x14ac:dyDescent="0.35">
      <c r="A26" s="6"/>
      <c r="B26" s="8"/>
      <c r="C26" s="8"/>
      <c r="D26" s="8"/>
    </row>
    <row r="27" spans="1:8" ht="20.149999999999999" customHeight="1" x14ac:dyDescent="0.35">
      <c r="A27" s="6"/>
      <c r="B27" s="13" t="s">
        <v>158</v>
      </c>
      <c r="C27" s="8"/>
      <c r="D27" s="8"/>
      <c r="F27" s="21"/>
      <c r="H27" s="21"/>
    </row>
    <row r="28" spans="1:8" ht="16" customHeight="1" x14ac:dyDescent="0.35">
      <c r="A28" s="6"/>
      <c r="B28" s="14" t="s">
        <v>159</v>
      </c>
      <c r="C28" s="8"/>
      <c r="D28" s="8"/>
    </row>
    <row r="29" spans="1:8" ht="16" customHeight="1" x14ac:dyDescent="0.35">
      <c r="A29" s="6"/>
      <c r="B29" s="8" t="s">
        <v>160</v>
      </c>
      <c r="C29" s="8"/>
      <c r="D29" s="8"/>
    </row>
    <row r="30" spans="1:8" ht="16" customHeight="1" x14ac:dyDescent="0.35">
      <c r="A30" s="6"/>
      <c r="B30" s="8" t="s">
        <v>161</v>
      </c>
      <c r="C30" s="8"/>
      <c r="D30" s="8"/>
    </row>
    <row r="31" spans="1:8" ht="16" customHeight="1" x14ac:dyDescent="0.35">
      <c r="A31" s="6"/>
      <c r="B31" s="8" t="s">
        <v>162</v>
      </c>
      <c r="C31" s="8"/>
      <c r="D31" s="8"/>
    </row>
    <row r="32" spans="1:8" ht="16" customHeight="1" x14ac:dyDescent="0.35">
      <c r="A32" s="6"/>
      <c r="B32" s="8" t="s">
        <v>163</v>
      </c>
      <c r="C32" s="8"/>
      <c r="D32" s="8"/>
    </row>
    <row r="33" spans="1:4" ht="16" customHeight="1" x14ac:dyDescent="0.35">
      <c r="A33" s="6"/>
      <c r="B33" s="8"/>
      <c r="C33" s="8"/>
      <c r="D33" s="8"/>
    </row>
    <row r="34" spans="1:4" ht="20.149999999999999" customHeight="1" x14ac:dyDescent="0.35">
      <c r="A34" s="6"/>
      <c r="B34" s="13" t="s">
        <v>164</v>
      </c>
      <c r="C34" s="8"/>
      <c r="D34" s="8"/>
    </row>
    <row r="35" spans="1:4" ht="16" customHeight="1" x14ac:dyDescent="0.35">
      <c r="A35" s="6"/>
      <c r="B35" s="14" t="s">
        <v>165</v>
      </c>
      <c r="C35" s="8"/>
      <c r="D35" s="8"/>
    </row>
    <row r="36" spans="1:4" ht="16" customHeight="1" x14ac:dyDescent="0.35">
      <c r="A36" s="6"/>
      <c r="B36" s="8" t="s">
        <v>166</v>
      </c>
      <c r="C36" s="8"/>
      <c r="D36" s="8"/>
    </row>
    <row r="37" spans="1:4" ht="16" customHeight="1" x14ac:dyDescent="0.35">
      <c r="A37" s="6"/>
      <c r="B37" s="8" t="s">
        <v>167</v>
      </c>
      <c r="C37" s="8"/>
      <c r="D37" s="8"/>
    </row>
    <row r="38" spans="1:4" ht="16" customHeight="1" x14ac:dyDescent="0.35">
      <c r="A38" s="6"/>
      <c r="B38" s="8"/>
      <c r="C38" s="8"/>
      <c r="D38" s="8"/>
    </row>
    <row r="39" spans="1:4" ht="20.149999999999999" customHeight="1" x14ac:dyDescent="0.35">
      <c r="A39" s="6"/>
      <c r="B39" s="13" t="s">
        <v>168</v>
      </c>
      <c r="C39" s="8"/>
      <c r="D39" s="8"/>
    </row>
    <row r="40" spans="1:4" ht="16" customHeight="1" x14ac:dyDescent="0.35">
      <c r="A40" s="6"/>
      <c r="B40" s="14" t="s">
        <v>169</v>
      </c>
      <c r="C40" s="8"/>
      <c r="D40" s="8"/>
    </row>
    <row r="41" spans="1:4" ht="16" customHeight="1" x14ac:dyDescent="0.35">
      <c r="A41" s="6"/>
      <c r="B41" s="14" t="s">
        <v>170</v>
      </c>
      <c r="C41" s="8"/>
      <c r="D41" s="8"/>
    </row>
    <row r="42" spans="1:4" ht="16" customHeight="1" x14ac:dyDescent="0.35">
      <c r="A42" s="6"/>
      <c r="B42" s="8" t="s">
        <v>171</v>
      </c>
      <c r="C42" s="8"/>
      <c r="D42" s="8"/>
    </row>
    <row r="43" spans="1:4" ht="16" customHeight="1" x14ac:dyDescent="0.35">
      <c r="A43" s="6"/>
      <c r="B43" s="8" t="s">
        <v>172</v>
      </c>
      <c r="C43" s="8"/>
      <c r="D43" s="8"/>
    </row>
    <row r="44" spans="1:4" ht="16" customHeight="1" x14ac:dyDescent="0.35">
      <c r="A44" s="6"/>
      <c r="B44" s="8" t="s">
        <v>173</v>
      </c>
      <c r="C44" s="8"/>
      <c r="D44" s="8"/>
    </row>
    <row r="45" spans="1:4" ht="16" customHeight="1" x14ac:dyDescent="0.35">
      <c r="A45" s="6"/>
      <c r="B45" s="8" t="s">
        <v>174</v>
      </c>
      <c r="C45" s="8"/>
      <c r="D45" s="8"/>
    </row>
    <row r="46" spans="1:4" ht="16" customHeight="1" x14ac:dyDescent="0.35">
      <c r="A46" s="6"/>
      <c r="B46" s="8" t="s">
        <v>175</v>
      </c>
      <c r="C46" s="8"/>
      <c r="D46" s="8"/>
    </row>
    <row r="47" spans="1:4" ht="16" customHeight="1" x14ac:dyDescent="0.35">
      <c r="A47" s="6"/>
      <c r="B47" s="8" t="s">
        <v>176</v>
      </c>
      <c r="C47" s="8"/>
      <c r="D47" s="8"/>
    </row>
    <row r="48" spans="1:4" ht="8.15" customHeight="1" x14ac:dyDescent="0.35">
      <c r="A48" s="6"/>
      <c r="B48" s="8"/>
      <c r="C48" s="8"/>
      <c r="D48" s="8"/>
    </row>
    <row r="49" spans="1:4" ht="16" customHeight="1" x14ac:dyDescent="0.35">
      <c r="A49" s="6"/>
      <c r="B49" s="8" t="s">
        <v>177</v>
      </c>
      <c r="C49" s="8"/>
      <c r="D49" s="8"/>
    </row>
    <row r="50" spans="1:4" ht="16" customHeight="1" x14ac:dyDescent="0.35">
      <c r="A50" s="6"/>
      <c r="B50" s="8" t="s">
        <v>178</v>
      </c>
      <c r="C50" s="8"/>
      <c r="D50" s="8"/>
    </row>
    <row r="51" spans="1:4" ht="16" customHeight="1" x14ac:dyDescent="0.35">
      <c r="A51" s="6"/>
      <c r="B51" s="8" t="s">
        <v>179</v>
      </c>
      <c r="C51" s="8"/>
      <c r="D51" s="8"/>
    </row>
    <row r="52" spans="1:4" ht="16" customHeight="1" x14ac:dyDescent="0.35">
      <c r="A52" s="6"/>
      <c r="B52" s="8" t="s">
        <v>180</v>
      </c>
      <c r="C52" s="8"/>
      <c r="D52" s="8"/>
    </row>
    <row r="53" spans="1:4" ht="16" customHeight="1" x14ac:dyDescent="0.35">
      <c r="A53" s="6"/>
      <c r="B53" s="8" t="s">
        <v>181</v>
      </c>
      <c r="C53" s="8"/>
      <c r="D53" s="8"/>
    </row>
    <row r="54" spans="1:4" ht="16" customHeight="1" x14ac:dyDescent="0.35">
      <c r="A54" s="6"/>
      <c r="B54" s="8" t="s">
        <v>182</v>
      </c>
      <c r="C54" s="8"/>
      <c r="D54" s="8"/>
    </row>
    <row r="55" spans="1:4" ht="16" customHeight="1" x14ac:dyDescent="0.35">
      <c r="A55" s="6"/>
      <c r="B55" s="8" t="s">
        <v>183</v>
      </c>
      <c r="C55" s="8"/>
      <c r="D55" s="8"/>
    </row>
    <row r="56" spans="1:4" ht="16" customHeight="1" x14ac:dyDescent="0.35">
      <c r="A56" s="6"/>
      <c r="B56" s="8" t="s">
        <v>184</v>
      </c>
      <c r="C56" s="8"/>
      <c r="D56" s="8"/>
    </row>
    <row r="57" spans="1:4" ht="16" customHeight="1" x14ac:dyDescent="0.35">
      <c r="A57" s="6"/>
      <c r="B57" s="8" t="s">
        <v>185</v>
      </c>
      <c r="C57" s="8"/>
      <c r="D57" s="8"/>
    </row>
    <row r="58" spans="1:4" ht="16" customHeight="1" x14ac:dyDescent="0.35">
      <c r="A58" s="6"/>
      <c r="B58" s="8" t="s">
        <v>186</v>
      </c>
      <c r="C58" s="8"/>
      <c r="D58" s="8"/>
    </row>
    <row r="59" spans="1:4" ht="8.15" customHeight="1" x14ac:dyDescent="0.35">
      <c r="A59" s="6"/>
      <c r="B59" s="7"/>
      <c r="C59" s="7"/>
      <c r="D59" s="8"/>
    </row>
    <row r="60" spans="1:4" ht="20.149999999999999" customHeight="1" x14ac:dyDescent="0.35">
      <c r="A60" s="10">
        <v>3</v>
      </c>
      <c r="B60" s="11" t="s">
        <v>187</v>
      </c>
      <c r="C60" s="11"/>
      <c r="D60" s="8"/>
    </row>
    <row r="61" spans="1:4" ht="16" customHeight="1" x14ac:dyDescent="0.35">
      <c r="A61" s="6"/>
      <c r="B61" s="8" t="s">
        <v>188</v>
      </c>
      <c r="C61" s="8"/>
      <c r="D61" s="8"/>
    </row>
    <row r="62" spans="1:4" ht="16" customHeight="1" x14ac:dyDescent="0.35">
      <c r="A62" s="6"/>
      <c r="B62" s="8" t="s">
        <v>189</v>
      </c>
      <c r="C62" s="8"/>
      <c r="D62" s="8"/>
    </row>
    <row r="63" spans="1:4" ht="16" customHeight="1" x14ac:dyDescent="0.35">
      <c r="A63" s="6"/>
      <c r="B63" s="8"/>
      <c r="C63" s="8"/>
      <c r="D63" s="8"/>
    </row>
    <row r="64" spans="1:4" ht="16" customHeight="1" x14ac:dyDescent="0.35">
      <c r="A64" s="6"/>
      <c r="B64" s="8" t="s">
        <v>190</v>
      </c>
      <c r="C64" s="8"/>
      <c r="D64" s="8"/>
    </row>
    <row r="65" spans="1:4" ht="16" customHeight="1" x14ac:dyDescent="0.35">
      <c r="A65" s="6"/>
      <c r="B65" s="8" t="s">
        <v>191</v>
      </c>
      <c r="C65" s="8"/>
      <c r="D65" s="8"/>
    </row>
    <row r="66" spans="1:4" ht="16" customHeight="1" x14ac:dyDescent="0.35">
      <c r="A66" s="6"/>
      <c r="B66" s="8"/>
      <c r="C66" s="8"/>
      <c r="D66" s="8"/>
    </row>
    <row r="67" spans="1:4" ht="16" customHeight="1" x14ac:dyDescent="0.35">
      <c r="A67" s="6"/>
      <c r="B67" s="8" t="s">
        <v>192</v>
      </c>
      <c r="C67" s="8"/>
      <c r="D67" s="8"/>
    </row>
    <row r="68" spans="1:4" ht="16" customHeight="1" x14ac:dyDescent="0.35">
      <c r="A68" s="6"/>
      <c r="B68" s="8" t="s">
        <v>193</v>
      </c>
      <c r="C68" s="8"/>
      <c r="D68" s="8"/>
    </row>
    <row r="69" spans="1:4" ht="16" customHeight="1" x14ac:dyDescent="0.35">
      <c r="A69" s="6"/>
      <c r="B69" s="8" t="s">
        <v>194</v>
      </c>
      <c r="C69" s="8"/>
      <c r="D69" s="8"/>
    </row>
    <row r="70" spans="1:4" ht="16" customHeight="1" x14ac:dyDescent="0.35">
      <c r="A70" s="6"/>
      <c r="B70" s="8" t="s">
        <v>195</v>
      </c>
      <c r="C70" s="8"/>
      <c r="D70" s="8"/>
    </row>
    <row r="71" spans="1:4" ht="16" customHeight="1" x14ac:dyDescent="0.35">
      <c r="A71" s="6" t="s">
        <v>43</v>
      </c>
      <c r="B71" s="8" t="s">
        <v>196</v>
      </c>
      <c r="C71" s="8"/>
      <c r="D71" s="8"/>
    </row>
    <row r="72" spans="1:4" ht="16" customHeight="1" x14ac:dyDescent="0.35">
      <c r="A72" s="6"/>
      <c r="B72" s="8" t="s">
        <v>197</v>
      </c>
      <c r="C72" s="8"/>
      <c r="D72" s="8"/>
    </row>
    <row r="73" spans="1:4" ht="16" customHeight="1" x14ac:dyDescent="0.35">
      <c r="A73" s="6"/>
      <c r="B73" s="15" t="s">
        <v>198</v>
      </c>
      <c r="C73" s="8"/>
      <c r="D73" s="8"/>
    </row>
    <row r="74" spans="1:4" ht="16" customHeight="1" x14ac:dyDescent="0.35">
      <c r="A74" s="6"/>
      <c r="B74" s="15" t="s">
        <v>199</v>
      </c>
      <c r="C74" s="8"/>
      <c r="D74" s="8"/>
    </row>
    <row r="75" spans="1:4" ht="16" customHeight="1" x14ac:dyDescent="0.35">
      <c r="A75" s="6" t="s">
        <v>43</v>
      </c>
      <c r="B75" s="8" t="s">
        <v>200</v>
      </c>
      <c r="C75" s="8"/>
      <c r="D75" s="8"/>
    </row>
    <row r="76" spans="1:4" ht="16" customHeight="1" x14ac:dyDescent="0.35">
      <c r="A76" s="6"/>
      <c r="B76" s="8" t="s">
        <v>201</v>
      </c>
      <c r="C76" s="8"/>
      <c r="D76" s="8"/>
    </row>
    <row r="77" spans="1:4" ht="16" customHeight="1" x14ac:dyDescent="0.35">
      <c r="A77" s="6"/>
      <c r="B77" s="15" t="s">
        <v>202</v>
      </c>
      <c r="C77" s="15"/>
      <c r="D77" s="8"/>
    </row>
    <row r="78" spans="1:4" ht="16" customHeight="1" x14ac:dyDescent="0.35">
      <c r="A78" s="6"/>
      <c r="B78" s="15" t="s">
        <v>203</v>
      </c>
      <c r="C78" s="8"/>
      <c r="D78" s="8"/>
    </row>
    <row r="79" spans="1:4" ht="8.15" customHeight="1" x14ac:dyDescent="0.35">
      <c r="A79" s="6"/>
      <c r="B79" s="7"/>
      <c r="C79" s="7"/>
      <c r="D79" s="8"/>
    </row>
    <row r="80" spans="1:4" ht="20.149999999999999" customHeight="1" x14ac:dyDescent="0.35">
      <c r="A80" s="10">
        <v>4</v>
      </c>
      <c r="B80" s="11" t="s">
        <v>204</v>
      </c>
      <c r="C80" s="11"/>
      <c r="D80" s="8"/>
    </row>
    <row r="81" spans="1:4" ht="16" customHeight="1" x14ac:dyDescent="0.35">
      <c r="A81" s="6"/>
      <c r="B81" s="8" t="s">
        <v>205</v>
      </c>
      <c r="C81" s="8"/>
      <c r="D81" s="8"/>
    </row>
    <row r="82" spans="1:4" ht="16" customHeight="1" x14ac:dyDescent="0.35">
      <c r="A82" s="6"/>
      <c r="B82" s="8" t="s">
        <v>206</v>
      </c>
      <c r="C82" s="8"/>
      <c r="D82" s="8"/>
    </row>
    <row r="83" spans="1:4" ht="16" customHeight="1" x14ac:dyDescent="0.35">
      <c r="A83" s="6"/>
      <c r="B83" s="8" t="s">
        <v>207</v>
      </c>
      <c r="C83" s="8"/>
      <c r="D83" s="8"/>
    </row>
    <row r="84" spans="1:4" ht="16" customHeight="1" x14ac:dyDescent="0.35">
      <c r="A84" s="6"/>
      <c r="B84" s="8" t="s">
        <v>208</v>
      </c>
      <c r="C84" s="8"/>
      <c r="D84" s="8"/>
    </row>
    <row r="85" spans="1:4" ht="16" customHeight="1" x14ac:dyDescent="0.35">
      <c r="A85" s="6"/>
      <c r="B85" s="8" t="s">
        <v>209</v>
      </c>
      <c r="C85" s="8"/>
      <c r="D85" s="8"/>
    </row>
    <row r="86" spans="1:4" ht="8.15" customHeight="1" x14ac:dyDescent="0.35">
      <c r="A86" s="6"/>
      <c r="B86" s="15"/>
      <c r="C86" s="15"/>
      <c r="D86" s="8"/>
    </row>
    <row r="87" spans="1:4" ht="16" customHeight="1" x14ac:dyDescent="0.35">
      <c r="A87" s="6"/>
      <c r="B87" s="15" t="s">
        <v>210</v>
      </c>
      <c r="C87" s="15"/>
      <c r="D87" s="8"/>
    </row>
    <row r="88" spans="1:4" ht="8.15" customHeight="1" x14ac:dyDescent="0.35">
      <c r="A88" s="6"/>
      <c r="B88" s="15"/>
      <c r="C88" s="15"/>
      <c r="D88" s="8"/>
    </row>
    <row r="89" spans="1:4" ht="16" customHeight="1" x14ac:dyDescent="0.35">
      <c r="A89" s="6"/>
      <c r="B89" s="15" t="s">
        <v>211</v>
      </c>
      <c r="C89" s="15"/>
      <c r="D89" s="8"/>
    </row>
    <row r="90" spans="1:4" ht="16" customHeight="1" x14ac:dyDescent="0.35">
      <c r="A90" s="6"/>
      <c r="B90" s="15" t="s">
        <v>212</v>
      </c>
      <c r="C90" s="15"/>
      <c r="D90" s="8"/>
    </row>
    <row r="91" spans="1:4" ht="8.15" customHeight="1" x14ac:dyDescent="0.35">
      <c r="A91" s="6"/>
      <c r="B91" s="15"/>
      <c r="C91" s="15"/>
      <c r="D91" s="8"/>
    </row>
    <row r="92" spans="1:4" ht="16" customHeight="1" x14ac:dyDescent="0.35">
      <c r="A92" s="6"/>
      <c r="B92" s="15" t="s">
        <v>213</v>
      </c>
      <c r="C92" s="15"/>
      <c r="D92" s="8"/>
    </row>
    <row r="93" spans="1:4" ht="8.15" customHeight="1" x14ac:dyDescent="0.35">
      <c r="A93" s="6"/>
      <c r="B93" s="15"/>
      <c r="C93" s="15"/>
      <c r="D93" s="8"/>
    </row>
    <row r="94" spans="1:4" ht="16" customHeight="1" x14ac:dyDescent="0.35">
      <c r="A94" s="6"/>
      <c r="B94" s="15" t="s">
        <v>214</v>
      </c>
      <c r="C94" s="15"/>
      <c r="D94" s="8"/>
    </row>
    <row r="95" spans="1:4" ht="8.15" customHeight="1" x14ac:dyDescent="0.35">
      <c r="A95" s="6"/>
      <c r="B95" s="15"/>
      <c r="C95" s="15"/>
      <c r="D95" s="8"/>
    </row>
    <row r="96" spans="1:4" ht="16" customHeight="1" x14ac:dyDescent="0.35">
      <c r="A96" s="6"/>
      <c r="B96" s="8" t="s">
        <v>215</v>
      </c>
      <c r="C96" s="8"/>
      <c r="D96" s="8"/>
    </row>
    <row r="97" spans="1:4" ht="16" customHeight="1" x14ac:dyDescent="0.35">
      <c r="A97" s="6"/>
      <c r="B97" s="8" t="s">
        <v>216</v>
      </c>
      <c r="C97" s="8"/>
      <c r="D97" s="8"/>
    </row>
    <row r="98" spans="1:4" ht="16" customHeight="1" x14ac:dyDescent="0.35">
      <c r="A98" s="6"/>
      <c r="B98" s="8" t="s">
        <v>217</v>
      </c>
      <c r="C98" s="8"/>
      <c r="D98" s="8"/>
    </row>
    <row r="99" spans="1:4" ht="16" customHeight="1" x14ac:dyDescent="0.35">
      <c r="A99" s="6"/>
      <c r="B99" s="8"/>
      <c r="C99" s="8"/>
      <c r="D99" s="8"/>
    </row>
    <row r="100" spans="1:4" ht="8.15" customHeight="1" x14ac:dyDescent="0.35">
      <c r="A100" s="6"/>
      <c r="B100" s="8"/>
      <c r="C100" s="8"/>
      <c r="D100" s="8"/>
    </row>
    <row r="101" spans="1:4" ht="16" customHeight="1" x14ac:dyDescent="0.35">
      <c r="A101" s="6"/>
      <c r="B101" s="8" t="s">
        <v>218</v>
      </c>
      <c r="C101" s="8"/>
      <c r="D101" s="8"/>
    </row>
    <row r="102" spans="1:4" ht="16" customHeight="1" x14ac:dyDescent="0.35">
      <c r="A102" s="6"/>
      <c r="B102" s="8" t="s">
        <v>219</v>
      </c>
      <c r="C102" s="8"/>
      <c r="D102" s="8"/>
    </row>
    <row r="103" spans="1:4" ht="16" customHeight="1" x14ac:dyDescent="0.35">
      <c r="A103" s="6"/>
      <c r="B103" s="8" t="s">
        <v>220</v>
      </c>
      <c r="C103" s="8"/>
      <c r="D103" s="8"/>
    </row>
    <row r="104" spans="1:4" ht="16" customHeight="1" x14ac:dyDescent="0.35">
      <c r="A104" s="6"/>
      <c r="B104" s="8" t="s">
        <v>221</v>
      </c>
      <c r="C104" s="8"/>
      <c r="D104" s="8"/>
    </row>
    <row r="105" spans="1:4" ht="8.15" customHeight="1" x14ac:dyDescent="0.35">
      <c r="A105" s="6"/>
      <c r="B105" s="8"/>
      <c r="C105" s="8"/>
      <c r="D105" s="8"/>
    </row>
    <row r="106" spans="1:4" ht="16" customHeight="1" x14ac:dyDescent="0.35">
      <c r="A106" s="6"/>
      <c r="B106" s="8" t="s">
        <v>222</v>
      </c>
      <c r="C106" s="8"/>
      <c r="D106" s="8"/>
    </row>
    <row r="107" spans="1:4" ht="16" customHeight="1" x14ac:dyDescent="0.35">
      <c r="A107" s="6"/>
      <c r="B107" s="8" t="s">
        <v>223</v>
      </c>
      <c r="C107" s="8"/>
      <c r="D107" s="8"/>
    </row>
    <row r="108" spans="1:4" ht="16" customHeight="1" x14ac:dyDescent="0.35">
      <c r="A108" s="6"/>
      <c r="B108" s="17" t="s">
        <v>282</v>
      </c>
      <c r="C108" s="17"/>
      <c r="D108" s="8"/>
    </row>
    <row r="109" spans="1:4" ht="16" customHeight="1" x14ac:dyDescent="0.35">
      <c r="A109" s="6"/>
      <c r="B109" s="8"/>
      <c r="C109" s="8"/>
      <c r="D109" s="8"/>
    </row>
    <row r="110" spans="1:4" ht="16" customHeight="1" x14ac:dyDescent="0.35">
      <c r="A110" s="6"/>
      <c r="B110" s="110" t="s">
        <v>224</v>
      </c>
      <c r="C110" s="110"/>
      <c r="D110" s="110"/>
    </row>
    <row r="111" spans="1:4" ht="16" customHeight="1" x14ac:dyDescent="0.35">
      <c r="A111" s="6"/>
      <c r="B111" s="110"/>
      <c r="C111" s="110"/>
      <c r="D111" s="110"/>
    </row>
    <row r="112" spans="1:4" ht="16" customHeight="1" x14ac:dyDescent="0.35">
      <c r="A112" s="6"/>
      <c r="B112" s="110"/>
      <c r="C112" s="110"/>
      <c r="D112" s="110"/>
    </row>
    <row r="113" spans="1:4" ht="16" customHeight="1" x14ac:dyDescent="0.35">
      <c r="A113" s="6"/>
      <c r="B113" s="110"/>
      <c r="C113" s="110"/>
      <c r="D113" s="110"/>
    </row>
    <row r="114" spans="1:4" ht="16" customHeight="1" x14ac:dyDescent="0.35">
      <c r="A114" s="6"/>
      <c r="B114" s="110"/>
      <c r="C114" s="110"/>
      <c r="D114" s="110"/>
    </row>
    <row r="115" spans="1:4" ht="16" customHeight="1" x14ac:dyDescent="0.35">
      <c r="A115" s="10"/>
      <c r="B115" s="19"/>
      <c r="C115" s="19"/>
      <c r="D115" s="19"/>
    </row>
    <row r="116" spans="1:4" ht="16" customHeight="1" x14ac:dyDescent="0.35">
      <c r="A116" s="10"/>
      <c r="B116" s="22"/>
      <c r="C116" s="22"/>
      <c r="D116" s="22"/>
    </row>
    <row r="117" spans="1:4" ht="16" customHeight="1" x14ac:dyDescent="0.35">
      <c r="A117" s="6"/>
      <c r="B117" s="70" t="s">
        <v>225</v>
      </c>
      <c r="C117" s="70" t="s">
        <v>269</v>
      </c>
      <c r="D117" s="8"/>
    </row>
    <row r="118" spans="1:4" ht="16" customHeight="1" x14ac:dyDescent="0.35">
      <c r="A118" s="6"/>
      <c r="B118" s="70" t="s">
        <v>226</v>
      </c>
      <c r="C118" s="77" t="s">
        <v>133</v>
      </c>
      <c r="D118" s="8"/>
    </row>
    <row r="119" spans="1:4" ht="16" customHeight="1" x14ac:dyDescent="0.35">
      <c r="A119" s="6"/>
      <c r="B119" s="70" t="s">
        <v>227</v>
      </c>
      <c r="C119" s="70" t="s">
        <v>270</v>
      </c>
      <c r="D119" s="8"/>
    </row>
    <row r="120" spans="1:4" ht="16" customHeight="1" x14ac:dyDescent="0.35">
      <c r="A120" s="6"/>
      <c r="B120" s="70" t="s">
        <v>228</v>
      </c>
      <c r="C120" s="70" t="s">
        <v>229</v>
      </c>
      <c r="D120" s="8"/>
    </row>
    <row r="121" spans="1:4" ht="16" customHeight="1" x14ac:dyDescent="0.35">
      <c r="A121" s="6"/>
      <c r="B121" s="70" t="s">
        <v>230</v>
      </c>
      <c r="C121" s="70" t="s">
        <v>271</v>
      </c>
      <c r="D121" s="8"/>
    </row>
    <row r="122" spans="1:4" ht="16" customHeight="1" x14ac:dyDescent="0.35">
      <c r="A122" s="6"/>
      <c r="B122" s="70" t="s">
        <v>137</v>
      </c>
      <c r="C122" s="70" t="s">
        <v>283</v>
      </c>
      <c r="D122" s="8"/>
    </row>
    <row r="123" spans="1:4" ht="16" customHeight="1" x14ac:dyDescent="0.35">
      <c r="A123" s="6"/>
      <c r="B123" s="74"/>
      <c r="C123" s="74" t="s">
        <v>272</v>
      </c>
      <c r="D123" s="8"/>
    </row>
    <row r="124" spans="1:4" ht="16" customHeight="1" x14ac:dyDescent="0.35">
      <c r="A124" s="10"/>
      <c r="B124" s="69"/>
      <c r="C124" s="69"/>
      <c r="D124" s="69"/>
    </row>
    <row r="125" spans="1:4" ht="16" customHeight="1" x14ac:dyDescent="0.35">
      <c r="A125" s="10"/>
      <c r="B125" s="70"/>
      <c r="C125" s="70"/>
      <c r="D125" s="70"/>
    </row>
    <row r="126" spans="1:4" ht="16" customHeight="1" x14ac:dyDescent="0.35">
      <c r="A126" s="6"/>
      <c r="B126" s="74"/>
      <c r="C126" s="76"/>
      <c r="D126" s="76"/>
    </row>
  </sheetData>
  <mergeCells count="1">
    <mergeCell ref="B110:D114"/>
  </mergeCells>
  <hyperlinks>
    <hyperlink ref="C118" r:id="rId1" xr:uid="{14898508-93B1-47FE-879C-8917C199E318}"/>
  </hyperlinks>
  <pageMargins left="0.70866141732283472" right="0.70866141732283472" top="0.39370078740157483" bottom="0.39370078740157483" header="0.31496062992125984" footer="0.31496062992125984"/>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
  <sheetViews>
    <sheetView showGridLines="0" zoomScale="89" zoomScaleNormal="89" workbookViewId="0">
      <pane xSplit="1" ySplit="7" topLeftCell="G8" activePane="bottomRight" state="frozen"/>
      <selection sqref="A1:XFD1048576"/>
      <selection pane="topRight" sqref="A1:XFD1048576"/>
      <selection pane="bottomLeft" sqref="A1:XFD1048576"/>
      <selection pane="bottomRight" activeCell="B8" sqref="B8"/>
    </sheetView>
  </sheetViews>
  <sheetFormatPr baseColWidth="10" defaultColWidth="11.453125" defaultRowHeight="14.5" x14ac:dyDescent="0.35"/>
  <cols>
    <col min="1" max="1" width="35.1796875" style="28" customWidth="1"/>
    <col min="2" max="2" width="18.81640625" style="28" customWidth="1"/>
    <col min="3" max="3" width="17.54296875" style="28" customWidth="1"/>
    <col min="4" max="4" width="26.81640625" style="28" customWidth="1"/>
    <col min="5" max="5" width="27" style="28" customWidth="1"/>
    <col min="6" max="6" width="25.26953125" style="28" customWidth="1"/>
    <col min="7" max="7" width="25" style="28" customWidth="1"/>
    <col min="8" max="8" width="19.1796875" style="28" customWidth="1"/>
    <col min="9" max="9" width="19.453125" style="28" customWidth="1"/>
    <col min="10" max="10" width="20.54296875" style="28" customWidth="1"/>
    <col min="11" max="11" width="25.54296875" style="28" customWidth="1"/>
    <col min="12" max="12" width="22.453125" style="28" customWidth="1"/>
    <col min="13" max="13" width="22.81640625" style="28" customWidth="1"/>
    <col min="14" max="14" width="30.54296875" style="28" customWidth="1"/>
    <col min="15" max="16384" width="11.453125" style="28"/>
  </cols>
  <sheetData>
    <row r="1" spans="1:13" x14ac:dyDescent="0.35">
      <c r="A1" s="31" t="s">
        <v>254</v>
      </c>
      <c r="B1" s="32" t="s">
        <v>258</v>
      </c>
      <c r="C1" s="26"/>
      <c r="D1" s="26"/>
      <c r="E1" s="26"/>
      <c r="F1" s="26"/>
      <c r="G1" s="27"/>
      <c r="H1" s="32" t="s">
        <v>260</v>
      </c>
      <c r="I1" s="26"/>
      <c r="J1" s="26"/>
      <c r="K1" s="26"/>
      <c r="L1" s="26"/>
      <c r="M1" s="27"/>
    </row>
    <row r="2" spans="1:13" x14ac:dyDescent="0.35">
      <c r="A2" s="24" t="s">
        <v>255</v>
      </c>
      <c r="B2" s="33" t="s">
        <v>259</v>
      </c>
      <c r="C2" s="29"/>
      <c r="D2" s="29"/>
      <c r="E2" s="29"/>
      <c r="F2" s="29"/>
      <c r="G2" s="30"/>
      <c r="H2" s="33" t="s">
        <v>261</v>
      </c>
      <c r="I2" s="29"/>
      <c r="J2" s="29"/>
      <c r="K2" s="29"/>
      <c r="L2" s="29"/>
      <c r="M2" s="30"/>
    </row>
    <row r="3" spans="1:13" x14ac:dyDescent="0.35">
      <c r="A3" s="25">
        <v>2022</v>
      </c>
      <c r="B3" s="33"/>
      <c r="C3" s="29"/>
      <c r="D3" s="29"/>
      <c r="E3" s="29"/>
      <c r="F3" s="29"/>
      <c r="G3" s="30"/>
      <c r="H3" s="33"/>
      <c r="I3" s="29"/>
      <c r="J3" s="29"/>
      <c r="K3" s="29"/>
      <c r="L3" s="29"/>
      <c r="M3" s="30"/>
    </row>
    <row r="4" spans="1:13" x14ac:dyDescent="0.35">
      <c r="A4" s="42"/>
      <c r="B4" s="52"/>
      <c r="C4" s="53"/>
      <c r="D4" s="53"/>
      <c r="E4" s="53"/>
      <c r="F4" s="53"/>
      <c r="G4" s="54"/>
      <c r="H4" s="52"/>
      <c r="I4" s="53"/>
      <c r="J4" s="53"/>
      <c r="K4" s="53"/>
      <c r="L4" s="53"/>
      <c r="M4" s="54"/>
    </row>
    <row r="5" spans="1:13" ht="43.5" x14ac:dyDescent="0.35">
      <c r="A5" s="42" t="s">
        <v>232</v>
      </c>
      <c r="B5" s="41" t="s">
        <v>0</v>
      </c>
      <c r="C5" s="42" t="s">
        <v>1</v>
      </c>
      <c r="D5" s="42" t="s">
        <v>249</v>
      </c>
      <c r="E5" s="42" t="s">
        <v>244</v>
      </c>
      <c r="F5" s="42" t="s">
        <v>251</v>
      </c>
      <c r="G5" s="42" t="s">
        <v>246</v>
      </c>
      <c r="H5" s="41" t="s">
        <v>2</v>
      </c>
      <c r="I5" s="42" t="s">
        <v>1</v>
      </c>
      <c r="J5" s="42" t="s">
        <v>234</v>
      </c>
      <c r="K5" s="42" t="s">
        <v>244</v>
      </c>
      <c r="L5" s="42" t="s">
        <v>235</v>
      </c>
      <c r="M5" s="42" t="s">
        <v>246</v>
      </c>
    </row>
    <row r="6" spans="1:13" x14ac:dyDescent="0.35">
      <c r="A6" s="24"/>
      <c r="B6" s="24"/>
      <c r="C6" s="24"/>
      <c r="D6" s="24"/>
      <c r="E6" s="24"/>
      <c r="F6" s="24"/>
      <c r="G6" s="24"/>
      <c r="H6" s="24"/>
      <c r="I6" s="24"/>
      <c r="J6" s="24"/>
      <c r="K6" s="24"/>
      <c r="L6" s="24"/>
      <c r="M6" s="24"/>
    </row>
    <row r="7" spans="1:13" ht="43.5" x14ac:dyDescent="0.35">
      <c r="A7" s="23" t="s">
        <v>231</v>
      </c>
      <c r="B7" s="23" t="s">
        <v>256</v>
      </c>
      <c r="C7" s="23" t="s">
        <v>257</v>
      </c>
      <c r="D7" s="23" t="s">
        <v>250</v>
      </c>
      <c r="E7" s="23" t="s">
        <v>245</v>
      </c>
      <c r="F7" s="23" t="s">
        <v>252</v>
      </c>
      <c r="G7" s="23" t="s">
        <v>247</v>
      </c>
      <c r="H7" s="23" t="s">
        <v>233</v>
      </c>
      <c r="I7" s="23" t="s">
        <v>257</v>
      </c>
      <c r="J7" s="23" t="s">
        <v>248</v>
      </c>
      <c r="K7" s="23" t="s">
        <v>245</v>
      </c>
      <c r="L7" s="23" t="s">
        <v>248</v>
      </c>
      <c r="M7" s="23" t="s">
        <v>247</v>
      </c>
    </row>
    <row r="8" spans="1:13" ht="20.149999999999999" customHeight="1" x14ac:dyDescent="0.35">
      <c r="A8" s="35" t="s">
        <v>3</v>
      </c>
      <c r="B8" s="36">
        <v>945029</v>
      </c>
      <c r="C8" s="37">
        <v>16.762291570848099</v>
      </c>
      <c r="D8" s="36">
        <v>919908</v>
      </c>
      <c r="E8" s="37">
        <v>17.7293418537765</v>
      </c>
      <c r="F8" s="36">
        <v>25121</v>
      </c>
      <c r="G8" s="37">
        <v>5.5922868693344698</v>
      </c>
      <c r="H8" s="36">
        <v>503671108000</v>
      </c>
      <c r="I8" s="37">
        <v>20.944843409440701</v>
      </c>
      <c r="J8" s="36">
        <v>489438705000</v>
      </c>
      <c r="K8" s="37">
        <v>21.377807048821001</v>
      </c>
      <c r="L8" s="36">
        <v>14232403000</v>
      </c>
      <c r="M8" s="37">
        <v>12.346063221909301</v>
      </c>
    </row>
    <row r="9" spans="1:13" ht="20.149999999999999" customHeight="1" x14ac:dyDescent="0.35">
      <c r="A9" s="38" t="s">
        <v>4</v>
      </c>
      <c r="B9" s="39">
        <v>668430</v>
      </c>
      <c r="C9" s="40">
        <v>11.856163731168101</v>
      </c>
      <c r="D9" s="39">
        <v>632403</v>
      </c>
      <c r="E9" s="40">
        <v>12.1882720623734</v>
      </c>
      <c r="F9" s="39">
        <v>36027</v>
      </c>
      <c r="G9" s="40">
        <v>8.0201154031094699</v>
      </c>
      <c r="H9" s="39">
        <v>234228560358</v>
      </c>
      <c r="I9" s="40">
        <v>9.7402460470633994</v>
      </c>
      <c r="J9" s="39">
        <v>223127056846</v>
      </c>
      <c r="K9" s="40">
        <v>9.7457906779666992</v>
      </c>
      <c r="L9" s="39">
        <v>11101503512</v>
      </c>
      <c r="M9" s="40">
        <v>9.6301281110013495</v>
      </c>
    </row>
    <row r="10" spans="1:13" ht="20.149999999999999" customHeight="1" x14ac:dyDescent="0.35">
      <c r="A10" s="35" t="s">
        <v>5</v>
      </c>
      <c r="B10" s="36">
        <v>256457</v>
      </c>
      <c r="C10" s="37">
        <v>4.5488625316101396</v>
      </c>
      <c r="D10" s="36">
        <v>246803</v>
      </c>
      <c r="E10" s="37">
        <v>4.7566221377981304</v>
      </c>
      <c r="F10" s="36">
        <v>9654</v>
      </c>
      <c r="G10" s="37">
        <v>2.1491157771010299</v>
      </c>
      <c r="H10" s="36">
        <v>113924789644</v>
      </c>
      <c r="I10" s="37">
        <v>4.7374900836024398</v>
      </c>
      <c r="J10" s="36">
        <v>109654154039</v>
      </c>
      <c r="K10" s="37">
        <v>4.7894972816819497</v>
      </c>
      <c r="L10" s="36">
        <v>4270635605</v>
      </c>
      <c r="M10" s="37">
        <v>3.7046124380448502</v>
      </c>
    </row>
    <row r="11" spans="1:13" ht="20.149999999999999" customHeight="1" x14ac:dyDescent="0.35">
      <c r="A11" s="38" t="s">
        <v>6</v>
      </c>
      <c r="B11" s="39">
        <v>24151</v>
      </c>
      <c r="C11" s="40">
        <v>0.42837426547497798</v>
      </c>
      <c r="D11" s="39">
        <v>20993</v>
      </c>
      <c r="E11" s="40">
        <v>0.40459706137606199</v>
      </c>
      <c r="F11" s="39">
        <v>3093</v>
      </c>
      <c r="G11" s="40">
        <v>0.68854517283752703</v>
      </c>
      <c r="H11" s="39">
        <v>8698286874</v>
      </c>
      <c r="I11" s="40">
        <v>0.361712739946012</v>
      </c>
      <c r="J11" s="39">
        <v>7943692326</v>
      </c>
      <c r="K11" s="40">
        <v>0.346966269863001</v>
      </c>
      <c r="L11" s="39">
        <v>754594548</v>
      </c>
      <c r="M11" s="40">
        <v>0.65458180157743295</v>
      </c>
    </row>
    <row r="12" spans="1:13" ht="20.149999999999999" customHeight="1" x14ac:dyDescent="0.35">
      <c r="A12" s="35" t="s">
        <v>7</v>
      </c>
      <c r="B12" s="36">
        <v>105373</v>
      </c>
      <c r="C12" s="37">
        <v>1.8690357118088201</v>
      </c>
      <c r="D12" s="36">
        <v>97974</v>
      </c>
      <c r="E12" s="37">
        <v>1.88824810609528</v>
      </c>
      <c r="F12" s="36">
        <v>7399</v>
      </c>
      <c r="G12" s="37">
        <v>1.6471211554558201</v>
      </c>
      <c r="H12" s="36">
        <v>151645467972</v>
      </c>
      <c r="I12" s="37">
        <v>6.3060805552993902</v>
      </c>
      <c r="J12" s="36">
        <v>148081022996</v>
      </c>
      <c r="K12" s="37">
        <v>6.4679141736461299</v>
      </c>
      <c r="L12" s="36">
        <v>3564444976</v>
      </c>
      <c r="M12" s="37">
        <v>3.0920191779780901</v>
      </c>
    </row>
    <row r="13" spans="1:13" ht="20.149999999999999" customHeight="1" x14ac:dyDescent="0.35">
      <c r="A13" s="38" t="s">
        <v>8</v>
      </c>
      <c r="B13" s="39">
        <v>26626</v>
      </c>
      <c r="C13" s="40">
        <v>0.472274158110918</v>
      </c>
      <c r="D13" s="39">
        <v>21673</v>
      </c>
      <c r="E13" s="40">
        <v>0.417702668089524</v>
      </c>
      <c r="F13" s="39">
        <v>4266</v>
      </c>
      <c r="G13" s="40">
        <v>0.94967142170219598</v>
      </c>
      <c r="H13" s="39">
        <v>18333674650</v>
      </c>
      <c r="I13" s="40">
        <v>0.76239422624154696</v>
      </c>
      <c r="J13" s="39">
        <v>17697174738</v>
      </c>
      <c r="K13" s="40">
        <v>0.77298093304294901</v>
      </c>
      <c r="L13" s="39">
        <v>636499912</v>
      </c>
      <c r="M13" s="40">
        <v>0.55213923848922097</v>
      </c>
    </row>
    <row r="14" spans="1:13" ht="20.149999999999999" customHeight="1" x14ac:dyDescent="0.35">
      <c r="A14" s="35" t="s">
        <v>9</v>
      </c>
      <c r="B14" s="36">
        <v>28962</v>
      </c>
      <c r="C14" s="37">
        <v>0.51370856182710101</v>
      </c>
      <c r="D14" s="36">
        <v>26235</v>
      </c>
      <c r="E14" s="37">
        <v>0.50562587077601995</v>
      </c>
      <c r="F14" s="36">
        <v>2366</v>
      </c>
      <c r="G14" s="37">
        <v>0.52670477818738803</v>
      </c>
      <c r="H14" s="36">
        <v>43710402862</v>
      </c>
      <c r="I14" s="37">
        <v>1.8176693655181</v>
      </c>
      <c r="J14" s="36">
        <v>42914729118</v>
      </c>
      <c r="K14" s="37">
        <v>1.8744385952006399</v>
      </c>
      <c r="L14" s="36">
        <v>795673744</v>
      </c>
      <c r="M14" s="37">
        <v>0.69021642708102504</v>
      </c>
    </row>
    <row r="15" spans="1:13" ht="20.149999999999999" customHeight="1" x14ac:dyDescent="0.35">
      <c r="A15" s="38" t="s">
        <v>10</v>
      </c>
      <c r="B15" s="39">
        <v>27551</v>
      </c>
      <c r="C15" s="40">
        <v>0.48868118869202598</v>
      </c>
      <c r="D15" s="39">
        <v>23958</v>
      </c>
      <c r="E15" s="40">
        <v>0.46174136123696902</v>
      </c>
      <c r="F15" s="39">
        <v>3593</v>
      </c>
      <c r="G15" s="40">
        <v>0.79985218428879301</v>
      </c>
      <c r="H15" s="39">
        <v>8984138799</v>
      </c>
      <c r="I15" s="40">
        <v>0.37359971085285198</v>
      </c>
      <c r="J15" s="39">
        <v>8448249551</v>
      </c>
      <c r="K15" s="40">
        <v>0.36900442681901602</v>
      </c>
      <c r="L15" s="39">
        <v>535889248</v>
      </c>
      <c r="M15" s="40">
        <v>0.46486334990299399</v>
      </c>
    </row>
    <row r="16" spans="1:13" ht="20.149999999999999" customHeight="1" x14ac:dyDescent="0.35">
      <c r="A16" s="35" t="s">
        <v>11</v>
      </c>
      <c r="B16" s="36">
        <v>79896</v>
      </c>
      <c r="C16" s="37">
        <v>1.4171417462792</v>
      </c>
      <c r="D16" s="36">
        <v>75707</v>
      </c>
      <c r="E16" s="37">
        <v>1.45909730508253</v>
      </c>
      <c r="F16" s="36">
        <v>4189</v>
      </c>
      <c r="G16" s="37">
        <v>0.93253014193870098</v>
      </c>
      <c r="H16" s="36">
        <v>93756678299</v>
      </c>
      <c r="I16" s="37">
        <v>3.8988119714856899</v>
      </c>
      <c r="J16" s="36">
        <v>92038809059</v>
      </c>
      <c r="K16" s="37">
        <v>4.0200905260783903</v>
      </c>
      <c r="L16" s="36">
        <v>1717869240</v>
      </c>
      <c r="M16" s="37">
        <v>1.4901856168640899</v>
      </c>
    </row>
    <row r="17" spans="1:13" ht="20.149999999999999" customHeight="1" x14ac:dyDescent="0.35">
      <c r="A17" s="38" t="s">
        <v>12</v>
      </c>
      <c r="B17" s="39">
        <v>206358</v>
      </c>
      <c r="C17" s="40">
        <v>3.6602400180069399</v>
      </c>
      <c r="D17" s="39">
        <v>193415</v>
      </c>
      <c r="E17" s="40">
        <v>3.7276778271829198</v>
      </c>
      <c r="F17" s="39">
        <v>12700</v>
      </c>
      <c r="G17" s="40">
        <v>2.8271980908621401</v>
      </c>
      <c r="H17" s="39">
        <v>37514783060</v>
      </c>
      <c r="I17" s="40">
        <v>1.56002844763301</v>
      </c>
      <c r="J17" s="39">
        <v>35973451873</v>
      </c>
      <c r="K17" s="40">
        <v>1.5712560227966501</v>
      </c>
      <c r="L17" s="39">
        <v>1541331187</v>
      </c>
      <c r="M17" s="40">
        <v>1.33704563316556</v>
      </c>
    </row>
    <row r="18" spans="1:13" ht="20.149999999999999" customHeight="1" x14ac:dyDescent="0.35">
      <c r="A18" s="35" t="s">
        <v>13</v>
      </c>
      <c r="B18" s="36">
        <v>174616</v>
      </c>
      <c r="C18" s="37">
        <v>3.0972216777847201</v>
      </c>
      <c r="D18" s="36">
        <v>165818</v>
      </c>
      <c r="E18" s="37">
        <v>3.1958021970778701</v>
      </c>
      <c r="F18" s="36">
        <v>7883</v>
      </c>
      <c r="G18" s="37">
        <v>1.7548663425406501</v>
      </c>
      <c r="H18" s="36">
        <v>33283641574</v>
      </c>
      <c r="I18" s="37">
        <v>1.38407911391134</v>
      </c>
      <c r="J18" s="36">
        <v>32869341079</v>
      </c>
      <c r="K18" s="37">
        <v>1.43567401644042</v>
      </c>
      <c r="L18" s="36">
        <v>414300495</v>
      </c>
      <c r="M18" s="37">
        <v>0.35938977445609899</v>
      </c>
    </row>
    <row r="19" spans="1:13" ht="20.149999999999999" customHeight="1" x14ac:dyDescent="0.35">
      <c r="A19" s="38" t="s">
        <v>14</v>
      </c>
      <c r="B19" s="39">
        <v>130442</v>
      </c>
      <c r="C19" s="40">
        <v>2.3136928465523998</v>
      </c>
      <c r="D19" s="39">
        <v>121927</v>
      </c>
      <c r="E19" s="40">
        <v>2.3498931025770098</v>
      </c>
      <c r="F19" s="39">
        <v>8515</v>
      </c>
      <c r="G19" s="40">
        <v>1.89555840501505</v>
      </c>
      <c r="H19" s="39">
        <v>69758846726</v>
      </c>
      <c r="I19" s="40">
        <v>2.9008773739295899</v>
      </c>
      <c r="J19" s="39">
        <v>66137923964</v>
      </c>
      <c r="K19" s="40">
        <v>2.8887862007398502</v>
      </c>
      <c r="L19" s="39">
        <v>3620922762</v>
      </c>
      <c r="M19" s="40">
        <v>3.1410114891562899</v>
      </c>
    </row>
    <row r="20" spans="1:13" ht="20.149999999999999" customHeight="1" x14ac:dyDescent="0.35">
      <c r="A20" s="35" t="s">
        <v>15</v>
      </c>
      <c r="B20" s="36">
        <v>183373</v>
      </c>
      <c r="C20" s="37">
        <v>3.2525474797293401</v>
      </c>
      <c r="D20" s="36">
        <v>174201</v>
      </c>
      <c r="E20" s="37">
        <v>3.3573673457234001</v>
      </c>
      <c r="F20" s="36">
        <v>8581</v>
      </c>
      <c r="G20" s="37">
        <v>1.91025093052662</v>
      </c>
      <c r="H20" s="36">
        <v>50721588573</v>
      </c>
      <c r="I20" s="37">
        <v>2.10922507419179</v>
      </c>
      <c r="J20" s="36">
        <v>50016140346</v>
      </c>
      <c r="K20" s="37">
        <v>2.18461553350902</v>
      </c>
      <c r="L20" s="36">
        <v>705448227</v>
      </c>
      <c r="M20" s="37">
        <v>0.61194925483249796</v>
      </c>
    </row>
    <row r="21" spans="1:13" ht="20.149999999999999" customHeight="1" x14ac:dyDescent="0.35">
      <c r="A21" s="38" t="s">
        <v>16</v>
      </c>
      <c r="B21" s="39">
        <v>53622</v>
      </c>
      <c r="C21" s="40">
        <v>0.95111112845427903</v>
      </c>
      <c r="D21" s="39">
        <v>50121</v>
      </c>
      <c r="E21" s="40">
        <v>0.96597957953744495</v>
      </c>
      <c r="F21" s="39">
        <v>3233</v>
      </c>
      <c r="G21" s="40">
        <v>0.71971113604388204</v>
      </c>
      <c r="H21" s="39">
        <v>16619449925</v>
      </c>
      <c r="I21" s="40">
        <v>0.69110927885537199</v>
      </c>
      <c r="J21" s="39">
        <v>15875167114</v>
      </c>
      <c r="K21" s="40">
        <v>0.69339889952283196</v>
      </c>
      <c r="L21" s="39">
        <v>744282811</v>
      </c>
      <c r="M21" s="40">
        <v>0.64563676559653105</v>
      </c>
    </row>
    <row r="22" spans="1:13" ht="20.149999999999999" customHeight="1" x14ac:dyDescent="0.35">
      <c r="A22" s="35" t="s">
        <v>17</v>
      </c>
      <c r="B22" s="36">
        <v>36587</v>
      </c>
      <c r="C22" s="37">
        <v>0.64895570580650996</v>
      </c>
      <c r="D22" s="36">
        <v>32851</v>
      </c>
      <c r="E22" s="37">
        <v>0.63313571491759202</v>
      </c>
      <c r="F22" s="36">
        <v>3736</v>
      </c>
      <c r="G22" s="37">
        <v>0.83168598956385498</v>
      </c>
      <c r="H22" s="36">
        <v>18629838782</v>
      </c>
      <c r="I22" s="37">
        <v>0.77471002373262199</v>
      </c>
      <c r="J22" s="36">
        <v>17824143898</v>
      </c>
      <c r="K22" s="37">
        <v>0.77852671880917901</v>
      </c>
      <c r="L22" s="36">
        <v>805694884</v>
      </c>
      <c r="M22" s="37">
        <v>0.69890938132041902</v>
      </c>
    </row>
    <row r="23" spans="1:13" ht="20.149999999999999" customHeight="1" x14ac:dyDescent="0.35">
      <c r="A23" s="38" t="s">
        <v>18</v>
      </c>
      <c r="B23" s="39">
        <v>10564</v>
      </c>
      <c r="C23" s="40">
        <v>0.18737715790143999</v>
      </c>
      <c r="D23" s="39">
        <v>9191</v>
      </c>
      <c r="E23" s="40">
        <v>0.177137693093287</v>
      </c>
      <c r="F23" s="39">
        <v>1001</v>
      </c>
      <c r="G23" s="40">
        <v>0.22283663692543301</v>
      </c>
      <c r="H23" s="39">
        <v>7961447023</v>
      </c>
      <c r="I23" s="40">
        <v>0.33107172232180698</v>
      </c>
      <c r="J23" s="39">
        <v>7722177279</v>
      </c>
      <c r="K23" s="40">
        <v>0.337290888891289</v>
      </c>
      <c r="L23" s="39">
        <v>239269744</v>
      </c>
      <c r="M23" s="40">
        <v>0.20755731737739899</v>
      </c>
    </row>
    <row r="24" spans="1:13" ht="20.149999999999999" customHeight="1" x14ac:dyDescent="0.35">
      <c r="A24" s="35" t="s">
        <v>19</v>
      </c>
      <c r="B24" s="36">
        <v>324691</v>
      </c>
      <c r="C24" s="37">
        <v>5.7591515312548598</v>
      </c>
      <c r="D24" s="36">
        <v>303439</v>
      </c>
      <c r="E24" s="37">
        <v>5.8481649934211797</v>
      </c>
      <c r="F24" s="36">
        <v>21252</v>
      </c>
      <c r="G24" s="37">
        <v>4.7309932147245801</v>
      </c>
      <c r="H24" s="36">
        <v>138521034035</v>
      </c>
      <c r="I24" s="37">
        <v>5.7603092984576802</v>
      </c>
      <c r="J24" s="36">
        <v>130978521290</v>
      </c>
      <c r="K24" s="37">
        <v>5.7209074947955099</v>
      </c>
      <c r="L24" s="36">
        <v>7542512745</v>
      </c>
      <c r="M24" s="37">
        <v>6.5428402499442004</v>
      </c>
    </row>
    <row r="25" spans="1:13" ht="20.149999999999999" customHeight="1" x14ac:dyDescent="0.35">
      <c r="A25" s="38" t="s">
        <v>20</v>
      </c>
      <c r="B25" s="39">
        <v>182999</v>
      </c>
      <c r="C25" s="40">
        <v>3.2459137181754598</v>
      </c>
      <c r="D25" s="39">
        <v>119119</v>
      </c>
      <c r="E25" s="40">
        <v>2.2957746560308201</v>
      </c>
      <c r="F25" s="39">
        <v>63880</v>
      </c>
      <c r="G25" s="40">
        <v>14.2205837830137</v>
      </c>
      <c r="H25" s="39">
        <v>86022140163</v>
      </c>
      <c r="I25" s="40">
        <v>3.57717611123923</v>
      </c>
      <c r="J25" s="39">
        <v>64607767822</v>
      </c>
      <c r="K25" s="40">
        <v>2.8219517178432798</v>
      </c>
      <c r="L25" s="39">
        <v>21414372341</v>
      </c>
      <c r="M25" s="40">
        <v>18.576145910110299</v>
      </c>
    </row>
    <row r="26" spans="1:13" ht="20.149999999999999" customHeight="1" x14ac:dyDescent="0.35">
      <c r="A26" s="35" t="s">
        <v>21</v>
      </c>
      <c r="B26" s="36">
        <v>425127</v>
      </c>
      <c r="C26" s="37">
        <v>7.54061804308646</v>
      </c>
      <c r="D26" s="36">
        <v>409051</v>
      </c>
      <c r="E26" s="37">
        <v>7.8836198996303297</v>
      </c>
      <c r="F26" s="36">
        <v>16076</v>
      </c>
      <c r="G26" s="37">
        <v>3.5787430321810798</v>
      </c>
      <c r="H26" s="36">
        <v>142341196514</v>
      </c>
      <c r="I26" s="37">
        <v>5.9191683309699803</v>
      </c>
      <c r="J26" s="36">
        <v>139047185440</v>
      </c>
      <c r="K26" s="37">
        <v>6.0733323103614101</v>
      </c>
      <c r="L26" s="36">
        <v>3294011074</v>
      </c>
      <c r="M26" s="37">
        <v>2.8574281499247398</v>
      </c>
    </row>
    <row r="27" spans="1:13" ht="20.149999999999999" customHeight="1" x14ac:dyDescent="0.35">
      <c r="A27" s="38" t="s">
        <v>22</v>
      </c>
      <c r="B27" s="39">
        <v>175382</v>
      </c>
      <c r="C27" s="40">
        <v>3.1108084728389098</v>
      </c>
      <c r="D27" s="39">
        <v>165160</v>
      </c>
      <c r="E27" s="40">
        <v>3.1831205952874901</v>
      </c>
      <c r="F27" s="39">
        <v>10222</v>
      </c>
      <c r="G27" s="40">
        <v>2.2755605421096701</v>
      </c>
      <c r="H27" s="39">
        <v>71837214600</v>
      </c>
      <c r="I27" s="40">
        <v>2.9873049830910499</v>
      </c>
      <c r="J27" s="39">
        <v>68827516100</v>
      </c>
      <c r="K27" s="40">
        <v>3.0062627736713599</v>
      </c>
      <c r="L27" s="39">
        <v>3009698500</v>
      </c>
      <c r="M27" s="40">
        <v>2.6107979067122802</v>
      </c>
    </row>
    <row r="28" spans="1:13" ht="20.149999999999999" customHeight="1" x14ac:dyDescent="0.35">
      <c r="A28" s="35" t="s">
        <v>23</v>
      </c>
      <c r="B28" s="36">
        <v>260749</v>
      </c>
      <c r="C28" s="37">
        <v>4.62499115350648</v>
      </c>
      <c r="D28" s="36">
        <v>218075</v>
      </c>
      <c r="E28" s="37">
        <v>4.2029488000564301</v>
      </c>
      <c r="F28" s="36">
        <v>42674</v>
      </c>
      <c r="G28" s="37">
        <v>9.4998308133425908</v>
      </c>
      <c r="H28" s="36">
        <v>88084903000</v>
      </c>
      <c r="I28" s="37">
        <v>3.6629547948396</v>
      </c>
      <c r="J28" s="36">
        <v>82556930000</v>
      </c>
      <c r="K28" s="37">
        <v>3.6059390114703298</v>
      </c>
      <c r="L28" s="36">
        <v>5527973000</v>
      </c>
      <c r="M28" s="37">
        <v>4.7953043591449402</v>
      </c>
    </row>
    <row r="29" spans="1:13" ht="20.149999999999999" customHeight="1" x14ac:dyDescent="0.35">
      <c r="A29" s="38" t="s">
        <v>24</v>
      </c>
      <c r="B29" s="39">
        <v>513974</v>
      </c>
      <c r="C29" s="40">
        <v>9.1165266333997099</v>
      </c>
      <c r="D29" s="39">
        <v>480537</v>
      </c>
      <c r="E29" s="40">
        <v>9.2613660783341398</v>
      </c>
      <c r="F29" s="39">
        <v>33437</v>
      </c>
      <c r="G29" s="40">
        <v>7.4435450837919204</v>
      </c>
      <c r="H29" s="39">
        <v>173280694485</v>
      </c>
      <c r="I29" s="40">
        <v>7.2057677206838404</v>
      </c>
      <c r="J29" s="39">
        <v>160397680005</v>
      </c>
      <c r="K29" s="40">
        <v>7.0058837178098097</v>
      </c>
      <c r="L29" s="39">
        <v>12883014480</v>
      </c>
      <c r="M29" s="40">
        <v>11.175520483705601</v>
      </c>
    </row>
    <row r="30" spans="1:13" ht="20.149999999999999" customHeight="1" x14ac:dyDescent="0.35">
      <c r="A30" s="35" t="s">
        <v>25</v>
      </c>
      <c r="B30" s="36">
        <v>302125</v>
      </c>
      <c r="C30" s="37">
        <v>5.3588909343972402</v>
      </c>
      <c r="D30" s="36">
        <v>219441</v>
      </c>
      <c r="E30" s="37">
        <v>4.2292756511896501</v>
      </c>
      <c r="F30" s="36">
        <v>82270</v>
      </c>
      <c r="G30" s="37">
        <v>18.3144556641912</v>
      </c>
      <c r="H30" s="36">
        <v>67942087702</v>
      </c>
      <c r="I30" s="37">
        <v>2.8253286027851301</v>
      </c>
      <c r="J30" s="36">
        <v>61224387649</v>
      </c>
      <c r="K30" s="37">
        <v>2.6741717246136898</v>
      </c>
      <c r="L30" s="36">
        <v>6717700053</v>
      </c>
      <c r="M30" s="37">
        <v>5.8273469041146004</v>
      </c>
    </row>
    <row r="31" spans="1:13" ht="20.149999999999999" customHeight="1" x14ac:dyDescent="0.35">
      <c r="A31" s="38" t="s">
        <v>26</v>
      </c>
      <c r="B31" s="39">
        <v>112099</v>
      </c>
      <c r="C31" s="40">
        <v>1.9883369957964301</v>
      </c>
      <c r="D31" s="39">
        <v>106818</v>
      </c>
      <c r="E31" s="40">
        <v>2.0586980851744898</v>
      </c>
      <c r="F31" s="39">
        <v>5281</v>
      </c>
      <c r="G31" s="40">
        <v>1.1756246549482601</v>
      </c>
      <c r="H31" s="39">
        <v>21434202360</v>
      </c>
      <c r="I31" s="40">
        <v>0.89132770354670599</v>
      </c>
      <c r="J31" s="39">
        <v>20656530400</v>
      </c>
      <c r="K31" s="40">
        <v>0.90224029419435603</v>
      </c>
      <c r="L31" s="39">
        <v>777671960</v>
      </c>
      <c r="M31" s="40">
        <v>0.67460057054779199</v>
      </c>
    </row>
    <row r="32" spans="1:13" ht="20.149999999999999" customHeight="1" x14ac:dyDescent="0.35">
      <c r="A32" s="35" t="s">
        <v>27</v>
      </c>
      <c r="B32" s="36">
        <v>333072</v>
      </c>
      <c r="C32" s="37">
        <v>5.9078080969848799</v>
      </c>
      <c r="D32" s="36">
        <v>303517</v>
      </c>
      <c r="E32" s="37">
        <v>5.8496682836030196</v>
      </c>
      <c r="F32" s="36">
        <v>29555</v>
      </c>
      <c r="G32" s="37">
        <v>6.5793574468842904</v>
      </c>
      <c r="H32" s="36">
        <v>195313291710</v>
      </c>
      <c r="I32" s="37">
        <v>8.1219792949655698</v>
      </c>
      <c r="J32" s="36">
        <v>187107087049</v>
      </c>
      <c r="K32" s="37">
        <v>8.1725028354683804</v>
      </c>
      <c r="L32" s="36">
        <v>8206204661</v>
      </c>
      <c r="M32" s="37">
        <v>7.1185675080049799</v>
      </c>
    </row>
    <row r="33" spans="1:13" ht="20.149999999999999" customHeight="1" x14ac:dyDescent="0.35">
      <c r="A33" s="38" t="s">
        <v>28</v>
      </c>
      <c r="B33" s="39">
        <v>49572</v>
      </c>
      <c r="C33" s="40">
        <v>0.87927494050456001</v>
      </c>
      <c r="D33" s="39">
        <v>46102</v>
      </c>
      <c r="E33" s="40">
        <v>0.88852158927067104</v>
      </c>
      <c r="F33" s="39">
        <v>3168</v>
      </c>
      <c r="G33" s="40">
        <v>0.70524122455521698</v>
      </c>
      <c r="H33" s="39">
        <v>8530466000</v>
      </c>
      <c r="I33" s="40">
        <v>0.35473401539553501</v>
      </c>
      <c r="J33" s="39">
        <v>8305512000</v>
      </c>
      <c r="K33" s="40">
        <v>0.36276990594290498</v>
      </c>
      <c r="L33" s="39">
        <v>224954000</v>
      </c>
      <c r="M33" s="40">
        <v>0.19513895903744299</v>
      </c>
    </row>
    <row r="34" spans="1:13" ht="20.149999999999999" customHeight="1" x14ac:dyDescent="0.35">
      <c r="A34" s="35" t="s">
        <v>29</v>
      </c>
      <c r="B34" s="36">
        <v>5637827</v>
      </c>
      <c r="C34" s="37">
        <v>100</v>
      </c>
      <c r="D34" s="36">
        <v>5188619</v>
      </c>
      <c r="E34" s="37">
        <v>100</v>
      </c>
      <c r="F34" s="36">
        <v>449208</v>
      </c>
      <c r="G34" s="37">
        <v>100</v>
      </c>
      <c r="H34" s="36">
        <v>2404749933690</v>
      </c>
      <c r="I34" s="37">
        <v>100</v>
      </c>
      <c r="J34" s="36">
        <v>2289471056981</v>
      </c>
      <c r="K34" s="37">
        <v>100</v>
      </c>
      <c r="L34" s="36">
        <v>115278876709</v>
      </c>
      <c r="M34" s="37">
        <v>100</v>
      </c>
    </row>
  </sheetData>
  <pageMargins left="0.78740157480314998" right="0.78740157480314998" top="0.78740157480314998" bottom="0.78740157480314998" header="0.78740157480314998" footer="0.78740157480314998"/>
  <pageSetup paperSize="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5"/>
  <sheetViews>
    <sheetView showGridLines="0" workbookViewId="0">
      <pane xSplit="1" ySplit="7" topLeftCell="B8" activePane="bottomRight" state="frozen"/>
      <selection sqref="A1:XFD1048576"/>
      <selection pane="topRight" sqref="A1:XFD1048576"/>
      <selection pane="bottomLeft" sqref="A1:XFD1048576"/>
      <selection pane="bottomRight" activeCell="B8" sqref="B8"/>
    </sheetView>
  </sheetViews>
  <sheetFormatPr baseColWidth="10" defaultColWidth="11.453125" defaultRowHeight="14.5" x14ac:dyDescent="0.35"/>
  <cols>
    <col min="1" max="1" width="35.1796875" style="28" customWidth="1"/>
    <col min="2" max="37" width="16.7265625" style="28" customWidth="1"/>
    <col min="38" max="16384" width="11.453125" style="28"/>
  </cols>
  <sheetData>
    <row r="1" spans="1:37" x14ac:dyDescent="0.35">
      <c r="A1" s="31" t="s">
        <v>254</v>
      </c>
      <c r="B1" s="32" t="s">
        <v>238</v>
      </c>
      <c r="C1" s="26"/>
      <c r="D1" s="27"/>
      <c r="E1" s="32" t="s">
        <v>238</v>
      </c>
      <c r="F1" s="26"/>
      <c r="G1" s="27"/>
      <c r="H1" s="32" t="s">
        <v>238</v>
      </c>
      <c r="I1" s="26"/>
      <c r="J1" s="27"/>
      <c r="K1" s="32" t="s">
        <v>238</v>
      </c>
      <c r="L1" s="26"/>
      <c r="M1" s="27"/>
      <c r="N1" s="32" t="s">
        <v>238</v>
      </c>
      <c r="O1" s="26"/>
      <c r="P1" s="27"/>
      <c r="Q1" s="32" t="s">
        <v>238</v>
      </c>
      <c r="R1" s="26"/>
      <c r="S1" s="27"/>
      <c r="T1" s="32" t="s">
        <v>238</v>
      </c>
      <c r="U1" s="26"/>
      <c r="V1" s="27"/>
      <c r="W1" s="32" t="s">
        <v>238</v>
      </c>
      <c r="X1" s="26"/>
      <c r="Y1" s="27"/>
      <c r="Z1" s="32" t="s">
        <v>238</v>
      </c>
      <c r="AA1" s="26"/>
      <c r="AB1" s="27"/>
      <c r="AC1" s="32" t="s">
        <v>238</v>
      </c>
      <c r="AD1" s="26"/>
      <c r="AE1" s="27"/>
      <c r="AF1" s="32" t="s">
        <v>238</v>
      </c>
      <c r="AG1" s="26"/>
      <c r="AH1" s="27"/>
      <c r="AI1" s="32" t="s">
        <v>253</v>
      </c>
      <c r="AJ1" s="26"/>
      <c r="AK1" s="27"/>
    </row>
    <row r="2" spans="1:37" x14ac:dyDescent="0.35">
      <c r="A2" s="24" t="s">
        <v>255</v>
      </c>
      <c r="B2" s="33" t="s">
        <v>239</v>
      </c>
      <c r="C2" s="29"/>
      <c r="D2" s="30"/>
      <c r="E2" s="33" t="s">
        <v>239</v>
      </c>
      <c r="F2" s="29"/>
      <c r="G2" s="30"/>
      <c r="H2" s="33" t="s">
        <v>239</v>
      </c>
      <c r="I2" s="29"/>
      <c r="J2" s="30"/>
      <c r="K2" s="33" t="s">
        <v>239</v>
      </c>
      <c r="L2" s="29"/>
      <c r="M2" s="30"/>
      <c r="N2" s="33" t="s">
        <v>239</v>
      </c>
      <c r="O2" s="29"/>
      <c r="P2" s="30"/>
      <c r="Q2" s="33" t="s">
        <v>239</v>
      </c>
      <c r="R2" s="29"/>
      <c r="S2" s="30"/>
      <c r="T2" s="33" t="s">
        <v>239</v>
      </c>
      <c r="U2" s="29"/>
      <c r="V2" s="30"/>
      <c r="W2" s="33" t="s">
        <v>239</v>
      </c>
      <c r="X2" s="29"/>
      <c r="Y2" s="30"/>
      <c r="Z2" s="33" t="s">
        <v>239</v>
      </c>
      <c r="AA2" s="29"/>
      <c r="AB2" s="30"/>
      <c r="AC2" s="33" t="s">
        <v>239</v>
      </c>
      <c r="AD2" s="29"/>
      <c r="AE2" s="30"/>
      <c r="AF2" s="33" t="s">
        <v>239</v>
      </c>
      <c r="AG2" s="29"/>
      <c r="AH2" s="30"/>
      <c r="AI2" s="33" t="s">
        <v>30</v>
      </c>
      <c r="AJ2" s="29"/>
      <c r="AK2" s="30"/>
    </row>
    <row r="3" spans="1:37" ht="15" customHeight="1" x14ac:dyDescent="0.35">
      <c r="A3" s="34">
        <v>2022</v>
      </c>
      <c r="B3" s="43" t="s">
        <v>31</v>
      </c>
      <c r="C3" s="44"/>
      <c r="D3" s="45"/>
      <c r="E3" s="46" t="s">
        <v>32</v>
      </c>
      <c r="F3" s="44"/>
      <c r="G3" s="45"/>
      <c r="H3" s="46" t="s">
        <v>33</v>
      </c>
      <c r="I3" s="44"/>
      <c r="J3" s="45"/>
      <c r="K3" s="46" t="s">
        <v>34</v>
      </c>
      <c r="L3" s="44"/>
      <c r="M3" s="45"/>
      <c r="N3" s="46" t="s">
        <v>35</v>
      </c>
      <c r="O3" s="44"/>
      <c r="P3" s="45"/>
      <c r="Q3" s="46" t="s">
        <v>36</v>
      </c>
      <c r="R3" s="44"/>
      <c r="S3" s="45"/>
      <c r="T3" s="46" t="s">
        <v>37</v>
      </c>
      <c r="U3" s="44"/>
      <c r="V3" s="45"/>
      <c r="W3" s="46" t="s">
        <v>38</v>
      </c>
      <c r="X3" s="44"/>
      <c r="Y3" s="45"/>
      <c r="Z3" s="46" t="s">
        <v>39</v>
      </c>
      <c r="AA3" s="44"/>
      <c r="AB3" s="45"/>
      <c r="AC3" s="46" t="s">
        <v>40</v>
      </c>
      <c r="AD3" s="44"/>
      <c r="AE3" s="45"/>
      <c r="AF3" s="46" t="s">
        <v>41</v>
      </c>
      <c r="AG3" s="44"/>
      <c r="AH3" s="45"/>
      <c r="AI3" s="43" t="s">
        <v>42</v>
      </c>
      <c r="AJ3" s="44"/>
      <c r="AK3" s="45"/>
    </row>
    <row r="4" spans="1:37" ht="15" customHeight="1" x14ac:dyDescent="0.35">
      <c r="A4" s="47"/>
      <c r="B4" s="48" t="s">
        <v>240</v>
      </c>
      <c r="C4" s="49"/>
      <c r="D4" s="50"/>
      <c r="E4" s="48" t="s">
        <v>240</v>
      </c>
      <c r="F4" s="49"/>
      <c r="G4" s="50"/>
      <c r="H4" s="48" t="s">
        <v>240</v>
      </c>
      <c r="I4" s="49"/>
      <c r="J4" s="50"/>
      <c r="K4" s="48" t="s">
        <v>240</v>
      </c>
      <c r="L4" s="49"/>
      <c r="M4" s="50"/>
      <c r="N4" s="48" t="s">
        <v>240</v>
      </c>
      <c r="O4" s="49"/>
      <c r="P4" s="50"/>
      <c r="Q4" s="48" t="s">
        <v>240</v>
      </c>
      <c r="R4" s="49"/>
      <c r="S4" s="50"/>
      <c r="T4" s="48" t="s">
        <v>240</v>
      </c>
      <c r="U4" s="49"/>
      <c r="V4" s="50"/>
      <c r="W4" s="48" t="s">
        <v>240</v>
      </c>
      <c r="X4" s="49"/>
      <c r="Y4" s="50"/>
      <c r="Z4" s="48" t="s">
        <v>240</v>
      </c>
      <c r="AA4" s="49"/>
      <c r="AB4" s="50"/>
      <c r="AC4" s="48" t="s">
        <v>240</v>
      </c>
      <c r="AD4" s="49"/>
      <c r="AE4" s="50"/>
      <c r="AF4" s="48" t="s">
        <v>240</v>
      </c>
      <c r="AG4" s="49"/>
      <c r="AH4" s="50"/>
      <c r="AI4" s="48" t="s">
        <v>240</v>
      </c>
      <c r="AJ4" s="49"/>
      <c r="AK4" s="50"/>
    </row>
    <row r="5" spans="1:37" ht="43.5" x14ac:dyDescent="0.35">
      <c r="A5" s="42" t="s">
        <v>232</v>
      </c>
      <c r="B5" s="41" t="s">
        <v>0</v>
      </c>
      <c r="C5" s="42" t="s">
        <v>249</v>
      </c>
      <c r="D5" s="42" t="s">
        <v>251</v>
      </c>
      <c r="E5" s="41" t="s">
        <v>0</v>
      </c>
      <c r="F5" s="42" t="s">
        <v>249</v>
      </c>
      <c r="G5" s="42" t="s">
        <v>251</v>
      </c>
      <c r="H5" s="41" t="s">
        <v>0</v>
      </c>
      <c r="I5" s="42" t="s">
        <v>249</v>
      </c>
      <c r="J5" s="42" t="s">
        <v>251</v>
      </c>
      <c r="K5" s="41" t="s">
        <v>0</v>
      </c>
      <c r="L5" s="42" t="s">
        <v>249</v>
      </c>
      <c r="M5" s="42" t="s">
        <v>251</v>
      </c>
      <c r="N5" s="41" t="s">
        <v>0</v>
      </c>
      <c r="O5" s="42" t="s">
        <v>249</v>
      </c>
      <c r="P5" s="42" t="s">
        <v>251</v>
      </c>
      <c r="Q5" s="41" t="s">
        <v>0</v>
      </c>
      <c r="R5" s="42" t="s">
        <v>249</v>
      </c>
      <c r="S5" s="42" t="s">
        <v>251</v>
      </c>
      <c r="T5" s="41" t="s">
        <v>0</v>
      </c>
      <c r="U5" s="42" t="s">
        <v>249</v>
      </c>
      <c r="V5" s="42" t="s">
        <v>251</v>
      </c>
      <c r="W5" s="41" t="s">
        <v>0</v>
      </c>
      <c r="X5" s="42" t="s">
        <v>249</v>
      </c>
      <c r="Y5" s="42" t="s">
        <v>251</v>
      </c>
      <c r="Z5" s="41" t="s">
        <v>0</v>
      </c>
      <c r="AA5" s="42" t="s">
        <v>249</v>
      </c>
      <c r="AB5" s="42" t="s">
        <v>251</v>
      </c>
      <c r="AC5" s="41" t="s">
        <v>0</v>
      </c>
      <c r="AD5" s="42" t="s">
        <v>249</v>
      </c>
      <c r="AE5" s="42" t="s">
        <v>251</v>
      </c>
      <c r="AF5" s="41" t="s">
        <v>0</v>
      </c>
      <c r="AG5" s="42" t="s">
        <v>249</v>
      </c>
      <c r="AH5" s="42" t="s">
        <v>251</v>
      </c>
      <c r="AI5" s="41" t="s">
        <v>0</v>
      </c>
      <c r="AJ5" s="42" t="s">
        <v>249</v>
      </c>
      <c r="AK5" s="42" t="s">
        <v>251</v>
      </c>
    </row>
    <row r="6" spans="1:37" ht="15" customHeight="1" x14ac:dyDescent="0.35">
      <c r="A6" s="51"/>
      <c r="B6" s="33" t="s">
        <v>241</v>
      </c>
      <c r="C6" s="29"/>
      <c r="D6" s="30"/>
      <c r="E6" s="33" t="s">
        <v>241</v>
      </c>
      <c r="F6" s="29"/>
      <c r="G6" s="30"/>
      <c r="H6" s="33" t="s">
        <v>241</v>
      </c>
      <c r="I6" s="29"/>
      <c r="J6" s="30"/>
      <c r="K6" s="33" t="s">
        <v>241</v>
      </c>
      <c r="L6" s="29"/>
      <c r="M6" s="30"/>
      <c r="N6" s="33" t="s">
        <v>241</v>
      </c>
      <c r="O6" s="29"/>
      <c r="P6" s="30"/>
      <c r="Q6" s="33" t="s">
        <v>241</v>
      </c>
      <c r="R6" s="29"/>
      <c r="S6" s="30"/>
      <c r="T6" s="33" t="s">
        <v>241</v>
      </c>
      <c r="U6" s="29"/>
      <c r="V6" s="30"/>
      <c r="W6" s="33" t="s">
        <v>241</v>
      </c>
      <c r="X6" s="29"/>
      <c r="Y6" s="30"/>
      <c r="Z6" s="33" t="s">
        <v>241</v>
      </c>
      <c r="AA6" s="29"/>
      <c r="AB6" s="30"/>
      <c r="AC6" s="33" t="s">
        <v>241</v>
      </c>
      <c r="AD6" s="29"/>
      <c r="AE6" s="30"/>
      <c r="AF6" s="33" t="s">
        <v>241</v>
      </c>
      <c r="AG6" s="29"/>
      <c r="AH6" s="30"/>
      <c r="AI6" s="33" t="s">
        <v>241</v>
      </c>
      <c r="AJ6" s="29"/>
      <c r="AK6" s="30"/>
    </row>
    <row r="7" spans="1:37" ht="43.5" x14ac:dyDescent="0.35">
      <c r="A7" s="23" t="s">
        <v>231</v>
      </c>
      <c r="B7" s="23" t="s">
        <v>256</v>
      </c>
      <c r="C7" s="23" t="s">
        <v>250</v>
      </c>
      <c r="D7" s="23" t="s">
        <v>252</v>
      </c>
      <c r="E7" s="23" t="s">
        <v>256</v>
      </c>
      <c r="F7" s="23" t="s">
        <v>250</v>
      </c>
      <c r="G7" s="23" t="s">
        <v>252</v>
      </c>
      <c r="H7" s="23" t="s">
        <v>256</v>
      </c>
      <c r="I7" s="23" t="s">
        <v>250</v>
      </c>
      <c r="J7" s="23" t="s">
        <v>252</v>
      </c>
      <c r="K7" s="23" t="s">
        <v>256</v>
      </c>
      <c r="L7" s="23" t="s">
        <v>250</v>
      </c>
      <c r="M7" s="23" t="s">
        <v>252</v>
      </c>
      <c r="N7" s="23" t="s">
        <v>256</v>
      </c>
      <c r="O7" s="23" t="s">
        <v>250</v>
      </c>
      <c r="P7" s="23" t="s">
        <v>252</v>
      </c>
      <c r="Q7" s="23" t="s">
        <v>256</v>
      </c>
      <c r="R7" s="23" t="s">
        <v>250</v>
      </c>
      <c r="S7" s="23" t="s">
        <v>252</v>
      </c>
      <c r="T7" s="23" t="s">
        <v>256</v>
      </c>
      <c r="U7" s="23" t="s">
        <v>250</v>
      </c>
      <c r="V7" s="23" t="s">
        <v>252</v>
      </c>
      <c r="W7" s="23" t="s">
        <v>256</v>
      </c>
      <c r="X7" s="23" t="s">
        <v>250</v>
      </c>
      <c r="Y7" s="23" t="s">
        <v>252</v>
      </c>
      <c r="Z7" s="23" t="s">
        <v>256</v>
      </c>
      <c r="AA7" s="23" t="s">
        <v>250</v>
      </c>
      <c r="AB7" s="23" t="s">
        <v>252</v>
      </c>
      <c r="AC7" s="23" t="s">
        <v>256</v>
      </c>
      <c r="AD7" s="23" t="s">
        <v>250</v>
      </c>
      <c r="AE7" s="23" t="s">
        <v>252</v>
      </c>
      <c r="AF7" s="23" t="s">
        <v>256</v>
      </c>
      <c r="AG7" s="23" t="s">
        <v>250</v>
      </c>
      <c r="AH7" s="23" t="s">
        <v>252</v>
      </c>
      <c r="AI7" s="23" t="s">
        <v>256</v>
      </c>
      <c r="AJ7" s="23" t="s">
        <v>250</v>
      </c>
      <c r="AK7" s="23" t="s">
        <v>252</v>
      </c>
    </row>
    <row r="8" spans="1:37" ht="20.149999999999999" customHeight="1" x14ac:dyDescent="0.35">
      <c r="A8" s="35" t="s">
        <v>3</v>
      </c>
      <c r="B8" s="78">
        <v>196332</v>
      </c>
      <c r="C8" s="78">
        <v>190177</v>
      </c>
      <c r="D8" s="78">
        <v>6155</v>
      </c>
      <c r="E8" s="78">
        <v>249712</v>
      </c>
      <c r="F8" s="78">
        <v>246891</v>
      </c>
      <c r="G8" s="78">
        <v>2821</v>
      </c>
      <c r="H8" s="78">
        <v>91288</v>
      </c>
      <c r="I8" s="78">
        <v>89616</v>
      </c>
      <c r="J8" s="78">
        <v>1672</v>
      </c>
      <c r="K8" s="78">
        <v>98563</v>
      </c>
      <c r="L8" s="78">
        <v>95794</v>
      </c>
      <c r="M8" s="78">
        <v>2769</v>
      </c>
      <c r="N8" s="78">
        <v>131721</v>
      </c>
      <c r="O8" s="78">
        <v>126581</v>
      </c>
      <c r="P8" s="78">
        <v>5140</v>
      </c>
      <c r="Q8" s="78">
        <v>84599</v>
      </c>
      <c r="R8" s="78">
        <v>81409</v>
      </c>
      <c r="S8" s="78">
        <v>3190</v>
      </c>
      <c r="T8" s="78">
        <v>52738</v>
      </c>
      <c r="U8" s="78">
        <v>50806</v>
      </c>
      <c r="V8" s="78">
        <v>1932</v>
      </c>
      <c r="W8" s="78">
        <v>16454</v>
      </c>
      <c r="X8" s="78">
        <v>15786</v>
      </c>
      <c r="Y8" s="78">
        <v>668</v>
      </c>
      <c r="Z8" s="78">
        <v>11725</v>
      </c>
      <c r="AA8" s="78">
        <v>11295</v>
      </c>
      <c r="AB8" s="78">
        <v>430</v>
      </c>
      <c r="AC8" s="78">
        <v>7323</v>
      </c>
      <c r="AD8" s="78">
        <v>7065</v>
      </c>
      <c r="AE8" s="78">
        <v>258</v>
      </c>
      <c r="AF8" s="78">
        <v>4574</v>
      </c>
      <c r="AG8" s="78">
        <v>4488</v>
      </c>
      <c r="AH8" s="78">
        <v>86</v>
      </c>
      <c r="AI8" s="78">
        <v>945029</v>
      </c>
      <c r="AJ8" s="78">
        <v>919908</v>
      </c>
      <c r="AK8" s="78">
        <v>25121</v>
      </c>
    </row>
    <row r="9" spans="1:37" ht="20.149999999999999" customHeight="1" x14ac:dyDescent="0.35">
      <c r="A9" s="38" t="s">
        <v>4</v>
      </c>
      <c r="B9" s="80">
        <v>118727</v>
      </c>
      <c r="C9" s="80">
        <v>110564</v>
      </c>
      <c r="D9" s="80">
        <v>8163</v>
      </c>
      <c r="E9" s="80">
        <v>212373</v>
      </c>
      <c r="F9" s="80">
        <v>205974</v>
      </c>
      <c r="G9" s="80">
        <v>6399</v>
      </c>
      <c r="H9" s="80">
        <v>69014</v>
      </c>
      <c r="I9" s="80">
        <v>65087</v>
      </c>
      <c r="J9" s="80">
        <v>3927</v>
      </c>
      <c r="K9" s="80">
        <v>72809</v>
      </c>
      <c r="L9" s="80">
        <v>67105</v>
      </c>
      <c r="M9" s="80">
        <v>5704</v>
      </c>
      <c r="N9" s="80">
        <v>97567</v>
      </c>
      <c r="O9" s="80">
        <v>90541</v>
      </c>
      <c r="P9" s="80">
        <v>7026</v>
      </c>
      <c r="Q9" s="80">
        <v>54960</v>
      </c>
      <c r="R9" s="80">
        <v>52251</v>
      </c>
      <c r="S9" s="80">
        <v>2709</v>
      </c>
      <c r="T9" s="80">
        <v>27009</v>
      </c>
      <c r="U9" s="80">
        <v>25740</v>
      </c>
      <c r="V9" s="80">
        <v>1269</v>
      </c>
      <c r="W9" s="80">
        <v>7167</v>
      </c>
      <c r="X9" s="80">
        <v>6804</v>
      </c>
      <c r="Y9" s="80">
        <v>363</v>
      </c>
      <c r="Z9" s="80">
        <v>4640</v>
      </c>
      <c r="AA9" s="80">
        <v>4380</v>
      </c>
      <c r="AB9" s="80">
        <v>260</v>
      </c>
      <c r="AC9" s="80">
        <v>2628</v>
      </c>
      <c r="AD9" s="80">
        <v>2467</v>
      </c>
      <c r="AE9" s="80">
        <v>161</v>
      </c>
      <c r="AF9" s="80">
        <v>1536</v>
      </c>
      <c r="AG9" s="80">
        <v>1490</v>
      </c>
      <c r="AH9" s="80">
        <v>46</v>
      </c>
      <c r="AI9" s="80">
        <v>668430</v>
      </c>
      <c r="AJ9" s="80">
        <v>632403</v>
      </c>
      <c r="AK9" s="80">
        <v>36027</v>
      </c>
    </row>
    <row r="10" spans="1:37" ht="20.149999999999999" customHeight="1" x14ac:dyDescent="0.35">
      <c r="A10" s="35" t="s">
        <v>5</v>
      </c>
      <c r="B10" s="78">
        <v>37272</v>
      </c>
      <c r="C10" s="78">
        <v>36075</v>
      </c>
      <c r="D10" s="78">
        <v>1197</v>
      </c>
      <c r="E10" s="78">
        <v>86805</v>
      </c>
      <c r="F10" s="78">
        <v>85093</v>
      </c>
      <c r="G10" s="78">
        <v>1712</v>
      </c>
      <c r="H10" s="78">
        <v>29266</v>
      </c>
      <c r="I10" s="78">
        <v>28234</v>
      </c>
      <c r="J10" s="78">
        <v>1032</v>
      </c>
      <c r="K10" s="78">
        <v>28880</v>
      </c>
      <c r="L10" s="78">
        <v>27268</v>
      </c>
      <c r="M10" s="78">
        <v>1612</v>
      </c>
      <c r="N10" s="78">
        <v>35914</v>
      </c>
      <c r="O10" s="78">
        <v>33708</v>
      </c>
      <c r="P10" s="78">
        <v>2206</v>
      </c>
      <c r="Q10" s="78">
        <v>20268</v>
      </c>
      <c r="R10" s="78">
        <v>19262</v>
      </c>
      <c r="S10" s="78">
        <v>1006</v>
      </c>
      <c r="T10" s="78">
        <v>10380</v>
      </c>
      <c r="U10" s="78">
        <v>9860</v>
      </c>
      <c r="V10" s="78">
        <v>520</v>
      </c>
      <c r="W10" s="78">
        <v>3115</v>
      </c>
      <c r="X10" s="78">
        <v>2935</v>
      </c>
      <c r="Y10" s="78">
        <v>180</v>
      </c>
      <c r="Z10" s="78">
        <v>2166</v>
      </c>
      <c r="AA10" s="78">
        <v>2063</v>
      </c>
      <c r="AB10" s="78">
        <v>103</v>
      </c>
      <c r="AC10" s="78">
        <v>1372</v>
      </c>
      <c r="AD10" s="78">
        <v>1316</v>
      </c>
      <c r="AE10" s="78">
        <v>56</v>
      </c>
      <c r="AF10" s="78">
        <v>1019</v>
      </c>
      <c r="AG10" s="78">
        <v>989</v>
      </c>
      <c r="AH10" s="78">
        <v>30</v>
      </c>
      <c r="AI10" s="78">
        <v>256457</v>
      </c>
      <c r="AJ10" s="78">
        <v>246803</v>
      </c>
      <c r="AK10" s="78">
        <v>9654</v>
      </c>
    </row>
    <row r="11" spans="1:37" ht="20.149999999999999" customHeight="1" x14ac:dyDescent="0.35">
      <c r="A11" s="38" t="s">
        <v>6</v>
      </c>
      <c r="B11" s="80">
        <v>2185</v>
      </c>
      <c r="C11" s="80">
        <v>1587</v>
      </c>
      <c r="D11" s="80">
        <v>598</v>
      </c>
      <c r="E11" s="80">
        <v>6758</v>
      </c>
      <c r="F11" s="80">
        <v>6013</v>
      </c>
      <c r="G11" s="80">
        <v>745</v>
      </c>
      <c r="H11" s="80">
        <v>3084</v>
      </c>
      <c r="I11" s="80">
        <v>2680</v>
      </c>
      <c r="J11" s="80">
        <v>404</v>
      </c>
      <c r="K11" s="80">
        <v>3408</v>
      </c>
      <c r="L11" s="80">
        <v>2954</v>
      </c>
      <c r="M11" s="80">
        <v>454</v>
      </c>
      <c r="N11" s="80">
        <v>4714</v>
      </c>
      <c r="O11" s="80">
        <v>4183</v>
      </c>
      <c r="P11" s="80">
        <v>531</v>
      </c>
      <c r="Q11" s="80">
        <v>2473</v>
      </c>
      <c r="R11" s="80">
        <v>2259</v>
      </c>
      <c r="S11" s="80">
        <v>214</v>
      </c>
      <c r="T11" s="80">
        <v>1010</v>
      </c>
      <c r="U11" s="80">
        <v>902</v>
      </c>
      <c r="V11" s="80">
        <v>108</v>
      </c>
      <c r="W11" s="80">
        <v>227</v>
      </c>
      <c r="X11" s="80">
        <v>205</v>
      </c>
      <c r="Y11" s="80">
        <v>22</v>
      </c>
      <c r="Z11" s="80">
        <v>143</v>
      </c>
      <c r="AA11" s="80">
        <v>132</v>
      </c>
      <c r="AB11" s="80">
        <v>11</v>
      </c>
      <c r="AC11" s="80">
        <v>84</v>
      </c>
      <c r="AD11" s="80">
        <v>78</v>
      </c>
      <c r="AE11" s="80">
        <v>6</v>
      </c>
      <c r="AF11" s="80">
        <v>65</v>
      </c>
      <c r="AG11" s="80" t="s">
        <v>43</v>
      </c>
      <c r="AH11" s="80" t="s">
        <v>43</v>
      </c>
      <c r="AI11" s="80">
        <v>24151</v>
      </c>
      <c r="AJ11" s="80">
        <v>20993</v>
      </c>
      <c r="AK11" s="80">
        <v>3093</v>
      </c>
    </row>
    <row r="12" spans="1:37" ht="20.149999999999999" customHeight="1" x14ac:dyDescent="0.35">
      <c r="A12" s="35" t="s">
        <v>7</v>
      </c>
      <c r="B12" s="78">
        <v>10006</v>
      </c>
      <c r="C12" s="78">
        <v>9058</v>
      </c>
      <c r="D12" s="78">
        <v>948</v>
      </c>
      <c r="E12" s="78">
        <v>29703</v>
      </c>
      <c r="F12" s="78">
        <v>28053</v>
      </c>
      <c r="G12" s="78">
        <v>1650</v>
      </c>
      <c r="H12" s="78">
        <v>10659</v>
      </c>
      <c r="I12" s="78">
        <v>9846</v>
      </c>
      <c r="J12" s="78">
        <v>813</v>
      </c>
      <c r="K12" s="78">
        <v>11548</v>
      </c>
      <c r="L12" s="78">
        <v>10332</v>
      </c>
      <c r="M12" s="78">
        <v>1216</v>
      </c>
      <c r="N12" s="78">
        <v>16786</v>
      </c>
      <c r="O12" s="78">
        <v>15233</v>
      </c>
      <c r="P12" s="78">
        <v>1553</v>
      </c>
      <c r="Q12" s="78">
        <v>11554</v>
      </c>
      <c r="R12" s="78">
        <v>10886</v>
      </c>
      <c r="S12" s="78">
        <v>668</v>
      </c>
      <c r="T12" s="78">
        <v>7438</v>
      </c>
      <c r="U12" s="78">
        <v>7092</v>
      </c>
      <c r="V12" s="78">
        <v>346</v>
      </c>
      <c r="W12" s="78">
        <v>2497</v>
      </c>
      <c r="X12" s="78">
        <v>2399</v>
      </c>
      <c r="Y12" s="78">
        <v>98</v>
      </c>
      <c r="Z12" s="78">
        <v>1997</v>
      </c>
      <c r="AA12" s="78">
        <v>1935</v>
      </c>
      <c r="AB12" s="78">
        <v>62</v>
      </c>
      <c r="AC12" s="78">
        <v>1496</v>
      </c>
      <c r="AD12" s="78">
        <v>1463</v>
      </c>
      <c r="AE12" s="78">
        <v>33</v>
      </c>
      <c r="AF12" s="78">
        <v>1689</v>
      </c>
      <c r="AG12" s="78">
        <v>1677</v>
      </c>
      <c r="AH12" s="78">
        <v>12</v>
      </c>
      <c r="AI12" s="78">
        <v>105373</v>
      </c>
      <c r="AJ12" s="78">
        <v>97974</v>
      </c>
      <c r="AK12" s="78">
        <v>7399</v>
      </c>
    </row>
    <row r="13" spans="1:37" ht="20.149999999999999" customHeight="1" x14ac:dyDescent="0.35">
      <c r="A13" s="38" t="s">
        <v>8</v>
      </c>
      <c r="B13" s="80">
        <v>3610</v>
      </c>
      <c r="C13" s="80">
        <v>2838</v>
      </c>
      <c r="D13" s="80">
        <v>772</v>
      </c>
      <c r="E13" s="80">
        <v>7892</v>
      </c>
      <c r="F13" s="80">
        <v>6873</v>
      </c>
      <c r="G13" s="80">
        <v>1019</v>
      </c>
      <c r="H13" s="80">
        <v>3247</v>
      </c>
      <c r="I13" s="80">
        <v>2589</v>
      </c>
      <c r="J13" s="80">
        <v>658</v>
      </c>
      <c r="K13" s="80">
        <v>3427</v>
      </c>
      <c r="L13" s="80">
        <v>2518</v>
      </c>
      <c r="M13" s="80">
        <v>909</v>
      </c>
      <c r="N13" s="80">
        <v>4259</v>
      </c>
      <c r="O13" s="80">
        <v>3520</v>
      </c>
      <c r="P13" s="80">
        <v>739</v>
      </c>
      <c r="Q13" s="80">
        <v>2231</v>
      </c>
      <c r="R13" s="80">
        <v>2091</v>
      </c>
      <c r="S13" s="80">
        <v>140</v>
      </c>
      <c r="T13" s="80">
        <v>1027</v>
      </c>
      <c r="U13" s="80">
        <v>1002</v>
      </c>
      <c r="V13" s="80">
        <v>25</v>
      </c>
      <c r="W13" s="80">
        <v>296</v>
      </c>
      <c r="X13" s="80" t="s">
        <v>43</v>
      </c>
      <c r="Y13" s="80" t="s">
        <v>43</v>
      </c>
      <c r="Z13" s="80">
        <v>246</v>
      </c>
      <c r="AA13" s="80">
        <v>242</v>
      </c>
      <c r="AB13" s="80">
        <v>4</v>
      </c>
      <c r="AC13" s="80">
        <v>194</v>
      </c>
      <c r="AD13" s="80" t="s">
        <v>43</v>
      </c>
      <c r="AE13" s="80" t="s">
        <v>43</v>
      </c>
      <c r="AF13" s="80">
        <v>197</v>
      </c>
      <c r="AG13" s="80" t="s">
        <v>43</v>
      </c>
      <c r="AH13" s="80" t="s">
        <v>43</v>
      </c>
      <c r="AI13" s="80">
        <v>26626</v>
      </c>
      <c r="AJ13" s="80">
        <v>21673</v>
      </c>
      <c r="AK13" s="80">
        <v>4266</v>
      </c>
    </row>
    <row r="14" spans="1:37" ht="20.149999999999999" customHeight="1" x14ac:dyDescent="0.35">
      <c r="A14" s="35" t="s">
        <v>9</v>
      </c>
      <c r="B14" s="78">
        <v>3530</v>
      </c>
      <c r="C14" s="78">
        <v>3110</v>
      </c>
      <c r="D14" s="78">
        <v>420</v>
      </c>
      <c r="E14" s="78">
        <v>8100</v>
      </c>
      <c r="F14" s="78">
        <v>7636</v>
      </c>
      <c r="G14" s="78">
        <v>464</v>
      </c>
      <c r="H14" s="78">
        <v>3128</v>
      </c>
      <c r="I14" s="78">
        <v>2834</v>
      </c>
      <c r="J14" s="78">
        <v>294</v>
      </c>
      <c r="K14" s="78">
        <v>3475</v>
      </c>
      <c r="L14" s="78">
        <v>3049</v>
      </c>
      <c r="M14" s="78">
        <v>426</v>
      </c>
      <c r="N14" s="78">
        <v>4581</v>
      </c>
      <c r="O14" s="78">
        <v>4125</v>
      </c>
      <c r="P14" s="78">
        <v>456</v>
      </c>
      <c r="Q14" s="78">
        <v>2850</v>
      </c>
      <c r="R14" s="78">
        <v>2665</v>
      </c>
      <c r="S14" s="78">
        <v>185</v>
      </c>
      <c r="T14" s="78">
        <v>1654</v>
      </c>
      <c r="U14" s="78">
        <v>1572</v>
      </c>
      <c r="V14" s="78">
        <v>82</v>
      </c>
      <c r="W14" s="78">
        <v>516</v>
      </c>
      <c r="X14" s="78">
        <v>494</v>
      </c>
      <c r="Y14" s="78">
        <v>22</v>
      </c>
      <c r="Z14" s="78">
        <v>404</v>
      </c>
      <c r="AA14" s="78">
        <v>393</v>
      </c>
      <c r="AB14" s="78">
        <v>11</v>
      </c>
      <c r="AC14" s="78">
        <v>361</v>
      </c>
      <c r="AD14" s="78" t="s">
        <v>43</v>
      </c>
      <c r="AE14" s="78" t="s">
        <v>43</v>
      </c>
      <c r="AF14" s="78">
        <v>363</v>
      </c>
      <c r="AG14" s="78">
        <v>357</v>
      </c>
      <c r="AH14" s="78">
        <v>6</v>
      </c>
      <c r="AI14" s="78">
        <v>28962</v>
      </c>
      <c r="AJ14" s="78">
        <v>26235</v>
      </c>
      <c r="AK14" s="78">
        <v>2366</v>
      </c>
    </row>
    <row r="15" spans="1:37" ht="20.149999999999999" customHeight="1" x14ac:dyDescent="0.35">
      <c r="A15" s="38" t="s">
        <v>10</v>
      </c>
      <c r="B15" s="80">
        <v>3664</v>
      </c>
      <c r="C15" s="80">
        <v>3359</v>
      </c>
      <c r="D15" s="80">
        <v>305</v>
      </c>
      <c r="E15" s="80">
        <v>9063</v>
      </c>
      <c r="F15" s="80">
        <v>8046</v>
      </c>
      <c r="G15" s="80">
        <v>1017</v>
      </c>
      <c r="H15" s="80">
        <v>3289</v>
      </c>
      <c r="I15" s="80">
        <v>2592</v>
      </c>
      <c r="J15" s="80">
        <v>697</v>
      </c>
      <c r="K15" s="80">
        <v>3529</v>
      </c>
      <c r="L15" s="80">
        <v>2696</v>
      </c>
      <c r="M15" s="80">
        <v>833</v>
      </c>
      <c r="N15" s="80">
        <v>4210</v>
      </c>
      <c r="O15" s="80">
        <v>3618</v>
      </c>
      <c r="P15" s="80">
        <v>592</v>
      </c>
      <c r="Q15" s="80">
        <v>2180</v>
      </c>
      <c r="R15" s="80">
        <v>2084</v>
      </c>
      <c r="S15" s="80">
        <v>96</v>
      </c>
      <c r="T15" s="80">
        <v>1019</v>
      </c>
      <c r="U15" s="80">
        <v>983</v>
      </c>
      <c r="V15" s="80">
        <v>36</v>
      </c>
      <c r="W15" s="80">
        <v>248</v>
      </c>
      <c r="X15" s="80">
        <v>237</v>
      </c>
      <c r="Y15" s="80">
        <v>11</v>
      </c>
      <c r="Z15" s="80">
        <v>194</v>
      </c>
      <c r="AA15" s="80">
        <v>188</v>
      </c>
      <c r="AB15" s="80">
        <v>6</v>
      </c>
      <c r="AC15" s="80">
        <v>93</v>
      </c>
      <c r="AD15" s="80">
        <v>93</v>
      </c>
      <c r="AE15" s="80">
        <v>0</v>
      </c>
      <c r="AF15" s="80">
        <v>62</v>
      </c>
      <c r="AG15" s="80">
        <v>62</v>
      </c>
      <c r="AH15" s="80">
        <v>0</v>
      </c>
      <c r="AI15" s="80">
        <v>27551</v>
      </c>
      <c r="AJ15" s="80">
        <v>23958</v>
      </c>
      <c r="AK15" s="80">
        <v>3593</v>
      </c>
    </row>
    <row r="16" spans="1:37" ht="20.149999999999999" customHeight="1" x14ac:dyDescent="0.35">
      <c r="A16" s="35" t="s">
        <v>11</v>
      </c>
      <c r="B16" s="78">
        <v>9371</v>
      </c>
      <c r="C16" s="78">
        <v>8362</v>
      </c>
      <c r="D16" s="78">
        <v>1009</v>
      </c>
      <c r="E16" s="78">
        <v>20329</v>
      </c>
      <c r="F16" s="78">
        <v>19657</v>
      </c>
      <c r="G16" s="78">
        <v>672</v>
      </c>
      <c r="H16" s="78">
        <v>7738</v>
      </c>
      <c r="I16" s="78">
        <v>7387</v>
      </c>
      <c r="J16" s="78">
        <v>351</v>
      </c>
      <c r="K16" s="78">
        <v>8852</v>
      </c>
      <c r="L16" s="78">
        <v>8304</v>
      </c>
      <c r="M16" s="78">
        <v>548</v>
      </c>
      <c r="N16" s="78">
        <v>12429</v>
      </c>
      <c r="O16" s="78">
        <v>11632</v>
      </c>
      <c r="P16" s="78">
        <v>797</v>
      </c>
      <c r="Q16" s="78">
        <v>8984</v>
      </c>
      <c r="R16" s="78">
        <v>8555</v>
      </c>
      <c r="S16" s="78">
        <v>429</v>
      </c>
      <c r="T16" s="78">
        <v>6030</v>
      </c>
      <c r="U16" s="78">
        <v>5795</v>
      </c>
      <c r="V16" s="78">
        <v>235</v>
      </c>
      <c r="W16" s="78">
        <v>2060</v>
      </c>
      <c r="X16" s="78">
        <v>2004</v>
      </c>
      <c r="Y16" s="78">
        <v>56</v>
      </c>
      <c r="Z16" s="78">
        <v>1620</v>
      </c>
      <c r="AA16" s="78">
        <v>1570</v>
      </c>
      <c r="AB16" s="78">
        <v>50</v>
      </c>
      <c r="AC16" s="78">
        <v>1215</v>
      </c>
      <c r="AD16" s="78">
        <v>1181</v>
      </c>
      <c r="AE16" s="78">
        <v>34</v>
      </c>
      <c r="AF16" s="78">
        <v>1268</v>
      </c>
      <c r="AG16" s="78">
        <v>1260</v>
      </c>
      <c r="AH16" s="78">
        <v>8</v>
      </c>
      <c r="AI16" s="78">
        <v>79896</v>
      </c>
      <c r="AJ16" s="78">
        <v>75707</v>
      </c>
      <c r="AK16" s="78">
        <v>4189</v>
      </c>
    </row>
    <row r="17" spans="1:37" ht="20.149999999999999" customHeight="1" x14ac:dyDescent="0.35">
      <c r="A17" s="38" t="s">
        <v>12</v>
      </c>
      <c r="B17" s="80">
        <v>65353</v>
      </c>
      <c r="C17" s="80">
        <v>62826</v>
      </c>
      <c r="D17" s="80">
        <v>2527</v>
      </c>
      <c r="E17" s="80">
        <v>66002</v>
      </c>
      <c r="F17" s="80">
        <v>61063</v>
      </c>
      <c r="G17" s="80">
        <v>4939</v>
      </c>
      <c r="H17" s="80">
        <v>19948</v>
      </c>
      <c r="I17" s="80">
        <v>18378</v>
      </c>
      <c r="J17" s="80">
        <v>1570</v>
      </c>
      <c r="K17" s="80">
        <v>19224</v>
      </c>
      <c r="L17" s="80">
        <v>17510</v>
      </c>
      <c r="M17" s="80">
        <v>1714</v>
      </c>
      <c r="N17" s="80">
        <v>20467</v>
      </c>
      <c r="O17" s="80">
        <v>19130</v>
      </c>
      <c r="P17" s="80">
        <v>1337</v>
      </c>
      <c r="Q17" s="80">
        <v>9034</v>
      </c>
      <c r="R17" s="80">
        <v>8639</v>
      </c>
      <c r="S17" s="80">
        <v>395</v>
      </c>
      <c r="T17" s="80">
        <v>3992</v>
      </c>
      <c r="U17" s="80">
        <v>3825</v>
      </c>
      <c r="V17" s="80">
        <v>167</v>
      </c>
      <c r="W17" s="80">
        <v>1023</v>
      </c>
      <c r="X17" s="80">
        <v>992</v>
      </c>
      <c r="Y17" s="80">
        <v>31</v>
      </c>
      <c r="Z17" s="80">
        <v>645</v>
      </c>
      <c r="AA17" s="80">
        <v>630</v>
      </c>
      <c r="AB17" s="80">
        <v>15</v>
      </c>
      <c r="AC17" s="80">
        <v>427</v>
      </c>
      <c r="AD17" s="80">
        <v>422</v>
      </c>
      <c r="AE17" s="80">
        <v>5</v>
      </c>
      <c r="AF17" s="80">
        <v>243</v>
      </c>
      <c r="AG17" s="80" t="s">
        <v>43</v>
      </c>
      <c r="AH17" s="80" t="s">
        <v>43</v>
      </c>
      <c r="AI17" s="80">
        <v>206358</v>
      </c>
      <c r="AJ17" s="80">
        <v>193415</v>
      </c>
      <c r="AK17" s="80">
        <v>12700</v>
      </c>
    </row>
    <row r="18" spans="1:37" ht="20.149999999999999" customHeight="1" x14ac:dyDescent="0.35">
      <c r="A18" s="35" t="s">
        <v>13</v>
      </c>
      <c r="B18" s="78">
        <v>66003</v>
      </c>
      <c r="C18" s="78">
        <v>61738</v>
      </c>
      <c r="D18" s="78">
        <v>4265</v>
      </c>
      <c r="E18" s="78">
        <v>56443</v>
      </c>
      <c r="F18" s="78">
        <v>54438</v>
      </c>
      <c r="G18" s="78">
        <v>2005</v>
      </c>
      <c r="H18" s="78">
        <v>13198</v>
      </c>
      <c r="I18" s="78">
        <v>12516</v>
      </c>
      <c r="J18" s="78">
        <v>682</v>
      </c>
      <c r="K18" s="78">
        <v>12338</v>
      </c>
      <c r="L18" s="78">
        <v>11801</v>
      </c>
      <c r="M18" s="78">
        <v>537</v>
      </c>
      <c r="N18" s="78">
        <v>14067</v>
      </c>
      <c r="O18" s="78">
        <v>13786</v>
      </c>
      <c r="P18" s="78">
        <v>281</v>
      </c>
      <c r="Q18" s="78">
        <v>6981</v>
      </c>
      <c r="R18" s="78">
        <v>6901</v>
      </c>
      <c r="S18" s="78">
        <v>80</v>
      </c>
      <c r="T18" s="78">
        <v>3282</v>
      </c>
      <c r="U18" s="78">
        <v>3262</v>
      </c>
      <c r="V18" s="78">
        <v>20</v>
      </c>
      <c r="W18" s="78">
        <v>970</v>
      </c>
      <c r="X18" s="78">
        <v>962</v>
      </c>
      <c r="Y18" s="78">
        <v>8</v>
      </c>
      <c r="Z18" s="78">
        <v>637</v>
      </c>
      <c r="AA18" s="78" t="s">
        <v>43</v>
      </c>
      <c r="AB18" s="78" t="s">
        <v>43</v>
      </c>
      <c r="AC18" s="78">
        <v>419</v>
      </c>
      <c r="AD18" s="78">
        <v>414</v>
      </c>
      <c r="AE18" s="78">
        <v>5</v>
      </c>
      <c r="AF18" s="78">
        <v>278</v>
      </c>
      <c r="AG18" s="78" t="s">
        <v>43</v>
      </c>
      <c r="AH18" s="78" t="s">
        <v>43</v>
      </c>
      <c r="AI18" s="78">
        <v>174616</v>
      </c>
      <c r="AJ18" s="78">
        <v>165818</v>
      </c>
      <c r="AK18" s="78">
        <v>7883</v>
      </c>
    </row>
    <row r="19" spans="1:37" ht="20.149999999999999" customHeight="1" x14ac:dyDescent="0.35">
      <c r="A19" s="38" t="s">
        <v>14</v>
      </c>
      <c r="B19" s="80">
        <v>21597</v>
      </c>
      <c r="C19" s="80">
        <v>19473</v>
      </c>
      <c r="D19" s="80">
        <v>2124</v>
      </c>
      <c r="E19" s="80">
        <v>59622</v>
      </c>
      <c r="F19" s="80">
        <v>57892</v>
      </c>
      <c r="G19" s="80">
        <v>1730</v>
      </c>
      <c r="H19" s="80">
        <v>11460</v>
      </c>
      <c r="I19" s="80">
        <v>10853</v>
      </c>
      <c r="J19" s="80">
        <v>607</v>
      </c>
      <c r="K19" s="80">
        <v>10318</v>
      </c>
      <c r="L19" s="80">
        <v>9456</v>
      </c>
      <c r="M19" s="80">
        <v>862</v>
      </c>
      <c r="N19" s="80">
        <v>12146</v>
      </c>
      <c r="O19" s="80">
        <v>10783</v>
      </c>
      <c r="P19" s="80">
        <v>1363</v>
      </c>
      <c r="Q19" s="80">
        <v>7113</v>
      </c>
      <c r="R19" s="80">
        <v>6205</v>
      </c>
      <c r="S19" s="80">
        <v>908</v>
      </c>
      <c r="T19" s="80">
        <v>4428</v>
      </c>
      <c r="U19" s="80">
        <v>3858</v>
      </c>
      <c r="V19" s="80">
        <v>570</v>
      </c>
      <c r="W19" s="80">
        <v>1532</v>
      </c>
      <c r="X19" s="80">
        <v>1354</v>
      </c>
      <c r="Y19" s="80">
        <v>178</v>
      </c>
      <c r="Z19" s="80">
        <v>1108</v>
      </c>
      <c r="AA19" s="80">
        <v>1006</v>
      </c>
      <c r="AB19" s="80">
        <v>102</v>
      </c>
      <c r="AC19" s="80">
        <v>672</v>
      </c>
      <c r="AD19" s="80">
        <v>618</v>
      </c>
      <c r="AE19" s="80">
        <v>54</v>
      </c>
      <c r="AF19" s="80">
        <v>446</v>
      </c>
      <c r="AG19" s="80">
        <v>429</v>
      </c>
      <c r="AH19" s="80">
        <v>17</v>
      </c>
      <c r="AI19" s="80">
        <v>130442</v>
      </c>
      <c r="AJ19" s="80">
        <v>121927</v>
      </c>
      <c r="AK19" s="80">
        <v>8515</v>
      </c>
    </row>
    <row r="20" spans="1:37" ht="20.149999999999999" customHeight="1" x14ac:dyDescent="0.35">
      <c r="A20" s="35" t="s">
        <v>15</v>
      </c>
      <c r="B20" s="78">
        <v>51627</v>
      </c>
      <c r="C20" s="78">
        <v>46824</v>
      </c>
      <c r="D20" s="78">
        <v>4803</v>
      </c>
      <c r="E20" s="78">
        <v>61846</v>
      </c>
      <c r="F20" s="78">
        <v>59849</v>
      </c>
      <c r="G20" s="78">
        <v>1997</v>
      </c>
      <c r="H20" s="78">
        <v>16512</v>
      </c>
      <c r="I20" s="78">
        <v>15894</v>
      </c>
      <c r="J20" s="78">
        <v>618</v>
      </c>
      <c r="K20" s="78">
        <v>15958</v>
      </c>
      <c r="L20" s="78">
        <v>15361</v>
      </c>
      <c r="M20" s="78">
        <v>597</v>
      </c>
      <c r="N20" s="78">
        <v>18836</v>
      </c>
      <c r="O20" s="78">
        <v>18470</v>
      </c>
      <c r="P20" s="78">
        <v>366</v>
      </c>
      <c r="Q20" s="78">
        <v>10026</v>
      </c>
      <c r="R20" s="78">
        <v>9910</v>
      </c>
      <c r="S20" s="78">
        <v>116</v>
      </c>
      <c r="T20" s="78">
        <v>5162</v>
      </c>
      <c r="U20" s="78">
        <v>5101</v>
      </c>
      <c r="V20" s="78">
        <v>61</v>
      </c>
      <c r="W20" s="78">
        <v>1451</v>
      </c>
      <c r="X20" s="78">
        <v>1440</v>
      </c>
      <c r="Y20" s="78">
        <v>11</v>
      </c>
      <c r="Z20" s="78">
        <v>970</v>
      </c>
      <c r="AA20" s="78">
        <v>963</v>
      </c>
      <c r="AB20" s="78">
        <v>7</v>
      </c>
      <c r="AC20" s="78">
        <v>591</v>
      </c>
      <c r="AD20" s="78" t="s">
        <v>43</v>
      </c>
      <c r="AE20" s="78" t="s">
        <v>43</v>
      </c>
      <c r="AF20" s="78">
        <v>394</v>
      </c>
      <c r="AG20" s="78">
        <v>389</v>
      </c>
      <c r="AH20" s="78">
        <v>5</v>
      </c>
      <c r="AI20" s="78">
        <v>183373</v>
      </c>
      <c r="AJ20" s="78">
        <v>174201</v>
      </c>
      <c r="AK20" s="78">
        <v>8581</v>
      </c>
    </row>
    <row r="21" spans="1:37" ht="20.149999999999999" customHeight="1" x14ac:dyDescent="0.35">
      <c r="A21" s="38" t="s">
        <v>16</v>
      </c>
      <c r="B21" s="80">
        <v>10879</v>
      </c>
      <c r="C21" s="80">
        <v>10329</v>
      </c>
      <c r="D21" s="80">
        <v>550</v>
      </c>
      <c r="E21" s="80">
        <v>16552</v>
      </c>
      <c r="F21" s="80">
        <v>15722</v>
      </c>
      <c r="G21" s="80">
        <v>830</v>
      </c>
      <c r="H21" s="80">
        <v>5320</v>
      </c>
      <c r="I21" s="80">
        <v>4923</v>
      </c>
      <c r="J21" s="80">
        <v>397</v>
      </c>
      <c r="K21" s="80">
        <v>5478</v>
      </c>
      <c r="L21" s="80">
        <v>4975</v>
      </c>
      <c r="M21" s="80">
        <v>503</v>
      </c>
      <c r="N21" s="80">
        <v>7446</v>
      </c>
      <c r="O21" s="80">
        <v>6856</v>
      </c>
      <c r="P21" s="80">
        <v>590</v>
      </c>
      <c r="Q21" s="80">
        <v>4504</v>
      </c>
      <c r="R21" s="80">
        <v>4271</v>
      </c>
      <c r="S21" s="80">
        <v>233</v>
      </c>
      <c r="T21" s="80">
        <v>2253</v>
      </c>
      <c r="U21" s="80">
        <v>2159</v>
      </c>
      <c r="V21" s="80">
        <v>94</v>
      </c>
      <c r="W21" s="80">
        <v>591</v>
      </c>
      <c r="X21" s="80">
        <v>565</v>
      </c>
      <c r="Y21" s="80">
        <v>26</v>
      </c>
      <c r="Z21" s="80">
        <v>331</v>
      </c>
      <c r="AA21" s="80">
        <v>321</v>
      </c>
      <c r="AB21" s="80">
        <v>10</v>
      </c>
      <c r="AC21" s="80">
        <v>182</v>
      </c>
      <c r="AD21" s="80" t="s">
        <v>43</v>
      </c>
      <c r="AE21" s="80" t="s">
        <v>43</v>
      </c>
      <c r="AF21" s="80">
        <v>86</v>
      </c>
      <c r="AG21" s="80" t="s">
        <v>43</v>
      </c>
      <c r="AH21" s="80" t="s">
        <v>43</v>
      </c>
      <c r="AI21" s="80">
        <v>53622</v>
      </c>
      <c r="AJ21" s="80">
        <v>50121</v>
      </c>
      <c r="AK21" s="80">
        <v>3233</v>
      </c>
    </row>
    <row r="22" spans="1:37" ht="20.149999999999999" customHeight="1" x14ac:dyDescent="0.35">
      <c r="A22" s="35" t="s">
        <v>17</v>
      </c>
      <c r="B22" s="78">
        <v>3648</v>
      </c>
      <c r="C22" s="78">
        <v>3045</v>
      </c>
      <c r="D22" s="78">
        <v>603</v>
      </c>
      <c r="E22" s="78">
        <v>11338</v>
      </c>
      <c r="F22" s="78">
        <v>10584</v>
      </c>
      <c r="G22" s="78">
        <v>754</v>
      </c>
      <c r="H22" s="78">
        <v>3811</v>
      </c>
      <c r="I22" s="78">
        <v>3299</v>
      </c>
      <c r="J22" s="78">
        <v>512</v>
      </c>
      <c r="K22" s="78">
        <v>4501</v>
      </c>
      <c r="L22" s="78">
        <v>3783</v>
      </c>
      <c r="M22" s="78">
        <v>718</v>
      </c>
      <c r="N22" s="78">
        <v>6314</v>
      </c>
      <c r="O22" s="78">
        <v>5537</v>
      </c>
      <c r="P22" s="78">
        <v>777</v>
      </c>
      <c r="Q22" s="78">
        <v>3755</v>
      </c>
      <c r="R22" s="78">
        <v>3495</v>
      </c>
      <c r="S22" s="78">
        <v>260</v>
      </c>
      <c r="T22" s="78">
        <v>1984</v>
      </c>
      <c r="U22" s="78">
        <v>1910</v>
      </c>
      <c r="V22" s="78">
        <v>74</v>
      </c>
      <c r="W22" s="78">
        <v>530</v>
      </c>
      <c r="X22" s="78">
        <v>506</v>
      </c>
      <c r="Y22" s="78">
        <v>24</v>
      </c>
      <c r="Z22" s="78">
        <v>347</v>
      </c>
      <c r="AA22" s="78">
        <v>339</v>
      </c>
      <c r="AB22" s="78">
        <v>8</v>
      </c>
      <c r="AC22" s="78">
        <v>203</v>
      </c>
      <c r="AD22" s="78">
        <v>197</v>
      </c>
      <c r="AE22" s="78">
        <v>6</v>
      </c>
      <c r="AF22" s="78">
        <v>156</v>
      </c>
      <c r="AG22" s="78">
        <v>156</v>
      </c>
      <c r="AH22" s="78">
        <v>0</v>
      </c>
      <c r="AI22" s="78">
        <v>36587</v>
      </c>
      <c r="AJ22" s="78">
        <v>32851</v>
      </c>
      <c r="AK22" s="78">
        <v>3736</v>
      </c>
    </row>
    <row r="23" spans="1:37" ht="20.149999999999999" customHeight="1" x14ac:dyDescent="0.35">
      <c r="A23" s="38" t="s">
        <v>18</v>
      </c>
      <c r="B23" s="80">
        <v>687</v>
      </c>
      <c r="C23" s="80">
        <v>624</v>
      </c>
      <c r="D23" s="80">
        <v>63</v>
      </c>
      <c r="E23" s="80">
        <v>2564</v>
      </c>
      <c r="F23" s="80">
        <v>2367</v>
      </c>
      <c r="G23" s="80">
        <v>197</v>
      </c>
      <c r="H23" s="80">
        <v>1157</v>
      </c>
      <c r="I23" s="80">
        <v>1005</v>
      </c>
      <c r="J23" s="80">
        <v>152</v>
      </c>
      <c r="K23" s="80">
        <v>1332</v>
      </c>
      <c r="L23" s="80">
        <v>1120</v>
      </c>
      <c r="M23" s="80">
        <v>212</v>
      </c>
      <c r="N23" s="80">
        <v>2014</v>
      </c>
      <c r="O23" s="80">
        <v>1751</v>
      </c>
      <c r="P23" s="80">
        <v>263</v>
      </c>
      <c r="Q23" s="80">
        <v>1401</v>
      </c>
      <c r="R23" s="80">
        <v>1311</v>
      </c>
      <c r="S23" s="80">
        <v>90</v>
      </c>
      <c r="T23" s="80">
        <v>815</v>
      </c>
      <c r="U23" s="80">
        <v>791</v>
      </c>
      <c r="V23" s="80">
        <v>24</v>
      </c>
      <c r="W23" s="80">
        <v>221</v>
      </c>
      <c r="X23" s="80" t="s">
        <v>43</v>
      </c>
      <c r="Y23" s="80" t="s">
        <v>43</v>
      </c>
      <c r="Z23" s="80">
        <v>151</v>
      </c>
      <c r="AA23" s="80" t="s">
        <v>43</v>
      </c>
      <c r="AB23" s="80" t="s">
        <v>43</v>
      </c>
      <c r="AC23" s="80">
        <v>112</v>
      </c>
      <c r="AD23" s="80">
        <v>112</v>
      </c>
      <c r="AE23" s="80">
        <v>0</v>
      </c>
      <c r="AF23" s="80">
        <v>110</v>
      </c>
      <c r="AG23" s="80">
        <v>110</v>
      </c>
      <c r="AH23" s="80">
        <v>0</v>
      </c>
      <c r="AI23" s="80">
        <v>10564</v>
      </c>
      <c r="AJ23" s="80">
        <v>9191</v>
      </c>
      <c r="AK23" s="80">
        <v>1001</v>
      </c>
    </row>
    <row r="24" spans="1:37" ht="20.149999999999999" customHeight="1" x14ac:dyDescent="0.35">
      <c r="A24" s="35" t="s">
        <v>19</v>
      </c>
      <c r="B24" s="78">
        <v>34728</v>
      </c>
      <c r="C24" s="78">
        <v>33243</v>
      </c>
      <c r="D24" s="78">
        <v>1485</v>
      </c>
      <c r="E24" s="78">
        <v>108051</v>
      </c>
      <c r="F24" s="78">
        <v>103996</v>
      </c>
      <c r="G24" s="78">
        <v>4055</v>
      </c>
      <c r="H24" s="78">
        <v>33340</v>
      </c>
      <c r="I24" s="78">
        <v>30691</v>
      </c>
      <c r="J24" s="78">
        <v>2649</v>
      </c>
      <c r="K24" s="78">
        <v>35942</v>
      </c>
      <c r="L24" s="78">
        <v>31885</v>
      </c>
      <c r="M24" s="78">
        <v>4057</v>
      </c>
      <c r="N24" s="78">
        <v>53343</v>
      </c>
      <c r="O24" s="78">
        <v>47747</v>
      </c>
      <c r="P24" s="78">
        <v>5596</v>
      </c>
      <c r="Q24" s="78">
        <v>32749</v>
      </c>
      <c r="R24" s="78">
        <v>30674</v>
      </c>
      <c r="S24" s="78">
        <v>2075</v>
      </c>
      <c r="T24" s="78">
        <v>16493</v>
      </c>
      <c r="U24" s="78">
        <v>15641</v>
      </c>
      <c r="V24" s="78">
        <v>852</v>
      </c>
      <c r="W24" s="78">
        <v>4442</v>
      </c>
      <c r="X24" s="78">
        <v>4222</v>
      </c>
      <c r="Y24" s="78">
        <v>220</v>
      </c>
      <c r="Z24" s="78">
        <v>2904</v>
      </c>
      <c r="AA24" s="78">
        <v>2743</v>
      </c>
      <c r="AB24" s="78">
        <v>161</v>
      </c>
      <c r="AC24" s="78">
        <v>1673</v>
      </c>
      <c r="AD24" s="78">
        <v>1603</v>
      </c>
      <c r="AE24" s="78">
        <v>70</v>
      </c>
      <c r="AF24" s="78">
        <v>1026</v>
      </c>
      <c r="AG24" s="78">
        <v>994</v>
      </c>
      <c r="AH24" s="78">
        <v>32</v>
      </c>
      <c r="AI24" s="78">
        <v>324691</v>
      </c>
      <c r="AJ24" s="78">
        <v>303439</v>
      </c>
      <c r="AK24" s="78">
        <v>21252</v>
      </c>
    </row>
    <row r="25" spans="1:37" ht="20.149999999999999" customHeight="1" x14ac:dyDescent="0.35">
      <c r="A25" s="38" t="s">
        <v>20</v>
      </c>
      <c r="B25" s="80">
        <v>21785</v>
      </c>
      <c r="C25" s="80">
        <v>15066</v>
      </c>
      <c r="D25" s="80">
        <v>6719</v>
      </c>
      <c r="E25" s="80">
        <v>44724</v>
      </c>
      <c r="F25" s="80">
        <v>34223</v>
      </c>
      <c r="G25" s="80">
        <v>10501</v>
      </c>
      <c r="H25" s="80">
        <v>21224</v>
      </c>
      <c r="I25" s="80">
        <v>12437</v>
      </c>
      <c r="J25" s="80">
        <v>8787</v>
      </c>
      <c r="K25" s="80">
        <v>26402</v>
      </c>
      <c r="L25" s="80">
        <v>13005</v>
      </c>
      <c r="M25" s="80">
        <v>13397</v>
      </c>
      <c r="N25" s="80">
        <v>36453</v>
      </c>
      <c r="O25" s="80">
        <v>19671</v>
      </c>
      <c r="P25" s="80">
        <v>16782</v>
      </c>
      <c r="Q25" s="80">
        <v>18351</v>
      </c>
      <c r="R25" s="80">
        <v>12820</v>
      </c>
      <c r="S25" s="80">
        <v>5531</v>
      </c>
      <c r="T25" s="80">
        <v>8655</v>
      </c>
      <c r="U25" s="80">
        <v>7055</v>
      </c>
      <c r="V25" s="80">
        <v>1600</v>
      </c>
      <c r="W25" s="80">
        <v>2216</v>
      </c>
      <c r="X25" s="80">
        <v>1916</v>
      </c>
      <c r="Y25" s="80">
        <v>300</v>
      </c>
      <c r="Z25" s="80">
        <v>1499</v>
      </c>
      <c r="AA25" s="80">
        <v>1335</v>
      </c>
      <c r="AB25" s="80">
        <v>164</v>
      </c>
      <c r="AC25" s="80">
        <v>1038</v>
      </c>
      <c r="AD25" s="80">
        <v>973</v>
      </c>
      <c r="AE25" s="80">
        <v>65</v>
      </c>
      <c r="AF25" s="80">
        <v>652</v>
      </c>
      <c r="AG25" s="80">
        <v>618</v>
      </c>
      <c r="AH25" s="80">
        <v>34</v>
      </c>
      <c r="AI25" s="80">
        <v>182999</v>
      </c>
      <c r="AJ25" s="80">
        <v>119119</v>
      </c>
      <c r="AK25" s="80">
        <v>63880</v>
      </c>
    </row>
    <row r="26" spans="1:37" ht="20.149999999999999" customHeight="1" x14ac:dyDescent="0.35">
      <c r="A26" s="35" t="s">
        <v>21</v>
      </c>
      <c r="B26" s="78">
        <v>79055</v>
      </c>
      <c r="C26" s="78">
        <v>75302</v>
      </c>
      <c r="D26" s="78">
        <v>3753</v>
      </c>
      <c r="E26" s="78">
        <v>141462</v>
      </c>
      <c r="F26" s="78">
        <v>137768</v>
      </c>
      <c r="G26" s="78">
        <v>3694</v>
      </c>
      <c r="H26" s="78">
        <v>41551</v>
      </c>
      <c r="I26" s="78">
        <v>39614</v>
      </c>
      <c r="J26" s="78">
        <v>1937</v>
      </c>
      <c r="K26" s="78">
        <v>42097</v>
      </c>
      <c r="L26" s="78">
        <v>39701</v>
      </c>
      <c r="M26" s="78">
        <v>2396</v>
      </c>
      <c r="N26" s="78">
        <v>56412</v>
      </c>
      <c r="O26" s="78">
        <v>53590</v>
      </c>
      <c r="P26" s="78">
        <v>2822</v>
      </c>
      <c r="Q26" s="78">
        <v>35677</v>
      </c>
      <c r="R26" s="78">
        <v>34731</v>
      </c>
      <c r="S26" s="78">
        <v>946</v>
      </c>
      <c r="T26" s="78">
        <v>18582</v>
      </c>
      <c r="U26" s="78">
        <v>18242</v>
      </c>
      <c r="V26" s="78">
        <v>340</v>
      </c>
      <c r="W26" s="78">
        <v>4667</v>
      </c>
      <c r="X26" s="78">
        <v>4572</v>
      </c>
      <c r="Y26" s="78">
        <v>95</v>
      </c>
      <c r="Z26" s="78">
        <v>3072</v>
      </c>
      <c r="AA26" s="78">
        <v>3017</v>
      </c>
      <c r="AB26" s="78">
        <v>55</v>
      </c>
      <c r="AC26" s="78">
        <v>1626</v>
      </c>
      <c r="AD26" s="78">
        <v>1595</v>
      </c>
      <c r="AE26" s="78">
        <v>31</v>
      </c>
      <c r="AF26" s="78">
        <v>926</v>
      </c>
      <c r="AG26" s="78">
        <v>919</v>
      </c>
      <c r="AH26" s="78">
        <v>7</v>
      </c>
      <c r="AI26" s="78">
        <v>425127</v>
      </c>
      <c r="AJ26" s="78">
        <v>409051</v>
      </c>
      <c r="AK26" s="78">
        <v>16076</v>
      </c>
    </row>
    <row r="27" spans="1:37" ht="20.149999999999999" customHeight="1" x14ac:dyDescent="0.35">
      <c r="A27" s="38" t="s">
        <v>22</v>
      </c>
      <c r="B27" s="80">
        <v>29278</v>
      </c>
      <c r="C27" s="80">
        <v>27858</v>
      </c>
      <c r="D27" s="80">
        <v>1420</v>
      </c>
      <c r="E27" s="80">
        <v>53076</v>
      </c>
      <c r="F27" s="80">
        <v>50804</v>
      </c>
      <c r="G27" s="80">
        <v>2272</v>
      </c>
      <c r="H27" s="80">
        <v>18341</v>
      </c>
      <c r="I27" s="80">
        <v>17050</v>
      </c>
      <c r="J27" s="80">
        <v>1291</v>
      </c>
      <c r="K27" s="80">
        <v>19276</v>
      </c>
      <c r="L27" s="80">
        <v>17544</v>
      </c>
      <c r="M27" s="80">
        <v>1732</v>
      </c>
      <c r="N27" s="80">
        <v>26408</v>
      </c>
      <c r="O27" s="80">
        <v>24294</v>
      </c>
      <c r="P27" s="80">
        <v>2114</v>
      </c>
      <c r="Q27" s="80">
        <v>15787</v>
      </c>
      <c r="R27" s="80">
        <v>14951</v>
      </c>
      <c r="S27" s="80">
        <v>836</v>
      </c>
      <c r="T27" s="80">
        <v>8218</v>
      </c>
      <c r="U27" s="80">
        <v>7855</v>
      </c>
      <c r="V27" s="80">
        <v>363</v>
      </c>
      <c r="W27" s="80">
        <v>2182</v>
      </c>
      <c r="X27" s="80">
        <v>2084</v>
      </c>
      <c r="Y27" s="80">
        <v>98</v>
      </c>
      <c r="Z27" s="80">
        <v>1437</v>
      </c>
      <c r="AA27" s="80">
        <v>1376</v>
      </c>
      <c r="AB27" s="80">
        <v>61</v>
      </c>
      <c r="AC27" s="80">
        <v>818</v>
      </c>
      <c r="AD27" s="80">
        <v>793</v>
      </c>
      <c r="AE27" s="80">
        <v>25</v>
      </c>
      <c r="AF27" s="80">
        <v>561</v>
      </c>
      <c r="AG27" s="80">
        <v>551</v>
      </c>
      <c r="AH27" s="80">
        <v>10</v>
      </c>
      <c r="AI27" s="80">
        <v>175382</v>
      </c>
      <c r="AJ27" s="80">
        <v>165160</v>
      </c>
      <c r="AK27" s="80">
        <v>10222</v>
      </c>
    </row>
    <row r="28" spans="1:37" ht="20.149999999999999" customHeight="1" x14ac:dyDescent="0.35">
      <c r="A28" s="35" t="s">
        <v>23</v>
      </c>
      <c r="B28" s="78">
        <v>80872</v>
      </c>
      <c r="C28" s="78">
        <v>71578</v>
      </c>
      <c r="D28" s="78">
        <v>9294</v>
      </c>
      <c r="E28" s="78">
        <v>66627</v>
      </c>
      <c r="F28" s="78">
        <v>54996</v>
      </c>
      <c r="G28" s="78">
        <v>11631</v>
      </c>
      <c r="H28" s="78">
        <v>25931</v>
      </c>
      <c r="I28" s="78">
        <v>18817</v>
      </c>
      <c r="J28" s="78">
        <v>7114</v>
      </c>
      <c r="K28" s="78">
        <v>27469</v>
      </c>
      <c r="L28" s="78">
        <v>20088</v>
      </c>
      <c r="M28" s="78">
        <v>7381</v>
      </c>
      <c r="N28" s="78">
        <v>30720</v>
      </c>
      <c r="O28" s="78">
        <v>25316</v>
      </c>
      <c r="P28" s="78">
        <v>5404</v>
      </c>
      <c r="Q28" s="78">
        <v>14919</v>
      </c>
      <c r="R28" s="78">
        <v>13644</v>
      </c>
      <c r="S28" s="78">
        <v>1275</v>
      </c>
      <c r="T28" s="78">
        <v>7580</v>
      </c>
      <c r="U28" s="78">
        <v>7165</v>
      </c>
      <c r="V28" s="78">
        <v>415</v>
      </c>
      <c r="W28" s="78">
        <v>2434</v>
      </c>
      <c r="X28" s="78">
        <v>2357</v>
      </c>
      <c r="Y28" s="78">
        <v>77</v>
      </c>
      <c r="Z28" s="78">
        <v>1921</v>
      </c>
      <c r="AA28" s="78">
        <v>1872</v>
      </c>
      <c r="AB28" s="78">
        <v>49</v>
      </c>
      <c r="AC28" s="78">
        <v>1357</v>
      </c>
      <c r="AD28" s="78">
        <v>1328</v>
      </c>
      <c r="AE28" s="78">
        <v>29</v>
      </c>
      <c r="AF28" s="78">
        <v>919</v>
      </c>
      <c r="AG28" s="78">
        <v>914</v>
      </c>
      <c r="AH28" s="78">
        <v>5</v>
      </c>
      <c r="AI28" s="78">
        <v>260749</v>
      </c>
      <c r="AJ28" s="78">
        <v>218075</v>
      </c>
      <c r="AK28" s="78">
        <v>42674</v>
      </c>
    </row>
    <row r="29" spans="1:37" ht="20.149999999999999" customHeight="1" x14ac:dyDescent="0.35">
      <c r="A29" s="38" t="s">
        <v>24</v>
      </c>
      <c r="B29" s="80">
        <v>152694</v>
      </c>
      <c r="C29" s="80">
        <v>146510</v>
      </c>
      <c r="D29" s="80">
        <v>6184</v>
      </c>
      <c r="E29" s="80">
        <v>144350</v>
      </c>
      <c r="F29" s="80">
        <v>137037</v>
      </c>
      <c r="G29" s="80">
        <v>7313</v>
      </c>
      <c r="H29" s="80">
        <v>46134</v>
      </c>
      <c r="I29" s="80">
        <v>42363</v>
      </c>
      <c r="J29" s="80">
        <v>3771</v>
      </c>
      <c r="K29" s="80">
        <v>47717</v>
      </c>
      <c r="L29" s="80">
        <v>42527</v>
      </c>
      <c r="M29" s="80">
        <v>5190</v>
      </c>
      <c r="N29" s="80">
        <v>60224</v>
      </c>
      <c r="O29" s="80">
        <v>53924</v>
      </c>
      <c r="P29" s="80">
        <v>6300</v>
      </c>
      <c r="Q29" s="80">
        <v>32581</v>
      </c>
      <c r="R29" s="80">
        <v>29946</v>
      </c>
      <c r="S29" s="80">
        <v>2635</v>
      </c>
      <c r="T29" s="80">
        <v>17246</v>
      </c>
      <c r="U29" s="80">
        <v>15974</v>
      </c>
      <c r="V29" s="80">
        <v>1272</v>
      </c>
      <c r="W29" s="80">
        <v>5239</v>
      </c>
      <c r="X29" s="80">
        <v>4871</v>
      </c>
      <c r="Y29" s="80">
        <v>368</v>
      </c>
      <c r="Z29" s="80">
        <v>3815</v>
      </c>
      <c r="AA29" s="80">
        <v>3584</v>
      </c>
      <c r="AB29" s="80">
        <v>231</v>
      </c>
      <c r="AC29" s="80">
        <v>2413</v>
      </c>
      <c r="AD29" s="80">
        <v>2295</v>
      </c>
      <c r="AE29" s="80">
        <v>118</v>
      </c>
      <c r="AF29" s="80">
        <v>1561</v>
      </c>
      <c r="AG29" s="80">
        <v>1506</v>
      </c>
      <c r="AH29" s="80">
        <v>55</v>
      </c>
      <c r="AI29" s="80">
        <v>513974</v>
      </c>
      <c r="AJ29" s="80">
        <v>480537</v>
      </c>
      <c r="AK29" s="80">
        <v>33437</v>
      </c>
    </row>
    <row r="30" spans="1:37" ht="20.149999999999999" customHeight="1" x14ac:dyDescent="0.35">
      <c r="A30" s="35" t="s">
        <v>25</v>
      </c>
      <c r="B30" s="78">
        <v>80220</v>
      </c>
      <c r="C30" s="78">
        <v>60185</v>
      </c>
      <c r="D30" s="78">
        <v>20035</v>
      </c>
      <c r="E30" s="78">
        <v>95710</v>
      </c>
      <c r="F30" s="78">
        <v>65937</v>
      </c>
      <c r="G30" s="78">
        <v>29773</v>
      </c>
      <c r="H30" s="78">
        <v>32285</v>
      </c>
      <c r="I30" s="78">
        <v>18709</v>
      </c>
      <c r="J30" s="78">
        <v>13576</v>
      </c>
      <c r="K30" s="78">
        <v>30631</v>
      </c>
      <c r="L30" s="78">
        <v>19840</v>
      </c>
      <c r="M30" s="78">
        <v>10791</v>
      </c>
      <c r="N30" s="78">
        <v>34713</v>
      </c>
      <c r="O30" s="78">
        <v>28567</v>
      </c>
      <c r="P30" s="78">
        <v>6146</v>
      </c>
      <c r="Q30" s="78">
        <v>17107</v>
      </c>
      <c r="R30" s="78">
        <v>15640</v>
      </c>
      <c r="S30" s="78">
        <v>1467</v>
      </c>
      <c r="T30" s="78">
        <v>7353</v>
      </c>
      <c r="U30" s="78">
        <v>6970</v>
      </c>
      <c r="V30" s="78">
        <v>383</v>
      </c>
      <c r="W30" s="78">
        <v>1787</v>
      </c>
      <c r="X30" s="78">
        <v>1730</v>
      </c>
      <c r="Y30" s="78">
        <v>57</v>
      </c>
      <c r="Z30" s="78">
        <v>1212</v>
      </c>
      <c r="AA30" s="78">
        <v>1179</v>
      </c>
      <c r="AB30" s="78">
        <v>33</v>
      </c>
      <c r="AC30" s="78">
        <v>693</v>
      </c>
      <c r="AD30" s="78">
        <v>684</v>
      </c>
      <c r="AE30" s="78">
        <v>9</v>
      </c>
      <c r="AF30" s="78">
        <v>414</v>
      </c>
      <c r="AG30" s="78" t="s">
        <v>43</v>
      </c>
      <c r="AH30" s="78" t="s">
        <v>43</v>
      </c>
      <c r="AI30" s="78">
        <v>302125</v>
      </c>
      <c r="AJ30" s="78">
        <v>219441</v>
      </c>
      <c r="AK30" s="78">
        <v>82270</v>
      </c>
    </row>
    <row r="31" spans="1:37" ht="20.149999999999999" customHeight="1" x14ac:dyDescent="0.35">
      <c r="A31" s="38" t="s">
        <v>26</v>
      </c>
      <c r="B31" s="80">
        <v>31760</v>
      </c>
      <c r="C31" s="80">
        <v>30138</v>
      </c>
      <c r="D31" s="80">
        <v>1622</v>
      </c>
      <c r="E31" s="80">
        <v>40697</v>
      </c>
      <c r="F31" s="80">
        <v>39388</v>
      </c>
      <c r="G31" s="80">
        <v>1309</v>
      </c>
      <c r="H31" s="80">
        <v>10087</v>
      </c>
      <c r="I31" s="80">
        <v>9454</v>
      </c>
      <c r="J31" s="80">
        <v>633</v>
      </c>
      <c r="K31" s="80">
        <v>9708</v>
      </c>
      <c r="L31" s="80">
        <v>9010</v>
      </c>
      <c r="M31" s="80">
        <v>698</v>
      </c>
      <c r="N31" s="80">
        <v>11194</v>
      </c>
      <c r="O31" s="80">
        <v>10541</v>
      </c>
      <c r="P31" s="80">
        <v>653</v>
      </c>
      <c r="Q31" s="80">
        <v>5058</v>
      </c>
      <c r="R31" s="80">
        <v>4816</v>
      </c>
      <c r="S31" s="80">
        <v>242</v>
      </c>
      <c r="T31" s="80">
        <v>2176</v>
      </c>
      <c r="U31" s="80">
        <v>2088</v>
      </c>
      <c r="V31" s="80">
        <v>88</v>
      </c>
      <c r="W31" s="80">
        <v>598</v>
      </c>
      <c r="X31" s="80">
        <v>578</v>
      </c>
      <c r="Y31" s="80">
        <v>20</v>
      </c>
      <c r="Z31" s="80">
        <v>423</v>
      </c>
      <c r="AA31" s="80">
        <v>412</v>
      </c>
      <c r="AB31" s="80">
        <v>11</v>
      </c>
      <c r="AC31" s="80">
        <v>254</v>
      </c>
      <c r="AD31" s="80">
        <v>249</v>
      </c>
      <c r="AE31" s="80">
        <v>5</v>
      </c>
      <c r="AF31" s="80">
        <v>144</v>
      </c>
      <c r="AG31" s="80">
        <v>144</v>
      </c>
      <c r="AH31" s="80">
        <v>0</v>
      </c>
      <c r="AI31" s="80">
        <v>112099</v>
      </c>
      <c r="AJ31" s="80">
        <v>106818</v>
      </c>
      <c r="AK31" s="80">
        <v>5281</v>
      </c>
    </row>
    <row r="32" spans="1:37" ht="20.149999999999999" customHeight="1" x14ac:dyDescent="0.35">
      <c r="A32" s="35" t="s">
        <v>27</v>
      </c>
      <c r="B32" s="78">
        <v>125329</v>
      </c>
      <c r="C32" s="78">
        <v>104752</v>
      </c>
      <c r="D32" s="78">
        <v>20577</v>
      </c>
      <c r="E32" s="78">
        <v>90029</v>
      </c>
      <c r="F32" s="78">
        <v>87046</v>
      </c>
      <c r="G32" s="78">
        <v>2983</v>
      </c>
      <c r="H32" s="78">
        <v>23176</v>
      </c>
      <c r="I32" s="78">
        <v>22368</v>
      </c>
      <c r="J32" s="78">
        <v>808</v>
      </c>
      <c r="K32" s="78">
        <v>23525</v>
      </c>
      <c r="L32" s="78">
        <v>22597</v>
      </c>
      <c r="M32" s="78">
        <v>928</v>
      </c>
      <c r="N32" s="78">
        <v>30465</v>
      </c>
      <c r="O32" s="78">
        <v>28760</v>
      </c>
      <c r="P32" s="78">
        <v>1705</v>
      </c>
      <c r="Q32" s="78">
        <v>18254</v>
      </c>
      <c r="R32" s="78">
        <v>17114</v>
      </c>
      <c r="S32" s="78">
        <v>1140</v>
      </c>
      <c r="T32" s="78">
        <v>11084</v>
      </c>
      <c r="U32" s="78">
        <v>10426</v>
      </c>
      <c r="V32" s="78">
        <v>658</v>
      </c>
      <c r="W32" s="78">
        <v>3637</v>
      </c>
      <c r="X32" s="78">
        <v>3386</v>
      </c>
      <c r="Y32" s="78">
        <v>251</v>
      </c>
      <c r="Z32" s="78">
        <v>3004</v>
      </c>
      <c r="AA32" s="78">
        <v>2796</v>
      </c>
      <c r="AB32" s="78">
        <v>208</v>
      </c>
      <c r="AC32" s="78">
        <v>2344</v>
      </c>
      <c r="AD32" s="78">
        <v>2179</v>
      </c>
      <c r="AE32" s="78">
        <v>165</v>
      </c>
      <c r="AF32" s="78">
        <v>2225</v>
      </c>
      <c r="AG32" s="78">
        <v>2093</v>
      </c>
      <c r="AH32" s="78">
        <v>132</v>
      </c>
      <c r="AI32" s="78">
        <v>333072</v>
      </c>
      <c r="AJ32" s="78">
        <v>303517</v>
      </c>
      <c r="AK32" s="78">
        <v>29555</v>
      </c>
    </row>
    <row r="33" spans="1:37" ht="20.149999999999999" customHeight="1" x14ac:dyDescent="0.35">
      <c r="A33" s="38" t="s">
        <v>28</v>
      </c>
      <c r="B33" s="80">
        <v>18480</v>
      </c>
      <c r="C33" s="80">
        <v>17342</v>
      </c>
      <c r="D33" s="80">
        <v>1138</v>
      </c>
      <c r="E33" s="80">
        <v>13340</v>
      </c>
      <c r="F33" s="80">
        <v>12480</v>
      </c>
      <c r="G33" s="80">
        <v>860</v>
      </c>
      <c r="H33" s="80">
        <v>4658</v>
      </c>
      <c r="I33" s="80">
        <v>4173</v>
      </c>
      <c r="J33" s="80">
        <v>485</v>
      </c>
      <c r="K33" s="80">
        <v>4686</v>
      </c>
      <c r="L33" s="80">
        <v>4281</v>
      </c>
      <c r="M33" s="80">
        <v>405</v>
      </c>
      <c r="N33" s="80">
        <v>5224</v>
      </c>
      <c r="O33" s="80">
        <v>4998</v>
      </c>
      <c r="P33" s="80">
        <v>226</v>
      </c>
      <c r="Q33" s="80">
        <v>2002</v>
      </c>
      <c r="R33" s="80">
        <v>1958</v>
      </c>
      <c r="S33" s="80">
        <v>44</v>
      </c>
      <c r="T33" s="80">
        <v>742</v>
      </c>
      <c r="U33" s="80">
        <v>732</v>
      </c>
      <c r="V33" s="80">
        <v>10</v>
      </c>
      <c r="W33" s="80">
        <v>182</v>
      </c>
      <c r="X33" s="80" t="s">
        <v>43</v>
      </c>
      <c r="Y33" s="80" t="s">
        <v>43</v>
      </c>
      <c r="Z33" s="80">
        <v>120</v>
      </c>
      <c r="AA33" s="80" t="s">
        <v>43</v>
      </c>
      <c r="AB33" s="80" t="s">
        <v>43</v>
      </c>
      <c r="AC33" s="80">
        <v>77</v>
      </c>
      <c r="AD33" s="80">
        <v>77</v>
      </c>
      <c r="AE33" s="80">
        <v>0</v>
      </c>
      <c r="AF33" s="80">
        <v>61</v>
      </c>
      <c r="AG33" s="80">
        <v>61</v>
      </c>
      <c r="AH33" s="80">
        <v>0</v>
      </c>
      <c r="AI33" s="80">
        <v>49572</v>
      </c>
      <c r="AJ33" s="80">
        <v>46102</v>
      </c>
      <c r="AK33" s="80">
        <v>3168</v>
      </c>
    </row>
    <row r="34" spans="1:37" ht="20.149999999999999" customHeight="1" x14ac:dyDescent="0.35">
      <c r="A34" s="35" t="s">
        <v>29</v>
      </c>
      <c r="B34" s="78">
        <v>1258692</v>
      </c>
      <c r="C34" s="78">
        <v>1151963</v>
      </c>
      <c r="D34" s="78">
        <v>106729</v>
      </c>
      <c r="E34" s="78">
        <v>1703168</v>
      </c>
      <c r="F34" s="78">
        <v>1599826</v>
      </c>
      <c r="G34" s="78">
        <v>103342</v>
      </c>
      <c r="H34" s="78">
        <v>548846</v>
      </c>
      <c r="I34" s="78">
        <v>493409</v>
      </c>
      <c r="J34" s="78">
        <v>55437</v>
      </c>
      <c r="K34" s="78">
        <v>571093</v>
      </c>
      <c r="L34" s="78">
        <v>504504</v>
      </c>
      <c r="M34" s="78">
        <v>66589</v>
      </c>
      <c r="N34" s="78">
        <v>738627</v>
      </c>
      <c r="O34" s="78">
        <v>666862</v>
      </c>
      <c r="P34" s="78">
        <v>71765</v>
      </c>
      <c r="Q34" s="78">
        <v>425398</v>
      </c>
      <c r="R34" s="78">
        <v>398488</v>
      </c>
      <c r="S34" s="78">
        <v>26910</v>
      </c>
      <c r="T34" s="78">
        <v>228350</v>
      </c>
      <c r="U34" s="78">
        <v>216806</v>
      </c>
      <c r="V34" s="78">
        <v>11544</v>
      </c>
      <c r="W34" s="78">
        <v>66282</v>
      </c>
      <c r="X34" s="78">
        <v>63086</v>
      </c>
      <c r="Y34" s="78">
        <v>3196</v>
      </c>
      <c r="Z34" s="78">
        <v>46731</v>
      </c>
      <c r="AA34" s="78">
        <v>44674</v>
      </c>
      <c r="AB34" s="78">
        <v>2057</v>
      </c>
      <c r="AC34" s="78">
        <v>29665</v>
      </c>
      <c r="AD34" s="78">
        <v>28522</v>
      </c>
      <c r="AE34" s="78">
        <v>1143</v>
      </c>
      <c r="AF34" s="78">
        <v>20975</v>
      </c>
      <c r="AG34" s="78">
        <v>20479</v>
      </c>
      <c r="AH34" s="78">
        <v>496</v>
      </c>
      <c r="AI34" s="78">
        <v>5637827</v>
      </c>
      <c r="AJ34" s="78">
        <v>5188619</v>
      </c>
      <c r="AK34" s="78">
        <v>449208</v>
      </c>
    </row>
    <row r="35" spans="1:37" ht="15" hidden="1" customHeight="1" x14ac:dyDescent="0.35"/>
  </sheetData>
  <pageMargins left="0.78740157480314998" right="0.78740157480314998" top="0.78740157480314998" bottom="0.78740157480314998" header="0.78740157480314998" footer="0.78740157480314998"/>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5"/>
  <sheetViews>
    <sheetView showGridLines="0" workbookViewId="0">
      <pane xSplit="1" ySplit="7" topLeftCell="B8" activePane="bottomRight" state="frozen"/>
      <selection sqref="A1:XFD1048576"/>
      <selection pane="topRight" sqref="A1:XFD1048576"/>
      <selection pane="bottomLeft" sqref="A1:XFD1048576"/>
      <selection pane="bottomRight" activeCell="B8" sqref="B8"/>
    </sheetView>
  </sheetViews>
  <sheetFormatPr baseColWidth="10" defaultColWidth="11.453125" defaultRowHeight="14.5" x14ac:dyDescent="0.35"/>
  <cols>
    <col min="1" max="1" width="35.1796875" style="28" customWidth="1"/>
    <col min="2" max="37" width="16.7265625" style="28" customWidth="1"/>
    <col min="38" max="16384" width="11.453125" style="28"/>
  </cols>
  <sheetData>
    <row r="1" spans="1:37" x14ac:dyDescent="0.35">
      <c r="A1" s="31" t="s">
        <v>254</v>
      </c>
      <c r="B1" s="32" t="s">
        <v>238</v>
      </c>
      <c r="C1" s="26"/>
      <c r="D1" s="27"/>
      <c r="E1" s="32" t="s">
        <v>238</v>
      </c>
      <c r="F1" s="26"/>
      <c r="G1" s="27"/>
      <c r="H1" s="32" t="s">
        <v>238</v>
      </c>
      <c r="I1" s="26"/>
      <c r="J1" s="27"/>
      <c r="K1" s="32" t="s">
        <v>238</v>
      </c>
      <c r="L1" s="26"/>
      <c r="M1" s="27"/>
      <c r="N1" s="32" t="s">
        <v>238</v>
      </c>
      <c r="O1" s="26"/>
      <c r="P1" s="27"/>
      <c r="Q1" s="32" t="s">
        <v>238</v>
      </c>
      <c r="R1" s="26"/>
      <c r="S1" s="27"/>
      <c r="T1" s="32" t="s">
        <v>238</v>
      </c>
      <c r="U1" s="26"/>
      <c r="V1" s="27"/>
      <c r="W1" s="32" t="s">
        <v>238</v>
      </c>
      <c r="X1" s="26"/>
      <c r="Y1" s="27"/>
      <c r="Z1" s="32" t="s">
        <v>238</v>
      </c>
      <c r="AA1" s="26"/>
      <c r="AB1" s="27"/>
      <c r="AC1" s="32" t="s">
        <v>238</v>
      </c>
      <c r="AD1" s="26"/>
      <c r="AE1" s="27"/>
      <c r="AF1" s="32" t="s">
        <v>238</v>
      </c>
      <c r="AG1" s="26"/>
      <c r="AH1" s="27"/>
      <c r="AI1" s="32" t="s">
        <v>253</v>
      </c>
      <c r="AJ1" s="26"/>
      <c r="AK1" s="27"/>
    </row>
    <row r="2" spans="1:37" x14ac:dyDescent="0.35">
      <c r="A2" s="24" t="s">
        <v>255</v>
      </c>
      <c r="B2" s="33" t="s">
        <v>239</v>
      </c>
      <c r="C2" s="29"/>
      <c r="D2" s="30"/>
      <c r="E2" s="33" t="s">
        <v>239</v>
      </c>
      <c r="F2" s="29"/>
      <c r="G2" s="30"/>
      <c r="H2" s="33" t="s">
        <v>239</v>
      </c>
      <c r="I2" s="29"/>
      <c r="J2" s="30"/>
      <c r="K2" s="33" t="s">
        <v>239</v>
      </c>
      <c r="L2" s="29"/>
      <c r="M2" s="30"/>
      <c r="N2" s="33" t="s">
        <v>239</v>
      </c>
      <c r="O2" s="29"/>
      <c r="P2" s="30"/>
      <c r="Q2" s="33" t="s">
        <v>239</v>
      </c>
      <c r="R2" s="29"/>
      <c r="S2" s="30"/>
      <c r="T2" s="33" t="s">
        <v>239</v>
      </c>
      <c r="U2" s="29"/>
      <c r="V2" s="30"/>
      <c r="W2" s="33" t="s">
        <v>239</v>
      </c>
      <c r="X2" s="29"/>
      <c r="Y2" s="30"/>
      <c r="Z2" s="33" t="s">
        <v>239</v>
      </c>
      <c r="AA2" s="29"/>
      <c r="AB2" s="30"/>
      <c r="AC2" s="33" t="s">
        <v>239</v>
      </c>
      <c r="AD2" s="29"/>
      <c r="AE2" s="30"/>
      <c r="AF2" s="33" t="s">
        <v>239</v>
      </c>
      <c r="AG2" s="29"/>
      <c r="AH2" s="30"/>
      <c r="AI2" s="33" t="s">
        <v>30</v>
      </c>
      <c r="AJ2" s="29"/>
      <c r="AK2" s="30"/>
    </row>
    <row r="3" spans="1:37" ht="15" customHeight="1" x14ac:dyDescent="0.35">
      <c r="A3" s="34">
        <v>2022</v>
      </c>
      <c r="B3" s="43" t="s">
        <v>31</v>
      </c>
      <c r="C3" s="44"/>
      <c r="D3" s="45"/>
      <c r="E3" s="46" t="s">
        <v>32</v>
      </c>
      <c r="F3" s="44"/>
      <c r="G3" s="45"/>
      <c r="H3" s="46" t="s">
        <v>33</v>
      </c>
      <c r="I3" s="44"/>
      <c r="J3" s="45"/>
      <c r="K3" s="46" t="s">
        <v>34</v>
      </c>
      <c r="L3" s="44"/>
      <c r="M3" s="45"/>
      <c r="N3" s="46" t="s">
        <v>35</v>
      </c>
      <c r="O3" s="44"/>
      <c r="P3" s="45"/>
      <c r="Q3" s="46" t="s">
        <v>36</v>
      </c>
      <c r="R3" s="44"/>
      <c r="S3" s="45"/>
      <c r="T3" s="46" t="s">
        <v>37</v>
      </c>
      <c r="U3" s="44"/>
      <c r="V3" s="45"/>
      <c r="W3" s="46" t="s">
        <v>38</v>
      </c>
      <c r="X3" s="44"/>
      <c r="Y3" s="45"/>
      <c r="Z3" s="46" t="s">
        <v>39</v>
      </c>
      <c r="AA3" s="44"/>
      <c r="AB3" s="45"/>
      <c r="AC3" s="46" t="s">
        <v>40</v>
      </c>
      <c r="AD3" s="44"/>
      <c r="AE3" s="45"/>
      <c r="AF3" s="46" t="s">
        <v>41</v>
      </c>
      <c r="AG3" s="44"/>
      <c r="AH3" s="45"/>
      <c r="AI3" s="43" t="s">
        <v>42</v>
      </c>
      <c r="AJ3" s="44"/>
      <c r="AK3" s="45"/>
    </row>
    <row r="4" spans="1:37" ht="15" customHeight="1" x14ac:dyDescent="0.35">
      <c r="A4" s="47"/>
      <c r="B4" s="48" t="s">
        <v>237</v>
      </c>
      <c r="C4" s="49"/>
      <c r="D4" s="50"/>
      <c r="E4" s="48" t="s">
        <v>237</v>
      </c>
      <c r="F4" s="49"/>
      <c r="G4" s="50"/>
      <c r="H4" s="48" t="s">
        <v>237</v>
      </c>
      <c r="I4" s="49"/>
      <c r="J4" s="50"/>
      <c r="K4" s="48" t="s">
        <v>237</v>
      </c>
      <c r="L4" s="49"/>
      <c r="M4" s="50"/>
      <c r="N4" s="48" t="s">
        <v>237</v>
      </c>
      <c r="O4" s="49"/>
      <c r="P4" s="50"/>
      <c r="Q4" s="48" t="s">
        <v>237</v>
      </c>
      <c r="R4" s="49"/>
      <c r="S4" s="50"/>
      <c r="T4" s="48" t="s">
        <v>237</v>
      </c>
      <c r="U4" s="49"/>
      <c r="V4" s="50"/>
      <c r="W4" s="48" t="s">
        <v>237</v>
      </c>
      <c r="X4" s="49"/>
      <c r="Y4" s="50"/>
      <c r="Z4" s="48" t="s">
        <v>237</v>
      </c>
      <c r="AA4" s="49"/>
      <c r="AB4" s="50"/>
      <c r="AC4" s="48" t="s">
        <v>237</v>
      </c>
      <c r="AD4" s="49"/>
      <c r="AE4" s="50"/>
      <c r="AF4" s="48" t="s">
        <v>237</v>
      </c>
      <c r="AG4" s="49"/>
      <c r="AH4" s="50"/>
      <c r="AI4" s="48" t="s">
        <v>237</v>
      </c>
      <c r="AJ4" s="49"/>
      <c r="AK4" s="50"/>
    </row>
    <row r="5" spans="1:37" ht="43.5" x14ac:dyDescent="0.35">
      <c r="A5" s="42" t="s">
        <v>232</v>
      </c>
      <c r="B5" s="41" t="s">
        <v>2</v>
      </c>
      <c r="C5" s="42" t="s">
        <v>234</v>
      </c>
      <c r="D5" s="42" t="s">
        <v>235</v>
      </c>
      <c r="E5" s="41" t="s">
        <v>2</v>
      </c>
      <c r="F5" s="42" t="s">
        <v>234</v>
      </c>
      <c r="G5" s="42" t="s">
        <v>235</v>
      </c>
      <c r="H5" s="41" t="s">
        <v>2</v>
      </c>
      <c r="I5" s="42" t="s">
        <v>234</v>
      </c>
      <c r="J5" s="42" t="s">
        <v>235</v>
      </c>
      <c r="K5" s="41" t="s">
        <v>2</v>
      </c>
      <c r="L5" s="42" t="s">
        <v>234</v>
      </c>
      <c r="M5" s="42" t="s">
        <v>235</v>
      </c>
      <c r="N5" s="41" t="s">
        <v>2</v>
      </c>
      <c r="O5" s="42" t="s">
        <v>234</v>
      </c>
      <c r="P5" s="42" t="s">
        <v>235</v>
      </c>
      <c r="Q5" s="41" t="s">
        <v>2</v>
      </c>
      <c r="R5" s="42" t="s">
        <v>234</v>
      </c>
      <c r="S5" s="42" t="s">
        <v>235</v>
      </c>
      <c r="T5" s="41" t="s">
        <v>2</v>
      </c>
      <c r="U5" s="42" t="s">
        <v>234</v>
      </c>
      <c r="V5" s="42" t="s">
        <v>235</v>
      </c>
      <c r="W5" s="41" t="s">
        <v>2</v>
      </c>
      <c r="X5" s="42" t="s">
        <v>234</v>
      </c>
      <c r="Y5" s="42" t="s">
        <v>235</v>
      </c>
      <c r="Z5" s="41" t="s">
        <v>2</v>
      </c>
      <c r="AA5" s="42" t="s">
        <v>234</v>
      </c>
      <c r="AB5" s="42" t="s">
        <v>235</v>
      </c>
      <c r="AC5" s="41" t="s">
        <v>2</v>
      </c>
      <c r="AD5" s="42" t="s">
        <v>234</v>
      </c>
      <c r="AE5" s="42" t="s">
        <v>235</v>
      </c>
      <c r="AF5" s="41" t="s">
        <v>2</v>
      </c>
      <c r="AG5" s="42" t="s">
        <v>234</v>
      </c>
      <c r="AH5" s="42" t="s">
        <v>235</v>
      </c>
      <c r="AI5" s="41" t="s">
        <v>2</v>
      </c>
      <c r="AJ5" s="42" t="s">
        <v>234</v>
      </c>
      <c r="AK5" s="42" t="s">
        <v>235</v>
      </c>
    </row>
    <row r="6" spans="1:37" ht="15" customHeight="1" x14ac:dyDescent="0.35">
      <c r="A6" s="51"/>
      <c r="B6" s="33" t="s">
        <v>236</v>
      </c>
      <c r="C6" s="29"/>
      <c r="D6" s="30"/>
      <c r="E6" s="33" t="s">
        <v>236</v>
      </c>
      <c r="F6" s="29"/>
      <c r="G6" s="30"/>
      <c r="H6" s="33" t="s">
        <v>236</v>
      </c>
      <c r="I6" s="29"/>
      <c r="J6" s="30"/>
      <c r="K6" s="33" t="s">
        <v>236</v>
      </c>
      <c r="L6" s="29"/>
      <c r="M6" s="30"/>
      <c r="N6" s="33" t="s">
        <v>236</v>
      </c>
      <c r="O6" s="29"/>
      <c r="P6" s="30"/>
      <c r="Q6" s="33" t="s">
        <v>236</v>
      </c>
      <c r="R6" s="29"/>
      <c r="S6" s="30"/>
      <c r="T6" s="33" t="s">
        <v>236</v>
      </c>
      <c r="U6" s="29"/>
      <c r="V6" s="30"/>
      <c r="W6" s="33" t="s">
        <v>236</v>
      </c>
      <c r="X6" s="29"/>
      <c r="Y6" s="30"/>
      <c r="Z6" s="33" t="s">
        <v>236</v>
      </c>
      <c r="AA6" s="29"/>
      <c r="AB6" s="30"/>
      <c r="AC6" s="33" t="s">
        <v>236</v>
      </c>
      <c r="AD6" s="29"/>
      <c r="AE6" s="30"/>
      <c r="AF6" s="33" t="s">
        <v>236</v>
      </c>
      <c r="AG6" s="29"/>
      <c r="AH6" s="30"/>
      <c r="AI6" s="33" t="s">
        <v>236</v>
      </c>
      <c r="AJ6" s="29"/>
      <c r="AK6" s="30"/>
    </row>
    <row r="7" spans="1:37" ht="43.5" x14ac:dyDescent="0.35">
      <c r="A7" s="23" t="s">
        <v>231</v>
      </c>
      <c r="B7" s="23" t="s">
        <v>233</v>
      </c>
      <c r="C7" s="23" t="s">
        <v>248</v>
      </c>
      <c r="D7" s="23" t="s">
        <v>248</v>
      </c>
      <c r="E7" s="23" t="s">
        <v>233</v>
      </c>
      <c r="F7" s="23" t="s">
        <v>248</v>
      </c>
      <c r="G7" s="23" t="s">
        <v>248</v>
      </c>
      <c r="H7" s="23" t="s">
        <v>233</v>
      </c>
      <c r="I7" s="23" t="s">
        <v>248</v>
      </c>
      <c r="J7" s="23" t="s">
        <v>248</v>
      </c>
      <c r="K7" s="23" t="s">
        <v>233</v>
      </c>
      <c r="L7" s="23" t="s">
        <v>248</v>
      </c>
      <c r="M7" s="23" t="s">
        <v>248</v>
      </c>
      <c r="N7" s="23" t="s">
        <v>233</v>
      </c>
      <c r="O7" s="23" t="s">
        <v>248</v>
      </c>
      <c r="P7" s="23" t="s">
        <v>248</v>
      </c>
      <c r="Q7" s="23" t="s">
        <v>233</v>
      </c>
      <c r="R7" s="23" t="s">
        <v>248</v>
      </c>
      <c r="S7" s="23" t="s">
        <v>248</v>
      </c>
      <c r="T7" s="23" t="s">
        <v>233</v>
      </c>
      <c r="U7" s="23" t="s">
        <v>248</v>
      </c>
      <c r="V7" s="23" t="s">
        <v>248</v>
      </c>
      <c r="W7" s="23" t="s">
        <v>233</v>
      </c>
      <c r="X7" s="23" t="s">
        <v>248</v>
      </c>
      <c r="Y7" s="23" t="s">
        <v>248</v>
      </c>
      <c r="Z7" s="23" t="s">
        <v>233</v>
      </c>
      <c r="AA7" s="23" t="s">
        <v>248</v>
      </c>
      <c r="AB7" s="23" t="s">
        <v>248</v>
      </c>
      <c r="AC7" s="23" t="s">
        <v>233</v>
      </c>
      <c r="AD7" s="23" t="s">
        <v>248</v>
      </c>
      <c r="AE7" s="23" t="s">
        <v>248</v>
      </c>
      <c r="AF7" s="23" t="s">
        <v>233</v>
      </c>
      <c r="AG7" s="23" t="s">
        <v>248</v>
      </c>
      <c r="AH7" s="23" t="s">
        <v>248</v>
      </c>
      <c r="AI7" s="23" t="s">
        <v>233</v>
      </c>
      <c r="AJ7" s="23" t="s">
        <v>248</v>
      </c>
      <c r="AK7" s="23" t="s">
        <v>248</v>
      </c>
    </row>
    <row r="8" spans="1:37" ht="20.149999999999999" customHeight="1" x14ac:dyDescent="0.35">
      <c r="A8" s="35" t="s">
        <v>3</v>
      </c>
      <c r="B8" s="78">
        <v>0</v>
      </c>
      <c r="C8" s="78">
        <v>0</v>
      </c>
      <c r="D8" s="78">
        <v>0</v>
      </c>
      <c r="E8" s="78">
        <v>4689261000</v>
      </c>
      <c r="F8" s="78">
        <v>4633248000</v>
      </c>
      <c r="G8" s="78">
        <v>56013000</v>
      </c>
      <c r="H8" s="78">
        <v>6695306000</v>
      </c>
      <c r="I8" s="78">
        <v>6570866000</v>
      </c>
      <c r="J8" s="78">
        <v>124440000</v>
      </c>
      <c r="K8" s="78">
        <v>14312209000</v>
      </c>
      <c r="L8" s="78">
        <v>13898990000</v>
      </c>
      <c r="M8" s="78">
        <v>413219000</v>
      </c>
      <c r="N8" s="78">
        <v>43015738000</v>
      </c>
      <c r="O8" s="78">
        <v>41320049000</v>
      </c>
      <c r="P8" s="78">
        <v>1695689000</v>
      </c>
      <c r="Q8" s="78">
        <v>60020224000</v>
      </c>
      <c r="R8" s="78">
        <v>57770238000</v>
      </c>
      <c r="S8" s="78">
        <v>2249986000</v>
      </c>
      <c r="T8" s="78">
        <v>73178620000</v>
      </c>
      <c r="U8" s="78">
        <v>70480415000</v>
      </c>
      <c r="V8" s="78">
        <v>2698205000</v>
      </c>
      <c r="W8" s="78">
        <v>39906063000</v>
      </c>
      <c r="X8" s="78">
        <v>38287749000</v>
      </c>
      <c r="Y8" s="78">
        <v>1618314000</v>
      </c>
      <c r="Z8" s="78">
        <v>44587247000</v>
      </c>
      <c r="AA8" s="78">
        <v>42960974000</v>
      </c>
      <c r="AB8" s="78">
        <v>1626273000</v>
      </c>
      <c r="AC8" s="78">
        <v>49996410000</v>
      </c>
      <c r="AD8" s="78">
        <v>48259062000</v>
      </c>
      <c r="AE8" s="78">
        <v>1737348000</v>
      </c>
      <c r="AF8" s="78">
        <v>167270030000</v>
      </c>
      <c r="AG8" s="78">
        <v>165257114000</v>
      </c>
      <c r="AH8" s="78">
        <v>2012916000</v>
      </c>
      <c r="AI8" s="78">
        <v>503671108000</v>
      </c>
      <c r="AJ8" s="78">
        <v>489438705000</v>
      </c>
      <c r="AK8" s="78">
        <v>14232403000</v>
      </c>
    </row>
    <row r="9" spans="1:37" ht="20.149999999999999" customHeight="1" x14ac:dyDescent="0.35">
      <c r="A9" s="38" t="s">
        <v>4</v>
      </c>
      <c r="B9" s="80">
        <v>0</v>
      </c>
      <c r="C9" s="80">
        <v>0</v>
      </c>
      <c r="D9" s="80">
        <v>0</v>
      </c>
      <c r="E9" s="80">
        <v>3612787876</v>
      </c>
      <c r="F9" s="80">
        <v>3489447391</v>
      </c>
      <c r="G9" s="80">
        <v>123340485</v>
      </c>
      <c r="H9" s="80">
        <v>5025437304</v>
      </c>
      <c r="I9" s="80">
        <v>4734310342</v>
      </c>
      <c r="J9" s="80">
        <v>291126962</v>
      </c>
      <c r="K9" s="80">
        <v>10528571089</v>
      </c>
      <c r="L9" s="80">
        <v>9697190328</v>
      </c>
      <c r="M9" s="80">
        <v>831380761</v>
      </c>
      <c r="N9" s="80">
        <v>31704984656</v>
      </c>
      <c r="O9" s="80">
        <v>29486629556</v>
      </c>
      <c r="P9" s="80">
        <v>2218355100</v>
      </c>
      <c r="Q9" s="80">
        <v>38507709874</v>
      </c>
      <c r="R9" s="80">
        <v>36638046430</v>
      </c>
      <c r="S9" s="80">
        <v>1869663444</v>
      </c>
      <c r="T9" s="80">
        <v>36971847248</v>
      </c>
      <c r="U9" s="80">
        <v>35236474609</v>
      </c>
      <c r="V9" s="80">
        <v>1735372639</v>
      </c>
      <c r="W9" s="80">
        <v>17315677699</v>
      </c>
      <c r="X9" s="80">
        <v>16429161042</v>
      </c>
      <c r="Y9" s="80">
        <v>886516657</v>
      </c>
      <c r="Z9" s="80">
        <v>17645252868</v>
      </c>
      <c r="AA9" s="80">
        <v>16643546896</v>
      </c>
      <c r="AB9" s="80">
        <v>1001705972</v>
      </c>
      <c r="AC9" s="80">
        <v>17893076664</v>
      </c>
      <c r="AD9" s="80">
        <v>16811132636</v>
      </c>
      <c r="AE9" s="80">
        <v>1081944028</v>
      </c>
      <c r="AF9" s="80">
        <v>55023215080</v>
      </c>
      <c r="AG9" s="80">
        <v>53961117616</v>
      </c>
      <c r="AH9" s="80">
        <v>1062097464</v>
      </c>
      <c r="AI9" s="80">
        <v>234228560358</v>
      </c>
      <c r="AJ9" s="80">
        <v>223127056846</v>
      </c>
      <c r="AK9" s="80">
        <v>11101503512</v>
      </c>
    </row>
    <row r="10" spans="1:37" ht="20.149999999999999" customHeight="1" x14ac:dyDescent="0.35">
      <c r="A10" s="35" t="s">
        <v>5</v>
      </c>
      <c r="B10" s="78">
        <v>0</v>
      </c>
      <c r="C10" s="78">
        <v>0</v>
      </c>
      <c r="D10" s="78">
        <v>0</v>
      </c>
      <c r="E10" s="78">
        <v>1526175759</v>
      </c>
      <c r="F10" s="78">
        <v>1492594786</v>
      </c>
      <c r="G10" s="78">
        <v>33580973</v>
      </c>
      <c r="H10" s="78">
        <v>2118107951</v>
      </c>
      <c r="I10" s="78">
        <v>2040380278</v>
      </c>
      <c r="J10" s="78">
        <v>77727673</v>
      </c>
      <c r="K10" s="78">
        <v>4158644037</v>
      </c>
      <c r="L10" s="78">
        <v>3920129560</v>
      </c>
      <c r="M10" s="78">
        <v>238514477</v>
      </c>
      <c r="N10" s="78">
        <v>11677528354</v>
      </c>
      <c r="O10" s="78">
        <v>10963822722</v>
      </c>
      <c r="P10" s="78">
        <v>713705632</v>
      </c>
      <c r="Q10" s="78">
        <v>14248771308</v>
      </c>
      <c r="R10" s="78">
        <v>13547238202</v>
      </c>
      <c r="S10" s="78">
        <v>701533106</v>
      </c>
      <c r="T10" s="78">
        <v>14275921799</v>
      </c>
      <c r="U10" s="78">
        <v>13544452216</v>
      </c>
      <c r="V10" s="78">
        <v>731469583</v>
      </c>
      <c r="W10" s="78">
        <v>7579054945</v>
      </c>
      <c r="X10" s="78">
        <v>7137018525</v>
      </c>
      <c r="Y10" s="78">
        <v>442036420</v>
      </c>
      <c r="Z10" s="78">
        <v>8292233246</v>
      </c>
      <c r="AA10" s="78">
        <v>7902660310</v>
      </c>
      <c r="AB10" s="78">
        <v>389572936</v>
      </c>
      <c r="AC10" s="78">
        <v>9440231104</v>
      </c>
      <c r="AD10" s="78">
        <v>9047545291</v>
      </c>
      <c r="AE10" s="78">
        <v>392685813</v>
      </c>
      <c r="AF10" s="78">
        <v>40608121141</v>
      </c>
      <c r="AG10" s="78">
        <v>40058312149</v>
      </c>
      <c r="AH10" s="78">
        <v>549808992</v>
      </c>
      <c r="AI10" s="78">
        <v>113924789644</v>
      </c>
      <c r="AJ10" s="78">
        <v>109654154039</v>
      </c>
      <c r="AK10" s="78">
        <v>4270635605</v>
      </c>
    </row>
    <row r="11" spans="1:37" ht="20.149999999999999" customHeight="1" x14ac:dyDescent="0.35">
      <c r="A11" s="38" t="s">
        <v>6</v>
      </c>
      <c r="B11" s="80">
        <v>0</v>
      </c>
      <c r="C11" s="80">
        <v>0</v>
      </c>
      <c r="D11" s="80">
        <v>0</v>
      </c>
      <c r="E11" s="80">
        <v>135104716</v>
      </c>
      <c r="F11" s="80">
        <v>119430009</v>
      </c>
      <c r="G11" s="80">
        <v>15674707</v>
      </c>
      <c r="H11" s="80">
        <v>226209065</v>
      </c>
      <c r="I11" s="80">
        <v>196233389</v>
      </c>
      <c r="J11" s="80">
        <v>29975676</v>
      </c>
      <c r="K11" s="80">
        <v>494678528</v>
      </c>
      <c r="L11" s="80">
        <v>428189210</v>
      </c>
      <c r="M11" s="80">
        <v>66489318</v>
      </c>
      <c r="N11" s="80">
        <v>1544041951</v>
      </c>
      <c r="O11" s="80">
        <v>1371815049</v>
      </c>
      <c r="P11" s="80">
        <v>172226902</v>
      </c>
      <c r="Q11" s="80">
        <v>1713043400</v>
      </c>
      <c r="R11" s="80">
        <v>1558554701</v>
      </c>
      <c r="S11" s="80">
        <v>154488699</v>
      </c>
      <c r="T11" s="80">
        <v>1386279005</v>
      </c>
      <c r="U11" s="80">
        <v>1231961743</v>
      </c>
      <c r="V11" s="80">
        <v>154317262</v>
      </c>
      <c r="W11" s="80">
        <v>549424931</v>
      </c>
      <c r="X11" s="80">
        <v>496069847</v>
      </c>
      <c r="Y11" s="80">
        <v>53355084</v>
      </c>
      <c r="Z11" s="80">
        <v>543417371</v>
      </c>
      <c r="AA11" s="80">
        <v>501763171</v>
      </c>
      <c r="AB11" s="80">
        <v>41654200</v>
      </c>
      <c r="AC11" s="80">
        <v>586659030</v>
      </c>
      <c r="AD11" s="80">
        <v>545145030</v>
      </c>
      <c r="AE11" s="80">
        <v>41514000</v>
      </c>
      <c r="AF11" s="80">
        <v>1519428877</v>
      </c>
      <c r="AG11" s="80">
        <v>1494530177</v>
      </c>
      <c r="AH11" s="80">
        <v>24898700</v>
      </c>
      <c r="AI11" s="80">
        <v>8698286874</v>
      </c>
      <c r="AJ11" s="80">
        <v>7943692326</v>
      </c>
      <c r="AK11" s="80">
        <v>754594548</v>
      </c>
    </row>
    <row r="12" spans="1:37" ht="20.149999999999999" customHeight="1" x14ac:dyDescent="0.35">
      <c r="A12" s="35" t="s">
        <v>7</v>
      </c>
      <c r="B12" s="78">
        <v>0</v>
      </c>
      <c r="C12" s="78">
        <v>0</v>
      </c>
      <c r="D12" s="78">
        <v>0</v>
      </c>
      <c r="E12" s="78">
        <v>533156731</v>
      </c>
      <c r="F12" s="78">
        <v>506258770</v>
      </c>
      <c r="G12" s="78">
        <v>26897961</v>
      </c>
      <c r="H12" s="78">
        <v>775078172</v>
      </c>
      <c r="I12" s="78">
        <v>714341695</v>
      </c>
      <c r="J12" s="78">
        <v>60736477</v>
      </c>
      <c r="K12" s="78">
        <v>1669511534</v>
      </c>
      <c r="L12" s="78">
        <v>1490764263</v>
      </c>
      <c r="M12" s="78">
        <v>178747271</v>
      </c>
      <c r="N12" s="78">
        <v>5533614072</v>
      </c>
      <c r="O12" s="78">
        <v>5041191358</v>
      </c>
      <c r="P12" s="78">
        <v>492422714</v>
      </c>
      <c r="Q12" s="78">
        <v>8211149316</v>
      </c>
      <c r="R12" s="78">
        <v>7753999253</v>
      </c>
      <c r="S12" s="78">
        <v>457150063</v>
      </c>
      <c r="T12" s="78">
        <v>10313343356</v>
      </c>
      <c r="U12" s="78">
        <v>9847093054</v>
      </c>
      <c r="V12" s="78">
        <v>466250302</v>
      </c>
      <c r="W12" s="78">
        <v>6082620617</v>
      </c>
      <c r="X12" s="78">
        <v>5841480331</v>
      </c>
      <c r="Y12" s="78">
        <v>241140286</v>
      </c>
      <c r="Z12" s="78">
        <v>7667192182</v>
      </c>
      <c r="AA12" s="78">
        <v>7426802722</v>
      </c>
      <c r="AB12" s="78">
        <v>240389460</v>
      </c>
      <c r="AC12" s="78">
        <v>10415923889</v>
      </c>
      <c r="AD12" s="78">
        <v>10207242062</v>
      </c>
      <c r="AE12" s="78">
        <v>208681827</v>
      </c>
      <c r="AF12" s="78">
        <v>100443878103</v>
      </c>
      <c r="AG12" s="78">
        <v>99251849488</v>
      </c>
      <c r="AH12" s="78">
        <v>1192028615</v>
      </c>
      <c r="AI12" s="78">
        <v>151645467972</v>
      </c>
      <c r="AJ12" s="78">
        <v>148081022996</v>
      </c>
      <c r="AK12" s="78">
        <v>3564444976</v>
      </c>
    </row>
    <row r="13" spans="1:37" ht="20.149999999999999" customHeight="1" x14ac:dyDescent="0.35">
      <c r="A13" s="38" t="s">
        <v>8</v>
      </c>
      <c r="B13" s="80">
        <v>0</v>
      </c>
      <c r="C13" s="80">
        <v>0</v>
      </c>
      <c r="D13" s="80">
        <v>0</v>
      </c>
      <c r="E13" s="80">
        <v>145655355</v>
      </c>
      <c r="F13" s="80">
        <v>125403107</v>
      </c>
      <c r="G13" s="80">
        <v>20252248</v>
      </c>
      <c r="H13" s="80">
        <v>236366996</v>
      </c>
      <c r="I13" s="80">
        <v>187000813</v>
      </c>
      <c r="J13" s="80">
        <v>49366183</v>
      </c>
      <c r="K13" s="80">
        <v>496153743</v>
      </c>
      <c r="L13" s="80">
        <v>364267708</v>
      </c>
      <c r="M13" s="80">
        <v>131886035</v>
      </c>
      <c r="N13" s="80">
        <v>1374250184</v>
      </c>
      <c r="O13" s="80">
        <v>1148666897</v>
      </c>
      <c r="P13" s="80">
        <v>225583287</v>
      </c>
      <c r="Q13" s="80">
        <v>1553361170</v>
      </c>
      <c r="R13" s="80">
        <v>1461695232</v>
      </c>
      <c r="S13" s="80">
        <v>91665938</v>
      </c>
      <c r="T13" s="80">
        <v>1410444020</v>
      </c>
      <c r="U13" s="80">
        <v>1376385299</v>
      </c>
      <c r="V13" s="80">
        <v>34058721</v>
      </c>
      <c r="W13" s="80">
        <v>724554241</v>
      </c>
      <c r="X13" s="80">
        <v>713151228</v>
      </c>
      <c r="Y13" s="80">
        <v>11403013</v>
      </c>
      <c r="Z13" s="80">
        <v>958440174</v>
      </c>
      <c r="AA13" s="80">
        <v>942781287</v>
      </c>
      <c r="AB13" s="80">
        <v>15658887</v>
      </c>
      <c r="AC13" s="80">
        <v>1414288329</v>
      </c>
      <c r="AD13" s="80">
        <v>1408736729</v>
      </c>
      <c r="AE13" s="80">
        <v>5551600</v>
      </c>
      <c r="AF13" s="80">
        <v>10020160438</v>
      </c>
      <c r="AG13" s="80">
        <v>9969086438</v>
      </c>
      <c r="AH13" s="80">
        <v>51074000</v>
      </c>
      <c r="AI13" s="80">
        <v>18333674650</v>
      </c>
      <c r="AJ13" s="80">
        <v>17697174738</v>
      </c>
      <c r="AK13" s="80">
        <v>636499912</v>
      </c>
    </row>
    <row r="14" spans="1:37" ht="20.149999999999999" customHeight="1" x14ac:dyDescent="0.35">
      <c r="A14" s="35" t="s">
        <v>9</v>
      </c>
      <c r="B14" s="78">
        <v>0</v>
      </c>
      <c r="C14" s="78">
        <v>0</v>
      </c>
      <c r="D14" s="78">
        <v>0</v>
      </c>
      <c r="E14" s="78">
        <v>154547981</v>
      </c>
      <c r="F14" s="78">
        <v>144832397</v>
      </c>
      <c r="G14" s="78">
        <v>9715584</v>
      </c>
      <c r="H14" s="78">
        <v>228340826</v>
      </c>
      <c r="I14" s="78">
        <v>206621875</v>
      </c>
      <c r="J14" s="78">
        <v>21718951</v>
      </c>
      <c r="K14" s="78">
        <v>505350095</v>
      </c>
      <c r="L14" s="78">
        <v>443381496</v>
      </c>
      <c r="M14" s="78">
        <v>61968599</v>
      </c>
      <c r="N14" s="78">
        <v>1507520265</v>
      </c>
      <c r="O14" s="78">
        <v>1363348012</v>
      </c>
      <c r="P14" s="78">
        <v>144172253</v>
      </c>
      <c r="Q14" s="78">
        <v>2014219785</v>
      </c>
      <c r="R14" s="78">
        <v>1886499036</v>
      </c>
      <c r="S14" s="78">
        <v>127720749</v>
      </c>
      <c r="T14" s="78">
        <v>2295445491</v>
      </c>
      <c r="U14" s="78">
        <v>2179535138</v>
      </c>
      <c r="V14" s="78">
        <v>115910353</v>
      </c>
      <c r="W14" s="78">
        <v>1271189739</v>
      </c>
      <c r="X14" s="78">
        <v>1216038719</v>
      </c>
      <c r="Y14" s="78">
        <v>55151020</v>
      </c>
      <c r="Z14" s="78">
        <v>1541729238</v>
      </c>
      <c r="AA14" s="78">
        <v>1504509205</v>
      </c>
      <c r="AB14" s="78">
        <v>37220033</v>
      </c>
      <c r="AC14" s="78">
        <v>2607603310</v>
      </c>
      <c r="AD14" s="78">
        <v>2593790240</v>
      </c>
      <c r="AE14" s="78">
        <v>13813070</v>
      </c>
      <c r="AF14" s="78">
        <v>31584456132</v>
      </c>
      <c r="AG14" s="78">
        <v>31376173000</v>
      </c>
      <c r="AH14" s="78">
        <v>208283132</v>
      </c>
      <c r="AI14" s="78">
        <v>43710402862</v>
      </c>
      <c r="AJ14" s="78">
        <v>42914729118</v>
      </c>
      <c r="AK14" s="78">
        <v>795673744</v>
      </c>
    </row>
    <row r="15" spans="1:37" ht="20.149999999999999" customHeight="1" x14ac:dyDescent="0.35">
      <c r="A15" s="38" t="s">
        <v>10</v>
      </c>
      <c r="B15" s="80">
        <v>0</v>
      </c>
      <c r="C15" s="80">
        <v>0</v>
      </c>
      <c r="D15" s="80">
        <v>0</v>
      </c>
      <c r="E15" s="80">
        <v>156606922</v>
      </c>
      <c r="F15" s="80">
        <v>133903676</v>
      </c>
      <c r="G15" s="80">
        <v>22703246</v>
      </c>
      <c r="H15" s="80">
        <v>240205404</v>
      </c>
      <c r="I15" s="80">
        <v>188943080</v>
      </c>
      <c r="J15" s="80">
        <v>51262324</v>
      </c>
      <c r="K15" s="80">
        <v>512787297</v>
      </c>
      <c r="L15" s="80">
        <v>392424416</v>
      </c>
      <c r="M15" s="80">
        <v>120362881</v>
      </c>
      <c r="N15" s="80">
        <v>1349627368</v>
      </c>
      <c r="O15" s="80">
        <v>1175768449</v>
      </c>
      <c r="P15" s="80">
        <v>173858919</v>
      </c>
      <c r="Q15" s="80">
        <v>1525275818</v>
      </c>
      <c r="R15" s="80">
        <v>1457281489</v>
      </c>
      <c r="S15" s="80">
        <v>67994329</v>
      </c>
      <c r="T15" s="80">
        <v>1393313595</v>
      </c>
      <c r="U15" s="80">
        <v>1343283301</v>
      </c>
      <c r="V15" s="80">
        <v>50030294</v>
      </c>
      <c r="W15" s="80">
        <v>598419271</v>
      </c>
      <c r="X15" s="80">
        <v>572142196</v>
      </c>
      <c r="Y15" s="80">
        <v>26277075</v>
      </c>
      <c r="Z15" s="80">
        <v>736422418</v>
      </c>
      <c r="AA15" s="80">
        <v>713022238</v>
      </c>
      <c r="AB15" s="80">
        <v>23400180</v>
      </c>
      <c r="AC15" s="80">
        <v>636636111</v>
      </c>
      <c r="AD15" s="80">
        <v>636636111</v>
      </c>
      <c r="AE15" s="80">
        <v>0</v>
      </c>
      <c r="AF15" s="80">
        <v>1834844595</v>
      </c>
      <c r="AG15" s="80">
        <v>1834844595</v>
      </c>
      <c r="AH15" s="80">
        <v>0</v>
      </c>
      <c r="AI15" s="80">
        <v>8984138799</v>
      </c>
      <c r="AJ15" s="80">
        <v>8448249551</v>
      </c>
      <c r="AK15" s="80">
        <v>535889248</v>
      </c>
    </row>
    <row r="16" spans="1:37" ht="20.149999999999999" customHeight="1" x14ac:dyDescent="0.35">
      <c r="A16" s="35" t="s">
        <v>11</v>
      </c>
      <c r="B16" s="78">
        <v>0</v>
      </c>
      <c r="C16" s="78">
        <v>0</v>
      </c>
      <c r="D16" s="78">
        <v>0</v>
      </c>
      <c r="E16" s="78">
        <v>372493945</v>
      </c>
      <c r="F16" s="78">
        <v>359647775</v>
      </c>
      <c r="G16" s="78">
        <v>12846170</v>
      </c>
      <c r="H16" s="78">
        <v>566540878</v>
      </c>
      <c r="I16" s="78">
        <v>540173688</v>
      </c>
      <c r="J16" s="78">
        <v>26367190</v>
      </c>
      <c r="K16" s="78">
        <v>1288948941</v>
      </c>
      <c r="L16" s="78">
        <v>1206722400</v>
      </c>
      <c r="M16" s="78">
        <v>82226541</v>
      </c>
      <c r="N16" s="78">
        <v>4081774333</v>
      </c>
      <c r="O16" s="78">
        <v>3825067420</v>
      </c>
      <c r="P16" s="78">
        <v>256706913</v>
      </c>
      <c r="Q16" s="78">
        <v>6386366784</v>
      </c>
      <c r="R16" s="78">
        <v>6095144773</v>
      </c>
      <c r="S16" s="78">
        <v>291222011</v>
      </c>
      <c r="T16" s="78">
        <v>8415088085</v>
      </c>
      <c r="U16" s="78">
        <v>8080836846</v>
      </c>
      <c r="V16" s="78">
        <v>334251239</v>
      </c>
      <c r="W16" s="78">
        <v>5039199329</v>
      </c>
      <c r="X16" s="78">
        <v>4901937467</v>
      </c>
      <c r="Y16" s="78">
        <v>137261862</v>
      </c>
      <c r="Z16" s="78">
        <v>6235198616</v>
      </c>
      <c r="AA16" s="78">
        <v>6043145777</v>
      </c>
      <c r="AB16" s="78">
        <v>192052839</v>
      </c>
      <c r="AC16" s="78">
        <v>8504134664</v>
      </c>
      <c r="AD16" s="78">
        <v>8269732073</v>
      </c>
      <c r="AE16" s="78">
        <v>234402591</v>
      </c>
      <c r="AF16" s="78">
        <v>52866932724</v>
      </c>
      <c r="AG16" s="78">
        <v>52716400840</v>
      </c>
      <c r="AH16" s="78">
        <v>150531884</v>
      </c>
      <c r="AI16" s="78">
        <v>93756678299</v>
      </c>
      <c r="AJ16" s="78">
        <v>92038809059</v>
      </c>
      <c r="AK16" s="78">
        <v>1717869240</v>
      </c>
    </row>
    <row r="17" spans="1:37" ht="20.149999999999999" customHeight="1" x14ac:dyDescent="0.35">
      <c r="A17" s="38" t="s">
        <v>12</v>
      </c>
      <c r="B17" s="80">
        <v>0</v>
      </c>
      <c r="C17" s="80">
        <v>0</v>
      </c>
      <c r="D17" s="80">
        <v>0</v>
      </c>
      <c r="E17" s="80">
        <v>1119661941</v>
      </c>
      <c r="F17" s="80">
        <v>1043545574</v>
      </c>
      <c r="G17" s="80">
        <v>76116367</v>
      </c>
      <c r="H17" s="80">
        <v>1441277828</v>
      </c>
      <c r="I17" s="80">
        <v>1325813705</v>
      </c>
      <c r="J17" s="80">
        <v>115464123</v>
      </c>
      <c r="K17" s="80">
        <v>2761503864</v>
      </c>
      <c r="L17" s="80">
        <v>2515729283</v>
      </c>
      <c r="M17" s="80">
        <v>245774581</v>
      </c>
      <c r="N17" s="80">
        <v>6511973208</v>
      </c>
      <c r="O17" s="80">
        <v>6110396330</v>
      </c>
      <c r="P17" s="80">
        <v>401576878</v>
      </c>
      <c r="Q17" s="80">
        <v>6252879849</v>
      </c>
      <c r="R17" s="80">
        <v>5976954103</v>
      </c>
      <c r="S17" s="80">
        <v>275925746</v>
      </c>
      <c r="T17" s="80">
        <v>5466583916</v>
      </c>
      <c r="U17" s="80">
        <v>5240963162</v>
      </c>
      <c r="V17" s="80">
        <v>225620754</v>
      </c>
      <c r="W17" s="80">
        <v>2477545392</v>
      </c>
      <c r="X17" s="80">
        <v>2402241672</v>
      </c>
      <c r="Y17" s="80">
        <v>75303720</v>
      </c>
      <c r="Z17" s="80">
        <v>2468051151</v>
      </c>
      <c r="AA17" s="80">
        <v>2413607103</v>
      </c>
      <c r="AB17" s="80">
        <v>54444048</v>
      </c>
      <c r="AC17" s="80">
        <v>2904501607</v>
      </c>
      <c r="AD17" s="80">
        <v>2869615538</v>
      </c>
      <c r="AE17" s="80">
        <v>34886069</v>
      </c>
      <c r="AF17" s="80">
        <v>6110804304</v>
      </c>
      <c r="AG17" s="80">
        <v>6074585403</v>
      </c>
      <c r="AH17" s="80">
        <v>36218901</v>
      </c>
      <c r="AI17" s="80">
        <v>37514783060</v>
      </c>
      <c r="AJ17" s="80">
        <v>35973451873</v>
      </c>
      <c r="AK17" s="80">
        <v>1541331187</v>
      </c>
    </row>
    <row r="18" spans="1:37" ht="20.149999999999999" customHeight="1" x14ac:dyDescent="0.35">
      <c r="A18" s="35" t="s">
        <v>13</v>
      </c>
      <c r="B18" s="78">
        <v>0</v>
      </c>
      <c r="C18" s="78">
        <v>0</v>
      </c>
      <c r="D18" s="78">
        <v>0</v>
      </c>
      <c r="E18" s="78">
        <v>831673469</v>
      </c>
      <c r="F18" s="78">
        <v>797773395</v>
      </c>
      <c r="G18" s="78">
        <v>33900074</v>
      </c>
      <c r="H18" s="78">
        <v>950130268</v>
      </c>
      <c r="I18" s="78">
        <v>901315753</v>
      </c>
      <c r="J18" s="78">
        <v>48814515</v>
      </c>
      <c r="K18" s="78">
        <v>1767735027</v>
      </c>
      <c r="L18" s="78">
        <v>1692880018</v>
      </c>
      <c r="M18" s="78">
        <v>74855009</v>
      </c>
      <c r="N18" s="78">
        <v>4502751381</v>
      </c>
      <c r="O18" s="78">
        <v>4414880190</v>
      </c>
      <c r="P18" s="78">
        <v>87871191</v>
      </c>
      <c r="Q18" s="78">
        <v>4876713852</v>
      </c>
      <c r="R18" s="78">
        <v>4821622608</v>
      </c>
      <c r="S18" s="78">
        <v>55091244</v>
      </c>
      <c r="T18" s="78">
        <v>4500967774</v>
      </c>
      <c r="U18" s="78">
        <v>4474771622</v>
      </c>
      <c r="V18" s="78">
        <v>26196152</v>
      </c>
      <c r="W18" s="78">
        <v>2368516492</v>
      </c>
      <c r="X18" s="78">
        <v>2347390499</v>
      </c>
      <c r="Y18" s="78">
        <v>21125993</v>
      </c>
      <c r="Z18" s="78">
        <v>2407086155</v>
      </c>
      <c r="AA18" s="78">
        <v>2396616542</v>
      </c>
      <c r="AB18" s="78">
        <v>10469613</v>
      </c>
      <c r="AC18" s="78">
        <v>2868418478</v>
      </c>
      <c r="AD18" s="78">
        <v>2837541612</v>
      </c>
      <c r="AE18" s="78">
        <v>30876866</v>
      </c>
      <c r="AF18" s="78">
        <v>8209648678</v>
      </c>
      <c r="AG18" s="78">
        <v>8184548840</v>
      </c>
      <c r="AH18" s="78">
        <v>25099838</v>
      </c>
      <c r="AI18" s="78">
        <v>33283641574</v>
      </c>
      <c r="AJ18" s="78">
        <v>32869341079</v>
      </c>
      <c r="AK18" s="78">
        <v>414300495</v>
      </c>
    </row>
    <row r="19" spans="1:37" ht="20.149999999999999" customHeight="1" x14ac:dyDescent="0.35">
      <c r="A19" s="38" t="s">
        <v>14</v>
      </c>
      <c r="B19" s="80">
        <v>0</v>
      </c>
      <c r="C19" s="80">
        <v>0</v>
      </c>
      <c r="D19" s="80">
        <v>0</v>
      </c>
      <c r="E19" s="80">
        <v>776738956</v>
      </c>
      <c r="F19" s="80">
        <v>746814626</v>
      </c>
      <c r="G19" s="80">
        <v>29924330</v>
      </c>
      <c r="H19" s="80">
        <v>822562127</v>
      </c>
      <c r="I19" s="80">
        <v>778017050</v>
      </c>
      <c r="J19" s="80">
        <v>44545077</v>
      </c>
      <c r="K19" s="80">
        <v>1479296189</v>
      </c>
      <c r="L19" s="80">
        <v>1353471191</v>
      </c>
      <c r="M19" s="80">
        <v>125824998</v>
      </c>
      <c r="N19" s="80">
        <v>3916594660</v>
      </c>
      <c r="O19" s="80">
        <v>3471132715</v>
      </c>
      <c r="P19" s="80">
        <v>445461945</v>
      </c>
      <c r="Q19" s="80">
        <v>5015494987</v>
      </c>
      <c r="R19" s="80">
        <v>4376026247</v>
      </c>
      <c r="S19" s="80">
        <v>639468740</v>
      </c>
      <c r="T19" s="80">
        <v>6173696239</v>
      </c>
      <c r="U19" s="80">
        <v>5377198973</v>
      </c>
      <c r="V19" s="80">
        <v>796497266</v>
      </c>
      <c r="W19" s="80">
        <v>3706842291</v>
      </c>
      <c r="X19" s="80">
        <v>3284205007</v>
      </c>
      <c r="Y19" s="80">
        <v>422637284</v>
      </c>
      <c r="Z19" s="80">
        <v>4211811965</v>
      </c>
      <c r="AA19" s="80">
        <v>3810178173</v>
      </c>
      <c r="AB19" s="80">
        <v>401633792</v>
      </c>
      <c r="AC19" s="80">
        <v>4590271215</v>
      </c>
      <c r="AD19" s="80">
        <v>4217372571</v>
      </c>
      <c r="AE19" s="80">
        <v>372898644</v>
      </c>
      <c r="AF19" s="80">
        <v>39065538097</v>
      </c>
      <c r="AG19" s="80">
        <v>38723507411</v>
      </c>
      <c r="AH19" s="80">
        <v>342030686</v>
      </c>
      <c r="AI19" s="80">
        <v>69758846726</v>
      </c>
      <c r="AJ19" s="80">
        <v>66137923964</v>
      </c>
      <c r="AK19" s="80">
        <v>3620922762</v>
      </c>
    </row>
    <row r="20" spans="1:37" ht="20.149999999999999" customHeight="1" x14ac:dyDescent="0.35">
      <c r="A20" s="35" t="s">
        <v>15</v>
      </c>
      <c r="B20" s="78">
        <v>0</v>
      </c>
      <c r="C20" s="78">
        <v>0</v>
      </c>
      <c r="D20" s="78">
        <v>0</v>
      </c>
      <c r="E20" s="78">
        <v>955681083</v>
      </c>
      <c r="F20" s="78">
        <v>919318327</v>
      </c>
      <c r="G20" s="78">
        <v>36362756</v>
      </c>
      <c r="H20" s="78">
        <v>1191066573</v>
      </c>
      <c r="I20" s="78">
        <v>1146331479</v>
      </c>
      <c r="J20" s="78">
        <v>44735094</v>
      </c>
      <c r="K20" s="78">
        <v>2291447373</v>
      </c>
      <c r="L20" s="78">
        <v>2206731295</v>
      </c>
      <c r="M20" s="78">
        <v>84716078</v>
      </c>
      <c r="N20" s="78">
        <v>6077338590</v>
      </c>
      <c r="O20" s="78">
        <v>5965246841</v>
      </c>
      <c r="P20" s="78">
        <v>112091749</v>
      </c>
      <c r="Q20" s="78">
        <v>7037237811</v>
      </c>
      <c r="R20" s="78">
        <v>6957535435</v>
      </c>
      <c r="S20" s="78">
        <v>79702376</v>
      </c>
      <c r="T20" s="78">
        <v>7096515739</v>
      </c>
      <c r="U20" s="78">
        <v>7015100254</v>
      </c>
      <c r="V20" s="78">
        <v>81415485</v>
      </c>
      <c r="W20" s="78">
        <v>3507508109</v>
      </c>
      <c r="X20" s="78">
        <v>3482044273</v>
      </c>
      <c r="Y20" s="78">
        <v>25463836</v>
      </c>
      <c r="Z20" s="78">
        <v>3695123405</v>
      </c>
      <c r="AA20" s="78">
        <v>3667313182</v>
      </c>
      <c r="AB20" s="78">
        <v>27810223</v>
      </c>
      <c r="AC20" s="78">
        <v>4006190616</v>
      </c>
      <c r="AD20" s="78">
        <v>3992314426</v>
      </c>
      <c r="AE20" s="78">
        <v>13876190</v>
      </c>
      <c r="AF20" s="78">
        <v>14863479274</v>
      </c>
      <c r="AG20" s="78">
        <v>14664204834</v>
      </c>
      <c r="AH20" s="78">
        <v>199274440</v>
      </c>
      <c r="AI20" s="78">
        <v>50721588573</v>
      </c>
      <c r="AJ20" s="78">
        <v>50016140346</v>
      </c>
      <c r="AK20" s="78">
        <v>705448227</v>
      </c>
    </row>
    <row r="21" spans="1:37" ht="20.149999999999999" customHeight="1" x14ac:dyDescent="0.35">
      <c r="A21" s="38" t="s">
        <v>16</v>
      </c>
      <c r="B21" s="80">
        <v>0</v>
      </c>
      <c r="C21" s="80">
        <v>0</v>
      </c>
      <c r="D21" s="80">
        <v>0</v>
      </c>
      <c r="E21" s="80">
        <v>291775858</v>
      </c>
      <c r="F21" s="80">
        <v>276093261</v>
      </c>
      <c r="G21" s="80">
        <v>15682597</v>
      </c>
      <c r="H21" s="80">
        <v>388674452</v>
      </c>
      <c r="I21" s="80">
        <v>358698502</v>
      </c>
      <c r="J21" s="80">
        <v>29975950</v>
      </c>
      <c r="K21" s="80">
        <v>801477730</v>
      </c>
      <c r="L21" s="80">
        <v>726533084</v>
      </c>
      <c r="M21" s="80">
        <v>74944646</v>
      </c>
      <c r="N21" s="80">
        <v>2442829668</v>
      </c>
      <c r="O21" s="80">
        <v>2255306355</v>
      </c>
      <c r="P21" s="80">
        <v>187523313</v>
      </c>
      <c r="Q21" s="80">
        <v>3170022665</v>
      </c>
      <c r="R21" s="80">
        <v>3007807209</v>
      </c>
      <c r="S21" s="80">
        <v>162215456</v>
      </c>
      <c r="T21" s="80">
        <v>3094279602</v>
      </c>
      <c r="U21" s="80">
        <v>2961540312</v>
      </c>
      <c r="V21" s="80">
        <v>132739290</v>
      </c>
      <c r="W21" s="80">
        <v>1427227344</v>
      </c>
      <c r="X21" s="80">
        <v>1365089168</v>
      </c>
      <c r="Y21" s="80">
        <v>62138176</v>
      </c>
      <c r="Z21" s="80">
        <v>1256675077</v>
      </c>
      <c r="AA21" s="80">
        <v>1220797694</v>
      </c>
      <c r="AB21" s="80">
        <v>35877383</v>
      </c>
      <c r="AC21" s="80">
        <v>1232643784</v>
      </c>
      <c r="AD21" s="80">
        <v>1215239784</v>
      </c>
      <c r="AE21" s="80">
        <v>17404000</v>
      </c>
      <c r="AF21" s="80">
        <v>2513843745</v>
      </c>
      <c r="AG21" s="80">
        <v>2488061745</v>
      </c>
      <c r="AH21" s="80">
        <v>25782000</v>
      </c>
      <c r="AI21" s="80">
        <v>16619449925</v>
      </c>
      <c r="AJ21" s="80">
        <v>15875167114</v>
      </c>
      <c r="AK21" s="80">
        <v>744282811</v>
      </c>
    </row>
    <row r="22" spans="1:37" ht="20.149999999999999" customHeight="1" x14ac:dyDescent="0.35">
      <c r="A22" s="35" t="s">
        <v>17</v>
      </c>
      <c r="B22" s="78">
        <v>0</v>
      </c>
      <c r="C22" s="78">
        <v>0</v>
      </c>
      <c r="D22" s="78">
        <v>0</v>
      </c>
      <c r="E22" s="78">
        <v>192310946</v>
      </c>
      <c r="F22" s="78">
        <v>175444791</v>
      </c>
      <c r="G22" s="78">
        <v>16866155</v>
      </c>
      <c r="H22" s="78">
        <v>278680092</v>
      </c>
      <c r="I22" s="78">
        <v>240296628</v>
      </c>
      <c r="J22" s="78">
        <v>38383464</v>
      </c>
      <c r="K22" s="78">
        <v>658772478</v>
      </c>
      <c r="L22" s="78">
        <v>551448877</v>
      </c>
      <c r="M22" s="78">
        <v>107323601</v>
      </c>
      <c r="N22" s="78">
        <v>2052999431</v>
      </c>
      <c r="O22" s="78">
        <v>1810135413</v>
      </c>
      <c r="P22" s="78">
        <v>242864018</v>
      </c>
      <c r="Q22" s="78">
        <v>2633484275</v>
      </c>
      <c r="R22" s="78">
        <v>2457179686</v>
      </c>
      <c r="S22" s="78">
        <v>176304589</v>
      </c>
      <c r="T22" s="78">
        <v>2712557588</v>
      </c>
      <c r="U22" s="78">
        <v>2614430232</v>
      </c>
      <c r="V22" s="78">
        <v>98127356</v>
      </c>
      <c r="W22" s="78">
        <v>1288130241</v>
      </c>
      <c r="X22" s="78">
        <v>1228566632</v>
      </c>
      <c r="Y22" s="78">
        <v>59563609</v>
      </c>
      <c r="Z22" s="78">
        <v>1310331112</v>
      </c>
      <c r="AA22" s="78">
        <v>1280584124</v>
      </c>
      <c r="AB22" s="78">
        <v>29746988</v>
      </c>
      <c r="AC22" s="78">
        <v>1379893044</v>
      </c>
      <c r="AD22" s="78">
        <v>1343377940</v>
      </c>
      <c r="AE22" s="78">
        <v>36515104</v>
      </c>
      <c r="AF22" s="78">
        <v>6122679575</v>
      </c>
      <c r="AG22" s="78">
        <v>6122679575</v>
      </c>
      <c r="AH22" s="78">
        <v>0</v>
      </c>
      <c r="AI22" s="78">
        <v>18629838782</v>
      </c>
      <c r="AJ22" s="78">
        <v>17824143898</v>
      </c>
      <c r="AK22" s="78">
        <v>805694884</v>
      </c>
    </row>
    <row r="23" spans="1:37" ht="20.149999999999999" customHeight="1" x14ac:dyDescent="0.35">
      <c r="A23" s="38" t="s">
        <v>18</v>
      </c>
      <c r="B23" s="80">
        <v>0</v>
      </c>
      <c r="C23" s="80">
        <v>0</v>
      </c>
      <c r="D23" s="80">
        <v>0</v>
      </c>
      <c r="E23" s="80">
        <v>53514553</v>
      </c>
      <c r="F23" s="80">
        <v>48500597</v>
      </c>
      <c r="G23" s="80">
        <v>5013956</v>
      </c>
      <c r="H23" s="80">
        <v>84510800</v>
      </c>
      <c r="I23" s="80">
        <v>73255951</v>
      </c>
      <c r="J23" s="80">
        <v>11254849</v>
      </c>
      <c r="K23" s="80">
        <v>193759602</v>
      </c>
      <c r="L23" s="80">
        <v>162961491</v>
      </c>
      <c r="M23" s="80">
        <v>30798111</v>
      </c>
      <c r="N23" s="80">
        <v>670353936</v>
      </c>
      <c r="O23" s="80">
        <v>586354792</v>
      </c>
      <c r="P23" s="80">
        <v>83999144</v>
      </c>
      <c r="Q23" s="80">
        <v>997452943</v>
      </c>
      <c r="R23" s="80">
        <v>936840428</v>
      </c>
      <c r="S23" s="80">
        <v>60612515</v>
      </c>
      <c r="T23" s="80">
        <v>1112690007</v>
      </c>
      <c r="U23" s="80">
        <v>1079356287</v>
      </c>
      <c r="V23" s="80">
        <v>33333720</v>
      </c>
      <c r="W23" s="80">
        <v>538345006</v>
      </c>
      <c r="X23" s="80">
        <v>527419557</v>
      </c>
      <c r="Y23" s="80">
        <v>10925449</v>
      </c>
      <c r="Z23" s="80">
        <v>585945126</v>
      </c>
      <c r="AA23" s="80">
        <v>582613126</v>
      </c>
      <c r="AB23" s="80">
        <v>3332000</v>
      </c>
      <c r="AC23" s="80">
        <v>788636636</v>
      </c>
      <c r="AD23" s="80">
        <v>788636636</v>
      </c>
      <c r="AE23" s="80">
        <v>0</v>
      </c>
      <c r="AF23" s="80">
        <v>2936238414</v>
      </c>
      <c r="AG23" s="80">
        <v>2936238414</v>
      </c>
      <c r="AH23" s="80">
        <v>0</v>
      </c>
      <c r="AI23" s="80">
        <v>7961447023</v>
      </c>
      <c r="AJ23" s="80">
        <v>7722177279</v>
      </c>
      <c r="AK23" s="80">
        <v>239269744</v>
      </c>
    </row>
    <row r="24" spans="1:37" ht="20.149999999999999" customHeight="1" x14ac:dyDescent="0.35">
      <c r="A24" s="35" t="s">
        <v>19</v>
      </c>
      <c r="B24" s="78">
        <v>0</v>
      </c>
      <c r="C24" s="78">
        <v>0</v>
      </c>
      <c r="D24" s="78">
        <v>0</v>
      </c>
      <c r="E24" s="78">
        <v>1794897949</v>
      </c>
      <c r="F24" s="78">
        <v>1706602598</v>
      </c>
      <c r="G24" s="78">
        <v>88295351</v>
      </c>
      <c r="H24" s="78">
        <v>2416042294</v>
      </c>
      <c r="I24" s="78">
        <v>2218678684</v>
      </c>
      <c r="J24" s="78">
        <v>197363610</v>
      </c>
      <c r="K24" s="78">
        <v>5225118446</v>
      </c>
      <c r="L24" s="78">
        <v>4625696655</v>
      </c>
      <c r="M24" s="78">
        <v>599421791</v>
      </c>
      <c r="N24" s="78">
        <v>17475940828</v>
      </c>
      <c r="O24" s="78">
        <v>15703916023</v>
      </c>
      <c r="P24" s="78">
        <v>1772024805</v>
      </c>
      <c r="Q24" s="78">
        <v>23017426262</v>
      </c>
      <c r="R24" s="78">
        <v>21590828575</v>
      </c>
      <c r="S24" s="78">
        <v>1426597687</v>
      </c>
      <c r="T24" s="78">
        <v>22632478404</v>
      </c>
      <c r="U24" s="78">
        <v>21439524297</v>
      </c>
      <c r="V24" s="78">
        <v>1192954107</v>
      </c>
      <c r="W24" s="78">
        <v>10740371576</v>
      </c>
      <c r="X24" s="78">
        <v>10208584648</v>
      </c>
      <c r="Y24" s="78">
        <v>531786928</v>
      </c>
      <c r="Z24" s="78">
        <v>11061314345</v>
      </c>
      <c r="AA24" s="78">
        <v>10456378779</v>
      </c>
      <c r="AB24" s="78">
        <v>604935566</v>
      </c>
      <c r="AC24" s="78">
        <v>11393643871</v>
      </c>
      <c r="AD24" s="78">
        <v>10921720346</v>
      </c>
      <c r="AE24" s="78">
        <v>471923525</v>
      </c>
      <c r="AF24" s="78">
        <v>32763800060</v>
      </c>
      <c r="AG24" s="78">
        <v>32106590685</v>
      </c>
      <c r="AH24" s="78">
        <v>657209375</v>
      </c>
      <c r="AI24" s="78">
        <v>138521034035</v>
      </c>
      <c r="AJ24" s="78">
        <v>130978521290</v>
      </c>
      <c r="AK24" s="78">
        <v>7542512745</v>
      </c>
    </row>
    <row r="25" spans="1:37" ht="20.149999999999999" customHeight="1" x14ac:dyDescent="0.35">
      <c r="A25" s="38" t="s">
        <v>20</v>
      </c>
      <c r="B25" s="80">
        <v>0</v>
      </c>
      <c r="C25" s="80">
        <v>0</v>
      </c>
      <c r="D25" s="80">
        <v>0</v>
      </c>
      <c r="E25" s="80">
        <v>874936992</v>
      </c>
      <c r="F25" s="80">
        <v>630683663</v>
      </c>
      <c r="G25" s="80">
        <v>244253329</v>
      </c>
      <c r="H25" s="80">
        <v>1553886714</v>
      </c>
      <c r="I25" s="80">
        <v>899325404</v>
      </c>
      <c r="J25" s="80">
        <v>654561310</v>
      </c>
      <c r="K25" s="80">
        <v>3845233012</v>
      </c>
      <c r="L25" s="80">
        <v>1885405131</v>
      </c>
      <c r="M25" s="80">
        <v>1959827881</v>
      </c>
      <c r="N25" s="80">
        <v>11755687330</v>
      </c>
      <c r="O25" s="80">
        <v>6464659660</v>
      </c>
      <c r="P25" s="80">
        <v>5291027670</v>
      </c>
      <c r="Q25" s="80">
        <v>12772045452</v>
      </c>
      <c r="R25" s="80">
        <v>9016946162</v>
      </c>
      <c r="S25" s="80">
        <v>3755099290</v>
      </c>
      <c r="T25" s="80">
        <v>11815379755</v>
      </c>
      <c r="U25" s="80">
        <v>9679759763</v>
      </c>
      <c r="V25" s="80">
        <v>2135619992</v>
      </c>
      <c r="W25" s="80">
        <v>5367632328</v>
      </c>
      <c r="X25" s="80">
        <v>4648357461</v>
      </c>
      <c r="Y25" s="80">
        <v>719274867</v>
      </c>
      <c r="Z25" s="80">
        <v>5705734141</v>
      </c>
      <c r="AA25" s="80">
        <v>5079708862</v>
      </c>
      <c r="AB25" s="80">
        <v>626025279</v>
      </c>
      <c r="AC25" s="80">
        <v>7287721879</v>
      </c>
      <c r="AD25" s="80">
        <v>6852370731</v>
      </c>
      <c r="AE25" s="80">
        <v>435351148</v>
      </c>
      <c r="AF25" s="80">
        <v>25043882560</v>
      </c>
      <c r="AG25" s="80">
        <v>19450550985</v>
      </c>
      <c r="AH25" s="80">
        <v>5593331575</v>
      </c>
      <c r="AI25" s="80">
        <v>86022140163</v>
      </c>
      <c r="AJ25" s="80">
        <v>64607767822</v>
      </c>
      <c r="AK25" s="80">
        <v>21414372341</v>
      </c>
    </row>
    <row r="26" spans="1:37" ht="20.149999999999999" customHeight="1" x14ac:dyDescent="0.35">
      <c r="A26" s="35" t="s">
        <v>21</v>
      </c>
      <c r="B26" s="78">
        <v>0</v>
      </c>
      <c r="C26" s="78">
        <v>0</v>
      </c>
      <c r="D26" s="78">
        <v>0</v>
      </c>
      <c r="E26" s="78">
        <v>2270043168</v>
      </c>
      <c r="F26" s="78">
        <v>2194701910</v>
      </c>
      <c r="G26" s="78">
        <v>75341258</v>
      </c>
      <c r="H26" s="78">
        <v>3018494597</v>
      </c>
      <c r="I26" s="78">
        <v>2876391722</v>
      </c>
      <c r="J26" s="78">
        <v>142102875</v>
      </c>
      <c r="K26" s="78">
        <v>6084943849</v>
      </c>
      <c r="L26" s="78">
        <v>5737765044</v>
      </c>
      <c r="M26" s="78">
        <v>347178805</v>
      </c>
      <c r="N26" s="78">
        <v>18464051371</v>
      </c>
      <c r="O26" s="78">
        <v>17579940656</v>
      </c>
      <c r="P26" s="78">
        <v>884110715</v>
      </c>
      <c r="Q26" s="78">
        <v>25142933138</v>
      </c>
      <c r="R26" s="78">
        <v>24493070527</v>
      </c>
      <c r="S26" s="78">
        <v>649862611</v>
      </c>
      <c r="T26" s="78">
        <v>25404011845</v>
      </c>
      <c r="U26" s="78">
        <v>24941607508</v>
      </c>
      <c r="V26" s="78">
        <v>462404337</v>
      </c>
      <c r="W26" s="78">
        <v>11271997188</v>
      </c>
      <c r="X26" s="78">
        <v>11042252236</v>
      </c>
      <c r="Y26" s="78">
        <v>229744952</v>
      </c>
      <c r="Z26" s="78">
        <v>11583442156</v>
      </c>
      <c r="AA26" s="78">
        <v>11379862869</v>
      </c>
      <c r="AB26" s="78">
        <v>203579287</v>
      </c>
      <c r="AC26" s="78">
        <v>11048069677</v>
      </c>
      <c r="AD26" s="78">
        <v>10831879053</v>
      </c>
      <c r="AE26" s="78">
        <v>216190624</v>
      </c>
      <c r="AF26" s="78">
        <v>28053209525</v>
      </c>
      <c r="AG26" s="78">
        <v>27969713915</v>
      </c>
      <c r="AH26" s="78">
        <v>83495610</v>
      </c>
      <c r="AI26" s="78">
        <v>142341196514</v>
      </c>
      <c r="AJ26" s="78">
        <v>139047185440</v>
      </c>
      <c r="AK26" s="78">
        <v>3294011074</v>
      </c>
    </row>
    <row r="27" spans="1:37" ht="20.149999999999999" customHeight="1" x14ac:dyDescent="0.35">
      <c r="A27" s="38" t="s">
        <v>22</v>
      </c>
      <c r="B27" s="80">
        <v>0</v>
      </c>
      <c r="C27" s="80">
        <v>0</v>
      </c>
      <c r="D27" s="80">
        <v>0</v>
      </c>
      <c r="E27" s="80">
        <v>908658500</v>
      </c>
      <c r="F27" s="80">
        <v>870103100</v>
      </c>
      <c r="G27" s="80">
        <v>38555400</v>
      </c>
      <c r="H27" s="80">
        <v>1340879300</v>
      </c>
      <c r="I27" s="80">
        <v>1243981300</v>
      </c>
      <c r="J27" s="80">
        <v>96898000</v>
      </c>
      <c r="K27" s="80">
        <v>2807976600</v>
      </c>
      <c r="L27" s="80">
        <v>2556449000</v>
      </c>
      <c r="M27" s="80">
        <v>251527600</v>
      </c>
      <c r="N27" s="80">
        <v>8645240600</v>
      </c>
      <c r="O27" s="80">
        <v>7972071700</v>
      </c>
      <c r="P27" s="80">
        <v>673168900</v>
      </c>
      <c r="Q27" s="80">
        <v>11116995500</v>
      </c>
      <c r="R27" s="80">
        <v>10534713600</v>
      </c>
      <c r="S27" s="80">
        <v>582281900</v>
      </c>
      <c r="T27" s="80">
        <v>11281083100</v>
      </c>
      <c r="U27" s="80">
        <v>10783789300</v>
      </c>
      <c r="V27" s="80">
        <v>497293800</v>
      </c>
      <c r="W27" s="80">
        <v>5256362500</v>
      </c>
      <c r="X27" s="80">
        <v>5020850100</v>
      </c>
      <c r="Y27" s="80">
        <v>235512400</v>
      </c>
      <c r="Z27" s="80">
        <v>5422657000</v>
      </c>
      <c r="AA27" s="80">
        <v>5193158500</v>
      </c>
      <c r="AB27" s="80">
        <v>229498500</v>
      </c>
      <c r="AC27" s="80">
        <v>5597919200</v>
      </c>
      <c r="AD27" s="80">
        <v>5430868100</v>
      </c>
      <c r="AE27" s="80">
        <v>167051100</v>
      </c>
      <c r="AF27" s="80">
        <v>19459442300</v>
      </c>
      <c r="AG27" s="80">
        <v>19221531400</v>
      </c>
      <c r="AH27" s="80">
        <v>237910900</v>
      </c>
      <c r="AI27" s="80">
        <v>71837214600</v>
      </c>
      <c r="AJ27" s="80">
        <v>68827516100</v>
      </c>
      <c r="AK27" s="80">
        <v>3009698500</v>
      </c>
    </row>
    <row r="28" spans="1:37" ht="20.149999999999999" customHeight="1" x14ac:dyDescent="0.35">
      <c r="A28" s="35" t="s">
        <v>23</v>
      </c>
      <c r="B28" s="78">
        <v>0</v>
      </c>
      <c r="C28" s="78">
        <v>0</v>
      </c>
      <c r="D28" s="78">
        <v>0</v>
      </c>
      <c r="E28" s="78">
        <v>1199027000</v>
      </c>
      <c r="F28" s="78">
        <v>951417000</v>
      </c>
      <c r="G28" s="78">
        <v>247610000</v>
      </c>
      <c r="H28" s="78">
        <v>1870280000</v>
      </c>
      <c r="I28" s="78">
        <v>1352108000</v>
      </c>
      <c r="J28" s="78">
        <v>518172000</v>
      </c>
      <c r="K28" s="78">
        <v>3957411000</v>
      </c>
      <c r="L28" s="78">
        <v>2902978000</v>
      </c>
      <c r="M28" s="78">
        <v>1054433000</v>
      </c>
      <c r="N28" s="78">
        <v>9804100000</v>
      </c>
      <c r="O28" s="78">
        <v>8168198000</v>
      </c>
      <c r="P28" s="78">
        <v>1635902000</v>
      </c>
      <c r="Q28" s="78">
        <v>10438859000</v>
      </c>
      <c r="R28" s="78">
        <v>9578755000</v>
      </c>
      <c r="S28" s="78">
        <v>860104000</v>
      </c>
      <c r="T28" s="78">
        <v>10421436000</v>
      </c>
      <c r="U28" s="78">
        <v>9854175000</v>
      </c>
      <c r="V28" s="78">
        <v>567261000</v>
      </c>
      <c r="W28" s="78">
        <v>5918095000</v>
      </c>
      <c r="X28" s="78">
        <v>5736438000</v>
      </c>
      <c r="Y28" s="78">
        <v>181657000</v>
      </c>
      <c r="Z28" s="78">
        <v>7348473000</v>
      </c>
      <c r="AA28" s="78">
        <v>7162304000</v>
      </c>
      <c r="AB28" s="78">
        <v>186169000</v>
      </c>
      <c r="AC28" s="78">
        <v>9394800000</v>
      </c>
      <c r="AD28" s="78">
        <v>9199817000</v>
      </c>
      <c r="AE28" s="78">
        <v>194983000</v>
      </c>
      <c r="AF28" s="78">
        <v>27732422000</v>
      </c>
      <c r="AG28" s="78">
        <v>27650740000</v>
      </c>
      <c r="AH28" s="78">
        <v>81682000</v>
      </c>
      <c r="AI28" s="78">
        <v>88084903000</v>
      </c>
      <c r="AJ28" s="78">
        <v>82556930000</v>
      </c>
      <c r="AK28" s="78">
        <v>5527973000</v>
      </c>
    </row>
    <row r="29" spans="1:37" ht="20.149999999999999" customHeight="1" x14ac:dyDescent="0.35">
      <c r="A29" s="38" t="s">
        <v>24</v>
      </c>
      <c r="B29" s="80">
        <v>0</v>
      </c>
      <c r="C29" s="80">
        <v>0</v>
      </c>
      <c r="D29" s="80">
        <v>0</v>
      </c>
      <c r="E29" s="80">
        <v>2537786480</v>
      </c>
      <c r="F29" s="80">
        <v>2396340000</v>
      </c>
      <c r="G29" s="80">
        <v>141446480</v>
      </c>
      <c r="H29" s="80">
        <v>3373802000</v>
      </c>
      <c r="I29" s="80">
        <v>3093237000</v>
      </c>
      <c r="J29" s="80">
        <v>280565000</v>
      </c>
      <c r="K29" s="80">
        <v>6915262000</v>
      </c>
      <c r="L29" s="80">
        <v>6158236000</v>
      </c>
      <c r="M29" s="80">
        <v>757026000</v>
      </c>
      <c r="N29" s="80">
        <v>19508095000</v>
      </c>
      <c r="O29" s="80">
        <v>17502387000</v>
      </c>
      <c r="P29" s="80">
        <v>2005708000</v>
      </c>
      <c r="Q29" s="80">
        <v>22857692000</v>
      </c>
      <c r="R29" s="80">
        <v>21024012000</v>
      </c>
      <c r="S29" s="80">
        <v>1833680000</v>
      </c>
      <c r="T29" s="80">
        <v>23808037001</v>
      </c>
      <c r="U29" s="80">
        <v>22051737001</v>
      </c>
      <c r="V29" s="80">
        <v>1756300000</v>
      </c>
      <c r="W29" s="80">
        <v>12725908000</v>
      </c>
      <c r="X29" s="80">
        <v>11828130000</v>
      </c>
      <c r="Y29" s="80">
        <v>897778000</v>
      </c>
      <c r="Z29" s="80">
        <v>14568890000</v>
      </c>
      <c r="AA29" s="80">
        <v>13699509000</v>
      </c>
      <c r="AB29" s="80">
        <v>869381000</v>
      </c>
      <c r="AC29" s="80">
        <v>16646406000</v>
      </c>
      <c r="AD29" s="80">
        <v>15850638000</v>
      </c>
      <c r="AE29" s="80">
        <v>795768000</v>
      </c>
      <c r="AF29" s="80">
        <v>50338816004</v>
      </c>
      <c r="AG29" s="80">
        <v>46793454004</v>
      </c>
      <c r="AH29" s="80">
        <v>3545362000</v>
      </c>
      <c r="AI29" s="80">
        <v>173280694485</v>
      </c>
      <c r="AJ29" s="80">
        <v>160397680005</v>
      </c>
      <c r="AK29" s="80">
        <v>12883014480</v>
      </c>
    </row>
    <row r="30" spans="1:37" ht="20.149999999999999" customHeight="1" x14ac:dyDescent="0.35">
      <c r="A30" s="35" t="s">
        <v>25</v>
      </c>
      <c r="B30" s="78">
        <v>0</v>
      </c>
      <c r="C30" s="78">
        <v>0</v>
      </c>
      <c r="D30" s="78">
        <v>0</v>
      </c>
      <c r="E30" s="78">
        <v>1588072047</v>
      </c>
      <c r="F30" s="78">
        <v>1035847271</v>
      </c>
      <c r="G30" s="78">
        <v>552224776</v>
      </c>
      <c r="H30" s="78">
        <v>2340648810</v>
      </c>
      <c r="I30" s="78">
        <v>1357656889</v>
      </c>
      <c r="J30" s="78">
        <v>982991921</v>
      </c>
      <c r="K30" s="78">
        <v>4385077273</v>
      </c>
      <c r="L30" s="78">
        <v>2880014002</v>
      </c>
      <c r="M30" s="78">
        <v>1505063271</v>
      </c>
      <c r="N30" s="78">
        <v>11155969986</v>
      </c>
      <c r="O30" s="78">
        <v>9315033096</v>
      </c>
      <c r="P30" s="78">
        <v>1840936890</v>
      </c>
      <c r="Q30" s="78">
        <v>11956078001</v>
      </c>
      <c r="R30" s="78">
        <v>10966932271</v>
      </c>
      <c r="S30" s="78">
        <v>989145730</v>
      </c>
      <c r="T30" s="78">
        <v>9976778886</v>
      </c>
      <c r="U30" s="78">
        <v>9460454287</v>
      </c>
      <c r="V30" s="78">
        <v>516324599</v>
      </c>
      <c r="W30" s="78">
        <v>4333840030</v>
      </c>
      <c r="X30" s="78">
        <v>4195178542</v>
      </c>
      <c r="Y30" s="78">
        <v>138661488</v>
      </c>
      <c r="Z30" s="78">
        <v>4601863261</v>
      </c>
      <c r="AA30" s="78">
        <v>4484335682</v>
      </c>
      <c r="AB30" s="78">
        <v>117527579</v>
      </c>
      <c r="AC30" s="78">
        <v>4772781686</v>
      </c>
      <c r="AD30" s="78">
        <v>4711949366</v>
      </c>
      <c r="AE30" s="78">
        <v>60832320</v>
      </c>
      <c r="AF30" s="78">
        <v>12830977722</v>
      </c>
      <c r="AG30" s="78">
        <v>12816986243</v>
      </c>
      <c r="AH30" s="78">
        <v>13991479</v>
      </c>
      <c r="AI30" s="78">
        <v>67942087702</v>
      </c>
      <c r="AJ30" s="78">
        <v>61224387649</v>
      </c>
      <c r="AK30" s="78">
        <v>6717700053</v>
      </c>
    </row>
    <row r="31" spans="1:37" ht="20.149999999999999" customHeight="1" x14ac:dyDescent="0.35">
      <c r="A31" s="38" t="s">
        <v>26</v>
      </c>
      <c r="B31" s="80">
        <v>0</v>
      </c>
      <c r="C31" s="80">
        <v>0</v>
      </c>
      <c r="D31" s="80">
        <v>0</v>
      </c>
      <c r="E31" s="80">
        <v>617828494</v>
      </c>
      <c r="F31" s="80">
        <v>590840986</v>
      </c>
      <c r="G31" s="80">
        <v>26987508</v>
      </c>
      <c r="H31" s="80">
        <v>729567533</v>
      </c>
      <c r="I31" s="80">
        <v>683380628</v>
      </c>
      <c r="J31" s="80">
        <v>46186905</v>
      </c>
      <c r="K31" s="80">
        <v>1399350509</v>
      </c>
      <c r="L31" s="80">
        <v>1297182409</v>
      </c>
      <c r="M31" s="80">
        <v>102168100</v>
      </c>
      <c r="N31" s="80">
        <v>3573410030</v>
      </c>
      <c r="O31" s="80">
        <v>3374995583</v>
      </c>
      <c r="P31" s="80">
        <v>198414447</v>
      </c>
      <c r="Q31" s="80">
        <v>3502920249</v>
      </c>
      <c r="R31" s="80">
        <v>3339159249</v>
      </c>
      <c r="S31" s="80">
        <v>163761000</v>
      </c>
      <c r="T31" s="80">
        <v>2970313594</v>
      </c>
      <c r="U31" s="80">
        <v>2850232594</v>
      </c>
      <c r="V31" s="80">
        <v>120081000</v>
      </c>
      <c r="W31" s="80">
        <v>1446209515</v>
      </c>
      <c r="X31" s="80">
        <v>1399511515</v>
      </c>
      <c r="Y31" s="80">
        <v>46698000</v>
      </c>
      <c r="Z31" s="80">
        <v>1627693296</v>
      </c>
      <c r="AA31" s="80">
        <v>1584661296</v>
      </c>
      <c r="AB31" s="80">
        <v>43032000</v>
      </c>
      <c r="AC31" s="80">
        <v>1717352640</v>
      </c>
      <c r="AD31" s="80">
        <v>1687009640</v>
      </c>
      <c r="AE31" s="80">
        <v>30343000</v>
      </c>
      <c r="AF31" s="80">
        <v>3849556500</v>
      </c>
      <c r="AG31" s="80">
        <v>3849556500</v>
      </c>
      <c r="AH31" s="80">
        <v>0</v>
      </c>
      <c r="AI31" s="80">
        <v>21434202360</v>
      </c>
      <c r="AJ31" s="80">
        <v>20656530400</v>
      </c>
      <c r="AK31" s="80">
        <v>777671960</v>
      </c>
    </row>
    <row r="32" spans="1:37" ht="20.149999999999999" customHeight="1" x14ac:dyDescent="0.35">
      <c r="A32" s="35" t="s">
        <v>27</v>
      </c>
      <c r="B32" s="78">
        <v>0</v>
      </c>
      <c r="C32" s="78">
        <v>0</v>
      </c>
      <c r="D32" s="78">
        <v>0</v>
      </c>
      <c r="E32" s="78">
        <v>1317984295</v>
      </c>
      <c r="F32" s="78">
        <v>1270326113</v>
      </c>
      <c r="G32" s="78">
        <v>47658182</v>
      </c>
      <c r="H32" s="78">
        <v>1678947776</v>
      </c>
      <c r="I32" s="78">
        <v>1619699999</v>
      </c>
      <c r="J32" s="78">
        <v>59247777</v>
      </c>
      <c r="K32" s="78">
        <v>3400502286</v>
      </c>
      <c r="L32" s="78">
        <v>3263896045</v>
      </c>
      <c r="M32" s="78">
        <v>136606241</v>
      </c>
      <c r="N32" s="78">
        <v>9913315054</v>
      </c>
      <c r="O32" s="78">
        <v>9347292307</v>
      </c>
      <c r="P32" s="78">
        <v>566022747</v>
      </c>
      <c r="Q32" s="78">
        <v>12880266025</v>
      </c>
      <c r="R32" s="78">
        <v>12063676816</v>
      </c>
      <c r="S32" s="78">
        <v>816589209</v>
      </c>
      <c r="T32" s="78">
        <v>15414787823</v>
      </c>
      <c r="U32" s="78">
        <v>14501932958</v>
      </c>
      <c r="V32" s="78">
        <v>912854865</v>
      </c>
      <c r="W32" s="78">
        <v>8837822066</v>
      </c>
      <c r="X32" s="78">
        <v>8229359464</v>
      </c>
      <c r="Y32" s="78">
        <v>608462602</v>
      </c>
      <c r="Z32" s="78">
        <v>11549120909</v>
      </c>
      <c r="AA32" s="78">
        <v>10736276014</v>
      </c>
      <c r="AB32" s="78">
        <v>812844895</v>
      </c>
      <c r="AC32" s="78">
        <v>16219681365</v>
      </c>
      <c r="AD32" s="78">
        <v>15068424714</v>
      </c>
      <c r="AE32" s="78">
        <v>1151256651</v>
      </c>
      <c r="AF32" s="78">
        <v>114100864111</v>
      </c>
      <c r="AG32" s="78">
        <v>111006202619</v>
      </c>
      <c r="AH32" s="78">
        <v>3094661492</v>
      </c>
      <c r="AI32" s="78">
        <v>195313291710</v>
      </c>
      <c r="AJ32" s="78">
        <v>187107087049</v>
      </c>
      <c r="AK32" s="78">
        <v>8206204661</v>
      </c>
    </row>
    <row r="33" spans="1:37" ht="20.149999999999999" customHeight="1" x14ac:dyDescent="0.35">
      <c r="A33" s="38" t="s">
        <v>28</v>
      </c>
      <c r="B33" s="80">
        <v>0</v>
      </c>
      <c r="C33" s="80">
        <v>0</v>
      </c>
      <c r="D33" s="80">
        <v>0</v>
      </c>
      <c r="E33" s="80">
        <v>244260000</v>
      </c>
      <c r="F33" s="80">
        <v>226142000</v>
      </c>
      <c r="G33" s="80">
        <v>18118000</v>
      </c>
      <c r="H33" s="80">
        <v>339832000</v>
      </c>
      <c r="I33" s="80">
        <v>304268000</v>
      </c>
      <c r="J33" s="80">
        <v>35564000</v>
      </c>
      <c r="K33" s="80">
        <v>679528000</v>
      </c>
      <c r="L33" s="80">
        <v>622723000</v>
      </c>
      <c r="M33" s="80">
        <v>56805000</v>
      </c>
      <c r="N33" s="80">
        <v>1653095000</v>
      </c>
      <c r="O33" s="80">
        <v>1587441000</v>
      </c>
      <c r="P33" s="80">
        <v>65654000</v>
      </c>
      <c r="Q33" s="80">
        <v>1371609000</v>
      </c>
      <c r="R33" s="80">
        <v>1343677000</v>
      </c>
      <c r="S33" s="80">
        <v>27932000</v>
      </c>
      <c r="T33" s="80">
        <v>1012154000</v>
      </c>
      <c r="U33" s="80">
        <v>998576000</v>
      </c>
      <c r="V33" s="80">
        <v>13578000</v>
      </c>
      <c r="W33" s="80">
        <v>436857000</v>
      </c>
      <c r="X33" s="80">
        <v>432750000</v>
      </c>
      <c r="Y33" s="80">
        <v>4107000</v>
      </c>
      <c r="Z33" s="80">
        <v>458479000</v>
      </c>
      <c r="AA33" s="80">
        <v>455283000</v>
      </c>
      <c r="AB33" s="80">
        <v>3196000</v>
      </c>
      <c r="AC33" s="80">
        <v>509377000</v>
      </c>
      <c r="AD33" s="80">
        <v>509377000</v>
      </c>
      <c r="AE33" s="80">
        <v>0</v>
      </c>
      <c r="AF33" s="80">
        <v>1825275000</v>
      </c>
      <c r="AG33" s="80">
        <v>1825275000</v>
      </c>
      <c r="AH33" s="80">
        <v>0</v>
      </c>
      <c r="AI33" s="80">
        <v>8530466000</v>
      </c>
      <c r="AJ33" s="80">
        <v>8305512000</v>
      </c>
      <c r="AK33" s="80">
        <v>224954000</v>
      </c>
    </row>
    <row r="34" spans="1:37" ht="20.149999999999999" customHeight="1" x14ac:dyDescent="0.35">
      <c r="A34" s="35" t="s">
        <v>29</v>
      </c>
      <c r="B34" s="78">
        <v>0</v>
      </c>
      <c r="C34" s="78">
        <v>0</v>
      </c>
      <c r="D34" s="78">
        <v>0</v>
      </c>
      <c r="E34" s="78">
        <v>28900642016</v>
      </c>
      <c r="F34" s="78">
        <v>26885261123</v>
      </c>
      <c r="G34" s="78">
        <v>2015380893</v>
      </c>
      <c r="H34" s="78">
        <v>39930875760</v>
      </c>
      <c r="I34" s="78">
        <v>35851327854</v>
      </c>
      <c r="J34" s="78">
        <v>4079547906</v>
      </c>
      <c r="K34" s="78">
        <v>82621249502</v>
      </c>
      <c r="L34" s="78">
        <v>72982159906</v>
      </c>
      <c r="M34" s="78">
        <v>9639089596</v>
      </c>
      <c r="N34" s="78">
        <v>239912825256</v>
      </c>
      <c r="O34" s="78">
        <v>217325746124</v>
      </c>
      <c r="P34" s="78">
        <v>22587079132</v>
      </c>
      <c r="Q34" s="78">
        <v>299220232464</v>
      </c>
      <c r="R34" s="78">
        <v>280654434032</v>
      </c>
      <c r="S34" s="78">
        <v>18565798432</v>
      </c>
      <c r="T34" s="78">
        <v>314534053872</v>
      </c>
      <c r="U34" s="78">
        <v>298645586756</v>
      </c>
      <c r="V34" s="78">
        <v>15888467116</v>
      </c>
      <c r="W34" s="78">
        <v>160715413850</v>
      </c>
      <c r="X34" s="78">
        <v>152973117129</v>
      </c>
      <c r="Y34" s="78">
        <v>7742296721</v>
      </c>
      <c r="Z34" s="78">
        <v>178069824212</v>
      </c>
      <c r="AA34" s="78">
        <v>170242393552</v>
      </c>
      <c r="AB34" s="78">
        <v>7827430660</v>
      </c>
      <c r="AC34" s="78">
        <v>203853271799</v>
      </c>
      <c r="AD34" s="78">
        <v>196107174629</v>
      </c>
      <c r="AE34" s="78">
        <v>7746097170</v>
      </c>
      <c r="AF34" s="78">
        <v>856991544959</v>
      </c>
      <c r="AG34" s="78">
        <v>837803855876</v>
      </c>
      <c r="AH34" s="78">
        <v>19187689083</v>
      </c>
      <c r="AI34" s="78">
        <v>2404749933690</v>
      </c>
      <c r="AJ34" s="78">
        <v>2289471056981</v>
      </c>
      <c r="AK34" s="78">
        <v>115278876709</v>
      </c>
    </row>
    <row r="35" spans="1:37" ht="15" hidden="1" customHeight="1" x14ac:dyDescent="0.35"/>
  </sheetData>
  <pageMargins left="0.78740157480314998" right="0.78740157480314998" top="0.78740157480314998" bottom="0.78740157480314998" header="0.78740157480314998" footer="0.78740157480314998"/>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5"/>
  <sheetViews>
    <sheetView showGridLines="0" workbookViewId="0">
      <pane xSplit="1" ySplit="7" topLeftCell="B8" activePane="bottomRight" state="frozen"/>
      <selection sqref="A1:XFD1048576"/>
      <selection pane="topRight" sqref="A1:XFD1048576"/>
      <selection pane="bottomLeft" sqref="A1:XFD1048576"/>
      <selection pane="bottomRight" activeCell="B8" sqref="B8"/>
    </sheetView>
  </sheetViews>
  <sheetFormatPr baseColWidth="10" defaultColWidth="11.453125" defaultRowHeight="14.5" x14ac:dyDescent="0.35"/>
  <cols>
    <col min="1" max="1" width="35.1796875" style="28" customWidth="1"/>
    <col min="2" max="37" width="16.7265625" style="28" customWidth="1"/>
    <col min="38" max="16384" width="11.453125" style="28"/>
  </cols>
  <sheetData>
    <row r="1" spans="1:37" x14ac:dyDescent="0.35">
      <c r="A1" s="31" t="s">
        <v>254</v>
      </c>
      <c r="B1" s="32" t="s">
        <v>238</v>
      </c>
      <c r="C1" s="26"/>
      <c r="D1" s="27"/>
      <c r="E1" s="32" t="s">
        <v>238</v>
      </c>
      <c r="F1" s="26"/>
      <c r="G1" s="27"/>
      <c r="H1" s="32" t="s">
        <v>238</v>
      </c>
      <c r="I1" s="26"/>
      <c r="J1" s="27"/>
      <c r="K1" s="32" t="s">
        <v>238</v>
      </c>
      <c r="L1" s="26"/>
      <c r="M1" s="27"/>
      <c r="N1" s="32" t="s">
        <v>238</v>
      </c>
      <c r="O1" s="26"/>
      <c r="P1" s="27"/>
      <c r="Q1" s="32" t="s">
        <v>238</v>
      </c>
      <c r="R1" s="26"/>
      <c r="S1" s="27"/>
      <c r="T1" s="32" t="s">
        <v>238</v>
      </c>
      <c r="U1" s="26"/>
      <c r="V1" s="27"/>
      <c r="W1" s="32" t="s">
        <v>238</v>
      </c>
      <c r="X1" s="26"/>
      <c r="Y1" s="27"/>
      <c r="Z1" s="32" t="s">
        <v>238</v>
      </c>
      <c r="AA1" s="26"/>
      <c r="AB1" s="27"/>
      <c r="AC1" s="32" t="s">
        <v>238</v>
      </c>
      <c r="AD1" s="26"/>
      <c r="AE1" s="27"/>
      <c r="AF1" s="32" t="s">
        <v>238</v>
      </c>
      <c r="AG1" s="26"/>
      <c r="AH1" s="27"/>
      <c r="AI1" s="32" t="s">
        <v>253</v>
      </c>
      <c r="AJ1" s="26"/>
      <c r="AK1" s="27"/>
    </row>
    <row r="2" spans="1:37" x14ac:dyDescent="0.35">
      <c r="A2" s="24" t="s">
        <v>255</v>
      </c>
      <c r="B2" s="33" t="s">
        <v>239</v>
      </c>
      <c r="C2" s="29"/>
      <c r="D2" s="30"/>
      <c r="E2" s="33" t="s">
        <v>239</v>
      </c>
      <c r="F2" s="29"/>
      <c r="G2" s="30"/>
      <c r="H2" s="33" t="s">
        <v>239</v>
      </c>
      <c r="I2" s="29"/>
      <c r="J2" s="30"/>
      <c r="K2" s="33" t="s">
        <v>239</v>
      </c>
      <c r="L2" s="29"/>
      <c r="M2" s="30"/>
      <c r="N2" s="33" t="s">
        <v>239</v>
      </c>
      <c r="O2" s="29"/>
      <c r="P2" s="30"/>
      <c r="Q2" s="33" t="s">
        <v>239</v>
      </c>
      <c r="R2" s="29"/>
      <c r="S2" s="30"/>
      <c r="T2" s="33" t="s">
        <v>239</v>
      </c>
      <c r="U2" s="29"/>
      <c r="V2" s="30"/>
      <c r="W2" s="33" t="s">
        <v>239</v>
      </c>
      <c r="X2" s="29"/>
      <c r="Y2" s="30"/>
      <c r="Z2" s="33" t="s">
        <v>239</v>
      </c>
      <c r="AA2" s="29"/>
      <c r="AB2" s="30"/>
      <c r="AC2" s="33" t="s">
        <v>239</v>
      </c>
      <c r="AD2" s="29"/>
      <c r="AE2" s="30"/>
      <c r="AF2" s="33" t="s">
        <v>239</v>
      </c>
      <c r="AG2" s="29"/>
      <c r="AH2" s="30"/>
      <c r="AI2" s="33" t="s">
        <v>30</v>
      </c>
      <c r="AJ2" s="29"/>
      <c r="AK2" s="30"/>
    </row>
    <row r="3" spans="1:37" ht="15" customHeight="1" x14ac:dyDescent="0.35">
      <c r="A3" s="34">
        <v>2022</v>
      </c>
      <c r="B3" s="43" t="s">
        <v>31</v>
      </c>
      <c r="C3" s="44"/>
      <c r="D3" s="45"/>
      <c r="E3" s="46" t="s">
        <v>32</v>
      </c>
      <c r="F3" s="44"/>
      <c r="G3" s="45"/>
      <c r="H3" s="46" t="s">
        <v>33</v>
      </c>
      <c r="I3" s="44"/>
      <c r="J3" s="45"/>
      <c r="K3" s="46" t="s">
        <v>34</v>
      </c>
      <c r="L3" s="44"/>
      <c r="M3" s="45"/>
      <c r="N3" s="46" t="s">
        <v>35</v>
      </c>
      <c r="O3" s="44"/>
      <c r="P3" s="45"/>
      <c r="Q3" s="46" t="s">
        <v>36</v>
      </c>
      <c r="R3" s="44"/>
      <c r="S3" s="45"/>
      <c r="T3" s="46" t="s">
        <v>37</v>
      </c>
      <c r="U3" s="44"/>
      <c r="V3" s="45"/>
      <c r="W3" s="46" t="s">
        <v>38</v>
      </c>
      <c r="X3" s="44"/>
      <c r="Y3" s="45"/>
      <c r="Z3" s="46" t="s">
        <v>39</v>
      </c>
      <c r="AA3" s="44"/>
      <c r="AB3" s="45"/>
      <c r="AC3" s="46" t="s">
        <v>40</v>
      </c>
      <c r="AD3" s="44"/>
      <c r="AE3" s="45"/>
      <c r="AF3" s="46" t="s">
        <v>41</v>
      </c>
      <c r="AG3" s="44"/>
      <c r="AH3" s="45"/>
      <c r="AI3" s="43" t="s">
        <v>42</v>
      </c>
      <c r="AJ3" s="44"/>
      <c r="AK3" s="45"/>
    </row>
    <row r="4" spans="1:37" ht="15" customHeight="1" x14ac:dyDescent="0.35">
      <c r="A4" s="47"/>
      <c r="B4" s="48" t="s">
        <v>242</v>
      </c>
      <c r="C4" s="49"/>
      <c r="D4" s="50"/>
      <c r="E4" s="48" t="s">
        <v>242</v>
      </c>
      <c r="F4" s="49"/>
      <c r="G4" s="50"/>
      <c r="H4" s="48" t="s">
        <v>242</v>
      </c>
      <c r="I4" s="49"/>
      <c r="J4" s="50"/>
      <c r="K4" s="48" t="s">
        <v>242</v>
      </c>
      <c r="L4" s="49"/>
      <c r="M4" s="50"/>
      <c r="N4" s="48" t="s">
        <v>242</v>
      </c>
      <c r="O4" s="49"/>
      <c r="P4" s="50"/>
      <c r="Q4" s="48" t="s">
        <v>242</v>
      </c>
      <c r="R4" s="49"/>
      <c r="S4" s="50"/>
      <c r="T4" s="48" t="s">
        <v>242</v>
      </c>
      <c r="U4" s="49"/>
      <c r="V4" s="50"/>
      <c r="W4" s="48" t="s">
        <v>242</v>
      </c>
      <c r="X4" s="49"/>
      <c r="Y4" s="50"/>
      <c r="Z4" s="48" t="s">
        <v>242</v>
      </c>
      <c r="AA4" s="49"/>
      <c r="AB4" s="50"/>
      <c r="AC4" s="48" t="s">
        <v>242</v>
      </c>
      <c r="AD4" s="49"/>
      <c r="AE4" s="50"/>
      <c r="AF4" s="48" t="s">
        <v>242</v>
      </c>
      <c r="AG4" s="49"/>
      <c r="AH4" s="50"/>
      <c r="AI4" s="48" t="s">
        <v>242</v>
      </c>
      <c r="AJ4" s="49"/>
      <c r="AK4" s="50"/>
    </row>
    <row r="5" spans="1:37" ht="43.5" x14ac:dyDescent="0.35">
      <c r="A5" s="42" t="s">
        <v>232</v>
      </c>
      <c r="B5" s="41" t="s">
        <v>1</v>
      </c>
      <c r="C5" s="42" t="s">
        <v>244</v>
      </c>
      <c r="D5" s="42" t="s">
        <v>246</v>
      </c>
      <c r="E5" s="41" t="s">
        <v>1</v>
      </c>
      <c r="F5" s="42" t="s">
        <v>244</v>
      </c>
      <c r="G5" s="42" t="s">
        <v>246</v>
      </c>
      <c r="H5" s="41" t="s">
        <v>1</v>
      </c>
      <c r="I5" s="42" t="s">
        <v>244</v>
      </c>
      <c r="J5" s="42" t="s">
        <v>246</v>
      </c>
      <c r="K5" s="41" t="s">
        <v>1</v>
      </c>
      <c r="L5" s="42" t="s">
        <v>244</v>
      </c>
      <c r="M5" s="42" t="s">
        <v>246</v>
      </c>
      <c r="N5" s="41" t="s">
        <v>1</v>
      </c>
      <c r="O5" s="42" t="s">
        <v>244</v>
      </c>
      <c r="P5" s="42" t="s">
        <v>246</v>
      </c>
      <c r="Q5" s="41" t="s">
        <v>1</v>
      </c>
      <c r="R5" s="42" t="s">
        <v>244</v>
      </c>
      <c r="S5" s="42" t="s">
        <v>246</v>
      </c>
      <c r="T5" s="41" t="s">
        <v>1</v>
      </c>
      <c r="U5" s="42" t="s">
        <v>244</v>
      </c>
      <c r="V5" s="42" t="s">
        <v>246</v>
      </c>
      <c r="W5" s="41" t="s">
        <v>1</v>
      </c>
      <c r="X5" s="42" t="s">
        <v>244</v>
      </c>
      <c r="Y5" s="42" t="s">
        <v>246</v>
      </c>
      <c r="Z5" s="41" t="s">
        <v>1</v>
      </c>
      <c r="AA5" s="42" t="s">
        <v>244</v>
      </c>
      <c r="AB5" s="42" t="s">
        <v>246</v>
      </c>
      <c r="AC5" s="41" t="s">
        <v>1</v>
      </c>
      <c r="AD5" s="42" t="s">
        <v>244</v>
      </c>
      <c r="AE5" s="42" t="s">
        <v>246</v>
      </c>
      <c r="AF5" s="41" t="s">
        <v>1</v>
      </c>
      <c r="AG5" s="42" t="s">
        <v>244</v>
      </c>
      <c r="AH5" s="42" t="s">
        <v>246</v>
      </c>
      <c r="AI5" s="41" t="s">
        <v>1</v>
      </c>
      <c r="AJ5" s="42" t="s">
        <v>244</v>
      </c>
      <c r="AK5" s="42" t="s">
        <v>246</v>
      </c>
    </row>
    <row r="6" spans="1:37" ht="15" customHeight="1" x14ac:dyDescent="0.35">
      <c r="A6" s="51"/>
      <c r="B6" s="33" t="s">
        <v>243</v>
      </c>
      <c r="C6" s="29"/>
      <c r="D6" s="30"/>
      <c r="E6" s="33" t="s">
        <v>243</v>
      </c>
      <c r="F6" s="29"/>
      <c r="G6" s="30"/>
      <c r="H6" s="33" t="s">
        <v>243</v>
      </c>
      <c r="I6" s="29"/>
      <c r="J6" s="30"/>
      <c r="K6" s="33" t="s">
        <v>243</v>
      </c>
      <c r="L6" s="29"/>
      <c r="M6" s="30"/>
      <c r="N6" s="33" t="s">
        <v>243</v>
      </c>
      <c r="O6" s="29"/>
      <c r="P6" s="30"/>
      <c r="Q6" s="33" t="s">
        <v>243</v>
      </c>
      <c r="R6" s="29"/>
      <c r="S6" s="30"/>
      <c r="T6" s="33" t="s">
        <v>243</v>
      </c>
      <c r="U6" s="29"/>
      <c r="V6" s="30"/>
      <c r="W6" s="33" t="s">
        <v>243</v>
      </c>
      <c r="X6" s="29"/>
      <c r="Y6" s="30"/>
      <c r="Z6" s="33" t="s">
        <v>243</v>
      </c>
      <c r="AA6" s="29"/>
      <c r="AB6" s="30"/>
      <c r="AC6" s="33" t="s">
        <v>243</v>
      </c>
      <c r="AD6" s="29"/>
      <c r="AE6" s="30"/>
      <c r="AF6" s="33" t="s">
        <v>243</v>
      </c>
      <c r="AG6" s="29"/>
      <c r="AH6" s="30"/>
      <c r="AI6" s="33" t="s">
        <v>243</v>
      </c>
      <c r="AJ6" s="29"/>
      <c r="AK6" s="30"/>
    </row>
    <row r="7" spans="1:37" ht="43.5" x14ac:dyDescent="0.35">
      <c r="A7" s="23" t="s">
        <v>231</v>
      </c>
      <c r="B7" s="23" t="s">
        <v>257</v>
      </c>
      <c r="C7" s="23" t="s">
        <v>245</v>
      </c>
      <c r="D7" s="23" t="s">
        <v>247</v>
      </c>
      <c r="E7" s="23" t="s">
        <v>257</v>
      </c>
      <c r="F7" s="23" t="s">
        <v>245</v>
      </c>
      <c r="G7" s="23" t="s">
        <v>247</v>
      </c>
      <c r="H7" s="23" t="s">
        <v>257</v>
      </c>
      <c r="I7" s="23" t="s">
        <v>245</v>
      </c>
      <c r="J7" s="23" t="s">
        <v>247</v>
      </c>
      <c r="K7" s="23" t="s">
        <v>257</v>
      </c>
      <c r="L7" s="23" t="s">
        <v>245</v>
      </c>
      <c r="M7" s="23" t="s">
        <v>247</v>
      </c>
      <c r="N7" s="23" t="s">
        <v>257</v>
      </c>
      <c r="O7" s="23" t="s">
        <v>245</v>
      </c>
      <c r="P7" s="23" t="s">
        <v>247</v>
      </c>
      <c r="Q7" s="23" t="s">
        <v>257</v>
      </c>
      <c r="R7" s="23" t="s">
        <v>245</v>
      </c>
      <c r="S7" s="23" t="s">
        <v>247</v>
      </c>
      <c r="T7" s="23" t="s">
        <v>257</v>
      </c>
      <c r="U7" s="23" t="s">
        <v>245</v>
      </c>
      <c r="V7" s="23" t="s">
        <v>247</v>
      </c>
      <c r="W7" s="23" t="s">
        <v>257</v>
      </c>
      <c r="X7" s="23" t="s">
        <v>245</v>
      </c>
      <c r="Y7" s="23" t="s">
        <v>247</v>
      </c>
      <c r="Z7" s="23" t="s">
        <v>257</v>
      </c>
      <c r="AA7" s="23" t="s">
        <v>245</v>
      </c>
      <c r="AB7" s="23" t="s">
        <v>247</v>
      </c>
      <c r="AC7" s="23" t="s">
        <v>257</v>
      </c>
      <c r="AD7" s="23" t="s">
        <v>245</v>
      </c>
      <c r="AE7" s="23" t="s">
        <v>247</v>
      </c>
      <c r="AF7" s="23" t="s">
        <v>257</v>
      </c>
      <c r="AG7" s="23" t="s">
        <v>245</v>
      </c>
      <c r="AH7" s="23" t="s">
        <v>247</v>
      </c>
      <c r="AI7" s="23" t="s">
        <v>257</v>
      </c>
      <c r="AJ7" s="23" t="s">
        <v>245</v>
      </c>
      <c r="AK7" s="23" t="s">
        <v>247</v>
      </c>
    </row>
    <row r="8" spans="1:37" ht="20.149999999999999" customHeight="1" x14ac:dyDescent="0.35">
      <c r="A8" s="35" t="s">
        <v>3</v>
      </c>
      <c r="B8" s="79">
        <v>20.7752354689644</v>
      </c>
      <c r="C8" s="79">
        <v>20.673480391517401</v>
      </c>
      <c r="D8" s="79">
        <v>24.5014131603041</v>
      </c>
      <c r="E8" s="79">
        <v>26.423739377310099</v>
      </c>
      <c r="F8" s="79">
        <v>26.838662127082301</v>
      </c>
      <c r="G8" s="79">
        <v>11.2296485012539</v>
      </c>
      <c r="H8" s="79">
        <v>9.6598093815110406</v>
      </c>
      <c r="I8" s="79">
        <v>9.7418437495923502</v>
      </c>
      <c r="J8" s="79">
        <v>6.6557859957804197</v>
      </c>
      <c r="K8" s="79">
        <v>10.4296270273187</v>
      </c>
      <c r="L8" s="79">
        <v>10.4134326476126</v>
      </c>
      <c r="M8" s="79">
        <v>11.0226503721986</v>
      </c>
      <c r="N8" s="79">
        <v>13.9383024224653</v>
      </c>
      <c r="O8" s="79">
        <v>13.7601803658627</v>
      </c>
      <c r="P8" s="79">
        <v>20.460968910473301</v>
      </c>
      <c r="Q8" s="79">
        <v>8.9520004148020895</v>
      </c>
      <c r="R8" s="79">
        <v>8.8496893167577593</v>
      </c>
      <c r="S8" s="79">
        <v>12.698539070896899</v>
      </c>
      <c r="T8" s="79">
        <v>5.5805694851692396</v>
      </c>
      <c r="U8" s="79">
        <v>5.5229435987077</v>
      </c>
      <c r="V8" s="79">
        <v>7.6907766410572798</v>
      </c>
      <c r="W8" s="79">
        <v>1.7411105902570201</v>
      </c>
      <c r="X8" s="79">
        <v>1.71604116933432</v>
      </c>
      <c r="Y8" s="79">
        <v>2.65912981171132</v>
      </c>
      <c r="Z8" s="79">
        <v>1.2407026662673799</v>
      </c>
      <c r="AA8" s="79">
        <v>1.2278401753218799</v>
      </c>
      <c r="AB8" s="79">
        <v>1.71171529795788</v>
      </c>
      <c r="AC8" s="79">
        <v>0.774896855017148</v>
      </c>
      <c r="AD8" s="79">
        <v>0.76801158376707201</v>
      </c>
      <c r="AE8" s="79">
        <v>1.0270291787747301</v>
      </c>
      <c r="AF8" s="79">
        <v>0.48400631091744301</v>
      </c>
      <c r="AG8" s="79">
        <v>0.48787487444396599</v>
      </c>
      <c r="AH8" s="79">
        <v>0.34234305959157701</v>
      </c>
      <c r="AI8" s="79">
        <v>100</v>
      </c>
      <c r="AJ8" s="79">
        <v>100</v>
      </c>
      <c r="AK8" s="79">
        <v>100</v>
      </c>
    </row>
    <row r="9" spans="1:37" ht="20.149999999999999" customHeight="1" x14ac:dyDescent="0.35">
      <c r="A9" s="38" t="s">
        <v>4</v>
      </c>
      <c r="B9" s="81">
        <v>17.762069326631099</v>
      </c>
      <c r="C9" s="81">
        <v>17.483155519502599</v>
      </c>
      <c r="D9" s="81">
        <v>22.658006495128699</v>
      </c>
      <c r="E9" s="81">
        <v>31.771913289349701</v>
      </c>
      <c r="F9" s="81">
        <v>32.570054221754198</v>
      </c>
      <c r="G9" s="81">
        <v>17.761678740944301</v>
      </c>
      <c r="H9" s="81">
        <v>10.324790927995499</v>
      </c>
      <c r="I9" s="81">
        <v>10.2920131624929</v>
      </c>
      <c r="J9" s="81">
        <v>10.900158214672301</v>
      </c>
      <c r="K9" s="81">
        <v>10.892539233726801</v>
      </c>
      <c r="L9" s="81">
        <v>10.6111134830164</v>
      </c>
      <c r="M9" s="81">
        <v>15.832570016931699</v>
      </c>
      <c r="N9" s="81">
        <v>14.596442409826</v>
      </c>
      <c r="O9" s="81">
        <v>14.316978255953901</v>
      </c>
      <c r="P9" s="81">
        <v>19.502040136564201</v>
      </c>
      <c r="Q9" s="81">
        <v>8.2222521430815494</v>
      </c>
      <c r="R9" s="81">
        <v>8.2622947708976699</v>
      </c>
      <c r="S9" s="81">
        <v>7.5193604796402704</v>
      </c>
      <c r="T9" s="81">
        <v>4.0406624478255004</v>
      </c>
      <c r="U9" s="81">
        <v>4.0701894203537901</v>
      </c>
      <c r="V9" s="81">
        <v>3.52235823132651</v>
      </c>
      <c r="W9" s="81">
        <v>1.0722139939859101</v>
      </c>
      <c r="X9" s="81">
        <v>1.07589622440121</v>
      </c>
      <c r="Y9" s="81">
        <v>1.0075776500957601</v>
      </c>
      <c r="Z9" s="81">
        <v>0.69416393638825302</v>
      </c>
      <c r="AA9" s="81">
        <v>0.69259633493199702</v>
      </c>
      <c r="AB9" s="81">
        <v>0.72168096150109595</v>
      </c>
      <c r="AC9" s="81">
        <v>0.39316009155782999</v>
      </c>
      <c r="AD9" s="81">
        <v>0.39009935120484901</v>
      </c>
      <c r="AE9" s="81">
        <v>0.44688705692952502</v>
      </c>
      <c r="AF9" s="81">
        <v>0.229792199631973</v>
      </c>
      <c r="AG9" s="81">
        <v>0.23560925549056499</v>
      </c>
      <c r="AH9" s="81">
        <v>0.12768201626557901</v>
      </c>
      <c r="AI9" s="81">
        <v>100</v>
      </c>
      <c r="AJ9" s="81">
        <v>100</v>
      </c>
      <c r="AK9" s="81">
        <v>100</v>
      </c>
    </row>
    <row r="10" spans="1:37" ht="20.149999999999999" customHeight="1" x14ac:dyDescent="0.35">
      <c r="A10" s="35" t="s">
        <v>5</v>
      </c>
      <c r="B10" s="79">
        <v>14.5334305556097</v>
      </c>
      <c r="C10" s="79">
        <v>14.6169211881541</v>
      </c>
      <c r="D10" s="79">
        <v>12.399005593536399</v>
      </c>
      <c r="E10" s="79">
        <v>33.8477795497881</v>
      </c>
      <c r="F10" s="79">
        <v>34.478106019781002</v>
      </c>
      <c r="G10" s="79">
        <v>17.7335819349492</v>
      </c>
      <c r="H10" s="79">
        <v>11.411659654445</v>
      </c>
      <c r="I10" s="79">
        <v>11.439893356239599</v>
      </c>
      <c r="J10" s="79">
        <v>10.6898694841516</v>
      </c>
      <c r="K10" s="79">
        <v>11.261147092885</v>
      </c>
      <c r="L10" s="79">
        <v>11.0484880653801</v>
      </c>
      <c r="M10" s="79">
        <v>16.697741868655498</v>
      </c>
      <c r="N10" s="79">
        <v>14.0039070877379</v>
      </c>
      <c r="O10" s="79">
        <v>13.657856671110199</v>
      </c>
      <c r="P10" s="79">
        <v>22.850631862440402</v>
      </c>
      <c r="Q10" s="79">
        <v>7.9030792686493196</v>
      </c>
      <c r="R10" s="79">
        <v>7.8046052924802396</v>
      </c>
      <c r="S10" s="79">
        <v>10.4205510669153</v>
      </c>
      <c r="T10" s="79">
        <v>4.0474621476504797</v>
      </c>
      <c r="U10" s="79">
        <v>3.9950892006985299</v>
      </c>
      <c r="V10" s="79">
        <v>5.3863683447275701</v>
      </c>
      <c r="W10" s="79">
        <v>1.2146285732111</v>
      </c>
      <c r="X10" s="79">
        <v>1.1892075866176699</v>
      </c>
      <c r="Y10" s="79">
        <v>1.8645121193287799</v>
      </c>
      <c r="Z10" s="79">
        <v>0.84458603196637205</v>
      </c>
      <c r="AA10" s="79">
        <v>0.83588935304676204</v>
      </c>
      <c r="AB10" s="79">
        <v>1.06691526828258</v>
      </c>
      <c r="AC10" s="79">
        <v>0.53498247269522803</v>
      </c>
      <c r="AD10" s="79">
        <v>0.53321880204049399</v>
      </c>
      <c r="AE10" s="79">
        <v>0.58007043712450801</v>
      </c>
      <c r="AF10" s="79">
        <v>0.39733756536183501</v>
      </c>
      <c r="AG10" s="79">
        <v>0.40072446445140503</v>
      </c>
      <c r="AH10" s="79">
        <v>0.31075201988812901</v>
      </c>
      <c r="AI10" s="79">
        <v>100</v>
      </c>
      <c r="AJ10" s="79">
        <v>100</v>
      </c>
      <c r="AK10" s="79">
        <v>100</v>
      </c>
    </row>
    <row r="11" spans="1:37" ht="20.149999999999999" customHeight="1" x14ac:dyDescent="0.35">
      <c r="A11" s="38" t="s">
        <v>6</v>
      </c>
      <c r="B11" s="81">
        <v>9.0472444205208902</v>
      </c>
      <c r="C11" s="81">
        <v>7.5370440729483299</v>
      </c>
      <c r="D11" s="81">
        <v>19.3214862681745</v>
      </c>
      <c r="E11" s="81">
        <v>27.982278166535501</v>
      </c>
      <c r="F11" s="81">
        <v>28.557180851063801</v>
      </c>
      <c r="G11" s="81">
        <v>24.071082390953201</v>
      </c>
      <c r="H11" s="81">
        <v>12.769657571115101</v>
      </c>
      <c r="I11" s="81">
        <v>12.7279635258359</v>
      </c>
      <c r="J11" s="81">
        <v>13.053311793214901</v>
      </c>
      <c r="K11" s="81">
        <v>14.111216926835301</v>
      </c>
      <c r="L11" s="81">
        <v>14.0292553191489</v>
      </c>
      <c r="M11" s="81">
        <v>14.668820678513701</v>
      </c>
      <c r="N11" s="81">
        <v>19.518860502670702</v>
      </c>
      <c r="O11" s="81">
        <v>19.866071428571399</v>
      </c>
      <c r="P11" s="81">
        <v>17.156704361873999</v>
      </c>
      <c r="Q11" s="81">
        <v>10.2397416256056</v>
      </c>
      <c r="R11" s="81">
        <v>10.728533434650499</v>
      </c>
      <c r="S11" s="81">
        <v>6.9143780290791597</v>
      </c>
      <c r="T11" s="81">
        <v>4.1820214483872302</v>
      </c>
      <c r="U11" s="81">
        <v>4.2838145896656501</v>
      </c>
      <c r="V11" s="81">
        <v>3.4894991922455598</v>
      </c>
      <c r="W11" s="81">
        <v>0.93991967206326898</v>
      </c>
      <c r="X11" s="81">
        <v>0.97359422492401204</v>
      </c>
      <c r="Y11" s="81">
        <v>0.71082390953150199</v>
      </c>
      <c r="Z11" s="81">
        <v>0.59210798724690505</v>
      </c>
      <c r="AA11" s="81">
        <v>0.62689969604863205</v>
      </c>
      <c r="AB11" s="81">
        <v>0.35541195476575099</v>
      </c>
      <c r="AC11" s="81">
        <v>0.34781168481636399</v>
      </c>
      <c r="AD11" s="81">
        <v>0.37044072948328299</v>
      </c>
      <c r="AE11" s="81">
        <v>0.19386106623586399</v>
      </c>
      <c r="AF11" s="81">
        <v>0.269139994203139</v>
      </c>
      <c r="AG11" s="81" t="s">
        <v>43</v>
      </c>
      <c r="AH11" s="81" t="s">
        <v>43</v>
      </c>
      <c r="AI11" s="81">
        <v>100</v>
      </c>
      <c r="AJ11" s="81">
        <v>99.700797872340402</v>
      </c>
      <c r="AK11" s="81">
        <v>99.935379644588096</v>
      </c>
    </row>
    <row r="12" spans="1:37" ht="20.149999999999999" customHeight="1" x14ac:dyDescent="0.35">
      <c r="A12" s="35" t="s">
        <v>7</v>
      </c>
      <c r="B12" s="79">
        <v>9.4957911419433803</v>
      </c>
      <c r="C12" s="79">
        <v>9.2453099801988294</v>
      </c>
      <c r="D12" s="79">
        <v>12.812542235437199</v>
      </c>
      <c r="E12" s="79">
        <v>28.188435367693799</v>
      </c>
      <c r="F12" s="79">
        <v>28.6331067426052</v>
      </c>
      <c r="G12" s="79">
        <v>22.300310852817901</v>
      </c>
      <c r="H12" s="79">
        <v>10.115494481508501</v>
      </c>
      <c r="I12" s="79">
        <v>10.049604997244201</v>
      </c>
      <c r="J12" s="79">
        <v>10.9879713474794</v>
      </c>
      <c r="K12" s="79">
        <v>10.959164112248899</v>
      </c>
      <c r="L12" s="79">
        <v>10.545654969685801</v>
      </c>
      <c r="M12" s="79">
        <v>16.434653331531301</v>
      </c>
      <c r="N12" s="79">
        <v>15.9300769646873</v>
      </c>
      <c r="O12" s="79">
        <v>15.548002531283799</v>
      </c>
      <c r="P12" s="79">
        <v>20.9893228814705</v>
      </c>
      <c r="Q12" s="79">
        <v>10.964858170499101</v>
      </c>
      <c r="R12" s="79">
        <v>11.1111111111111</v>
      </c>
      <c r="S12" s="79">
        <v>9.0282470604135696</v>
      </c>
      <c r="T12" s="79">
        <v>7.0587342108509796</v>
      </c>
      <c r="U12" s="79">
        <v>7.2386551534080503</v>
      </c>
      <c r="V12" s="79">
        <v>4.6763076091363702</v>
      </c>
      <c r="W12" s="79">
        <v>2.36967724179818</v>
      </c>
      <c r="X12" s="79">
        <v>2.4486088145834599</v>
      </c>
      <c r="Y12" s="79">
        <v>1.32450331125828</v>
      </c>
      <c r="Z12" s="79">
        <v>1.89517238761353</v>
      </c>
      <c r="AA12" s="79">
        <v>1.9750137791658999</v>
      </c>
      <c r="AB12" s="79">
        <v>0.83795107446952299</v>
      </c>
      <c r="AC12" s="79">
        <v>1.4197185237204999</v>
      </c>
      <c r="AD12" s="79">
        <v>1.4932533121032101</v>
      </c>
      <c r="AE12" s="79">
        <v>0.44600621705635901</v>
      </c>
      <c r="AF12" s="79">
        <v>1.6028773974357799</v>
      </c>
      <c r="AG12" s="79">
        <v>1.7116786086104501</v>
      </c>
      <c r="AH12" s="79">
        <v>0.162184078929585</v>
      </c>
      <c r="AI12" s="79">
        <v>100</v>
      </c>
      <c r="AJ12" s="79">
        <v>100</v>
      </c>
      <c r="AK12" s="79">
        <v>100</v>
      </c>
    </row>
    <row r="13" spans="1:37" ht="20.149999999999999" customHeight="1" x14ac:dyDescent="0.35">
      <c r="A13" s="38" t="s">
        <v>8</v>
      </c>
      <c r="B13" s="81">
        <v>13.5581762187336</v>
      </c>
      <c r="C13" s="81">
        <v>12.696850393700799</v>
      </c>
      <c r="D13" s="81">
        <v>18.062704726251798</v>
      </c>
      <c r="E13" s="81">
        <v>29.640201306993202</v>
      </c>
      <c r="F13" s="81">
        <v>30.748926270579801</v>
      </c>
      <c r="G13" s="81">
        <v>23.841834347215698</v>
      </c>
      <c r="H13" s="81">
        <v>12.194847141891399</v>
      </c>
      <c r="I13" s="81">
        <v>11.5828561202577</v>
      </c>
      <c r="J13" s="81">
        <v>15.395414131960701</v>
      </c>
      <c r="K13" s="81">
        <v>12.870878089085901</v>
      </c>
      <c r="L13" s="81">
        <v>11.265211166786001</v>
      </c>
      <c r="M13" s="81">
        <v>21.268132896584</v>
      </c>
      <c r="N13" s="81">
        <v>15.9956433561181</v>
      </c>
      <c r="O13" s="81">
        <v>15.748031496063</v>
      </c>
      <c r="P13" s="81">
        <v>17.290594291062199</v>
      </c>
      <c r="Q13" s="81">
        <v>8.3790280177270304</v>
      </c>
      <c r="R13" s="81">
        <v>9.3548675733715108</v>
      </c>
      <c r="S13" s="81">
        <v>3.27562002807674</v>
      </c>
      <c r="T13" s="81">
        <v>3.8571321264929002</v>
      </c>
      <c r="U13" s="81">
        <v>4.4828203292770201</v>
      </c>
      <c r="V13" s="81">
        <v>0.58493214787084702</v>
      </c>
      <c r="W13" s="81">
        <v>1.11169533538646</v>
      </c>
      <c r="X13" s="81" t="s">
        <v>43</v>
      </c>
      <c r="Y13" s="81" t="s">
        <v>43</v>
      </c>
      <c r="Z13" s="81">
        <v>0.92390896116577803</v>
      </c>
      <c r="AA13" s="81">
        <v>1.0826771653543299</v>
      </c>
      <c r="AB13" s="81">
        <v>9.3589143659335503E-2</v>
      </c>
      <c r="AC13" s="81">
        <v>0.72861113197626404</v>
      </c>
      <c r="AD13" s="81" t="s">
        <v>43</v>
      </c>
      <c r="AE13" s="81" t="s">
        <v>43</v>
      </c>
      <c r="AF13" s="81">
        <v>0.73987831442950502</v>
      </c>
      <c r="AG13" s="81" t="s">
        <v>43</v>
      </c>
      <c r="AH13" s="81" t="s">
        <v>43</v>
      </c>
      <c r="AI13" s="81">
        <v>100</v>
      </c>
      <c r="AJ13" s="81">
        <v>96.962240515390107</v>
      </c>
      <c r="AK13" s="81">
        <v>99.812821712681298</v>
      </c>
    </row>
    <row r="14" spans="1:37" ht="20.149999999999999" customHeight="1" x14ac:dyDescent="0.35">
      <c r="A14" s="35" t="s">
        <v>9</v>
      </c>
      <c r="B14" s="79">
        <v>12.1883847800566</v>
      </c>
      <c r="C14" s="79">
        <v>11.6943671504851</v>
      </c>
      <c r="D14" s="79">
        <v>17.736486486486498</v>
      </c>
      <c r="E14" s="79">
        <v>27.9676817899316</v>
      </c>
      <c r="F14" s="79">
        <v>28.713243588779399</v>
      </c>
      <c r="G14" s="79">
        <v>19.5945945945946</v>
      </c>
      <c r="H14" s="79">
        <v>10.800359091222999</v>
      </c>
      <c r="I14" s="79">
        <v>10.6565390689629</v>
      </c>
      <c r="J14" s="79">
        <v>12.415540540540499</v>
      </c>
      <c r="K14" s="79">
        <v>11.9984807679028</v>
      </c>
      <c r="L14" s="79">
        <v>11.464992103482</v>
      </c>
      <c r="M14" s="79">
        <v>17.989864864864899</v>
      </c>
      <c r="N14" s="79">
        <v>15.8172778123058</v>
      </c>
      <c r="O14" s="79">
        <v>15.5110175227495</v>
      </c>
      <c r="P14" s="79">
        <v>19.256756756756801</v>
      </c>
      <c r="Q14" s="79">
        <v>9.8404806297907594</v>
      </c>
      <c r="R14" s="79">
        <v>10.0210573813642</v>
      </c>
      <c r="S14" s="79">
        <v>7.8125</v>
      </c>
      <c r="T14" s="79">
        <v>5.71093156549962</v>
      </c>
      <c r="U14" s="79">
        <v>5.9111077686696198</v>
      </c>
      <c r="V14" s="79">
        <v>3.4628378378378399</v>
      </c>
      <c r="W14" s="79">
        <v>1.7816449140252699</v>
      </c>
      <c r="X14" s="79">
        <v>1.85756185605776</v>
      </c>
      <c r="Y14" s="79">
        <v>0.92905405405405395</v>
      </c>
      <c r="Z14" s="79">
        <v>1.3949312892756001</v>
      </c>
      <c r="AA14" s="79">
        <v>1.4777769421674101</v>
      </c>
      <c r="AB14" s="79">
        <v>0.46452702702702697</v>
      </c>
      <c r="AC14" s="79">
        <v>1.2464608797735</v>
      </c>
      <c r="AD14" s="79" t="s">
        <v>43</v>
      </c>
      <c r="AE14" s="79" t="s">
        <v>43</v>
      </c>
      <c r="AF14" s="79">
        <v>1.2533664802154501</v>
      </c>
      <c r="AG14" s="79">
        <v>1.3424080619688701</v>
      </c>
      <c r="AH14" s="79">
        <v>0.25337837837837801</v>
      </c>
      <c r="AI14" s="79">
        <v>100</v>
      </c>
      <c r="AJ14" s="79">
        <v>98.650071444686802</v>
      </c>
      <c r="AK14" s="79">
        <v>99.915540540540505</v>
      </c>
    </row>
    <row r="15" spans="1:37" ht="20.149999999999999" customHeight="1" x14ac:dyDescent="0.35">
      <c r="A15" s="38" t="s">
        <v>10</v>
      </c>
      <c r="B15" s="81">
        <v>13.298972814053901</v>
      </c>
      <c r="C15" s="81">
        <v>14.020368979046699</v>
      </c>
      <c r="D15" s="81">
        <v>8.4887280823824103</v>
      </c>
      <c r="E15" s="81">
        <v>32.895357700265002</v>
      </c>
      <c r="F15" s="81">
        <v>33.583771600300501</v>
      </c>
      <c r="G15" s="81">
        <v>28.305037573058701</v>
      </c>
      <c r="H15" s="81">
        <v>11.937860694711601</v>
      </c>
      <c r="I15" s="81">
        <v>10.8189331329827</v>
      </c>
      <c r="J15" s="81">
        <v>19.398831060395199</v>
      </c>
      <c r="K15" s="81">
        <v>12.8089724510907</v>
      </c>
      <c r="L15" s="81">
        <v>11.253026129059201</v>
      </c>
      <c r="M15" s="81">
        <v>23.183968828277202</v>
      </c>
      <c r="N15" s="81">
        <v>15.280752059816299</v>
      </c>
      <c r="O15" s="81">
        <v>15.1014274981217</v>
      </c>
      <c r="P15" s="81">
        <v>16.476482048427499</v>
      </c>
      <c r="Q15" s="81">
        <v>7.9125984537766296</v>
      </c>
      <c r="R15" s="81">
        <v>8.6985558059938199</v>
      </c>
      <c r="S15" s="81">
        <v>2.6718619537990498</v>
      </c>
      <c r="T15" s="81">
        <v>3.69859533229284</v>
      </c>
      <c r="U15" s="81">
        <v>4.1030136071458401</v>
      </c>
      <c r="V15" s="81">
        <v>1.0019482326746501</v>
      </c>
      <c r="W15" s="81">
        <v>0.90014881492504795</v>
      </c>
      <c r="X15" s="81">
        <v>0.98923115452041099</v>
      </c>
      <c r="Y15" s="81">
        <v>0.30615084887280802</v>
      </c>
      <c r="Z15" s="81">
        <v>0.70414866973975498</v>
      </c>
      <c r="AA15" s="81">
        <v>0.78470656983053699</v>
      </c>
      <c r="AB15" s="81">
        <v>0.166991372112441</v>
      </c>
      <c r="AC15" s="81">
        <v>0.33755580559689302</v>
      </c>
      <c r="AD15" s="81">
        <v>0.388179313799148</v>
      </c>
      <c r="AE15" s="81">
        <v>0</v>
      </c>
      <c r="AF15" s="81">
        <v>0.22503720373126199</v>
      </c>
      <c r="AG15" s="81">
        <v>0.25878620919943202</v>
      </c>
      <c r="AH15" s="81">
        <v>0</v>
      </c>
      <c r="AI15" s="81">
        <v>100</v>
      </c>
      <c r="AJ15" s="81">
        <v>100</v>
      </c>
      <c r="AK15" s="81">
        <v>100</v>
      </c>
    </row>
    <row r="16" spans="1:37" ht="20.149999999999999" customHeight="1" x14ac:dyDescent="0.35">
      <c r="A16" s="35" t="s">
        <v>11</v>
      </c>
      <c r="B16" s="79">
        <v>11.728997697006101</v>
      </c>
      <c r="C16" s="79">
        <v>11.0452137847227</v>
      </c>
      <c r="D16" s="79">
        <v>24.086894246837002</v>
      </c>
      <c r="E16" s="79">
        <v>25.444327625913701</v>
      </c>
      <c r="F16" s="79">
        <v>25.964573949568699</v>
      </c>
      <c r="G16" s="79">
        <v>16.042014800668401</v>
      </c>
      <c r="H16" s="79">
        <v>9.6850906178031408</v>
      </c>
      <c r="I16" s="79">
        <v>9.7573540095367708</v>
      </c>
      <c r="J16" s="79">
        <v>8.3790880878491301</v>
      </c>
      <c r="K16" s="79">
        <v>11.079403224191401</v>
      </c>
      <c r="L16" s="79">
        <v>10.968602639121899</v>
      </c>
      <c r="M16" s="79">
        <v>13.081881117211701</v>
      </c>
      <c r="N16" s="79">
        <v>15.556473415440101</v>
      </c>
      <c r="O16" s="79">
        <v>15.364497338423099</v>
      </c>
      <c r="P16" s="79">
        <v>19.0260205299594</v>
      </c>
      <c r="Q16" s="79">
        <v>11.244618003404399</v>
      </c>
      <c r="R16" s="79">
        <v>11.3001439761185</v>
      </c>
      <c r="S16" s="79">
        <v>10.2411076629267</v>
      </c>
      <c r="T16" s="79">
        <v>7.5473115049564399</v>
      </c>
      <c r="U16" s="79">
        <v>7.6545101509767903</v>
      </c>
      <c r="V16" s="79">
        <v>5.6099307710670798</v>
      </c>
      <c r="W16" s="79">
        <v>2.5783518574146398</v>
      </c>
      <c r="X16" s="79">
        <v>2.64704716868982</v>
      </c>
      <c r="Y16" s="79">
        <v>1.33683456672237</v>
      </c>
      <c r="Z16" s="79">
        <v>2.0276359267047201</v>
      </c>
      <c r="AA16" s="79">
        <v>2.0737844585045</v>
      </c>
      <c r="AB16" s="79">
        <v>1.1936022917164</v>
      </c>
      <c r="AC16" s="79">
        <v>1.5207269450285399</v>
      </c>
      <c r="AD16" s="79">
        <v>1.55996143025084</v>
      </c>
      <c r="AE16" s="79">
        <v>0.81164955836715202</v>
      </c>
      <c r="AF16" s="79">
        <v>1.58706318213678</v>
      </c>
      <c r="AG16" s="79">
        <v>1.6643110940864101</v>
      </c>
      <c r="AH16" s="79">
        <v>0.190976366674624</v>
      </c>
      <c r="AI16" s="79">
        <v>100</v>
      </c>
      <c r="AJ16" s="79">
        <v>100</v>
      </c>
      <c r="AK16" s="79">
        <v>100</v>
      </c>
    </row>
    <row r="17" spans="1:37" ht="20.149999999999999" customHeight="1" x14ac:dyDescent="0.35">
      <c r="A17" s="38" t="s">
        <v>12</v>
      </c>
      <c r="B17" s="81">
        <v>31.669719613487199</v>
      </c>
      <c r="C17" s="81">
        <v>32.442229738452397</v>
      </c>
      <c r="D17" s="81">
        <v>19.892938675903299</v>
      </c>
      <c r="E17" s="81">
        <v>31.984221595479699</v>
      </c>
      <c r="F17" s="81">
        <v>31.531847873796199</v>
      </c>
      <c r="G17" s="81">
        <v>38.880579390695097</v>
      </c>
      <c r="H17" s="81">
        <v>9.6666957423506705</v>
      </c>
      <c r="I17" s="81">
        <v>9.4900725517027702</v>
      </c>
      <c r="J17" s="81">
        <v>12.3592852082185</v>
      </c>
      <c r="K17" s="81">
        <v>9.3158491553513798</v>
      </c>
      <c r="L17" s="81">
        <v>9.0418527794273302</v>
      </c>
      <c r="M17" s="81">
        <v>13.492875698653901</v>
      </c>
      <c r="N17" s="81">
        <v>9.9182004089979507</v>
      </c>
      <c r="O17" s="81">
        <v>9.8783919857478502</v>
      </c>
      <c r="P17" s="81">
        <v>10.5250728174447</v>
      </c>
      <c r="Q17" s="81">
        <v>4.3778288217563697</v>
      </c>
      <c r="R17" s="81">
        <v>4.4610260514833104</v>
      </c>
      <c r="S17" s="81">
        <v>3.1095016925135801</v>
      </c>
      <c r="T17" s="81">
        <v>1.93450217583035</v>
      </c>
      <c r="U17" s="81">
        <v>1.9751620149234499</v>
      </c>
      <c r="V17" s="81">
        <v>1.3146500826576399</v>
      </c>
      <c r="W17" s="81">
        <v>0.49574041229319898</v>
      </c>
      <c r="X17" s="81">
        <v>0.51225116831478701</v>
      </c>
      <c r="Y17" s="81">
        <v>0.244036841690939</v>
      </c>
      <c r="Z17" s="81">
        <v>0.31256360305876202</v>
      </c>
      <c r="AA17" s="81">
        <v>0.32532080245797901</v>
      </c>
      <c r="AB17" s="81">
        <v>0.11808234275368</v>
      </c>
      <c r="AC17" s="81">
        <v>0.206921951172235</v>
      </c>
      <c r="AD17" s="81">
        <v>0.21791329942423401</v>
      </c>
      <c r="AE17" s="81">
        <v>3.9360780917893398E-2</v>
      </c>
      <c r="AF17" s="81">
        <v>0.11775652022213801</v>
      </c>
      <c r="AG17" s="81" t="s">
        <v>43</v>
      </c>
      <c r="AH17" s="81" t="s">
        <v>43</v>
      </c>
      <c r="AI17" s="81">
        <v>100</v>
      </c>
      <c r="AJ17" s="81">
        <v>99.876068265730297</v>
      </c>
      <c r="AK17" s="81">
        <v>99.976383531449301</v>
      </c>
    </row>
    <row r="18" spans="1:37" ht="20.149999999999999" customHeight="1" x14ac:dyDescent="0.35">
      <c r="A18" s="35" t="s">
        <v>13</v>
      </c>
      <c r="B18" s="79">
        <v>37.798941677738597</v>
      </c>
      <c r="C18" s="79">
        <v>37.0289511722616</v>
      </c>
      <c r="D18" s="79">
        <v>54.076328134905502</v>
      </c>
      <c r="E18" s="79">
        <v>32.324071104595198</v>
      </c>
      <c r="F18" s="79">
        <v>32.650588679833703</v>
      </c>
      <c r="G18" s="79">
        <v>25.421579814885298</v>
      </c>
      <c r="H18" s="79">
        <v>7.5582993540110897</v>
      </c>
      <c r="I18" s="79">
        <v>7.5067924596201001</v>
      </c>
      <c r="J18" s="79">
        <v>8.6471408647140908</v>
      </c>
      <c r="K18" s="79">
        <v>7.0657900765107398</v>
      </c>
      <c r="L18" s="79">
        <v>7.0779528456357301</v>
      </c>
      <c r="M18" s="79">
        <v>6.8086724990490701</v>
      </c>
      <c r="N18" s="79">
        <v>8.0559627983689897</v>
      </c>
      <c r="O18" s="79">
        <v>8.2685075781657709</v>
      </c>
      <c r="P18" s="79">
        <v>3.5628249017370401</v>
      </c>
      <c r="Q18" s="79">
        <v>3.9979154258487202</v>
      </c>
      <c r="R18" s="79">
        <v>4.1390519945540403</v>
      </c>
      <c r="S18" s="79">
        <v>1.0143273741600101</v>
      </c>
      <c r="T18" s="79">
        <v>1.87955284739085</v>
      </c>
      <c r="U18" s="79">
        <v>1.9564682808629601</v>
      </c>
      <c r="V18" s="79">
        <v>0.25358184354000302</v>
      </c>
      <c r="W18" s="79">
        <v>0.55550465020387596</v>
      </c>
      <c r="X18" s="79">
        <v>0.57698420790624305</v>
      </c>
      <c r="Y18" s="79">
        <v>0.10143273741600101</v>
      </c>
      <c r="Z18" s="79">
        <v>0.36480047647409197</v>
      </c>
      <c r="AA18" s="79" t="s">
        <v>43</v>
      </c>
      <c r="AB18" s="79" t="s">
        <v>43</v>
      </c>
      <c r="AC18" s="79">
        <v>0.23995510147981899</v>
      </c>
      <c r="AD18" s="79">
        <v>0.24830713313220901</v>
      </c>
      <c r="AE18" s="79">
        <v>6.3395460885000601E-2</v>
      </c>
      <c r="AF18" s="79">
        <v>0.15920648737801801</v>
      </c>
      <c r="AG18" s="79" t="s">
        <v>43</v>
      </c>
      <c r="AH18" s="79" t="s">
        <v>43</v>
      </c>
      <c r="AI18" s="79">
        <v>100</v>
      </c>
      <c r="AJ18" s="79">
        <v>99.453604351972402</v>
      </c>
      <c r="AK18" s="79">
        <v>99.949283631292005</v>
      </c>
    </row>
    <row r="19" spans="1:37" ht="20.149999999999999" customHeight="1" x14ac:dyDescent="0.35">
      <c r="A19" s="38" t="s">
        <v>14</v>
      </c>
      <c r="B19" s="81">
        <v>16.5567838579599</v>
      </c>
      <c r="C19" s="81">
        <v>15.9710318469248</v>
      </c>
      <c r="D19" s="81">
        <v>24.944216089254301</v>
      </c>
      <c r="E19" s="81">
        <v>45.707670842213403</v>
      </c>
      <c r="F19" s="81">
        <v>47.4808697007226</v>
      </c>
      <c r="G19" s="81">
        <v>20.317087492660001</v>
      </c>
      <c r="H19" s="81">
        <v>8.7855138682326306</v>
      </c>
      <c r="I19" s="81">
        <v>8.9012277838378697</v>
      </c>
      <c r="J19" s="81">
        <v>7.1285965942454501</v>
      </c>
      <c r="K19" s="81">
        <v>7.9100289783965296</v>
      </c>
      <c r="L19" s="81">
        <v>7.7554602344025501</v>
      </c>
      <c r="M19" s="81">
        <v>10.1233118027011</v>
      </c>
      <c r="N19" s="81">
        <v>9.3114181015317197</v>
      </c>
      <c r="O19" s="81">
        <v>8.8438163819334505</v>
      </c>
      <c r="P19" s="81">
        <v>16.007046388725801</v>
      </c>
      <c r="Q19" s="81">
        <v>5.4529982674291997</v>
      </c>
      <c r="R19" s="81">
        <v>5.0891106973845002</v>
      </c>
      <c r="S19" s="81">
        <v>10.6635349383441</v>
      </c>
      <c r="T19" s="81">
        <v>3.3946121647935499</v>
      </c>
      <c r="U19" s="81">
        <v>3.16418840781779</v>
      </c>
      <c r="V19" s="81">
        <v>6.69406928948914</v>
      </c>
      <c r="W19" s="81">
        <v>1.17446834608485</v>
      </c>
      <c r="X19" s="81">
        <v>1.1105005454083201</v>
      </c>
      <c r="Y19" s="81">
        <v>2.0904286553141498</v>
      </c>
      <c r="Z19" s="81">
        <v>0.849419665445179</v>
      </c>
      <c r="AA19" s="81">
        <v>0.82508386165492498</v>
      </c>
      <c r="AB19" s="81">
        <v>1.19788608338227</v>
      </c>
      <c r="AC19" s="81">
        <v>0.51517149384400696</v>
      </c>
      <c r="AD19" s="81">
        <v>0.506860662527578</v>
      </c>
      <c r="AE19" s="81">
        <v>0.63417498532002303</v>
      </c>
      <c r="AF19" s="81">
        <v>0.34191441406908801</v>
      </c>
      <c r="AG19" s="81">
        <v>0.35184987738564899</v>
      </c>
      <c r="AH19" s="81">
        <v>0.19964768056371099</v>
      </c>
      <c r="AI19" s="81">
        <v>100</v>
      </c>
      <c r="AJ19" s="81">
        <v>100</v>
      </c>
      <c r="AK19" s="81">
        <v>100</v>
      </c>
    </row>
    <row r="20" spans="1:37" ht="20.149999999999999" customHeight="1" x14ac:dyDescent="0.35">
      <c r="A20" s="35" t="s">
        <v>15</v>
      </c>
      <c r="B20" s="79">
        <v>28.154090296826698</v>
      </c>
      <c r="C20" s="79">
        <v>26.7887178900395</v>
      </c>
      <c r="D20" s="79">
        <v>55.959454736106302</v>
      </c>
      <c r="E20" s="79">
        <v>33.726884546798097</v>
      </c>
      <c r="F20" s="79">
        <v>34.240517192059002</v>
      </c>
      <c r="G20" s="79">
        <v>23.2669229873005</v>
      </c>
      <c r="H20" s="79">
        <v>9.0045971871540509</v>
      </c>
      <c r="I20" s="79">
        <v>9.0931975513473304</v>
      </c>
      <c r="J20" s="79">
        <v>7.2002796225096102</v>
      </c>
      <c r="K20" s="79">
        <v>8.7024807359862102</v>
      </c>
      <c r="L20" s="79">
        <v>8.7882601979518302</v>
      </c>
      <c r="M20" s="79">
        <v>6.9556099265990898</v>
      </c>
      <c r="N20" s="79">
        <v>10.2719593397065</v>
      </c>
      <c r="O20" s="79">
        <v>10.566966073573999</v>
      </c>
      <c r="P20" s="79">
        <v>4.2642432715833598</v>
      </c>
      <c r="Q20" s="79">
        <v>5.4675442949616402</v>
      </c>
      <c r="R20" s="79">
        <v>5.6696607357400302</v>
      </c>
      <c r="S20" s="79">
        <v>1.3515087964581101</v>
      </c>
      <c r="T20" s="79">
        <v>2.8150272940945502</v>
      </c>
      <c r="U20" s="79">
        <v>2.9183591738657801</v>
      </c>
      <c r="V20" s="79">
        <v>0.71070721193055997</v>
      </c>
      <c r="W20" s="79">
        <v>0.79128334051359805</v>
      </c>
      <c r="X20" s="79">
        <v>0.82384575776646296</v>
      </c>
      <c r="Y20" s="79">
        <v>0.128160316905511</v>
      </c>
      <c r="Z20" s="79">
        <v>0.52897645782094405</v>
      </c>
      <c r="AA20" s="79">
        <v>0.55094685050632197</v>
      </c>
      <c r="AB20" s="79">
        <v>8.1556565303506898E-2</v>
      </c>
      <c r="AC20" s="79">
        <v>0.32229390368265798</v>
      </c>
      <c r="AD20" s="79" t="s">
        <v>43</v>
      </c>
      <c r="AE20" s="79" t="s">
        <v>43</v>
      </c>
      <c r="AF20" s="79">
        <v>0.214862602455105</v>
      </c>
      <c r="AG20" s="79">
        <v>0.222552777618857</v>
      </c>
      <c r="AH20" s="79">
        <v>5.8254689502505001E-2</v>
      </c>
      <c r="AI20" s="79">
        <v>100</v>
      </c>
      <c r="AJ20" s="79">
        <v>99.663024200469096</v>
      </c>
      <c r="AK20" s="79">
        <v>99.976698124199004</v>
      </c>
    </row>
    <row r="21" spans="1:37" ht="20.149999999999999" customHeight="1" x14ac:dyDescent="0.35">
      <c r="A21" s="38" t="s">
        <v>16</v>
      </c>
      <c r="B21" s="81">
        <v>20.288314497780799</v>
      </c>
      <c r="C21" s="81">
        <v>20.500555731978402</v>
      </c>
      <c r="D21" s="81">
        <v>16.9857936998147</v>
      </c>
      <c r="E21" s="81">
        <v>30.8679273432546</v>
      </c>
      <c r="F21" s="81">
        <v>31.204350587488101</v>
      </c>
      <c r="G21" s="81">
        <v>25.633106856084002</v>
      </c>
      <c r="H21" s="81">
        <v>9.9213009585617904</v>
      </c>
      <c r="I21" s="81">
        <v>9.7709590346141599</v>
      </c>
      <c r="J21" s="81">
        <v>12.260654725139</v>
      </c>
      <c r="K21" s="81">
        <v>10.2159561374063</v>
      </c>
      <c r="L21" s="81">
        <v>9.8741664020323903</v>
      </c>
      <c r="M21" s="81">
        <v>15.534280420012401</v>
      </c>
      <c r="N21" s="81">
        <v>13.886091529596101</v>
      </c>
      <c r="O21" s="81">
        <v>13.607494442680199</v>
      </c>
      <c r="P21" s="81">
        <v>18.221124150710299</v>
      </c>
      <c r="Q21" s="81">
        <v>8.3995375032635895</v>
      </c>
      <c r="R21" s="81">
        <v>8.4768974277548406</v>
      </c>
      <c r="S21" s="81">
        <v>7.1957998764669604</v>
      </c>
      <c r="T21" s="81">
        <v>4.2016336578270099</v>
      </c>
      <c r="U21" s="81">
        <v>4.2850905049222003</v>
      </c>
      <c r="V21" s="81">
        <v>2.9030265596046898</v>
      </c>
      <c r="W21" s="81">
        <v>1.10215956137406</v>
      </c>
      <c r="X21" s="81">
        <v>1.12138774214036</v>
      </c>
      <c r="Y21" s="81">
        <v>0.80296479308214996</v>
      </c>
      <c r="Z21" s="81">
        <v>0.61728395061728403</v>
      </c>
      <c r="AA21" s="81">
        <v>0.63710701810098402</v>
      </c>
      <c r="AB21" s="81">
        <v>0.308832612723904</v>
      </c>
      <c r="AC21" s="81">
        <v>0.339412927529745</v>
      </c>
      <c r="AD21" s="81" t="s">
        <v>43</v>
      </c>
      <c r="AE21" s="81" t="s">
        <v>43</v>
      </c>
      <c r="AF21" s="81">
        <v>0.16038193278878099</v>
      </c>
      <c r="AG21" s="81" t="s">
        <v>43</v>
      </c>
      <c r="AH21" s="81" t="s">
        <v>43</v>
      </c>
      <c r="AI21" s="81">
        <v>100</v>
      </c>
      <c r="AJ21" s="81">
        <v>99.478008891711596</v>
      </c>
      <c r="AK21" s="81">
        <v>99.845583693638105</v>
      </c>
    </row>
    <row r="22" spans="1:37" ht="20.149999999999999" customHeight="1" x14ac:dyDescent="0.35">
      <c r="A22" s="35" t="s">
        <v>17</v>
      </c>
      <c r="B22" s="79">
        <v>9.9707546396261009</v>
      </c>
      <c r="C22" s="79">
        <v>9.2691242275729806</v>
      </c>
      <c r="D22" s="79">
        <v>16.140256959314801</v>
      </c>
      <c r="E22" s="79">
        <v>30.989149151337902</v>
      </c>
      <c r="F22" s="79">
        <v>32.218197315150199</v>
      </c>
      <c r="G22" s="79">
        <v>20.182012847965701</v>
      </c>
      <c r="H22" s="79">
        <v>10.416268073359401</v>
      </c>
      <c r="I22" s="79">
        <v>10.042312258378701</v>
      </c>
      <c r="J22" s="79">
        <v>13.704496788008599</v>
      </c>
      <c r="K22" s="79">
        <v>12.3021838357887</v>
      </c>
      <c r="L22" s="79">
        <v>11.515631183221201</v>
      </c>
      <c r="M22" s="79">
        <v>19.218415417558901</v>
      </c>
      <c r="N22" s="79">
        <v>17.2574958318528</v>
      </c>
      <c r="O22" s="79">
        <v>16.8548902620925</v>
      </c>
      <c r="P22" s="79">
        <v>20.797644539614598</v>
      </c>
      <c r="Q22" s="79">
        <v>10.263208243365099</v>
      </c>
      <c r="R22" s="79">
        <v>10.6389455419926</v>
      </c>
      <c r="S22" s="79">
        <v>6.9593147751605997</v>
      </c>
      <c r="T22" s="79">
        <v>5.4226911197966503</v>
      </c>
      <c r="U22" s="79">
        <v>5.81413046787008</v>
      </c>
      <c r="V22" s="79">
        <v>1.9807280513918599</v>
      </c>
      <c r="W22" s="79">
        <v>1.4486019624456801</v>
      </c>
      <c r="X22" s="79">
        <v>1.5402879668807601</v>
      </c>
      <c r="Y22" s="79">
        <v>0.64239828693790102</v>
      </c>
      <c r="Z22" s="79">
        <v>0.94842430371443398</v>
      </c>
      <c r="AA22" s="79">
        <v>1.0319320568628001</v>
      </c>
      <c r="AB22" s="79">
        <v>0.21413276231263401</v>
      </c>
      <c r="AC22" s="79">
        <v>0.55484188372919296</v>
      </c>
      <c r="AD22" s="79">
        <v>0.59967733097927001</v>
      </c>
      <c r="AE22" s="79">
        <v>0.16059957173447501</v>
      </c>
      <c r="AF22" s="79">
        <v>0.42638095498401102</v>
      </c>
      <c r="AG22" s="79">
        <v>0.47487138899881298</v>
      </c>
      <c r="AH22" s="79">
        <v>0</v>
      </c>
      <c r="AI22" s="79">
        <v>100</v>
      </c>
      <c r="AJ22" s="79">
        <v>100</v>
      </c>
      <c r="AK22" s="79">
        <v>100</v>
      </c>
    </row>
    <row r="23" spans="1:37" ht="20.149999999999999" customHeight="1" x14ac:dyDescent="0.35">
      <c r="A23" s="38" t="s">
        <v>18</v>
      </c>
      <c r="B23" s="81">
        <v>6.5032184778493001</v>
      </c>
      <c r="C23" s="81">
        <v>6.5292455791566404</v>
      </c>
      <c r="D23" s="81">
        <v>6.2562065541211496</v>
      </c>
      <c r="E23" s="81">
        <v>24.271109428246898</v>
      </c>
      <c r="F23" s="81">
        <v>24.767186355550901</v>
      </c>
      <c r="G23" s="81">
        <v>19.563058589870899</v>
      </c>
      <c r="H23" s="81">
        <v>10.952290798939799</v>
      </c>
      <c r="I23" s="81">
        <v>10.5158522548917</v>
      </c>
      <c r="J23" s="81">
        <v>15.094339622641501</v>
      </c>
      <c r="K23" s="81">
        <v>12.6088602801969</v>
      </c>
      <c r="L23" s="81">
        <v>11.719158731819601</v>
      </c>
      <c r="M23" s="81">
        <v>21.052631578947398</v>
      </c>
      <c r="N23" s="81">
        <v>19.0647482014388</v>
      </c>
      <c r="O23" s="81">
        <v>18.321649053050098</v>
      </c>
      <c r="P23" s="81">
        <v>26.117179741807298</v>
      </c>
      <c r="Q23" s="81">
        <v>13.2620219613783</v>
      </c>
      <c r="R23" s="81">
        <v>13.7176938369781</v>
      </c>
      <c r="S23" s="81">
        <v>8.9374379344587904</v>
      </c>
      <c r="T23" s="81">
        <v>7.7148807269973503</v>
      </c>
      <c r="U23" s="81">
        <v>8.2766558543476005</v>
      </c>
      <c r="V23" s="81">
        <v>2.38331678252234</v>
      </c>
      <c r="W23" s="81">
        <v>2.09201060204468</v>
      </c>
      <c r="X23" s="81" t="s">
        <v>43</v>
      </c>
      <c r="Y23" s="81" t="s">
        <v>43</v>
      </c>
      <c r="Z23" s="81">
        <v>1.4293828095418399</v>
      </c>
      <c r="AA23" s="81" t="s">
        <v>43</v>
      </c>
      <c r="AB23" s="81" t="s">
        <v>43</v>
      </c>
      <c r="AC23" s="81">
        <v>1.0602044680045399</v>
      </c>
      <c r="AD23" s="81">
        <v>1.1719158731819601</v>
      </c>
      <c r="AE23" s="81">
        <v>0</v>
      </c>
      <c r="AF23" s="81">
        <v>1.0412722453616099</v>
      </c>
      <c r="AG23" s="81">
        <v>1.1509888040180001</v>
      </c>
      <c r="AH23" s="81">
        <v>0</v>
      </c>
      <c r="AI23" s="81">
        <v>100</v>
      </c>
      <c r="AJ23" s="81">
        <v>96.170346342994705</v>
      </c>
      <c r="AK23" s="81">
        <v>99.4041708043694</v>
      </c>
    </row>
    <row r="24" spans="1:37" ht="20.149999999999999" customHeight="1" x14ac:dyDescent="0.35">
      <c r="A24" s="35" t="s">
        <v>19</v>
      </c>
      <c r="B24" s="79">
        <v>10.6957076112365</v>
      </c>
      <c r="C24" s="79">
        <v>10.9554144325548</v>
      </c>
      <c r="D24" s="79">
        <v>6.9875776397515503</v>
      </c>
      <c r="E24" s="79">
        <v>33.2781013332676</v>
      </c>
      <c r="F24" s="79">
        <v>34.272456737597999</v>
      </c>
      <c r="G24" s="79">
        <v>19.080557124035401</v>
      </c>
      <c r="H24" s="79">
        <v>10.2682242501332</v>
      </c>
      <c r="I24" s="79">
        <v>10.114388723928</v>
      </c>
      <c r="J24" s="79">
        <v>12.4647092038396</v>
      </c>
      <c r="K24" s="79">
        <v>11.0696015596367</v>
      </c>
      <c r="L24" s="79">
        <v>10.5078780249078</v>
      </c>
      <c r="M24" s="79">
        <v>19.089968003011499</v>
      </c>
      <c r="N24" s="79">
        <v>16.428850815082601</v>
      </c>
      <c r="O24" s="79">
        <v>15.735287817320801</v>
      </c>
      <c r="P24" s="79">
        <v>26.3316393751176</v>
      </c>
      <c r="Q24" s="79">
        <v>10.0862050380208</v>
      </c>
      <c r="R24" s="79">
        <v>10.1087862799442</v>
      </c>
      <c r="S24" s="79">
        <v>9.7637869376999795</v>
      </c>
      <c r="T24" s="79">
        <v>5.0795987569720102</v>
      </c>
      <c r="U24" s="79">
        <v>5.1545780206235898</v>
      </c>
      <c r="V24" s="79">
        <v>4.0090344438170504</v>
      </c>
      <c r="W24" s="79">
        <v>1.3680699495828299</v>
      </c>
      <c r="X24" s="79">
        <v>1.39138344115292</v>
      </c>
      <c r="Y24" s="79">
        <v>1.0351966873706</v>
      </c>
      <c r="Z24" s="79">
        <v>0.89438881890782296</v>
      </c>
      <c r="AA24" s="79">
        <v>0.90397081456240003</v>
      </c>
      <c r="AB24" s="79">
        <v>0.75757575757575801</v>
      </c>
      <c r="AC24" s="79">
        <v>0.51525912328952805</v>
      </c>
      <c r="AD24" s="79">
        <v>0.52827751211940499</v>
      </c>
      <c r="AE24" s="79">
        <v>0.32938076416337297</v>
      </c>
      <c r="AF24" s="79">
        <v>0.315992743870326</v>
      </c>
      <c r="AG24" s="79">
        <v>0.32757819528801502</v>
      </c>
      <c r="AH24" s="79">
        <v>0.150574063617542</v>
      </c>
      <c r="AI24" s="79">
        <v>100</v>
      </c>
      <c r="AJ24" s="79">
        <v>100</v>
      </c>
      <c r="AK24" s="79">
        <v>100</v>
      </c>
    </row>
    <row r="25" spans="1:37" ht="20.149999999999999" customHeight="1" x14ac:dyDescent="0.35">
      <c r="A25" s="38" t="s">
        <v>20</v>
      </c>
      <c r="B25" s="81">
        <v>11.9044366362658</v>
      </c>
      <c r="C25" s="81">
        <v>12.647856345335301</v>
      </c>
      <c r="D25" s="81">
        <v>10.5181590482154</v>
      </c>
      <c r="E25" s="81">
        <v>24.439477811354202</v>
      </c>
      <c r="F25" s="81">
        <v>28.7300934359758</v>
      </c>
      <c r="G25" s="81">
        <v>16.438634940513499</v>
      </c>
      <c r="H25" s="81">
        <v>11.597877584030501</v>
      </c>
      <c r="I25" s="81">
        <v>10.4408196845172</v>
      </c>
      <c r="J25" s="81">
        <v>13.7554790231684</v>
      </c>
      <c r="K25" s="81">
        <v>14.427401242629699</v>
      </c>
      <c r="L25" s="81">
        <v>10.9176537747966</v>
      </c>
      <c r="M25" s="81">
        <v>20.972135253600499</v>
      </c>
      <c r="N25" s="81">
        <v>19.919780982409701</v>
      </c>
      <c r="O25" s="81">
        <v>16.513738362477898</v>
      </c>
      <c r="P25" s="81">
        <v>26.2711333750783</v>
      </c>
      <c r="Q25" s="81">
        <v>10.027923649856</v>
      </c>
      <c r="R25" s="81">
        <v>10.7623468968007</v>
      </c>
      <c r="S25" s="81">
        <v>8.6584220413274906</v>
      </c>
      <c r="T25" s="81">
        <v>4.7295340411696198</v>
      </c>
      <c r="U25" s="81">
        <v>5.9226487797916398</v>
      </c>
      <c r="V25" s="81">
        <v>2.5046963055729501</v>
      </c>
      <c r="W25" s="81">
        <v>1.2109355788829399</v>
      </c>
      <c r="X25" s="81">
        <v>1.60847555805539</v>
      </c>
      <c r="Y25" s="81">
        <v>0.46963055729492797</v>
      </c>
      <c r="Z25" s="81">
        <v>0.81913015918119803</v>
      </c>
      <c r="AA25" s="81">
        <v>1.1207280114843099</v>
      </c>
      <c r="AB25" s="81">
        <v>0.25673137132122698</v>
      </c>
      <c r="AC25" s="81">
        <v>0.56721621429625302</v>
      </c>
      <c r="AD25" s="81">
        <v>0.81683022859493404</v>
      </c>
      <c r="AE25" s="81">
        <v>0.10175328741390099</v>
      </c>
      <c r="AF25" s="81">
        <v>0.35628609992404298</v>
      </c>
      <c r="AG25" s="81">
        <v>0.51880892217026697</v>
      </c>
      <c r="AH25" s="81">
        <v>5.3224796493425201E-2</v>
      </c>
      <c r="AI25" s="81">
        <v>100</v>
      </c>
      <c r="AJ25" s="81">
        <v>100</v>
      </c>
      <c r="AK25" s="81">
        <v>100</v>
      </c>
    </row>
    <row r="26" spans="1:37" ht="20.149999999999999" customHeight="1" x14ac:dyDescent="0.35">
      <c r="A26" s="35" t="s">
        <v>21</v>
      </c>
      <c r="B26" s="79">
        <v>18.595619661889302</v>
      </c>
      <c r="C26" s="79">
        <v>18.408951451041599</v>
      </c>
      <c r="D26" s="79">
        <v>23.345359542174702</v>
      </c>
      <c r="E26" s="79">
        <v>33.275233048006797</v>
      </c>
      <c r="F26" s="79">
        <v>33.679907884346903</v>
      </c>
      <c r="G26" s="79">
        <v>22.978352824085601</v>
      </c>
      <c r="H26" s="79">
        <v>9.7737852453502096</v>
      </c>
      <c r="I26" s="79">
        <v>9.6843669860237505</v>
      </c>
      <c r="J26" s="79">
        <v>12.0490171684499</v>
      </c>
      <c r="K26" s="79">
        <v>9.9022174550193203</v>
      </c>
      <c r="L26" s="79">
        <v>9.7056357275743093</v>
      </c>
      <c r="M26" s="79">
        <v>14.904205026125901</v>
      </c>
      <c r="N26" s="79">
        <v>13.269446541856899</v>
      </c>
      <c r="O26" s="79">
        <v>13.1010558585604</v>
      </c>
      <c r="P26" s="79">
        <v>17.554117939786</v>
      </c>
      <c r="Q26" s="79">
        <v>8.3920804841847296</v>
      </c>
      <c r="R26" s="79">
        <v>8.4906283079616003</v>
      </c>
      <c r="S26" s="79">
        <v>5.8845483951231596</v>
      </c>
      <c r="T26" s="79">
        <v>4.3709291576399503</v>
      </c>
      <c r="U26" s="79">
        <v>4.4595906133953997</v>
      </c>
      <c r="V26" s="79">
        <v>2.11495396864892</v>
      </c>
      <c r="W26" s="79">
        <v>1.09778960169549</v>
      </c>
      <c r="X26" s="79">
        <v>1.1177090387262201</v>
      </c>
      <c r="Y26" s="79">
        <v>0.59094302065190296</v>
      </c>
      <c r="Z26" s="79">
        <v>0.72260759725917201</v>
      </c>
      <c r="AA26" s="79">
        <v>0.737560842046591</v>
      </c>
      <c r="AB26" s="79">
        <v>0.342124906693207</v>
      </c>
      <c r="AC26" s="79">
        <v>0.382473943080538</v>
      </c>
      <c r="AD26" s="79">
        <v>0.38992692842701798</v>
      </c>
      <c r="AE26" s="79">
        <v>0.19283403831799001</v>
      </c>
      <c r="AF26" s="79">
        <v>0.21781726401757601</v>
      </c>
      <c r="AG26" s="79">
        <v>0.22466636189619399</v>
      </c>
      <c r="AH26" s="79">
        <v>4.3543169942771798E-2</v>
      </c>
      <c r="AI26" s="79">
        <v>100</v>
      </c>
      <c r="AJ26" s="79">
        <v>100</v>
      </c>
      <c r="AK26" s="79">
        <v>100</v>
      </c>
    </row>
    <row r="27" spans="1:37" ht="20.149999999999999" customHeight="1" x14ac:dyDescent="0.35">
      <c r="A27" s="38" t="s">
        <v>22</v>
      </c>
      <c r="B27" s="81">
        <v>16.693845434537199</v>
      </c>
      <c r="C27" s="81">
        <v>16.867280213126701</v>
      </c>
      <c r="D27" s="81">
        <v>13.891606339268201</v>
      </c>
      <c r="E27" s="81">
        <v>30.263082870533999</v>
      </c>
      <c r="F27" s="81">
        <v>30.760474691208501</v>
      </c>
      <c r="G27" s="81">
        <v>22.2265701428292</v>
      </c>
      <c r="H27" s="81">
        <v>10.4577436681073</v>
      </c>
      <c r="I27" s="81">
        <v>10.323322838459699</v>
      </c>
      <c r="J27" s="81">
        <v>12.629622383095301</v>
      </c>
      <c r="K27" s="81">
        <v>10.9908656532597</v>
      </c>
      <c r="L27" s="81">
        <v>10.622426737708899</v>
      </c>
      <c r="M27" s="81">
        <v>16.943846605360999</v>
      </c>
      <c r="N27" s="81">
        <v>15.0574175228929</v>
      </c>
      <c r="O27" s="81">
        <v>14.709372729474399</v>
      </c>
      <c r="P27" s="81">
        <v>20.680884367051501</v>
      </c>
      <c r="Q27" s="81">
        <v>9.0014938819263097</v>
      </c>
      <c r="R27" s="81">
        <v>9.0524340033906494</v>
      </c>
      <c r="S27" s="81">
        <v>8.1784386617100395</v>
      </c>
      <c r="T27" s="81">
        <v>4.6857716299278103</v>
      </c>
      <c r="U27" s="81">
        <v>4.7559941874545899</v>
      </c>
      <c r="V27" s="81">
        <v>3.5511641557425202</v>
      </c>
      <c r="W27" s="81">
        <v>1.24414136000274</v>
      </c>
      <c r="X27" s="81">
        <v>1.2618067328650999</v>
      </c>
      <c r="Y27" s="81">
        <v>0.958716493836823</v>
      </c>
      <c r="Z27" s="81">
        <v>0.81935432370482697</v>
      </c>
      <c r="AA27" s="81">
        <v>0.83313150883991305</v>
      </c>
      <c r="AB27" s="81">
        <v>0.59675210330659401</v>
      </c>
      <c r="AC27" s="81">
        <v>0.46641046401569097</v>
      </c>
      <c r="AD27" s="81">
        <v>0.48014046984742098</v>
      </c>
      <c r="AE27" s="81">
        <v>0.24457053414204699</v>
      </c>
      <c r="AF27" s="81">
        <v>0.31987319109144602</v>
      </c>
      <c r="AG27" s="81">
        <v>0.33361588762412198</v>
      </c>
      <c r="AH27" s="81">
        <v>9.7828213656818597E-2</v>
      </c>
      <c r="AI27" s="81">
        <v>100</v>
      </c>
      <c r="AJ27" s="81">
        <v>100</v>
      </c>
      <c r="AK27" s="81">
        <v>100</v>
      </c>
    </row>
    <row r="28" spans="1:37" ht="20.149999999999999" customHeight="1" x14ac:dyDescent="0.35">
      <c r="A28" s="35" t="s">
        <v>23</v>
      </c>
      <c r="B28" s="79">
        <v>31.0152675561555</v>
      </c>
      <c r="C28" s="79">
        <v>32.822652757078998</v>
      </c>
      <c r="D28" s="79">
        <v>21.7790692224774</v>
      </c>
      <c r="E28" s="79">
        <v>25.552159356315801</v>
      </c>
      <c r="F28" s="79">
        <v>25.218846727043399</v>
      </c>
      <c r="G28" s="79">
        <v>27.255471715798802</v>
      </c>
      <c r="H28" s="79">
        <v>9.9448128276618508</v>
      </c>
      <c r="I28" s="79">
        <v>8.6286827926172194</v>
      </c>
      <c r="J28" s="79">
        <v>16.670572245395299</v>
      </c>
      <c r="K28" s="79">
        <v>10.5346520983781</v>
      </c>
      <c r="L28" s="79">
        <v>9.2115098016737402</v>
      </c>
      <c r="M28" s="79">
        <v>17.296245957726001</v>
      </c>
      <c r="N28" s="79">
        <v>11.7814449911601</v>
      </c>
      <c r="O28" s="79">
        <v>11.608850166227199</v>
      </c>
      <c r="P28" s="79">
        <v>12.6634484697943</v>
      </c>
      <c r="Q28" s="79">
        <v>5.7215943301795997</v>
      </c>
      <c r="R28" s="79">
        <v>6.2565631090221299</v>
      </c>
      <c r="S28" s="79">
        <v>2.9877677274218502</v>
      </c>
      <c r="T28" s="79">
        <v>2.9070101898760901</v>
      </c>
      <c r="U28" s="79">
        <v>3.2855668921242702</v>
      </c>
      <c r="V28" s="79">
        <v>0.972489103435347</v>
      </c>
      <c r="W28" s="79">
        <v>0.93346474962511805</v>
      </c>
      <c r="X28" s="79">
        <v>1.08082081852574</v>
      </c>
      <c r="Y28" s="79">
        <v>0.18043773726390799</v>
      </c>
      <c r="Z28" s="79">
        <v>0.73672382252664403</v>
      </c>
      <c r="AA28" s="79">
        <v>0.858420268256334</v>
      </c>
      <c r="AB28" s="79">
        <v>0.11482401462248699</v>
      </c>
      <c r="AC28" s="79">
        <v>0.52042385589206497</v>
      </c>
      <c r="AD28" s="79">
        <v>0.60896480568611699</v>
      </c>
      <c r="AE28" s="79">
        <v>6.7957069878614607E-2</v>
      </c>
      <c r="AF28" s="79">
        <v>0.35244622222903998</v>
      </c>
      <c r="AG28" s="79">
        <v>0.41912186174481297</v>
      </c>
      <c r="AH28" s="79">
        <v>1.1716736185968E-2</v>
      </c>
      <c r="AI28" s="79">
        <v>100</v>
      </c>
      <c r="AJ28" s="79">
        <v>100</v>
      </c>
      <c r="AK28" s="79">
        <v>100</v>
      </c>
    </row>
    <row r="29" spans="1:37" ht="20.149999999999999" customHeight="1" x14ac:dyDescent="0.35">
      <c r="A29" s="38" t="s">
        <v>24</v>
      </c>
      <c r="B29" s="81">
        <v>29.708506655978699</v>
      </c>
      <c r="C29" s="81">
        <v>30.488807313484699</v>
      </c>
      <c r="D29" s="81">
        <v>18.494482160480899</v>
      </c>
      <c r="E29" s="81">
        <v>28.085078233529298</v>
      </c>
      <c r="F29" s="81">
        <v>28.517471079230098</v>
      </c>
      <c r="G29" s="81">
        <v>21.870981248317701</v>
      </c>
      <c r="H29" s="81">
        <v>8.9759404172195492</v>
      </c>
      <c r="I29" s="81">
        <v>8.8157623658531996</v>
      </c>
      <c r="J29" s="81">
        <v>11.277925651224701</v>
      </c>
      <c r="K29" s="81">
        <v>9.2839326502896995</v>
      </c>
      <c r="L29" s="81">
        <v>8.8498908512768004</v>
      </c>
      <c r="M29" s="81">
        <v>15.521727427699901</v>
      </c>
      <c r="N29" s="81">
        <v>11.717324222626001</v>
      </c>
      <c r="O29" s="81">
        <v>11.221612487696101</v>
      </c>
      <c r="P29" s="81">
        <v>18.841403235936198</v>
      </c>
      <c r="Q29" s="81">
        <v>6.3390366049644502</v>
      </c>
      <c r="R29" s="81">
        <v>6.2317781981408302</v>
      </c>
      <c r="S29" s="81">
        <v>7.8804916709034902</v>
      </c>
      <c r="T29" s="81">
        <v>3.3554226478382199</v>
      </c>
      <c r="U29" s="81">
        <v>3.32419772046689</v>
      </c>
      <c r="V29" s="81">
        <v>3.8041690343033201</v>
      </c>
      <c r="W29" s="81">
        <v>1.01931226093149</v>
      </c>
      <c r="X29" s="81">
        <v>1.0136576371850701</v>
      </c>
      <c r="Y29" s="81">
        <v>1.10057720489278</v>
      </c>
      <c r="Z29" s="81">
        <v>0.74225544482794803</v>
      </c>
      <c r="AA29" s="81">
        <v>0.74583226681816395</v>
      </c>
      <c r="AB29" s="81">
        <v>0.69085145198432896</v>
      </c>
      <c r="AC29" s="81">
        <v>0.46947900088331301</v>
      </c>
      <c r="AD29" s="81">
        <v>0.47759069540951099</v>
      </c>
      <c r="AE29" s="81">
        <v>0.352902473308012</v>
      </c>
      <c r="AF29" s="81">
        <v>0.30371186091125202</v>
      </c>
      <c r="AG29" s="81">
        <v>0.313399384438659</v>
      </c>
      <c r="AH29" s="81">
        <v>0.16448844094865001</v>
      </c>
      <c r="AI29" s="81">
        <v>100</v>
      </c>
      <c r="AJ29" s="81">
        <v>100</v>
      </c>
      <c r="AK29" s="81">
        <v>100</v>
      </c>
    </row>
    <row r="30" spans="1:37" ht="20.149999999999999" customHeight="1" x14ac:dyDescent="0.35">
      <c r="A30" s="35" t="s">
        <v>25</v>
      </c>
      <c r="B30" s="79">
        <v>26.551923872569301</v>
      </c>
      <c r="C30" s="79">
        <v>27.374985217462498</v>
      </c>
      <c r="D30" s="79">
        <v>24.352444968457899</v>
      </c>
      <c r="E30" s="79">
        <v>31.678940835746801</v>
      </c>
      <c r="F30" s="79">
        <v>29.991266931691001</v>
      </c>
      <c r="G30" s="79">
        <v>36.188936563309099</v>
      </c>
      <c r="H30" s="79">
        <v>10.685974348365701</v>
      </c>
      <c r="I30" s="79">
        <v>8.5097382808591195</v>
      </c>
      <c r="J30" s="79">
        <v>16.501561911244501</v>
      </c>
      <c r="K30" s="79">
        <v>10.138518824989699</v>
      </c>
      <c r="L30" s="79">
        <v>9.0241705859343</v>
      </c>
      <c r="M30" s="79">
        <v>13.116407968786101</v>
      </c>
      <c r="N30" s="79">
        <v>11.4896152254861</v>
      </c>
      <c r="O30" s="79">
        <v>12.9936230407452</v>
      </c>
      <c r="P30" s="79">
        <v>7.4704330809155097</v>
      </c>
      <c r="Q30" s="79">
        <v>5.6622258998758799</v>
      </c>
      <c r="R30" s="79">
        <v>7.1138118933473997</v>
      </c>
      <c r="S30" s="79">
        <v>1.7831313585589099</v>
      </c>
      <c r="T30" s="79">
        <v>2.4337608605709602</v>
      </c>
      <c r="U30" s="79">
        <v>3.1702857350787301</v>
      </c>
      <c r="V30" s="79">
        <v>0.46553463553378499</v>
      </c>
      <c r="W30" s="79">
        <v>0.59147703764997905</v>
      </c>
      <c r="X30" s="79">
        <v>0.78688584242269899</v>
      </c>
      <c r="Y30" s="79">
        <v>6.9283222520693799E-2</v>
      </c>
      <c r="Z30" s="79">
        <v>0.40115846090194501</v>
      </c>
      <c r="AA30" s="79">
        <v>0.53626497584760802</v>
      </c>
      <c r="AB30" s="79">
        <v>4.0111339354085902E-2</v>
      </c>
      <c r="AC30" s="79">
        <v>0.229375258585023</v>
      </c>
      <c r="AD30" s="79">
        <v>0.311115558507009</v>
      </c>
      <c r="AE30" s="79">
        <v>1.0939456187478E-2</v>
      </c>
      <c r="AF30" s="79">
        <v>0.137029375258585</v>
      </c>
      <c r="AG30" s="79" t="s">
        <v>43</v>
      </c>
      <c r="AH30" s="79" t="s">
        <v>43</v>
      </c>
      <c r="AI30" s="79">
        <v>100</v>
      </c>
      <c r="AJ30" s="79">
        <v>99.812148061895599</v>
      </c>
      <c r="AK30" s="79">
        <v>99.998784504868098</v>
      </c>
    </row>
    <row r="31" spans="1:37" ht="20.149999999999999" customHeight="1" x14ac:dyDescent="0.35">
      <c r="A31" s="38" t="s">
        <v>26</v>
      </c>
      <c r="B31" s="81">
        <v>28.332099305078501</v>
      </c>
      <c r="C31" s="81">
        <v>28.214345896758999</v>
      </c>
      <c r="D31" s="81">
        <v>30.713879946979699</v>
      </c>
      <c r="E31" s="81">
        <v>36.304516543412497</v>
      </c>
      <c r="F31" s="81">
        <v>36.8739351045704</v>
      </c>
      <c r="G31" s="81">
        <v>24.786972164362801</v>
      </c>
      <c r="H31" s="81">
        <v>8.9982961489397795</v>
      </c>
      <c r="I31" s="81">
        <v>8.8505682562863903</v>
      </c>
      <c r="J31" s="81">
        <v>11.986366218519199</v>
      </c>
      <c r="K31" s="81">
        <v>8.6602021427488207</v>
      </c>
      <c r="L31" s="81">
        <v>8.4349079743114395</v>
      </c>
      <c r="M31" s="81">
        <v>13.2171937133119</v>
      </c>
      <c r="N31" s="81">
        <v>9.9858161089751007</v>
      </c>
      <c r="O31" s="81">
        <v>9.8681870096800193</v>
      </c>
      <c r="P31" s="81">
        <v>12.365082370763099</v>
      </c>
      <c r="Q31" s="81">
        <v>4.5120830694296998</v>
      </c>
      <c r="R31" s="81">
        <v>4.5086034188994404</v>
      </c>
      <c r="S31" s="81">
        <v>4.5824654421511104</v>
      </c>
      <c r="T31" s="81">
        <v>1.9411413125897601</v>
      </c>
      <c r="U31" s="81">
        <v>1.9547267314497601</v>
      </c>
      <c r="V31" s="81">
        <v>1.6663510698731301</v>
      </c>
      <c r="W31" s="81">
        <v>0.53345703351501805</v>
      </c>
      <c r="X31" s="81">
        <v>0.54110730401243201</v>
      </c>
      <c r="Y31" s="81">
        <v>0.37871615224389299</v>
      </c>
      <c r="Z31" s="81">
        <v>0.37734502537935199</v>
      </c>
      <c r="AA31" s="81">
        <v>0.38570278417495202</v>
      </c>
      <c r="AB31" s="81">
        <v>0.20829388373414101</v>
      </c>
      <c r="AC31" s="81">
        <v>0.22658542895119499</v>
      </c>
      <c r="AD31" s="81">
        <v>0.23310677975622099</v>
      </c>
      <c r="AE31" s="81">
        <v>9.4679038060973303E-2</v>
      </c>
      <c r="AF31" s="81">
        <v>0.128457880980205</v>
      </c>
      <c r="AG31" s="81">
        <v>0.134808740099983</v>
      </c>
      <c r="AH31" s="81">
        <v>0</v>
      </c>
      <c r="AI31" s="81">
        <v>100</v>
      </c>
      <c r="AJ31" s="81">
        <v>100</v>
      </c>
      <c r="AK31" s="81">
        <v>100</v>
      </c>
    </row>
    <row r="32" spans="1:37" ht="20.149999999999999" customHeight="1" x14ac:dyDescent="0.35">
      <c r="A32" s="35" t="s">
        <v>27</v>
      </c>
      <c r="B32" s="79">
        <v>37.628200509199203</v>
      </c>
      <c r="C32" s="79">
        <v>34.512729105783201</v>
      </c>
      <c r="D32" s="79">
        <v>69.622737269497506</v>
      </c>
      <c r="E32" s="79">
        <v>27.029891434884899</v>
      </c>
      <c r="F32" s="79">
        <v>28.6791184678288</v>
      </c>
      <c r="G32" s="79">
        <v>10.093046861783099</v>
      </c>
      <c r="H32" s="79">
        <v>6.9582552721333499</v>
      </c>
      <c r="I32" s="79">
        <v>7.3696036795303099</v>
      </c>
      <c r="J32" s="79">
        <v>2.7338859753002902</v>
      </c>
      <c r="K32" s="79">
        <v>7.06303742133833</v>
      </c>
      <c r="L32" s="79">
        <v>7.4450525011778597</v>
      </c>
      <c r="M32" s="79">
        <v>3.1399086448993399</v>
      </c>
      <c r="N32" s="79">
        <v>9.1466709900562009</v>
      </c>
      <c r="O32" s="79">
        <v>9.47558126892398</v>
      </c>
      <c r="P32" s="79">
        <v>5.7689054305532101</v>
      </c>
      <c r="Q32" s="79">
        <v>5.4804967094201897</v>
      </c>
      <c r="R32" s="79">
        <v>5.6385639025161698</v>
      </c>
      <c r="S32" s="79">
        <v>3.8572153611909998</v>
      </c>
      <c r="T32" s="79">
        <v>3.3278090022577702</v>
      </c>
      <c r="U32" s="79">
        <v>3.4350629454033901</v>
      </c>
      <c r="V32" s="79">
        <v>2.22635763830147</v>
      </c>
      <c r="W32" s="79">
        <v>1.09195609357736</v>
      </c>
      <c r="X32" s="79">
        <v>1.11558825370572</v>
      </c>
      <c r="Y32" s="79">
        <v>0.849264083911352</v>
      </c>
      <c r="Z32" s="79">
        <v>0.90190709516260703</v>
      </c>
      <c r="AA32" s="79">
        <v>0.92120045994128796</v>
      </c>
      <c r="AB32" s="79">
        <v>0.70377262730502499</v>
      </c>
      <c r="AC32" s="79">
        <v>0.70375174136523</v>
      </c>
      <c r="AD32" s="79">
        <v>0.71791695358085394</v>
      </c>
      <c r="AE32" s="79">
        <v>0.55828117069869698</v>
      </c>
      <c r="AF32" s="79">
        <v>0.66802373060479403</v>
      </c>
      <c r="AG32" s="79">
        <v>0.68958246160841097</v>
      </c>
      <c r="AH32" s="79">
        <v>0.44662493655895802</v>
      </c>
      <c r="AI32" s="79">
        <v>100</v>
      </c>
      <c r="AJ32" s="79">
        <v>100</v>
      </c>
      <c r="AK32" s="79">
        <v>100</v>
      </c>
    </row>
    <row r="33" spans="1:37" ht="20.149999999999999" customHeight="1" x14ac:dyDescent="0.35">
      <c r="A33" s="38" t="s">
        <v>28</v>
      </c>
      <c r="B33" s="81">
        <v>37.279109174534</v>
      </c>
      <c r="C33" s="81">
        <v>37.3741945216698</v>
      </c>
      <c r="D33" s="81">
        <v>35.887732576474299</v>
      </c>
      <c r="E33" s="81">
        <v>26.910352618413601</v>
      </c>
      <c r="F33" s="81">
        <v>26.895972069567499</v>
      </c>
      <c r="G33" s="81">
        <v>27.1207820876695</v>
      </c>
      <c r="H33" s="81">
        <v>9.3964334705075405</v>
      </c>
      <c r="I33" s="81">
        <v>8.9933406607616195</v>
      </c>
      <c r="J33" s="81">
        <v>15.294859665720599</v>
      </c>
      <c r="K33" s="81">
        <v>9.4529169692568402</v>
      </c>
      <c r="L33" s="81">
        <v>9.2260942652098006</v>
      </c>
      <c r="M33" s="81">
        <v>12.771996215704799</v>
      </c>
      <c r="N33" s="81">
        <v>10.5382070523683</v>
      </c>
      <c r="O33" s="81">
        <v>10.771319583629699</v>
      </c>
      <c r="P33" s="81">
        <v>7.1270892462945401</v>
      </c>
      <c r="Q33" s="81">
        <v>4.0385701605745199</v>
      </c>
      <c r="R33" s="81">
        <v>4.2197366436068204</v>
      </c>
      <c r="S33" s="81">
        <v>1.3875748975086699</v>
      </c>
      <c r="T33" s="81">
        <v>1.4968127168562899</v>
      </c>
      <c r="U33" s="81">
        <v>1.57755220792655</v>
      </c>
      <c r="V33" s="81">
        <v>0.31535793125197098</v>
      </c>
      <c r="W33" s="81">
        <v>0.36714274187041102</v>
      </c>
      <c r="X33" s="81" t="s">
        <v>43</v>
      </c>
      <c r="Y33" s="81" t="s">
        <v>43</v>
      </c>
      <c r="Z33" s="81">
        <v>0.24207213749697401</v>
      </c>
      <c r="AA33" s="81" t="s">
        <v>43</v>
      </c>
      <c r="AB33" s="81" t="s">
        <v>43</v>
      </c>
      <c r="AC33" s="81">
        <v>0.15532962156055799</v>
      </c>
      <c r="AD33" s="81">
        <v>0.165944699467684</v>
      </c>
      <c r="AE33" s="81">
        <v>0</v>
      </c>
      <c r="AF33" s="81">
        <v>0.123053336560962</v>
      </c>
      <c r="AG33" s="81">
        <v>0.131462683993879</v>
      </c>
      <c r="AH33" s="81">
        <v>0</v>
      </c>
      <c r="AI33" s="81">
        <v>100</v>
      </c>
      <c r="AJ33" s="81">
        <v>99.355617335833301</v>
      </c>
      <c r="AK33" s="81">
        <v>99.905392620624397</v>
      </c>
    </row>
    <row r="34" spans="1:37" ht="20.149999999999999" customHeight="1" x14ac:dyDescent="0.35">
      <c r="A34" s="35" t="s">
        <v>29</v>
      </c>
      <c r="B34" s="79">
        <v>22.325835822915501</v>
      </c>
      <c r="C34" s="79">
        <v>22.201726509500901</v>
      </c>
      <c r="D34" s="79">
        <v>23.759372050364199</v>
      </c>
      <c r="E34" s="79">
        <v>30.209653471098001</v>
      </c>
      <c r="F34" s="79">
        <v>30.8333681852531</v>
      </c>
      <c r="G34" s="79">
        <v>23.005378354793301</v>
      </c>
      <c r="H34" s="79">
        <v>9.7350628176423299</v>
      </c>
      <c r="I34" s="79">
        <v>9.5094475042395707</v>
      </c>
      <c r="J34" s="79">
        <v>12.3410535876476</v>
      </c>
      <c r="K34" s="79">
        <v>10.129665206115799</v>
      </c>
      <c r="L34" s="79">
        <v>9.7232808961305501</v>
      </c>
      <c r="M34" s="79">
        <v>14.823645171056601</v>
      </c>
      <c r="N34" s="79">
        <v>13.101271110305399</v>
      </c>
      <c r="O34" s="79">
        <v>12.852398682578199</v>
      </c>
      <c r="P34" s="79">
        <v>15.9758953536001</v>
      </c>
      <c r="Q34" s="79">
        <v>7.5454248596134601</v>
      </c>
      <c r="R34" s="79">
        <v>7.6800397176975199</v>
      </c>
      <c r="S34" s="79">
        <v>5.9905433563071</v>
      </c>
      <c r="T34" s="79">
        <v>4.0503193872390897</v>
      </c>
      <c r="U34" s="79">
        <v>4.1784914251749798</v>
      </c>
      <c r="V34" s="79">
        <v>2.5698562803868099</v>
      </c>
      <c r="W34" s="79">
        <v>1.1756657307859899</v>
      </c>
      <c r="X34" s="79">
        <v>1.21585338989045</v>
      </c>
      <c r="Y34" s="79">
        <v>0.71147441719648796</v>
      </c>
      <c r="Z34" s="79">
        <v>0.82888318495760904</v>
      </c>
      <c r="AA34" s="79">
        <v>0.86099981517239899</v>
      </c>
      <c r="AB34" s="79">
        <v>0.45791704511050602</v>
      </c>
      <c r="AC34" s="79">
        <v>0.52617790506874396</v>
      </c>
      <c r="AD34" s="79">
        <v>0.54970310982556203</v>
      </c>
      <c r="AE34" s="79">
        <v>0.25444782817759298</v>
      </c>
      <c r="AF34" s="79">
        <v>0.37204050425811203</v>
      </c>
      <c r="AG34" s="79">
        <v>0.39469076453676799</v>
      </c>
      <c r="AH34" s="79">
        <v>0.110416555359655</v>
      </c>
      <c r="AI34" s="79">
        <v>100</v>
      </c>
      <c r="AJ34" s="79">
        <v>100</v>
      </c>
      <c r="AK34" s="79">
        <v>100</v>
      </c>
    </row>
    <row r="35" spans="1:37" ht="15" hidden="1" customHeight="1" x14ac:dyDescent="0.35"/>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35"/>
  <sheetViews>
    <sheetView showGridLines="0" workbookViewId="0">
      <pane xSplit="1" ySplit="7" topLeftCell="B8" activePane="bottomRight" state="frozen"/>
      <selection sqref="A1:XFD1048576"/>
      <selection pane="topRight" sqref="A1:XFD1048576"/>
      <selection pane="bottomLeft" sqref="A1:XFD1048576"/>
      <selection pane="bottomRight" activeCell="B8" sqref="B8"/>
    </sheetView>
  </sheetViews>
  <sheetFormatPr baseColWidth="10" defaultColWidth="11.453125" defaultRowHeight="14.5" x14ac:dyDescent="0.35"/>
  <cols>
    <col min="1" max="1" width="35.1796875" style="28" customWidth="1"/>
    <col min="2" max="37" width="16.7265625" style="28" customWidth="1"/>
    <col min="38" max="16384" width="11.453125" style="28"/>
  </cols>
  <sheetData>
    <row r="1" spans="1:37" x14ac:dyDescent="0.35">
      <c r="A1" s="31" t="s">
        <v>254</v>
      </c>
      <c r="B1" s="32" t="s">
        <v>238</v>
      </c>
      <c r="C1" s="26"/>
      <c r="D1" s="27"/>
      <c r="E1" s="32" t="s">
        <v>238</v>
      </c>
      <c r="F1" s="26"/>
      <c r="G1" s="27"/>
      <c r="H1" s="32" t="s">
        <v>238</v>
      </c>
      <c r="I1" s="26"/>
      <c r="J1" s="27"/>
      <c r="K1" s="32" t="s">
        <v>238</v>
      </c>
      <c r="L1" s="26"/>
      <c r="M1" s="27"/>
      <c r="N1" s="32" t="s">
        <v>238</v>
      </c>
      <c r="O1" s="26"/>
      <c r="P1" s="27"/>
      <c r="Q1" s="32" t="s">
        <v>238</v>
      </c>
      <c r="R1" s="26"/>
      <c r="S1" s="27"/>
      <c r="T1" s="32" t="s">
        <v>238</v>
      </c>
      <c r="U1" s="26"/>
      <c r="V1" s="27"/>
      <c r="W1" s="32" t="s">
        <v>238</v>
      </c>
      <c r="X1" s="26"/>
      <c r="Y1" s="27"/>
      <c r="Z1" s="32" t="s">
        <v>238</v>
      </c>
      <c r="AA1" s="26"/>
      <c r="AB1" s="27"/>
      <c r="AC1" s="32" t="s">
        <v>238</v>
      </c>
      <c r="AD1" s="26"/>
      <c r="AE1" s="27"/>
      <c r="AF1" s="32" t="s">
        <v>238</v>
      </c>
      <c r="AG1" s="26"/>
      <c r="AH1" s="27"/>
      <c r="AI1" s="32" t="s">
        <v>253</v>
      </c>
      <c r="AJ1" s="26"/>
      <c r="AK1" s="27"/>
    </row>
    <row r="2" spans="1:37" x14ac:dyDescent="0.35">
      <c r="A2" s="24" t="s">
        <v>255</v>
      </c>
      <c r="B2" s="33" t="s">
        <v>239</v>
      </c>
      <c r="C2" s="29"/>
      <c r="D2" s="30"/>
      <c r="E2" s="33" t="s">
        <v>239</v>
      </c>
      <c r="F2" s="29"/>
      <c r="G2" s="30"/>
      <c r="H2" s="33" t="s">
        <v>239</v>
      </c>
      <c r="I2" s="29"/>
      <c r="J2" s="30"/>
      <c r="K2" s="33" t="s">
        <v>239</v>
      </c>
      <c r="L2" s="29"/>
      <c r="M2" s="30"/>
      <c r="N2" s="33" t="s">
        <v>239</v>
      </c>
      <c r="O2" s="29"/>
      <c r="P2" s="30"/>
      <c r="Q2" s="33" t="s">
        <v>239</v>
      </c>
      <c r="R2" s="29"/>
      <c r="S2" s="30"/>
      <c r="T2" s="33" t="s">
        <v>239</v>
      </c>
      <c r="U2" s="29"/>
      <c r="V2" s="30"/>
      <c r="W2" s="33" t="s">
        <v>239</v>
      </c>
      <c r="X2" s="29"/>
      <c r="Y2" s="30"/>
      <c r="Z2" s="33" t="s">
        <v>239</v>
      </c>
      <c r="AA2" s="29"/>
      <c r="AB2" s="30"/>
      <c r="AC2" s="33" t="s">
        <v>239</v>
      </c>
      <c r="AD2" s="29"/>
      <c r="AE2" s="30"/>
      <c r="AF2" s="33" t="s">
        <v>239</v>
      </c>
      <c r="AG2" s="29"/>
      <c r="AH2" s="30"/>
      <c r="AI2" s="33" t="s">
        <v>30</v>
      </c>
      <c r="AJ2" s="29"/>
      <c r="AK2" s="30"/>
    </row>
    <row r="3" spans="1:37" ht="15" customHeight="1" x14ac:dyDescent="0.35">
      <c r="A3" s="34">
        <v>2022</v>
      </c>
      <c r="B3" s="43" t="s">
        <v>31</v>
      </c>
      <c r="C3" s="44"/>
      <c r="D3" s="45"/>
      <c r="E3" s="46" t="s">
        <v>32</v>
      </c>
      <c r="F3" s="44"/>
      <c r="G3" s="45"/>
      <c r="H3" s="46" t="s">
        <v>33</v>
      </c>
      <c r="I3" s="44"/>
      <c r="J3" s="45"/>
      <c r="K3" s="46" t="s">
        <v>34</v>
      </c>
      <c r="L3" s="44"/>
      <c r="M3" s="45"/>
      <c r="N3" s="46" t="s">
        <v>35</v>
      </c>
      <c r="O3" s="44"/>
      <c r="P3" s="45"/>
      <c r="Q3" s="46" t="s">
        <v>36</v>
      </c>
      <c r="R3" s="44"/>
      <c r="S3" s="45"/>
      <c r="T3" s="46" t="s">
        <v>37</v>
      </c>
      <c r="U3" s="44"/>
      <c r="V3" s="45"/>
      <c r="W3" s="46" t="s">
        <v>38</v>
      </c>
      <c r="X3" s="44"/>
      <c r="Y3" s="45"/>
      <c r="Z3" s="46" t="s">
        <v>39</v>
      </c>
      <c r="AA3" s="44"/>
      <c r="AB3" s="45"/>
      <c r="AC3" s="46" t="s">
        <v>40</v>
      </c>
      <c r="AD3" s="44"/>
      <c r="AE3" s="45"/>
      <c r="AF3" s="46" t="s">
        <v>41</v>
      </c>
      <c r="AG3" s="44"/>
      <c r="AH3" s="45"/>
      <c r="AI3" s="43" t="s">
        <v>42</v>
      </c>
      <c r="AJ3" s="44"/>
      <c r="AK3" s="45"/>
    </row>
    <row r="4" spans="1:37" ht="15" customHeight="1" x14ac:dyDescent="0.35">
      <c r="A4" s="47"/>
      <c r="B4" s="48" t="s">
        <v>262</v>
      </c>
      <c r="C4" s="49"/>
      <c r="D4" s="50"/>
      <c r="E4" s="48" t="s">
        <v>262</v>
      </c>
      <c r="F4" s="49"/>
      <c r="G4" s="50"/>
      <c r="H4" s="48" t="s">
        <v>262</v>
      </c>
      <c r="I4" s="49"/>
      <c r="J4" s="50"/>
      <c r="K4" s="48" t="s">
        <v>262</v>
      </c>
      <c r="L4" s="49"/>
      <c r="M4" s="50"/>
      <c r="N4" s="48" t="s">
        <v>262</v>
      </c>
      <c r="O4" s="49"/>
      <c r="P4" s="50"/>
      <c r="Q4" s="48" t="s">
        <v>262</v>
      </c>
      <c r="R4" s="49"/>
      <c r="S4" s="50"/>
      <c r="T4" s="48" t="s">
        <v>262</v>
      </c>
      <c r="U4" s="49"/>
      <c r="V4" s="50"/>
      <c r="W4" s="48" t="s">
        <v>262</v>
      </c>
      <c r="X4" s="49"/>
      <c r="Y4" s="50"/>
      <c r="Z4" s="48" t="s">
        <v>262</v>
      </c>
      <c r="AA4" s="49"/>
      <c r="AB4" s="50"/>
      <c r="AC4" s="48" t="s">
        <v>262</v>
      </c>
      <c r="AD4" s="49"/>
      <c r="AE4" s="50"/>
      <c r="AF4" s="48" t="s">
        <v>262</v>
      </c>
      <c r="AG4" s="49"/>
      <c r="AH4" s="50"/>
      <c r="AI4" s="48" t="s">
        <v>262</v>
      </c>
      <c r="AJ4" s="49"/>
      <c r="AK4" s="50"/>
    </row>
    <row r="5" spans="1:37" ht="43.5" x14ac:dyDescent="0.35">
      <c r="A5" s="42" t="s">
        <v>232</v>
      </c>
      <c r="B5" s="41" t="s">
        <v>1</v>
      </c>
      <c r="C5" s="42" t="s">
        <v>244</v>
      </c>
      <c r="D5" s="42" t="s">
        <v>246</v>
      </c>
      <c r="E5" s="41" t="s">
        <v>1</v>
      </c>
      <c r="F5" s="42" t="s">
        <v>244</v>
      </c>
      <c r="G5" s="42" t="s">
        <v>246</v>
      </c>
      <c r="H5" s="41" t="s">
        <v>1</v>
      </c>
      <c r="I5" s="42" t="s">
        <v>244</v>
      </c>
      <c r="J5" s="42" t="s">
        <v>246</v>
      </c>
      <c r="K5" s="41" t="s">
        <v>1</v>
      </c>
      <c r="L5" s="42" t="s">
        <v>244</v>
      </c>
      <c r="M5" s="42" t="s">
        <v>246</v>
      </c>
      <c r="N5" s="41" t="s">
        <v>1</v>
      </c>
      <c r="O5" s="42" t="s">
        <v>244</v>
      </c>
      <c r="P5" s="42" t="s">
        <v>246</v>
      </c>
      <c r="Q5" s="41" t="s">
        <v>1</v>
      </c>
      <c r="R5" s="42" t="s">
        <v>244</v>
      </c>
      <c r="S5" s="42" t="s">
        <v>246</v>
      </c>
      <c r="T5" s="41" t="s">
        <v>1</v>
      </c>
      <c r="U5" s="42" t="s">
        <v>244</v>
      </c>
      <c r="V5" s="42" t="s">
        <v>246</v>
      </c>
      <c r="W5" s="41" t="s">
        <v>1</v>
      </c>
      <c r="X5" s="42" t="s">
        <v>244</v>
      </c>
      <c r="Y5" s="42" t="s">
        <v>246</v>
      </c>
      <c r="Z5" s="41" t="s">
        <v>1</v>
      </c>
      <c r="AA5" s="42" t="s">
        <v>244</v>
      </c>
      <c r="AB5" s="42" t="s">
        <v>246</v>
      </c>
      <c r="AC5" s="41" t="s">
        <v>1</v>
      </c>
      <c r="AD5" s="42" t="s">
        <v>244</v>
      </c>
      <c r="AE5" s="42" t="s">
        <v>246</v>
      </c>
      <c r="AF5" s="41" t="s">
        <v>1</v>
      </c>
      <c r="AG5" s="42" t="s">
        <v>244</v>
      </c>
      <c r="AH5" s="42" t="s">
        <v>246</v>
      </c>
      <c r="AI5" s="41" t="s">
        <v>1</v>
      </c>
      <c r="AJ5" s="42" t="s">
        <v>244</v>
      </c>
      <c r="AK5" s="42" t="s">
        <v>246</v>
      </c>
    </row>
    <row r="6" spans="1:37" ht="15" customHeight="1" x14ac:dyDescent="0.35">
      <c r="A6" s="51"/>
      <c r="B6" s="33" t="s">
        <v>263</v>
      </c>
      <c r="C6" s="29"/>
      <c r="D6" s="30"/>
      <c r="E6" s="33" t="s">
        <v>263</v>
      </c>
      <c r="F6" s="29"/>
      <c r="G6" s="30"/>
      <c r="H6" s="33" t="s">
        <v>263</v>
      </c>
      <c r="I6" s="29"/>
      <c r="J6" s="30"/>
      <c r="K6" s="33" t="s">
        <v>263</v>
      </c>
      <c r="L6" s="29"/>
      <c r="M6" s="30"/>
      <c r="N6" s="33" t="s">
        <v>263</v>
      </c>
      <c r="O6" s="29"/>
      <c r="P6" s="30"/>
      <c r="Q6" s="33" t="s">
        <v>263</v>
      </c>
      <c r="R6" s="29"/>
      <c r="S6" s="30"/>
      <c r="T6" s="33" t="s">
        <v>263</v>
      </c>
      <c r="U6" s="29"/>
      <c r="V6" s="30"/>
      <c r="W6" s="33" t="s">
        <v>263</v>
      </c>
      <c r="X6" s="29"/>
      <c r="Y6" s="30"/>
      <c r="Z6" s="33" t="s">
        <v>263</v>
      </c>
      <c r="AA6" s="29"/>
      <c r="AB6" s="30"/>
      <c r="AC6" s="33" t="s">
        <v>263</v>
      </c>
      <c r="AD6" s="29"/>
      <c r="AE6" s="30"/>
      <c r="AF6" s="33" t="s">
        <v>263</v>
      </c>
      <c r="AG6" s="29"/>
      <c r="AH6" s="30"/>
      <c r="AI6" s="33" t="s">
        <v>263</v>
      </c>
      <c r="AJ6" s="29"/>
      <c r="AK6" s="30"/>
    </row>
    <row r="7" spans="1:37" ht="43.5" x14ac:dyDescent="0.35">
      <c r="A7" s="23" t="s">
        <v>231</v>
      </c>
      <c r="B7" s="23" t="s">
        <v>257</v>
      </c>
      <c r="C7" s="23" t="s">
        <v>245</v>
      </c>
      <c r="D7" s="23" t="s">
        <v>247</v>
      </c>
      <c r="E7" s="23" t="s">
        <v>257</v>
      </c>
      <c r="F7" s="23" t="s">
        <v>245</v>
      </c>
      <c r="G7" s="23" t="s">
        <v>247</v>
      </c>
      <c r="H7" s="23" t="s">
        <v>257</v>
      </c>
      <c r="I7" s="23" t="s">
        <v>245</v>
      </c>
      <c r="J7" s="23" t="s">
        <v>247</v>
      </c>
      <c r="K7" s="23" t="s">
        <v>257</v>
      </c>
      <c r="L7" s="23" t="s">
        <v>245</v>
      </c>
      <c r="M7" s="23" t="s">
        <v>247</v>
      </c>
      <c r="N7" s="23" t="s">
        <v>257</v>
      </c>
      <c r="O7" s="23" t="s">
        <v>245</v>
      </c>
      <c r="P7" s="23" t="s">
        <v>247</v>
      </c>
      <c r="Q7" s="23" t="s">
        <v>257</v>
      </c>
      <c r="R7" s="23" t="s">
        <v>245</v>
      </c>
      <c r="S7" s="23" t="s">
        <v>247</v>
      </c>
      <c r="T7" s="23" t="s">
        <v>257</v>
      </c>
      <c r="U7" s="23" t="s">
        <v>245</v>
      </c>
      <c r="V7" s="23" t="s">
        <v>247</v>
      </c>
      <c r="W7" s="23" t="s">
        <v>257</v>
      </c>
      <c r="X7" s="23" t="s">
        <v>245</v>
      </c>
      <c r="Y7" s="23" t="s">
        <v>247</v>
      </c>
      <c r="Z7" s="23" t="s">
        <v>257</v>
      </c>
      <c r="AA7" s="23" t="s">
        <v>245</v>
      </c>
      <c r="AB7" s="23" t="s">
        <v>247</v>
      </c>
      <c r="AC7" s="23" t="s">
        <v>257</v>
      </c>
      <c r="AD7" s="23" t="s">
        <v>245</v>
      </c>
      <c r="AE7" s="23" t="s">
        <v>247</v>
      </c>
      <c r="AF7" s="23" t="s">
        <v>257</v>
      </c>
      <c r="AG7" s="23" t="s">
        <v>245</v>
      </c>
      <c r="AH7" s="23" t="s">
        <v>247</v>
      </c>
      <c r="AI7" s="23" t="s">
        <v>257</v>
      </c>
      <c r="AJ7" s="23" t="s">
        <v>245</v>
      </c>
      <c r="AK7" s="23" t="s">
        <v>247</v>
      </c>
    </row>
    <row r="8" spans="1:37" ht="20.149999999999999" customHeight="1" x14ac:dyDescent="0.35">
      <c r="A8" s="35" t="s">
        <v>3</v>
      </c>
      <c r="B8" s="79">
        <v>0</v>
      </c>
      <c r="C8" s="79">
        <v>0</v>
      </c>
      <c r="D8" s="79">
        <v>0</v>
      </c>
      <c r="E8" s="79">
        <v>0.93101647593413295</v>
      </c>
      <c r="F8" s="79">
        <v>0.94664519840129902</v>
      </c>
      <c r="G8" s="79">
        <v>0.393559682086012</v>
      </c>
      <c r="H8" s="79">
        <v>1.32930118358109</v>
      </c>
      <c r="I8" s="79">
        <v>1.3425309304052699</v>
      </c>
      <c r="J8" s="79">
        <v>0.87434286395628302</v>
      </c>
      <c r="K8" s="79">
        <v>2.8415783182068099</v>
      </c>
      <c r="L8" s="79">
        <v>2.8397815411840002</v>
      </c>
      <c r="M8" s="79">
        <v>2.9033677587684901</v>
      </c>
      <c r="N8" s="79">
        <v>8.5404418313388692</v>
      </c>
      <c r="O8" s="79">
        <v>8.4423337545403196</v>
      </c>
      <c r="P8" s="79">
        <v>11.914284608157899</v>
      </c>
      <c r="Q8" s="79">
        <v>11.916550909249301</v>
      </c>
      <c r="R8" s="79">
        <v>11.8033652446837</v>
      </c>
      <c r="S8" s="79">
        <v>15.8088974855476</v>
      </c>
      <c r="T8" s="79">
        <v>14.529048586999799</v>
      </c>
      <c r="U8" s="79">
        <v>14.4002536538258</v>
      </c>
      <c r="V8" s="79">
        <v>18.9581829575793</v>
      </c>
      <c r="W8" s="79">
        <v>7.9230399294612699</v>
      </c>
      <c r="X8" s="79">
        <v>7.8227873294164603</v>
      </c>
      <c r="Y8" s="79">
        <v>11.3706308063368</v>
      </c>
      <c r="Z8" s="79">
        <v>8.8524527795626504</v>
      </c>
      <c r="AA8" s="79">
        <v>8.7776004556076099</v>
      </c>
      <c r="AB8" s="79">
        <v>11.4265524943328</v>
      </c>
      <c r="AC8" s="79">
        <v>9.9264002254423502</v>
      </c>
      <c r="AD8" s="79">
        <v>9.8600828882137606</v>
      </c>
      <c r="AE8" s="79">
        <v>12.2069899229245</v>
      </c>
      <c r="AF8" s="79">
        <v>33.210169760223799</v>
      </c>
      <c r="AG8" s="79">
        <v>33.764619003721798</v>
      </c>
      <c r="AH8" s="79">
        <v>14.1431914203104</v>
      </c>
      <c r="AI8" s="79">
        <v>100</v>
      </c>
      <c r="AJ8" s="79">
        <v>100</v>
      </c>
      <c r="AK8" s="79">
        <v>100</v>
      </c>
    </row>
    <row r="9" spans="1:37" ht="20.149999999999999" customHeight="1" x14ac:dyDescent="0.35">
      <c r="A9" s="38" t="s">
        <v>4</v>
      </c>
      <c r="B9" s="81">
        <v>0</v>
      </c>
      <c r="C9" s="81">
        <v>0</v>
      </c>
      <c r="D9" s="81">
        <v>0</v>
      </c>
      <c r="E9" s="81">
        <v>1.5424198784632099</v>
      </c>
      <c r="F9" s="81">
        <v>1.5638835739263901</v>
      </c>
      <c r="G9" s="81">
        <v>1.1110250504958801</v>
      </c>
      <c r="H9" s="81">
        <v>2.14552712799797</v>
      </c>
      <c r="I9" s="81">
        <v>2.1218002016078099</v>
      </c>
      <c r="J9" s="81">
        <v>2.62241021394364</v>
      </c>
      <c r="K9" s="81">
        <v>4.4949988476673797</v>
      </c>
      <c r="L9" s="81">
        <v>4.3460396354767896</v>
      </c>
      <c r="M9" s="81">
        <v>7.4889023824685701</v>
      </c>
      <c r="N9" s="81">
        <v>13.535917484845299</v>
      </c>
      <c r="O9" s="81">
        <v>13.215174337351399</v>
      </c>
      <c r="P9" s="81">
        <v>19.9824744243165</v>
      </c>
      <c r="Q9" s="81">
        <v>16.440228217747599</v>
      </c>
      <c r="R9" s="81">
        <v>16.420261597985899</v>
      </c>
      <c r="S9" s="81">
        <v>16.841533599291399</v>
      </c>
      <c r="T9" s="81">
        <v>15.784517136378</v>
      </c>
      <c r="U9" s="81">
        <v>15.7921119505107</v>
      </c>
      <c r="V9" s="81">
        <v>15.6318703779553</v>
      </c>
      <c r="W9" s="81">
        <v>7.3926414748629901</v>
      </c>
      <c r="X9" s="81">
        <v>7.3631415545176297</v>
      </c>
      <c r="Y9" s="81">
        <v>7.9855548939090397</v>
      </c>
      <c r="Z9" s="81">
        <v>7.5333481284394201</v>
      </c>
      <c r="AA9" s="81">
        <v>7.4592239647059904</v>
      </c>
      <c r="AB9" s="81">
        <v>9.0231559258367202</v>
      </c>
      <c r="AC9" s="81">
        <v>7.6391523888683102</v>
      </c>
      <c r="AD9" s="81">
        <v>7.5343317272377597</v>
      </c>
      <c r="AE9" s="81">
        <v>9.7459233952454198</v>
      </c>
      <c r="AF9" s="81">
        <v>23.4912493147297</v>
      </c>
      <c r="AG9" s="81">
        <v>24.184031456679602</v>
      </c>
      <c r="AH9" s="81">
        <v>9.5671497365374201</v>
      </c>
      <c r="AI9" s="81">
        <v>100</v>
      </c>
      <c r="AJ9" s="81">
        <v>100</v>
      </c>
      <c r="AK9" s="81">
        <v>100</v>
      </c>
    </row>
    <row r="10" spans="1:37" ht="20.149999999999999" customHeight="1" x14ac:dyDescent="0.35">
      <c r="A10" s="35" t="s">
        <v>5</v>
      </c>
      <c r="B10" s="79">
        <v>0</v>
      </c>
      <c r="C10" s="79">
        <v>0</v>
      </c>
      <c r="D10" s="79">
        <v>0</v>
      </c>
      <c r="E10" s="79">
        <v>1.33963447619179</v>
      </c>
      <c r="F10" s="79">
        <v>1.3611839871284199</v>
      </c>
      <c r="G10" s="79">
        <v>0.78632260173834201</v>
      </c>
      <c r="H10" s="79">
        <v>1.85921602982003</v>
      </c>
      <c r="I10" s="79">
        <v>1.8607414337210699</v>
      </c>
      <c r="J10" s="79">
        <v>1.8200492898293099</v>
      </c>
      <c r="K10" s="79">
        <v>3.6503416420563202</v>
      </c>
      <c r="L10" s="79">
        <v>3.5749941207022098</v>
      </c>
      <c r="M10" s="79">
        <v>5.5849877877838701</v>
      </c>
      <c r="N10" s="79">
        <v>10.2502083966894</v>
      </c>
      <c r="O10" s="79">
        <v>9.9985475407530497</v>
      </c>
      <c r="P10" s="79">
        <v>16.711929979799802</v>
      </c>
      <c r="Q10" s="79">
        <v>12.5071736823263</v>
      </c>
      <c r="R10" s="79">
        <v>12.3545143553629</v>
      </c>
      <c r="S10" s="79">
        <v>16.426901540807101</v>
      </c>
      <c r="T10" s="79">
        <v>12.531005625386999</v>
      </c>
      <c r="U10" s="79">
        <v>12.351973652710599</v>
      </c>
      <c r="V10" s="79">
        <v>17.127885651110201</v>
      </c>
      <c r="W10" s="79">
        <v>6.6526828521549604</v>
      </c>
      <c r="X10" s="79">
        <v>6.5086622459023502</v>
      </c>
      <c r="Y10" s="79">
        <v>10.3506002591855</v>
      </c>
      <c r="Z10" s="79">
        <v>7.27869085553034</v>
      </c>
      <c r="AA10" s="79">
        <v>7.2068955155035104</v>
      </c>
      <c r="AB10" s="79">
        <v>9.12213010035072</v>
      </c>
      <c r="AC10" s="79">
        <v>8.2863713275218505</v>
      </c>
      <c r="AD10" s="79">
        <v>8.2509827104061308</v>
      </c>
      <c r="AE10" s="79">
        <v>9.1950203510748807</v>
      </c>
      <c r="AF10" s="79">
        <v>35.644675112321899</v>
      </c>
      <c r="AG10" s="79">
        <v>36.531504437809701</v>
      </c>
      <c r="AH10" s="79">
        <v>12.874172438320199</v>
      </c>
      <c r="AI10" s="79">
        <v>100</v>
      </c>
      <c r="AJ10" s="79">
        <v>100</v>
      </c>
      <c r="AK10" s="79">
        <v>100</v>
      </c>
    </row>
    <row r="11" spans="1:37" ht="20.149999999999999" customHeight="1" x14ac:dyDescent="0.35">
      <c r="A11" s="38" t="s">
        <v>6</v>
      </c>
      <c r="B11" s="81">
        <v>0</v>
      </c>
      <c r="C11" s="81">
        <v>0</v>
      </c>
      <c r="D11" s="81">
        <v>0</v>
      </c>
      <c r="E11" s="81">
        <v>1.55323361895364</v>
      </c>
      <c r="F11" s="81">
        <v>1.50345713427371</v>
      </c>
      <c r="G11" s="81">
        <v>2.0772356547691402</v>
      </c>
      <c r="H11" s="81">
        <v>2.6006162854453598</v>
      </c>
      <c r="I11" s="81">
        <v>2.4703045000587598</v>
      </c>
      <c r="J11" s="81">
        <v>3.9724214917068301</v>
      </c>
      <c r="K11" s="81">
        <v>5.6870799407483403</v>
      </c>
      <c r="L11" s="81">
        <v>5.3903045640189404</v>
      </c>
      <c r="M11" s="81">
        <v>8.8112640326153002</v>
      </c>
      <c r="N11" s="81">
        <v>17.751104020439801</v>
      </c>
      <c r="O11" s="81">
        <v>17.269236932931001</v>
      </c>
      <c r="P11" s="81">
        <v>22.8237670755077</v>
      </c>
      <c r="Q11" s="81">
        <v>19.694031995201801</v>
      </c>
      <c r="R11" s="81">
        <v>19.620028533819099</v>
      </c>
      <c r="S11" s="81">
        <v>20.473073839383201</v>
      </c>
      <c r="T11" s="81">
        <v>15.9373796827019</v>
      </c>
      <c r="U11" s="81">
        <v>15.5086789926108</v>
      </c>
      <c r="V11" s="81">
        <v>20.450354751304101</v>
      </c>
      <c r="W11" s="81">
        <v>6.3164728751621499</v>
      </c>
      <c r="X11" s="81">
        <v>6.2448270482020698</v>
      </c>
      <c r="Y11" s="81">
        <v>7.0706956658266202</v>
      </c>
      <c r="Z11" s="81">
        <v>6.2474068615088498</v>
      </c>
      <c r="AA11" s="81">
        <v>6.3164980516391704</v>
      </c>
      <c r="AB11" s="81">
        <v>5.5200769884173599</v>
      </c>
      <c r="AC11" s="81">
        <v>6.7445353148052503</v>
      </c>
      <c r="AD11" s="81">
        <v>6.8626151118129304</v>
      </c>
      <c r="AE11" s="81">
        <v>5.50149747437613</v>
      </c>
      <c r="AF11" s="81">
        <v>17.4681394050329</v>
      </c>
      <c r="AG11" s="81">
        <v>18.814049130633499</v>
      </c>
      <c r="AH11" s="81">
        <v>3.2996130260935801</v>
      </c>
      <c r="AI11" s="81">
        <v>100</v>
      </c>
      <c r="AJ11" s="81">
        <v>100</v>
      </c>
      <c r="AK11" s="81">
        <v>100</v>
      </c>
    </row>
    <row r="12" spans="1:37" ht="20.149999999999999" customHeight="1" x14ac:dyDescent="0.35">
      <c r="A12" s="35" t="s">
        <v>7</v>
      </c>
      <c r="B12" s="79">
        <v>0</v>
      </c>
      <c r="C12" s="79">
        <v>0</v>
      </c>
      <c r="D12" s="79">
        <v>0</v>
      </c>
      <c r="E12" s="79">
        <v>0.35158105160019898</v>
      </c>
      <c r="F12" s="79">
        <v>0.34187957359916099</v>
      </c>
      <c r="G12" s="79">
        <v>0.754618494074349</v>
      </c>
      <c r="H12" s="79">
        <v>0.51111199191466195</v>
      </c>
      <c r="I12" s="79">
        <v>0.482399216690511</v>
      </c>
      <c r="J12" s="79">
        <v>1.7039532776897599</v>
      </c>
      <c r="K12" s="79">
        <v>1.10093071446636</v>
      </c>
      <c r="L12" s="79">
        <v>1.0067220180132499</v>
      </c>
      <c r="M12" s="79">
        <v>5.0147294236139199</v>
      </c>
      <c r="N12" s="79">
        <v>3.6490467839248102</v>
      </c>
      <c r="O12" s="79">
        <v>3.40434665833999</v>
      </c>
      <c r="P12" s="79">
        <v>13.814849641825401</v>
      </c>
      <c r="Q12" s="79">
        <v>5.4147014255092101</v>
      </c>
      <c r="R12" s="79">
        <v>5.2363220459447097</v>
      </c>
      <c r="S12" s="79">
        <v>12.8252804034869</v>
      </c>
      <c r="T12" s="79">
        <v>6.8009571891091802</v>
      </c>
      <c r="U12" s="79">
        <v>6.6498008014612298</v>
      </c>
      <c r="V12" s="79">
        <v>13.0805863223964</v>
      </c>
      <c r="W12" s="79">
        <v>4.0110797232154001</v>
      </c>
      <c r="X12" s="79">
        <v>3.94478658562333</v>
      </c>
      <c r="Y12" s="79">
        <v>6.7651566407571897</v>
      </c>
      <c r="Z12" s="79">
        <v>5.0559982336008096</v>
      </c>
      <c r="AA12" s="79">
        <v>5.0153642727067203</v>
      </c>
      <c r="AB12" s="79">
        <v>6.7440923234495704</v>
      </c>
      <c r="AC12" s="79">
        <v>6.8686021602196599</v>
      </c>
      <c r="AD12" s="79">
        <v>6.89301157939442</v>
      </c>
      <c r="AE12" s="79">
        <v>5.8545391612183497</v>
      </c>
      <c r="AF12" s="79">
        <v>66.235990726439695</v>
      </c>
      <c r="AG12" s="79">
        <v>67.025367248226701</v>
      </c>
      <c r="AH12" s="79">
        <v>33.442194311488201</v>
      </c>
      <c r="AI12" s="79">
        <v>100</v>
      </c>
      <c r="AJ12" s="79">
        <v>100</v>
      </c>
      <c r="AK12" s="79">
        <v>100</v>
      </c>
    </row>
    <row r="13" spans="1:37" ht="20.149999999999999" customHeight="1" x14ac:dyDescent="0.35">
      <c r="A13" s="38" t="s">
        <v>8</v>
      </c>
      <c r="B13" s="81">
        <v>0</v>
      </c>
      <c r="C13" s="81">
        <v>0</v>
      </c>
      <c r="D13" s="81">
        <v>0</v>
      </c>
      <c r="E13" s="81">
        <v>0.79446896370008402</v>
      </c>
      <c r="F13" s="81">
        <v>0.70860523703102696</v>
      </c>
      <c r="G13" s="81">
        <v>3.1818147368416301</v>
      </c>
      <c r="H13" s="81">
        <v>1.2892505213077901</v>
      </c>
      <c r="I13" s="81">
        <v>1.0566704333797701</v>
      </c>
      <c r="J13" s="81">
        <v>7.7558821406404199</v>
      </c>
      <c r="K13" s="81">
        <v>2.7062427607768198</v>
      </c>
      <c r="L13" s="81">
        <v>2.0583382002655601</v>
      </c>
      <c r="M13" s="81">
        <v>20.720511112969302</v>
      </c>
      <c r="N13" s="81">
        <v>7.4957705437409397</v>
      </c>
      <c r="O13" s="81">
        <v>6.4906795237408303</v>
      </c>
      <c r="P13" s="81">
        <v>35.441212598313797</v>
      </c>
      <c r="Q13" s="81">
        <v>8.4727213701264201</v>
      </c>
      <c r="R13" s="81">
        <v>8.2594835257031001</v>
      </c>
      <c r="S13" s="81">
        <v>14.4015633422429</v>
      </c>
      <c r="T13" s="81">
        <v>7.6931877920065501</v>
      </c>
      <c r="U13" s="81">
        <v>7.7774295579767099</v>
      </c>
      <c r="V13" s="81">
        <v>5.3509388387786601</v>
      </c>
      <c r="W13" s="81">
        <v>3.9520404656029999</v>
      </c>
      <c r="X13" s="81">
        <v>4.0297462084086</v>
      </c>
      <c r="Y13" s="81">
        <v>1.79151839379987</v>
      </c>
      <c r="Z13" s="81">
        <v>5.2277581679458898</v>
      </c>
      <c r="AA13" s="81">
        <v>5.3272982888936902</v>
      </c>
      <c r="AB13" s="81">
        <v>2.4601554069028699</v>
      </c>
      <c r="AC13" s="81">
        <v>7.7141563598108203</v>
      </c>
      <c r="AD13" s="81">
        <v>7.9602351779638099</v>
      </c>
      <c r="AE13" s="81">
        <v>0.872207504719969</v>
      </c>
      <c r="AF13" s="81">
        <v>54.654403054981699</v>
      </c>
      <c r="AG13" s="81">
        <v>56.331513846636902</v>
      </c>
      <c r="AH13" s="81">
        <v>8.0241959247906394</v>
      </c>
      <c r="AI13" s="81">
        <v>100</v>
      </c>
      <c r="AJ13" s="81">
        <v>100</v>
      </c>
      <c r="AK13" s="81">
        <v>100</v>
      </c>
    </row>
    <row r="14" spans="1:37" ht="20.149999999999999" customHeight="1" x14ac:dyDescent="0.35">
      <c r="A14" s="35" t="s">
        <v>9</v>
      </c>
      <c r="B14" s="79">
        <v>0</v>
      </c>
      <c r="C14" s="79">
        <v>0</v>
      </c>
      <c r="D14" s="79">
        <v>0</v>
      </c>
      <c r="E14" s="79">
        <v>0.353572538528025</v>
      </c>
      <c r="F14" s="79">
        <v>0.33748878293455697</v>
      </c>
      <c r="G14" s="79">
        <v>1.2210512252368599</v>
      </c>
      <c r="H14" s="79">
        <v>0.52239469565381202</v>
      </c>
      <c r="I14" s="79">
        <v>0.48147076597376298</v>
      </c>
      <c r="J14" s="79">
        <v>2.7296302239175101</v>
      </c>
      <c r="K14" s="79">
        <v>1.1561323207097001</v>
      </c>
      <c r="L14" s="79">
        <v>1.03316857664617</v>
      </c>
      <c r="M14" s="79">
        <v>7.7881920155455102</v>
      </c>
      <c r="N14" s="79">
        <v>3.4488821111062702</v>
      </c>
      <c r="O14" s="79">
        <v>3.1768766575487102</v>
      </c>
      <c r="P14" s="79">
        <v>18.119518720728301</v>
      </c>
      <c r="Q14" s="79">
        <v>4.6081016259657499</v>
      </c>
      <c r="R14" s="79">
        <v>4.3959243708909597</v>
      </c>
      <c r="S14" s="79">
        <v>16.051899407654702</v>
      </c>
      <c r="T14" s="79">
        <v>5.2514855519566996</v>
      </c>
      <c r="U14" s="79">
        <v>5.0787577663768202</v>
      </c>
      <c r="V14" s="79">
        <v>14.5675729372817</v>
      </c>
      <c r="W14" s="79">
        <v>2.90820870037123</v>
      </c>
      <c r="X14" s="79">
        <v>2.8336162058866399</v>
      </c>
      <c r="Y14" s="79">
        <v>6.9313610529292502</v>
      </c>
      <c r="Z14" s="79">
        <v>3.52714488326145</v>
      </c>
      <c r="AA14" s="79">
        <v>3.50581079252101</v>
      </c>
      <c r="AB14" s="79">
        <v>4.6778008298838598</v>
      </c>
      <c r="AC14" s="79">
        <v>5.9656354992484903</v>
      </c>
      <c r="AD14" s="79">
        <v>6.0440559530691997</v>
      </c>
      <c r="AE14" s="79">
        <v>1.73602184364651</v>
      </c>
      <c r="AF14" s="79">
        <v>72.258442073198594</v>
      </c>
      <c r="AG14" s="79">
        <v>73.112830128152197</v>
      </c>
      <c r="AH14" s="79">
        <v>26.176951743175799</v>
      </c>
      <c r="AI14" s="79">
        <v>100</v>
      </c>
      <c r="AJ14" s="79">
        <v>100</v>
      </c>
      <c r="AK14" s="79">
        <v>100</v>
      </c>
    </row>
    <row r="15" spans="1:37" ht="20.149999999999999" customHeight="1" x14ac:dyDescent="0.35">
      <c r="A15" s="38" t="s">
        <v>10</v>
      </c>
      <c r="B15" s="81">
        <v>0</v>
      </c>
      <c r="C15" s="81">
        <v>0</v>
      </c>
      <c r="D15" s="81">
        <v>0</v>
      </c>
      <c r="E15" s="81">
        <v>1.74314895955783</v>
      </c>
      <c r="F15" s="81">
        <v>1.58498722358586</v>
      </c>
      <c r="G15" s="81">
        <v>4.2365556100875503</v>
      </c>
      <c r="H15" s="81">
        <v>2.6736608747266501</v>
      </c>
      <c r="I15" s="81">
        <v>2.2364760754212698</v>
      </c>
      <c r="J15" s="81">
        <v>9.5658429780625092</v>
      </c>
      <c r="K15" s="81">
        <v>5.7076956230582399</v>
      </c>
      <c r="L15" s="81">
        <v>4.6450381659659898</v>
      </c>
      <c r="M15" s="81">
        <v>22.4604023031266</v>
      </c>
      <c r="N15" s="81">
        <v>15.022334340496</v>
      </c>
      <c r="O15" s="81">
        <v>13.917302535894301</v>
      </c>
      <c r="P15" s="81">
        <v>32.443069094754399</v>
      </c>
      <c r="Q15" s="81">
        <v>16.977429357722901</v>
      </c>
      <c r="R15" s="81">
        <v>17.249508080967001</v>
      </c>
      <c r="S15" s="81">
        <v>12.688130850499901</v>
      </c>
      <c r="T15" s="81">
        <v>15.508593824876</v>
      </c>
      <c r="U15" s="81">
        <v>15.9001375715872</v>
      </c>
      <c r="V15" s="81">
        <v>9.3359391304674997</v>
      </c>
      <c r="W15" s="81">
        <v>6.6608417833728097</v>
      </c>
      <c r="X15" s="81">
        <v>6.7723164727334204</v>
      </c>
      <c r="Y15" s="81">
        <v>4.9034525507031601</v>
      </c>
      <c r="Z15" s="81">
        <v>8.1969171945781696</v>
      </c>
      <c r="AA15" s="81">
        <v>8.4398813469661391</v>
      </c>
      <c r="AB15" s="81">
        <v>4.3666074822982797</v>
      </c>
      <c r="AC15" s="81">
        <v>7.0862230119470304</v>
      </c>
      <c r="AD15" s="81">
        <v>7.5357162114682401</v>
      </c>
      <c r="AE15" s="81">
        <v>0</v>
      </c>
      <c r="AF15" s="81">
        <v>20.4231550296644</v>
      </c>
      <c r="AG15" s="81">
        <v>21.718636315410599</v>
      </c>
      <c r="AH15" s="81">
        <v>0</v>
      </c>
      <c r="AI15" s="81">
        <v>100</v>
      </c>
      <c r="AJ15" s="81">
        <v>100</v>
      </c>
      <c r="AK15" s="81">
        <v>100</v>
      </c>
    </row>
    <row r="16" spans="1:37" ht="20.149999999999999" customHeight="1" x14ac:dyDescent="0.35">
      <c r="A16" s="35" t="s">
        <v>11</v>
      </c>
      <c r="B16" s="79">
        <v>0</v>
      </c>
      <c r="C16" s="79">
        <v>0</v>
      </c>
      <c r="D16" s="79">
        <v>0</v>
      </c>
      <c r="E16" s="79">
        <v>0.39729857302759503</v>
      </c>
      <c r="F16" s="79">
        <v>0.39075665871497101</v>
      </c>
      <c r="G16" s="79">
        <v>0.74779672986053303</v>
      </c>
      <c r="H16" s="79">
        <v>0.60426722477650197</v>
      </c>
      <c r="I16" s="79">
        <v>0.58689773751171703</v>
      </c>
      <c r="J16" s="79">
        <v>1.53487759056679</v>
      </c>
      <c r="K16" s="79">
        <v>1.3747809376196201</v>
      </c>
      <c r="L16" s="79">
        <v>1.31110171061259</v>
      </c>
      <c r="M16" s="79">
        <v>4.7865424844559197</v>
      </c>
      <c r="N16" s="79">
        <v>4.3535824935934597</v>
      </c>
      <c r="O16" s="79">
        <v>4.1559288512175403</v>
      </c>
      <c r="P16" s="79">
        <v>14.943332532108199</v>
      </c>
      <c r="Q16" s="79">
        <v>6.8116393411818601</v>
      </c>
      <c r="R16" s="79">
        <v>6.6223637999192304</v>
      </c>
      <c r="S16" s="79">
        <v>16.952513277436601</v>
      </c>
      <c r="T16" s="79">
        <v>8.9754545891263202</v>
      </c>
      <c r="U16" s="79">
        <v>8.7798146549461595</v>
      </c>
      <c r="V16" s="79">
        <v>19.457315563785301</v>
      </c>
      <c r="W16" s="79">
        <v>5.3747630786678</v>
      </c>
      <c r="X16" s="79">
        <v>5.3259462145557404</v>
      </c>
      <c r="Y16" s="79">
        <v>7.9902392338080404</v>
      </c>
      <c r="Z16" s="79">
        <v>6.6504047808896196</v>
      </c>
      <c r="AA16" s="79">
        <v>6.5658669845740203</v>
      </c>
      <c r="AB16" s="79">
        <v>11.1797123161714</v>
      </c>
      <c r="AC16" s="79">
        <v>9.0704308410750301</v>
      </c>
      <c r="AD16" s="79">
        <v>8.9850489783052492</v>
      </c>
      <c r="AE16" s="79">
        <v>13.644961184589301</v>
      </c>
      <c r="AF16" s="79">
        <v>56.387378140042202</v>
      </c>
      <c r="AG16" s="79">
        <v>57.276274409642802</v>
      </c>
      <c r="AH16" s="79">
        <v>8.7627090872178393</v>
      </c>
      <c r="AI16" s="79">
        <v>100</v>
      </c>
      <c r="AJ16" s="79">
        <v>100</v>
      </c>
      <c r="AK16" s="79">
        <v>100</v>
      </c>
    </row>
    <row r="17" spans="1:37" ht="20.149999999999999" customHeight="1" x14ac:dyDescent="0.35">
      <c r="A17" s="38" t="s">
        <v>12</v>
      </c>
      <c r="B17" s="81">
        <v>0</v>
      </c>
      <c r="C17" s="81">
        <v>0</v>
      </c>
      <c r="D17" s="81">
        <v>0</v>
      </c>
      <c r="E17" s="81">
        <v>2.9845886066014198</v>
      </c>
      <c r="F17" s="81">
        <v>2.90087695138102</v>
      </c>
      <c r="G17" s="81">
        <v>4.9383524866028701</v>
      </c>
      <c r="H17" s="81">
        <v>3.8418930097366299</v>
      </c>
      <c r="I17" s="81">
        <v>3.68553373660284</v>
      </c>
      <c r="J17" s="81">
        <v>7.4911948823105199</v>
      </c>
      <c r="K17" s="81">
        <v>7.3611084451250504</v>
      </c>
      <c r="L17" s="81">
        <v>6.9932940877664</v>
      </c>
      <c r="M17" s="81">
        <v>15.9456048818663</v>
      </c>
      <c r="N17" s="81">
        <v>17.358418940034799</v>
      </c>
      <c r="O17" s="81">
        <v>16.9858493190257</v>
      </c>
      <c r="P17" s="81">
        <v>26.0538994725473</v>
      </c>
      <c r="Q17" s="81">
        <v>16.667775577961699</v>
      </c>
      <c r="R17" s="81">
        <v>16.614902912572699</v>
      </c>
      <c r="S17" s="81">
        <v>17.9017818057035</v>
      </c>
      <c r="T17" s="81">
        <v>14.5718126831679</v>
      </c>
      <c r="U17" s="81">
        <v>14.568974866528199</v>
      </c>
      <c r="V17" s="81">
        <v>14.6380450809629</v>
      </c>
      <c r="W17" s="81">
        <v>6.6041842439485503</v>
      </c>
      <c r="X17" s="81">
        <v>6.6778180767328896</v>
      </c>
      <c r="Y17" s="81">
        <v>4.8856287756409396</v>
      </c>
      <c r="Z17" s="81">
        <v>6.57887624473977</v>
      </c>
      <c r="AA17" s="81">
        <v>6.70941201728695</v>
      </c>
      <c r="AB17" s="81">
        <v>3.5322744689263201</v>
      </c>
      <c r="AC17" s="81">
        <v>7.7422854941067598</v>
      </c>
      <c r="AD17" s="81">
        <v>7.9770369219246398</v>
      </c>
      <c r="AE17" s="81">
        <v>2.26337268033233</v>
      </c>
      <c r="AF17" s="81">
        <v>16.289056754577398</v>
      </c>
      <c r="AG17" s="81">
        <v>16.8863011101787</v>
      </c>
      <c r="AH17" s="81">
        <v>2.3498454651070402</v>
      </c>
      <c r="AI17" s="81">
        <v>100</v>
      </c>
      <c r="AJ17" s="81">
        <v>100</v>
      </c>
      <c r="AK17" s="81">
        <v>100</v>
      </c>
    </row>
    <row r="18" spans="1:37" ht="20.149999999999999" customHeight="1" x14ac:dyDescent="0.35">
      <c r="A18" s="35" t="s">
        <v>13</v>
      </c>
      <c r="B18" s="79">
        <v>0</v>
      </c>
      <c r="C18" s="79">
        <v>0</v>
      </c>
      <c r="D18" s="79">
        <v>0</v>
      </c>
      <c r="E18" s="79">
        <v>2.4987454186794098</v>
      </c>
      <c r="F18" s="79">
        <v>2.4271049215212002</v>
      </c>
      <c r="G18" s="79">
        <v>8.1824845514606501</v>
      </c>
      <c r="H18" s="79">
        <v>2.8546463760209702</v>
      </c>
      <c r="I18" s="79">
        <v>2.7421168889079</v>
      </c>
      <c r="J18" s="79">
        <v>11.782393598153901</v>
      </c>
      <c r="K18" s="79">
        <v>5.31112265185818</v>
      </c>
      <c r="L18" s="79">
        <v>5.1503314712979398</v>
      </c>
      <c r="M18" s="79">
        <v>18.067805832575701</v>
      </c>
      <c r="N18" s="79">
        <v>13.528421675221299</v>
      </c>
      <c r="O18" s="79">
        <v>13.431605396010299</v>
      </c>
      <c r="P18" s="79">
        <v>21.2095307778959</v>
      </c>
      <c r="Q18" s="79">
        <v>14.651984041943001</v>
      </c>
      <c r="R18" s="79">
        <v>14.669057698514401</v>
      </c>
      <c r="S18" s="79">
        <v>13.2974120631934</v>
      </c>
      <c r="T18" s="79">
        <v>13.523062865561</v>
      </c>
      <c r="U18" s="79">
        <v>13.6138160215779</v>
      </c>
      <c r="V18" s="79">
        <v>6.3229835146588496</v>
      </c>
      <c r="W18" s="79">
        <v>7.1161579081845403</v>
      </c>
      <c r="X18" s="79">
        <v>7.1415806400199804</v>
      </c>
      <c r="Y18" s="79">
        <v>5.0991956936957097</v>
      </c>
      <c r="Z18" s="79">
        <v>7.2320396482106402</v>
      </c>
      <c r="AA18" s="79">
        <v>7.29134343228798</v>
      </c>
      <c r="AB18" s="79">
        <v>2.5270578061945099</v>
      </c>
      <c r="AC18" s="79">
        <v>8.6181028948488194</v>
      </c>
      <c r="AD18" s="79">
        <v>8.6327912846810495</v>
      </c>
      <c r="AE18" s="79">
        <v>7.4527707238196799</v>
      </c>
      <c r="AF18" s="79">
        <v>24.665716519472099</v>
      </c>
      <c r="AG18" s="79">
        <v>24.900252245181299</v>
      </c>
      <c r="AH18" s="79">
        <v>6.0583654383517</v>
      </c>
      <c r="AI18" s="79">
        <v>100</v>
      </c>
      <c r="AJ18" s="79">
        <v>100</v>
      </c>
      <c r="AK18" s="79">
        <v>100</v>
      </c>
    </row>
    <row r="19" spans="1:37" ht="20.149999999999999" customHeight="1" x14ac:dyDescent="0.35">
      <c r="A19" s="38" t="s">
        <v>14</v>
      </c>
      <c r="B19" s="81">
        <v>0</v>
      </c>
      <c r="C19" s="81">
        <v>0</v>
      </c>
      <c r="D19" s="81">
        <v>0</v>
      </c>
      <c r="E19" s="81">
        <v>1.1134630121551301</v>
      </c>
      <c r="F19" s="81">
        <v>1.1291776052821101</v>
      </c>
      <c r="G19" s="81">
        <v>0.82642828822649195</v>
      </c>
      <c r="H19" s="81">
        <v>1.1791509831446501</v>
      </c>
      <c r="I19" s="81">
        <v>1.1763554151223301</v>
      </c>
      <c r="J19" s="81">
        <v>1.2302133993986599</v>
      </c>
      <c r="K19" s="81">
        <v>2.1205857872198002</v>
      </c>
      <c r="L19" s="81">
        <v>2.0464373688788902</v>
      </c>
      <c r="M19" s="81">
        <v>3.47494288805269</v>
      </c>
      <c r="N19" s="81">
        <v>5.6144773656933697</v>
      </c>
      <c r="O19" s="81">
        <v>5.2483242698839403</v>
      </c>
      <c r="P19" s="81">
        <v>12.302442616974</v>
      </c>
      <c r="Q19" s="81">
        <v>7.1897619046082397</v>
      </c>
      <c r="R19" s="81">
        <v>6.6165158878920103</v>
      </c>
      <c r="S19" s="81">
        <v>17.6603805723487</v>
      </c>
      <c r="T19" s="81">
        <v>8.8500549088048306</v>
      </c>
      <c r="U19" s="81">
        <v>8.1302808596273799</v>
      </c>
      <c r="V19" s="81">
        <v>21.997079704623602</v>
      </c>
      <c r="W19" s="81">
        <v>5.3137952603485497</v>
      </c>
      <c r="X19" s="81">
        <v>4.9656911045282399</v>
      </c>
      <c r="Y19" s="81">
        <v>11.672087801358099</v>
      </c>
      <c r="Z19" s="81">
        <v>6.0376743060894196</v>
      </c>
      <c r="AA19" s="81">
        <v>5.76095822885814</v>
      </c>
      <c r="AB19" s="81">
        <v>11.0920287009425</v>
      </c>
      <c r="AC19" s="81">
        <v>6.5801994018475503</v>
      </c>
      <c r="AD19" s="81">
        <v>6.3766328276278896</v>
      </c>
      <c r="AE19" s="81">
        <v>10.298442372574399</v>
      </c>
      <c r="AF19" s="81">
        <v>56.000837070088501</v>
      </c>
      <c r="AG19" s="81">
        <v>58.5496264322991</v>
      </c>
      <c r="AH19" s="81">
        <v>9.4459536555008103</v>
      </c>
      <c r="AI19" s="81">
        <v>100</v>
      </c>
      <c r="AJ19" s="81">
        <v>100</v>
      </c>
      <c r="AK19" s="81">
        <v>100</v>
      </c>
    </row>
    <row r="20" spans="1:37" ht="20.149999999999999" customHeight="1" x14ac:dyDescent="0.35">
      <c r="A20" s="35" t="s">
        <v>15</v>
      </c>
      <c r="B20" s="79">
        <v>0</v>
      </c>
      <c r="C20" s="79">
        <v>0</v>
      </c>
      <c r="D20" s="79">
        <v>0</v>
      </c>
      <c r="E20" s="79">
        <v>1.8841702515380701</v>
      </c>
      <c r="F20" s="79">
        <v>1.8380433208967499</v>
      </c>
      <c r="G20" s="79">
        <v>5.1545605486368302</v>
      </c>
      <c r="H20" s="79">
        <v>2.3482438277456201</v>
      </c>
      <c r="I20" s="79">
        <v>2.2919231093601899</v>
      </c>
      <c r="J20" s="79">
        <v>6.3413716680869898</v>
      </c>
      <c r="K20" s="79">
        <v>4.5176963842567401</v>
      </c>
      <c r="L20" s="79">
        <v>4.4120383534881897</v>
      </c>
      <c r="M20" s="79">
        <v>12.0088299548593</v>
      </c>
      <c r="N20" s="79">
        <v>11.9817591699702</v>
      </c>
      <c r="O20" s="79">
        <v>11.9266436788881</v>
      </c>
      <c r="P20" s="79">
        <v>15.889436631896199</v>
      </c>
      <c r="Q20" s="79">
        <v>13.8742456791782</v>
      </c>
      <c r="R20" s="79">
        <v>13.9105804383733</v>
      </c>
      <c r="S20" s="79">
        <v>11.298118408907699</v>
      </c>
      <c r="T20" s="79">
        <v>13.9911149052173</v>
      </c>
      <c r="U20" s="79">
        <v>14.025672923722601</v>
      </c>
      <c r="V20" s="79">
        <v>11.540958199899199</v>
      </c>
      <c r="W20" s="79">
        <v>6.9152173811588904</v>
      </c>
      <c r="X20" s="79">
        <v>6.9618412154796996</v>
      </c>
      <c r="Y20" s="79">
        <v>3.6095967110567302</v>
      </c>
      <c r="Z20" s="79">
        <v>7.2851097707278401</v>
      </c>
      <c r="AA20" s="79">
        <v>7.3322594599071103</v>
      </c>
      <c r="AB20" s="79">
        <v>3.9422060947358499</v>
      </c>
      <c r="AC20" s="79">
        <v>7.8983934232149897</v>
      </c>
      <c r="AD20" s="79">
        <v>7.9820521903171597</v>
      </c>
      <c r="AE20" s="79">
        <v>1.96700331348341</v>
      </c>
      <c r="AF20" s="79">
        <v>29.304049206992101</v>
      </c>
      <c r="AG20" s="79">
        <v>29.318945309566999</v>
      </c>
      <c r="AH20" s="79">
        <v>28.247918468437799</v>
      </c>
      <c r="AI20" s="79">
        <v>100</v>
      </c>
      <c r="AJ20" s="79">
        <v>100</v>
      </c>
      <c r="AK20" s="79">
        <v>100</v>
      </c>
    </row>
    <row r="21" spans="1:37" ht="20.149999999999999" customHeight="1" x14ac:dyDescent="0.35">
      <c r="A21" s="38" t="s">
        <v>16</v>
      </c>
      <c r="B21" s="81">
        <v>0</v>
      </c>
      <c r="C21" s="81">
        <v>0</v>
      </c>
      <c r="D21" s="81">
        <v>0</v>
      </c>
      <c r="E21" s="81">
        <v>1.75562885243929</v>
      </c>
      <c r="F21" s="81">
        <v>1.7391518402128701</v>
      </c>
      <c r="G21" s="81">
        <v>2.1070749946420602</v>
      </c>
      <c r="H21" s="81">
        <v>2.3386721808122699</v>
      </c>
      <c r="I21" s="81">
        <v>2.2594943374402101</v>
      </c>
      <c r="J21" s="81">
        <v>4.0274945970772897</v>
      </c>
      <c r="K21" s="81">
        <v>4.8225286252968402</v>
      </c>
      <c r="L21" s="81">
        <v>4.5765381793007096</v>
      </c>
      <c r="M21" s="81">
        <v>10.069377512468201</v>
      </c>
      <c r="N21" s="81">
        <v>14.6986192625145</v>
      </c>
      <c r="O21" s="81">
        <v>14.206504654751599</v>
      </c>
      <c r="P21" s="81">
        <v>25.195169125033001</v>
      </c>
      <c r="Q21" s="81">
        <v>19.074173208533601</v>
      </c>
      <c r="R21" s="81">
        <v>18.946617616059399</v>
      </c>
      <c r="S21" s="81">
        <v>21.794867972572298</v>
      </c>
      <c r="T21" s="81">
        <v>18.618423690097</v>
      </c>
      <c r="U21" s="81">
        <v>18.655175663557401</v>
      </c>
      <c r="V21" s="81">
        <v>17.834523119196401</v>
      </c>
      <c r="W21" s="81">
        <v>8.5876930370184894</v>
      </c>
      <c r="X21" s="81">
        <v>8.5988963656083595</v>
      </c>
      <c r="Y21" s="81">
        <v>8.3487318370973398</v>
      </c>
      <c r="Z21" s="81">
        <v>7.5614721466179899</v>
      </c>
      <c r="AA21" s="81">
        <v>7.6899832627487896</v>
      </c>
      <c r="AB21" s="81">
        <v>4.8203965575660703</v>
      </c>
      <c r="AC21" s="81">
        <v>7.4168747435243398</v>
      </c>
      <c r="AD21" s="81">
        <v>7.6549731746023904</v>
      </c>
      <c r="AE21" s="81">
        <v>2.3383584496082102</v>
      </c>
      <c r="AF21" s="81">
        <v>15.125914253145799</v>
      </c>
      <c r="AG21" s="81">
        <v>15.6726649057182</v>
      </c>
      <c r="AH21" s="81">
        <v>3.4640058347390701</v>
      </c>
      <c r="AI21" s="81">
        <v>100</v>
      </c>
      <c r="AJ21" s="81">
        <v>100</v>
      </c>
      <c r="AK21" s="81">
        <v>100</v>
      </c>
    </row>
    <row r="22" spans="1:37" ht="20.149999999999999" customHeight="1" x14ac:dyDescent="0.35">
      <c r="A22" s="35" t="s">
        <v>17</v>
      </c>
      <c r="B22" s="79">
        <v>0</v>
      </c>
      <c r="C22" s="79">
        <v>0</v>
      </c>
      <c r="D22" s="79">
        <v>0</v>
      </c>
      <c r="E22" s="79">
        <v>1.0322738068233299</v>
      </c>
      <c r="F22" s="79">
        <v>0.98430977669388198</v>
      </c>
      <c r="G22" s="79">
        <v>2.0933675185158598</v>
      </c>
      <c r="H22" s="79">
        <v>1.4958803200662101</v>
      </c>
      <c r="I22" s="79">
        <v>1.3481524238982601</v>
      </c>
      <c r="J22" s="79">
        <v>4.7640198246561001</v>
      </c>
      <c r="K22" s="79">
        <v>3.5361147549838199</v>
      </c>
      <c r="L22" s="79">
        <v>3.0938309304262099</v>
      </c>
      <c r="M22" s="79">
        <v>13.3206258512124</v>
      </c>
      <c r="N22" s="79">
        <v>11.0199527490468</v>
      </c>
      <c r="O22" s="79">
        <v>10.1555251312974</v>
      </c>
      <c r="P22" s="79">
        <v>30.143423127408099</v>
      </c>
      <c r="Q22" s="79">
        <v>14.1358403892601</v>
      </c>
      <c r="R22" s="79">
        <v>13.7856813772454</v>
      </c>
      <c r="S22" s="79">
        <v>21.8823021594363</v>
      </c>
      <c r="T22" s="79">
        <v>14.560284819108899</v>
      </c>
      <c r="U22" s="79">
        <v>14.6679147506959</v>
      </c>
      <c r="V22" s="79">
        <v>12.1792204404763</v>
      </c>
      <c r="W22" s="79">
        <v>6.9143391742315101</v>
      </c>
      <c r="X22" s="79">
        <v>6.89271046637956</v>
      </c>
      <c r="Y22" s="79">
        <v>7.3928245273554403</v>
      </c>
      <c r="Z22" s="79">
        <v>7.0335075216326199</v>
      </c>
      <c r="AA22" s="79">
        <v>7.1845477198132999</v>
      </c>
      <c r="AB22" s="79">
        <v>3.6920909628116698</v>
      </c>
      <c r="AC22" s="79">
        <v>7.4068973980238697</v>
      </c>
      <c r="AD22" s="79">
        <v>7.5368441126125401</v>
      </c>
      <c r="AE22" s="79">
        <v>4.5321255881277303</v>
      </c>
      <c r="AF22" s="79">
        <v>32.864909066822896</v>
      </c>
      <c r="AG22" s="79">
        <v>34.350483310937598</v>
      </c>
      <c r="AH22" s="79">
        <v>0</v>
      </c>
      <c r="AI22" s="79">
        <v>100</v>
      </c>
      <c r="AJ22" s="79">
        <v>100</v>
      </c>
      <c r="AK22" s="79">
        <v>100</v>
      </c>
    </row>
    <row r="23" spans="1:37" ht="20.149999999999999" customHeight="1" x14ac:dyDescent="0.35">
      <c r="A23" s="38" t="s">
        <v>18</v>
      </c>
      <c r="B23" s="81">
        <v>0</v>
      </c>
      <c r="C23" s="81">
        <v>0</v>
      </c>
      <c r="D23" s="81">
        <v>0</v>
      </c>
      <c r="E23" s="81">
        <v>0.67217118754167005</v>
      </c>
      <c r="F23" s="81">
        <v>0.62806894024428195</v>
      </c>
      <c r="G23" s="81">
        <v>2.0955244554447301</v>
      </c>
      <c r="H23" s="81">
        <v>1.0615005005478899</v>
      </c>
      <c r="I23" s="81">
        <v>0.94864373548138003</v>
      </c>
      <c r="J23" s="81">
        <v>4.7038329259047504</v>
      </c>
      <c r="K23" s="81">
        <v>2.4337234354539299</v>
      </c>
      <c r="L23" s="81">
        <v>2.1103049711531998</v>
      </c>
      <c r="M23" s="81">
        <v>12.8717114354417</v>
      </c>
      <c r="N23" s="81">
        <v>8.4200012141436105</v>
      </c>
      <c r="O23" s="81">
        <v>7.5931278293047804</v>
      </c>
      <c r="P23" s="81">
        <v>35.106462938331198</v>
      </c>
      <c r="Q23" s="81">
        <v>12.5285383438266</v>
      </c>
      <c r="R23" s="81">
        <v>12.131817156641601</v>
      </c>
      <c r="S23" s="81">
        <v>25.332293998693</v>
      </c>
      <c r="T23" s="81">
        <v>13.9759770276123</v>
      </c>
      <c r="U23" s="81">
        <v>13.9773570070095</v>
      </c>
      <c r="V23" s="81">
        <v>13.9314396558221</v>
      </c>
      <c r="W23" s="81">
        <v>6.7618989920395496</v>
      </c>
      <c r="X23" s="81">
        <v>6.8299332939983897</v>
      </c>
      <c r="Y23" s="81">
        <v>4.5661640361850404</v>
      </c>
      <c r="Z23" s="81">
        <v>7.3597817621250297</v>
      </c>
      <c r="AA23" s="81">
        <v>7.5446743185290703</v>
      </c>
      <c r="AB23" s="81">
        <v>1.3925705541775499</v>
      </c>
      <c r="AC23" s="81">
        <v>9.9056947025043307</v>
      </c>
      <c r="AD23" s="81">
        <v>10.212620191259401</v>
      </c>
      <c r="AE23" s="81">
        <v>0</v>
      </c>
      <c r="AF23" s="81">
        <v>36.880712834205099</v>
      </c>
      <c r="AG23" s="81">
        <v>38.023452556378402</v>
      </c>
      <c r="AH23" s="81">
        <v>0</v>
      </c>
      <c r="AI23" s="81">
        <v>100</v>
      </c>
      <c r="AJ23" s="81">
        <v>100</v>
      </c>
      <c r="AK23" s="81">
        <v>100</v>
      </c>
    </row>
    <row r="24" spans="1:37" ht="20.149999999999999" customHeight="1" x14ac:dyDescent="0.35">
      <c r="A24" s="35" t="s">
        <v>19</v>
      </c>
      <c r="B24" s="79">
        <v>0</v>
      </c>
      <c r="C24" s="79">
        <v>0</v>
      </c>
      <c r="D24" s="79">
        <v>0</v>
      </c>
      <c r="E24" s="79">
        <v>1.2957584106298901</v>
      </c>
      <c r="F24" s="79">
        <v>1.30296370824145</v>
      </c>
      <c r="G24" s="79">
        <v>1.17063575475602</v>
      </c>
      <c r="H24" s="79">
        <v>1.7441699817152201</v>
      </c>
      <c r="I24" s="79">
        <v>1.6939255857741899</v>
      </c>
      <c r="J24" s="79">
        <v>2.6166824859637701</v>
      </c>
      <c r="K24" s="79">
        <v>3.7720758312270299</v>
      </c>
      <c r="L24" s="79">
        <v>3.5316451960533501</v>
      </c>
      <c r="M24" s="79">
        <v>7.9472426665418903</v>
      </c>
      <c r="N24" s="79">
        <v>12.616091808543899</v>
      </c>
      <c r="O24" s="79">
        <v>11.989687979626799</v>
      </c>
      <c r="P24" s="79">
        <v>23.493825796644401</v>
      </c>
      <c r="Q24" s="79">
        <v>16.616556772298001</v>
      </c>
      <c r="R24" s="79">
        <v>16.484251282082901</v>
      </c>
      <c r="S24" s="79">
        <v>18.9140905057894</v>
      </c>
      <c r="T24" s="79">
        <v>16.338658285124701</v>
      </c>
      <c r="U24" s="79">
        <v>16.368732892876899</v>
      </c>
      <c r="V24" s="79">
        <v>15.816401606889199</v>
      </c>
      <c r="W24" s="79">
        <v>7.75360337931511</v>
      </c>
      <c r="X24" s="79">
        <v>7.7940906245208996</v>
      </c>
      <c r="Y24" s="79">
        <v>7.0505274035171697</v>
      </c>
      <c r="Z24" s="79">
        <v>7.9852958231636801</v>
      </c>
      <c r="AA24" s="79">
        <v>7.9832774687145003</v>
      </c>
      <c r="AB24" s="79">
        <v>8.0203452940933708</v>
      </c>
      <c r="AC24" s="79">
        <v>8.2252085038010705</v>
      </c>
      <c r="AD24" s="79">
        <v>8.3385582906514699</v>
      </c>
      <c r="AE24" s="79">
        <v>6.2568475646639401</v>
      </c>
      <c r="AF24" s="79">
        <v>23.652581204181299</v>
      </c>
      <c r="AG24" s="79">
        <v>24.512866971457601</v>
      </c>
      <c r="AH24" s="79">
        <v>8.7134009211409005</v>
      </c>
      <c r="AI24" s="79">
        <v>100</v>
      </c>
      <c r="AJ24" s="79">
        <v>100</v>
      </c>
      <c r="AK24" s="79">
        <v>100</v>
      </c>
    </row>
    <row r="25" spans="1:37" ht="20.149999999999999" customHeight="1" x14ac:dyDescent="0.35">
      <c r="A25" s="38" t="s">
        <v>20</v>
      </c>
      <c r="B25" s="81">
        <v>0</v>
      </c>
      <c r="C25" s="81">
        <v>0</v>
      </c>
      <c r="D25" s="81">
        <v>0</v>
      </c>
      <c r="E25" s="81">
        <v>1.01710674756768</v>
      </c>
      <c r="F25" s="81">
        <v>0.97617312013872404</v>
      </c>
      <c r="G25" s="81">
        <v>1.1406046607882701</v>
      </c>
      <c r="H25" s="81">
        <v>1.80637997503387</v>
      </c>
      <c r="I25" s="81">
        <v>1.39197721004341</v>
      </c>
      <c r="J25" s="81">
        <v>3.0566448531707602</v>
      </c>
      <c r="K25" s="81">
        <v>4.4700503901830597</v>
      </c>
      <c r="L25" s="81">
        <v>2.9182328914294899</v>
      </c>
      <c r="M25" s="81">
        <v>9.1519277324215995</v>
      </c>
      <c r="N25" s="81">
        <v>13.6658856751583</v>
      </c>
      <c r="O25" s="81">
        <v>10.006009924086401</v>
      </c>
      <c r="P25" s="81">
        <v>24.707834466246702</v>
      </c>
      <c r="Q25" s="81">
        <v>14.8473932731722</v>
      </c>
      <c r="R25" s="81">
        <v>13.956442802423499</v>
      </c>
      <c r="S25" s="81">
        <v>17.5354160757282</v>
      </c>
      <c r="T25" s="81">
        <v>13.7352776071503</v>
      </c>
      <c r="U25" s="81">
        <v>14.982346688820099</v>
      </c>
      <c r="V25" s="81">
        <v>9.9728348699304998</v>
      </c>
      <c r="W25" s="81">
        <v>6.23982653515605</v>
      </c>
      <c r="X25" s="81">
        <v>7.1947346545180597</v>
      </c>
      <c r="Y25" s="81">
        <v>3.3588416954106801</v>
      </c>
      <c r="Z25" s="81">
        <v>6.6328669923678101</v>
      </c>
      <c r="AA25" s="81">
        <v>7.8623810003698598</v>
      </c>
      <c r="AB25" s="81">
        <v>2.9233884095748701</v>
      </c>
      <c r="AC25" s="81">
        <v>8.4719141667375197</v>
      </c>
      <c r="AD25" s="81">
        <v>10.6061097016676</v>
      </c>
      <c r="AE25" s="81">
        <v>2.03298579602296</v>
      </c>
      <c r="AF25" s="81">
        <v>29.1132986374732</v>
      </c>
      <c r="AG25" s="81">
        <v>30.105592006502899</v>
      </c>
      <c r="AH25" s="81">
        <v>26.119521440705501</v>
      </c>
      <c r="AI25" s="81">
        <v>100</v>
      </c>
      <c r="AJ25" s="81">
        <v>100</v>
      </c>
      <c r="AK25" s="81">
        <v>100</v>
      </c>
    </row>
    <row r="26" spans="1:37" ht="20.149999999999999" customHeight="1" x14ac:dyDescent="0.35">
      <c r="A26" s="35" t="s">
        <v>21</v>
      </c>
      <c r="B26" s="79">
        <v>0</v>
      </c>
      <c r="C26" s="79">
        <v>0</v>
      </c>
      <c r="D26" s="79">
        <v>0</v>
      </c>
      <c r="E26" s="79">
        <v>1.5947900000803601</v>
      </c>
      <c r="F26" s="79">
        <v>1.57838643267399</v>
      </c>
      <c r="G26" s="79">
        <v>2.2872193294879</v>
      </c>
      <c r="H26" s="79">
        <v>2.1206050468341502</v>
      </c>
      <c r="I26" s="79">
        <v>2.0686443331434301</v>
      </c>
      <c r="J26" s="79">
        <v>4.3139768448756604</v>
      </c>
      <c r="K26" s="79">
        <v>4.2749000275556304</v>
      </c>
      <c r="L26" s="79">
        <v>4.1264877284955102</v>
      </c>
      <c r="M26" s="79">
        <v>10.5396975662991</v>
      </c>
      <c r="N26" s="79">
        <v>12.9716848131061</v>
      </c>
      <c r="O26" s="79">
        <v>12.6431474325569</v>
      </c>
      <c r="P26" s="79">
        <v>26.8399436170202</v>
      </c>
      <c r="Q26" s="79">
        <v>17.663848382451299</v>
      </c>
      <c r="R26" s="79">
        <v>17.614934419200399</v>
      </c>
      <c r="S26" s="79">
        <v>19.728610390215099</v>
      </c>
      <c r="T26" s="79">
        <v>17.847265912578901</v>
      </c>
      <c r="U26" s="79">
        <v>17.9375133909219</v>
      </c>
      <c r="V26" s="79">
        <v>14.0377286721896</v>
      </c>
      <c r="W26" s="79">
        <v>7.9189984797488604</v>
      </c>
      <c r="X26" s="79">
        <v>7.9413705506213397</v>
      </c>
      <c r="Y26" s="79">
        <v>6.97462597540739</v>
      </c>
      <c r="Z26" s="79">
        <v>8.1378001869337293</v>
      </c>
      <c r="AA26" s="79">
        <v>8.1841734753491302</v>
      </c>
      <c r="AB26" s="79">
        <v>6.1802854461199104</v>
      </c>
      <c r="AC26" s="79">
        <v>7.7616810505828298</v>
      </c>
      <c r="AD26" s="79">
        <v>7.7900742965229197</v>
      </c>
      <c r="AE26" s="79">
        <v>6.5631419914285303</v>
      </c>
      <c r="AF26" s="79">
        <v>19.7084261001282</v>
      </c>
      <c r="AG26" s="79">
        <v>20.115267940514499</v>
      </c>
      <c r="AH26" s="79">
        <v>2.53477016695664</v>
      </c>
      <c r="AI26" s="79">
        <v>100</v>
      </c>
      <c r="AJ26" s="79">
        <v>100</v>
      </c>
      <c r="AK26" s="79">
        <v>100</v>
      </c>
    </row>
    <row r="27" spans="1:37" ht="20.149999999999999" customHeight="1" x14ac:dyDescent="0.35">
      <c r="A27" s="38" t="s">
        <v>22</v>
      </c>
      <c r="B27" s="81">
        <v>0</v>
      </c>
      <c r="C27" s="81">
        <v>0</v>
      </c>
      <c r="D27" s="81">
        <v>0</v>
      </c>
      <c r="E27" s="81">
        <v>1.2648854845772399</v>
      </c>
      <c r="F27" s="81">
        <v>1.2641791383780601</v>
      </c>
      <c r="G27" s="81">
        <v>1.2810386156619999</v>
      </c>
      <c r="H27" s="81">
        <v>1.8665524651341401</v>
      </c>
      <c r="I27" s="81">
        <v>1.8073895013044099</v>
      </c>
      <c r="J27" s="81">
        <v>3.21952514512666</v>
      </c>
      <c r="K27" s="81">
        <v>3.9088049496841202</v>
      </c>
      <c r="L27" s="81">
        <v>3.7142833925398602</v>
      </c>
      <c r="M27" s="81">
        <v>8.3572357829197799</v>
      </c>
      <c r="N27" s="81">
        <v>12.0344874841514</v>
      </c>
      <c r="O27" s="81">
        <v>11.582681101577601</v>
      </c>
      <c r="P27" s="81">
        <v>22.3666556633497</v>
      </c>
      <c r="Q27" s="81">
        <v>15.4752596713292</v>
      </c>
      <c r="R27" s="81">
        <v>15.305962203683199</v>
      </c>
      <c r="S27" s="81">
        <v>19.3468515201772</v>
      </c>
      <c r="T27" s="81">
        <v>15.7036755431216</v>
      </c>
      <c r="U27" s="81">
        <v>15.6678461043577</v>
      </c>
      <c r="V27" s="81">
        <v>16.523043753385899</v>
      </c>
      <c r="W27" s="81">
        <v>7.3170466439549298</v>
      </c>
      <c r="X27" s="81">
        <v>7.2948297199991501</v>
      </c>
      <c r="Y27" s="81">
        <v>7.8251160373705204</v>
      </c>
      <c r="Z27" s="81">
        <v>7.5485346003379101</v>
      </c>
      <c r="AA27" s="81">
        <v>7.5451778507520499</v>
      </c>
      <c r="AB27" s="81">
        <v>7.6252986802498697</v>
      </c>
      <c r="AC27" s="81">
        <v>7.7925059193483799</v>
      </c>
      <c r="AD27" s="81">
        <v>7.8905478618601501</v>
      </c>
      <c r="AE27" s="81">
        <v>5.5504263965310798</v>
      </c>
      <c r="AF27" s="81">
        <v>27.088247238360999</v>
      </c>
      <c r="AG27" s="81">
        <v>27.927103125547799</v>
      </c>
      <c r="AH27" s="81">
        <v>7.9048084052272998</v>
      </c>
      <c r="AI27" s="81">
        <v>100</v>
      </c>
      <c r="AJ27" s="81">
        <v>100</v>
      </c>
      <c r="AK27" s="81">
        <v>100</v>
      </c>
    </row>
    <row r="28" spans="1:37" ht="20.149999999999999" customHeight="1" x14ac:dyDescent="0.35">
      <c r="A28" s="35" t="s">
        <v>23</v>
      </c>
      <c r="B28" s="79">
        <v>0</v>
      </c>
      <c r="C28" s="79">
        <v>0</v>
      </c>
      <c r="D28" s="79">
        <v>0</v>
      </c>
      <c r="E28" s="79">
        <v>1.3612173700185599</v>
      </c>
      <c r="F28" s="79">
        <v>1.1524374755698901</v>
      </c>
      <c r="G28" s="79">
        <v>4.4792186937237197</v>
      </c>
      <c r="H28" s="79">
        <v>2.1232696367957602</v>
      </c>
      <c r="I28" s="79">
        <v>1.6377886144748799</v>
      </c>
      <c r="J28" s="79">
        <v>9.3736347843956604</v>
      </c>
      <c r="K28" s="79">
        <v>4.4927233444305399</v>
      </c>
      <c r="L28" s="79">
        <v>3.51633472804766</v>
      </c>
      <c r="M28" s="79">
        <v>19.0744962032195</v>
      </c>
      <c r="N28" s="79">
        <v>11.130284153233401</v>
      </c>
      <c r="O28" s="79">
        <v>9.8940185881427496</v>
      </c>
      <c r="P28" s="79">
        <v>29.593161905819699</v>
      </c>
      <c r="Q28" s="79">
        <v>11.850905937876799</v>
      </c>
      <c r="R28" s="79">
        <v>11.602605620146001</v>
      </c>
      <c r="S28" s="79">
        <v>15.559120856777</v>
      </c>
      <c r="T28" s="79">
        <v>11.831126157907001</v>
      </c>
      <c r="U28" s="79">
        <v>11.9362178317435</v>
      </c>
      <c r="V28" s="79">
        <v>10.2616456339421</v>
      </c>
      <c r="W28" s="79">
        <v>6.7186257785854604</v>
      </c>
      <c r="X28" s="79">
        <v>6.9484633210076998</v>
      </c>
      <c r="Y28" s="79">
        <v>3.2861412311529001</v>
      </c>
      <c r="Z28" s="79">
        <v>8.3424886101083597</v>
      </c>
      <c r="AA28" s="79">
        <v>8.6755939204619192</v>
      </c>
      <c r="AB28" s="79">
        <v>3.3677624691727002</v>
      </c>
      <c r="AC28" s="79">
        <v>10.6656188291426</v>
      </c>
      <c r="AD28" s="79">
        <v>11.143603571499099</v>
      </c>
      <c r="AE28" s="79">
        <v>3.5272060844001998</v>
      </c>
      <c r="AF28" s="79">
        <v>31.483740181901499</v>
      </c>
      <c r="AG28" s="79">
        <v>33.492936328906602</v>
      </c>
      <c r="AH28" s="79">
        <v>1.4776121373964699</v>
      </c>
      <c r="AI28" s="79">
        <v>100</v>
      </c>
      <c r="AJ28" s="79">
        <v>100</v>
      </c>
      <c r="AK28" s="79">
        <v>100</v>
      </c>
    </row>
    <row r="29" spans="1:37" ht="20.149999999999999" customHeight="1" x14ac:dyDescent="0.35">
      <c r="A29" s="38" t="s">
        <v>24</v>
      </c>
      <c r="B29" s="81">
        <v>0</v>
      </c>
      <c r="C29" s="81">
        <v>0</v>
      </c>
      <c r="D29" s="81">
        <v>0</v>
      </c>
      <c r="E29" s="81">
        <v>1.46455234816691</v>
      </c>
      <c r="F29" s="81">
        <v>1.4939991650286299</v>
      </c>
      <c r="G29" s="81">
        <v>1.0979299931672499</v>
      </c>
      <c r="H29" s="81">
        <v>1.9470155114665999</v>
      </c>
      <c r="I29" s="81">
        <v>1.9284798881776699</v>
      </c>
      <c r="J29" s="81">
        <v>2.1777899918963701</v>
      </c>
      <c r="K29" s="81">
        <v>3.9907861753166101</v>
      </c>
      <c r="L29" s="81">
        <v>3.83935478356547</v>
      </c>
      <c r="M29" s="81">
        <v>5.8761557799630797</v>
      </c>
      <c r="N29" s="81">
        <v>11.2580891125692</v>
      </c>
      <c r="O29" s="81">
        <v>10.911870420728301</v>
      </c>
      <c r="P29" s="81">
        <v>15.568623345985699</v>
      </c>
      <c r="Q29" s="81">
        <v>13.191135958875501</v>
      </c>
      <c r="R29" s="81">
        <v>13.1074289848486</v>
      </c>
      <c r="S29" s="81">
        <v>14.233314748242099</v>
      </c>
      <c r="T29" s="81">
        <v>13.7395784751203</v>
      </c>
      <c r="U29" s="81">
        <v>13.7481645621761</v>
      </c>
      <c r="V29" s="81">
        <v>13.632678925623599</v>
      </c>
      <c r="W29" s="81">
        <v>7.3441002979715204</v>
      </c>
      <c r="X29" s="81">
        <v>7.3742525450687904</v>
      </c>
      <c r="Y29" s="81">
        <v>6.9686951093141998</v>
      </c>
      <c r="Z29" s="81">
        <v>8.4076821386823095</v>
      </c>
      <c r="AA29" s="81">
        <v>8.5409645573258608</v>
      </c>
      <c r="AB29" s="81">
        <v>6.7482730951645999</v>
      </c>
      <c r="AC29" s="81">
        <v>9.60661315992186</v>
      </c>
      <c r="AD29" s="81">
        <v>9.8820868228928802</v>
      </c>
      <c r="AE29" s="81">
        <v>6.17687732351287</v>
      </c>
      <c r="AF29" s="81">
        <v>29.050446821909301</v>
      </c>
      <c r="AG29" s="81">
        <v>29.1733982701878</v>
      </c>
      <c r="AH29" s="81">
        <v>27.519661687130199</v>
      </c>
      <c r="AI29" s="81">
        <v>100</v>
      </c>
      <c r="AJ29" s="81">
        <v>100</v>
      </c>
      <c r="AK29" s="81">
        <v>100</v>
      </c>
    </row>
    <row r="30" spans="1:37" ht="20.149999999999999" customHeight="1" x14ac:dyDescent="0.35">
      <c r="A30" s="35" t="s">
        <v>25</v>
      </c>
      <c r="B30" s="79">
        <v>0</v>
      </c>
      <c r="C30" s="79">
        <v>0</v>
      </c>
      <c r="D30" s="79">
        <v>0</v>
      </c>
      <c r="E30" s="79">
        <v>2.3373907112855101</v>
      </c>
      <c r="F30" s="79">
        <v>1.69188669870987</v>
      </c>
      <c r="G30" s="79">
        <v>8.2204440752514198</v>
      </c>
      <c r="H30" s="79">
        <v>3.4450645971702998</v>
      </c>
      <c r="I30" s="79">
        <v>2.2175099517261998</v>
      </c>
      <c r="J30" s="79">
        <v>14.632864123800999</v>
      </c>
      <c r="K30" s="79">
        <v>6.4541397259285498</v>
      </c>
      <c r="L30" s="79">
        <v>4.7040307181366199</v>
      </c>
      <c r="M30" s="79">
        <v>22.404442876663801</v>
      </c>
      <c r="N30" s="79">
        <v>16.419822179929302</v>
      </c>
      <c r="O30" s="79">
        <v>15.2145794407993</v>
      </c>
      <c r="P30" s="79">
        <v>27.404273419112702</v>
      </c>
      <c r="Q30" s="79">
        <v>17.5974545460546</v>
      </c>
      <c r="R30" s="79">
        <v>17.912685928152602</v>
      </c>
      <c r="S30" s="79">
        <v>14.7244700149758</v>
      </c>
      <c r="T30" s="79">
        <v>14.6842395096233</v>
      </c>
      <c r="U30" s="79">
        <v>15.452101115713701</v>
      </c>
      <c r="V30" s="79">
        <v>7.6860323462852298</v>
      </c>
      <c r="W30" s="79">
        <v>6.3787266134779497</v>
      </c>
      <c r="X30" s="79">
        <v>6.8521363840353899</v>
      </c>
      <c r="Y30" s="79">
        <v>2.0641214538609298</v>
      </c>
      <c r="Z30" s="79">
        <v>6.7732143898553403</v>
      </c>
      <c r="AA30" s="79">
        <v>7.3244271673385102</v>
      </c>
      <c r="AB30" s="79">
        <v>1.7495210871690301</v>
      </c>
      <c r="AC30" s="79">
        <v>7.02477926043992</v>
      </c>
      <c r="AD30" s="79">
        <v>7.6961968047988503</v>
      </c>
      <c r="AE30" s="79">
        <v>0.90555278622232305</v>
      </c>
      <c r="AF30" s="79">
        <v>18.8851684662352</v>
      </c>
      <c r="AG30" s="79">
        <v>20.934445790588999</v>
      </c>
      <c r="AH30" s="79">
        <v>0.208277816657677</v>
      </c>
      <c r="AI30" s="79">
        <v>100</v>
      </c>
      <c r="AJ30" s="79">
        <v>100</v>
      </c>
      <c r="AK30" s="79">
        <v>100</v>
      </c>
    </row>
    <row r="31" spans="1:37" ht="20.149999999999999" customHeight="1" x14ac:dyDescent="0.35">
      <c r="A31" s="38" t="s">
        <v>26</v>
      </c>
      <c r="B31" s="81">
        <v>0</v>
      </c>
      <c r="C31" s="81">
        <v>0</v>
      </c>
      <c r="D31" s="81">
        <v>0</v>
      </c>
      <c r="E31" s="81">
        <v>2.88244219972924</v>
      </c>
      <c r="F31" s="81">
        <v>2.8603108777648401</v>
      </c>
      <c r="G31" s="81">
        <v>3.4702945956801599</v>
      </c>
      <c r="H31" s="81">
        <v>3.4037540597335298</v>
      </c>
      <c r="I31" s="81">
        <v>3.3083030633256798</v>
      </c>
      <c r="J31" s="81">
        <v>5.9391243834997001</v>
      </c>
      <c r="K31" s="81">
        <v>6.5285868141817804</v>
      </c>
      <c r="L31" s="81">
        <v>6.2797690797095296</v>
      </c>
      <c r="M31" s="81">
        <v>13.1376859723732</v>
      </c>
      <c r="N31" s="81">
        <v>16.671532581350501</v>
      </c>
      <c r="O31" s="81">
        <v>16.3386373105524</v>
      </c>
      <c r="P31" s="81">
        <v>25.5139001025574</v>
      </c>
      <c r="Q31" s="81">
        <v>16.342666688344199</v>
      </c>
      <c r="R31" s="81">
        <v>16.165150605350501</v>
      </c>
      <c r="S31" s="81">
        <v>21.0578506649513</v>
      </c>
      <c r="T31" s="81">
        <v>13.8578219245664</v>
      </c>
      <c r="U31" s="81">
        <v>13.7982155706072</v>
      </c>
      <c r="V31" s="81">
        <v>15.4410864961622</v>
      </c>
      <c r="W31" s="81">
        <v>6.7472047277993497</v>
      </c>
      <c r="X31" s="81">
        <v>6.7751528833709704</v>
      </c>
      <c r="Y31" s="81">
        <v>6.0048455392425399</v>
      </c>
      <c r="Z31" s="81">
        <v>7.5939065455384602</v>
      </c>
      <c r="AA31" s="81">
        <v>7.6714785363954396</v>
      </c>
      <c r="AB31" s="81">
        <v>5.5334385465048799</v>
      </c>
      <c r="AC31" s="81">
        <v>8.0122068979104295</v>
      </c>
      <c r="AD31" s="81">
        <v>8.1669554728319707</v>
      </c>
      <c r="AE31" s="81">
        <v>3.9017736990285701</v>
      </c>
      <c r="AF31" s="81">
        <v>17.959877560846198</v>
      </c>
      <c r="AG31" s="81">
        <v>18.636026600091601</v>
      </c>
      <c r="AH31" s="81">
        <v>0</v>
      </c>
      <c r="AI31" s="81">
        <v>100</v>
      </c>
      <c r="AJ31" s="81">
        <v>100</v>
      </c>
      <c r="AK31" s="81">
        <v>100</v>
      </c>
    </row>
    <row r="32" spans="1:37" ht="20.149999999999999" customHeight="1" x14ac:dyDescent="0.35">
      <c r="A32" s="35" t="s">
        <v>27</v>
      </c>
      <c r="B32" s="79">
        <v>0</v>
      </c>
      <c r="C32" s="79">
        <v>0</v>
      </c>
      <c r="D32" s="79">
        <v>0</v>
      </c>
      <c r="E32" s="79">
        <v>0.67480522367977702</v>
      </c>
      <c r="F32" s="79">
        <v>0.67892998230864698</v>
      </c>
      <c r="G32" s="79">
        <v>0.58075790171911701</v>
      </c>
      <c r="H32" s="79">
        <v>0.85961777680389095</v>
      </c>
      <c r="I32" s="79">
        <v>0.865654008378544</v>
      </c>
      <c r="J32" s="79">
        <v>0.721987562430354</v>
      </c>
      <c r="K32" s="79">
        <v>1.7410501129892599</v>
      </c>
      <c r="L32" s="79">
        <v>1.7444000098965999</v>
      </c>
      <c r="M32" s="79">
        <v>1.6646701690151799</v>
      </c>
      <c r="N32" s="79">
        <v>5.0755967334364698</v>
      </c>
      <c r="O32" s="79">
        <v>4.9956912132099598</v>
      </c>
      <c r="P32" s="79">
        <v>6.8974973252863601</v>
      </c>
      <c r="Q32" s="79">
        <v>6.59466947294327</v>
      </c>
      <c r="R32" s="79">
        <v>6.4474718762741103</v>
      </c>
      <c r="S32" s="79">
        <v>9.9508754988873402</v>
      </c>
      <c r="T32" s="79">
        <v>7.8923393733426899</v>
      </c>
      <c r="U32" s="79">
        <v>7.7506059159598797</v>
      </c>
      <c r="V32" s="79">
        <v>11.1239592809371</v>
      </c>
      <c r="W32" s="79">
        <v>4.5249465556713604</v>
      </c>
      <c r="X32" s="79">
        <v>4.3982083168473904</v>
      </c>
      <c r="Y32" s="79">
        <v>7.41466520926196</v>
      </c>
      <c r="Z32" s="79">
        <v>5.9131259362256099</v>
      </c>
      <c r="AA32" s="79">
        <v>5.7380381381215999</v>
      </c>
      <c r="AB32" s="79">
        <v>9.9052476580683706</v>
      </c>
      <c r="AC32" s="79">
        <v>8.3044431963611007</v>
      </c>
      <c r="AD32" s="79">
        <v>8.0533693039932004</v>
      </c>
      <c r="AE32" s="79">
        <v>14.0290999135246</v>
      </c>
      <c r="AF32" s="79">
        <v>58.419405618546598</v>
      </c>
      <c r="AG32" s="79">
        <v>59.327631235010102</v>
      </c>
      <c r="AH32" s="79">
        <v>37.7112394808697</v>
      </c>
      <c r="AI32" s="79">
        <v>100</v>
      </c>
      <c r="AJ32" s="79">
        <v>100</v>
      </c>
      <c r="AK32" s="79">
        <v>100</v>
      </c>
    </row>
    <row r="33" spans="1:37" ht="20.149999999999999" customHeight="1" x14ac:dyDescent="0.35">
      <c r="A33" s="38" t="s">
        <v>28</v>
      </c>
      <c r="B33" s="81">
        <v>0</v>
      </c>
      <c r="C33" s="81">
        <v>0</v>
      </c>
      <c r="D33" s="81">
        <v>0</v>
      </c>
      <c r="E33" s="81">
        <v>2.8633840167700102</v>
      </c>
      <c r="F33" s="81">
        <v>2.7227942118438899</v>
      </c>
      <c r="G33" s="81">
        <v>8.0540910586164305</v>
      </c>
      <c r="H33" s="81">
        <v>3.98374485051579</v>
      </c>
      <c r="I33" s="81">
        <v>3.6634466364024298</v>
      </c>
      <c r="J33" s="81">
        <v>15.809454377339399</v>
      </c>
      <c r="K33" s="81">
        <v>7.9658954153266697</v>
      </c>
      <c r="L33" s="81">
        <v>7.4977075465064598</v>
      </c>
      <c r="M33" s="81">
        <v>25.2518292628715</v>
      </c>
      <c r="N33" s="81">
        <v>19.378718583486499</v>
      </c>
      <c r="O33" s="81">
        <v>19.113102238609699</v>
      </c>
      <c r="P33" s="81">
        <v>29.185522373463002</v>
      </c>
      <c r="Q33" s="81">
        <v>16.078945745754101</v>
      </c>
      <c r="R33" s="81">
        <v>16.178135676644601</v>
      </c>
      <c r="S33" s="81">
        <v>12.416760759977601</v>
      </c>
      <c r="T33" s="81">
        <v>11.865166568860401</v>
      </c>
      <c r="U33" s="81">
        <v>12.023051679414801</v>
      </c>
      <c r="V33" s="81">
        <v>6.0359006730264904</v>
      </c>
      <c r="W33" s="81">
        <v>5.1211387513882602</v>
      </c>
      <c r="X33" s="81">
        <v>5.2103952170558498</v>
      </c>
      <c r="Y33" s="81">
        <v>1.8257065889026201</v>
      </c>
      <c r="Z33" s="81">
        <v>5.37460673309055</v>
      </c>
      <c r="AA33" s="81">
        <v>5.4816969742503501</v>
      </c>
      <c r="AB33" s="81">
        <v>1.4207349058029599</v>
      </c>
      <c r="AC33" s="81">
        <v>5.9712681581522</v>
      </c>
      <c r="AD33" s="81">
        <v>6.1329993864315604</v>
      </c>
      <c r="AE33" s="81">
        <v>0</v>
      </c>
      <c r="AF33" s="81">
        <v>21.397131176655499</v>
      </c>
      <c r="AG33" s="81">
        <v>21.976670432840301</v>
      </c>
      <c r="AH33" s="81">
        <v>0</v>
      </c>
      <c r="AI33" s="81">
        <v>100</v>
      </c>
      <c r="AJ33" s="81">
        <v>100</v>
      </c>
      <c r="AK33" s="81">
        <v>100</v>
      </c>
    </row>
    <row r="34" spans="1:37" ht="20.149999999999999" customHeight="1" x14ac:dyDescent="0.35">
      <c r="A34" s="35" t="s">
        <v>29</v>
      </c>
      <c r="B34" s="79">
        <v>0</v>
      </c>
      <c r="C34" s="79">
        <v>0</v>
      </c>
      <c r="D34" s="79">
        <v>0</v>
      </c>
      <c r="E34" s="79">
        <v>1.20181485863077</v>
      </c>
      <c r="F34" s="79">
        <v>1.17430010923362</v>
      </c>
      <c r="G34" s="79">
        <v>1.74826555439767</v>
      </c>
      <c r="H34" s="79">
        <v>1.6605001293721899</v>
      </c>
      <c r="I34" s="79">
        <v>1.56592186412154</v>
      </c>
      <c r="J34" s="79">
        <v>3.5388511950008499</v>
      </c>
      <c r="K34" s="79">
        <v>3.4357522312193498</v>
      </c>
      <c r="L34" s="79">
        <v>3.1877301826316899</v>
      </c>
      <c r="M34" s="79">
        <v>8.3615401808017999</v>
      </c>
      <c r="N34" s="79">
        <v>9.9766225957583305</v>
      </c>
      <c r="O34" s="79">
        <v>9.4923998039344308</v>
      </c>
      <c r="P34" s="79">
        <v>19.593424031201199</v>
      </c>
      <c r="Q34" s="79">
        <v>12.4428834895468</v>
      </c>
      <c r="R34" s="79">
        <v>12.2584835993552</v>
      </c>
      <c r="S34" s="79">
        <v>16.105117400532901</v>
      </c>
      <c r="T34" s="79">
        <v>13.079699035040999</v>
      </c>
      <c r="U34" s="79">
        <v>13.0443049649122</v>
      </c>
      <c r="V34" s="79">
        <v>13.7826352663962</v>
      </c>
      <c r="W34" s="79">
        <v>6.6832484990814898</v>
      </c>
      <c r="X34" s="79">
        <v>6.6815920936217204</v>
      </c>
      <c r="Y34" s="79">
        <v>6.7161451794364604</v>
      </c>
      <c r="Z34" s="79">
        <v>7.4049206413224997</v>
      </c>
      <c r="AA34" s="79">
        <v>7.4358831937578298</v>
      </c>
      <c r="AB34" s="79">
        <v>6.7899956032351803</v>
      </c>
      <c r="AC34" s="79">
        <v>8.4771089477147701</v>
      </c>
      <c r="AD34" s="79">
        <v>8.5656105601787207</v>
      </c>
      <c r="AE34" s="79">
        <v>6.7194419230450801</v>
      </c>
      <c r="AF34" s="79">
        <v>35.637449572312804</v>
      </c>
      <c r="AG34" s="79">
        <v>36.593773628253103</v>
      </c>
      <c r="AH34" s="79">
        <v>16.644583665952698</v>
      </c>
      <c r="AI34" s="79">
        <v>100</v>
      </c>
      <c r="AJ34" s="79">
        <v>100</v>
      </c>
      <c r="AK34" s="79">
        <v>100</v>
      </c>
    </row>
    <row r="35" spans="1:37" ht="15" hidden="1" customHeight="1" x14ac:dyDescent="0.35"/>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7"/>
  <sheetViews>
    <sheetView showGridLines="0" workbookViewId="0">
      <pane xSplit="1" ySplit="5" topLeftCell="I6" activePane="bottomRight" state="frozen"/>
      <selection sqref="A1:XFD1048576"/>
      <selection pane="topRight" sqref="A1:XFD1048576"/>
      <selection pane="bottomLeft" sqref="A1:XFD1048576"/>
      <selection pane="bottomRight" activeCell="I5" activeCellId="1" sqref="C5:C17 I5:I17"/>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29</v>
      </c>
      <c r="B6" s="55" t="s">
        <v>31</v>
      </c>
      <c r="C6" s="78">
        <v>1258692</v>
      </c>
      <c r="D6" s="79">
        <v>22.325835822915501</v>
      </c>
      <c r="E6" s="78">
        <v>1151963</v>
      </c>
      <c r="F6" s="79">
        <v>22.201726509500901</v>
      </c>
      <c r="G6" s="78">
        <v>106729</v>
      </c>
      <c r="H6" s="79">
        <v>23.759372050364199</v>
      </c>
      <c r="I6" s="78">
        <v>0</v>
      </c>
      <c r="J6" s="79">
        <v>0</v>
      </c>
      <c r="K6" s="78">
        <v>0</v>
      </c>
      <c r="L6" s="79">
        <v>0</v>
      </c>
      <c r="M6" s="78">
        <v>0</v>
      </c>
      <c r="N6" s="79">
        <v>0</v>
      </c>
    </row>
    <row r="7" spans="1:14" ht="20.149999999999999" customHeight="1" x14ac:dyDescent="0.35">
      <c r="B7" s="56" t="s">
        <v>32</v>
      </c>
      <c r="C7" s="80">
        <v>1703168</v>
      </c>
      <c r="D7" s="81">
        <v>30.209653471098001</v>
      </c>
      <c r="E7" s="80">
        <v>1599826</v>
      </c>
      <c r="F7" s="81">
        <v>30.8333681852531</v>
      </c>
      <c r="G7" s="80">
        <v>103342</v>
      </c>
      <c r="H7" s="81">
        <v>23.005378354793301</v>
      </c>
      <c r="I7" s="80">
        <v>28900642016</v>
      </c>
      <c r="J7" s="81">
        <v>1.20181485863077</v>
      </c>
      <c r="K7" s="80">
        <v>26885261123</v>
      </c>
      <c r="L7" s="81">
        <v>1.17430010923362</v>
      </c>
      <c r="M7" s="80">
        <v>2015380893</v>
      </c>
      <c r="N7" s="81">
        <v>1.74826555439767</v>
      </c>
    </row>
    <row r="8" spans="1:14" ht="20.149999999999999" customHeight="1" x14ac:dyDescent="0.35">
      <c r="B8" s="55" t="s">
        <v>33</v>
      </c>
      <c r="C8" s="78">
        <v>548846</v>
      </c>
      <c r="D8" s="79">
        <v>9.7350628176423299</v>
      </c>
      <c r="E8" s="78">
        <v>493409</v>
      </c>
      <c r="F8" s="79">
        <v>9.5094475042395707</v>
      </c>
      <c r="G8" s="78">
        <v>55437</v>
      </c>
      <c r="H8" s="79">
        <v>12.3410535876476</v>
      </c>
      <c r="I8" s="78">
        <v>39930875760</v>
      </c>
      <c r="J8" s="79">
        <v>1.6605001293721899</v>
      </c>
      <c r="K8" s="78">
        <v>35851327854</v>
      </c>
      <c r="L8" s="79">
        <v>1.56592186412154</v>
      </c>
      <c r="M8" s="78">
        <v>4079547906</v>
      </c>
      <c r="N8" s="79">
        <v>3.5388511950008499</v>
      </c>
    </row>
    <row r="9" spans="1:14" ht="20.149999999999999" customHeight="1" x14ac:dyDescent="0.35">
      <c r="B9" s="56" t="s">
        <v>34</v>
      </c>
      <c r="C9" s="80">
        <v>571093</v>
      </c>
      <c r="D9" s="81">
        <v>10.129665206115799</v>
      </c>
      <c r="E9" s="80">
        <v>504504</v>
      </c>
      <c r="F9" s="81">
        <v>9.7232808961305501</v>
      </c>
      <c r="G9" s="80">
        <v>66589</v>
      </c>
      <c r="H9" s="81">
        <v>14.823645171056601</v>
      </c>
      <c r="I9" s="80">
        <v>82621249502</v>
      </c>
      <c r="J9" s="81">
        <v>3.4357522312193498</v>
      </c>
      <c r="K9" s="80">
        <v>72982159906</v>
      </c>
      <c r="L9" s="81">
        <v>3.1877301826316899</v>
      </c>
      <c r="M9" s="80">
        <v>9639089596</v>
      </c>
      <c r="N9" s="81">
        <v>8.3615401808017999</v>
      </c>
    </row>
    <row r="10" spans="1:14" ht="20.149999999999999" customHeight="1" x14ac:dyDescent="0.35">
      <c r="B10" s="55" t="s">
        <v>35</v>
      </c>
      <c r="C10" s="78">
        <v>738627</v>
      </c>
      <c r="D10" s="79">
        <v>13.101271110305399</v>
      </c>
      <c r="E10" s="78">
        <v>666862</v>
      </c>
      <c r="F10" s="79">
        <v>12.852398682578199</v>
      </c>
      <c r="G10" s="78">
        <v>71765</v>
      </c>
      <c r="H10" s="79">
        <v>15.9758953536001</v>
      </c>
      <c r="I10" s="78">
        <v>239912825256</v>
      </c>
      <c r="J10" s="79">
        <v>9.9766225957583305</v>
      </c>
      <c r="K10" s="78">
        <v>217325746124</v>
      </c>
      <c r="L10" s="79">
        <v>9.4923998039344308</v>
      </c>
      <c r="M10" s="78">
        <v>22587079132</v>
      </c>
      <c r="N10" s="79">
        <v>19.593424031201199</v>
      </c>
    </row>
    <row r="11" spans="1:14" ht="20.149999999999999" customHeight="1" x14ac:dyDescent="0.35">
      <c r="B11" s="56" t="s">
        <v>36</v>
      </c>
      <c r="C11" s="80">
        <v>425398</v>
      </c>
      <c r="D11" s="81">
        <v>7.5454248596134601</v>
      </c>
      <c r="E11" s="80">
        <v>398488</v>
      </c>
      <c r="F11" s="81">
        <v>7.6800397176975199</v>
      </c>
      <c r="G11" s="80">
        <v>26910</v>
      </c>
      <c r="H11" s="81">
        <v>5.9905433563071</v>
      </c>
      <c r="I11" s="80">
        <v>299220232464</v>
      </c>
      <c r="J11" s="81">
        <v>12.4428834895468</v>
      </c>
      <c r="K11" s="80">
        <v>280654434032</v>
      </c>
      <c r="L11" s="81">
        <v>12.2584835993552</v>
      </c>
      <c r="M11" s="80">
        <v>18565798432</v>
      </c>
      <c r="N11" s="81">
        <v>16.105117400532901</v>
      </c>
    </row>
    <row r="12" spans="1:14" ht="20.149999999999999" customHeight="1" x14ac:dyDescent="0.35">
      <c r="B12" s="55" t="s">
        <v>37</v>
      </c>
      <c r="C12" s="78">
        <v>228350</v>
      </c>
      <c r="D12" s="79">
        <v>4.0503193872390897</v>
      </c>
      <c r="E12" s="78">
        <v>216806</v>
      </c>
      <c r="F12" s="79">
        <v>4.1784914251749798</v>
      </c>
      <c r="G12" s="78">
        <v>11544</v>
      </c>
      <c r="H12" s="79">
        <v>2.5698562803868099</v>
      </c>
      <c r="I12" s="78">
        <v>314534053872</v>
      </c>
      <c r="J12" s="79">
        <v>13.079699035040999</v>
      </c>
      <c r="K12" s="78">
        <v>298645586756</v>
      </c>
      <c r="L12" s="79">
        <v>13.0443049649122</v>
      </c>
      <c r="M12" s="78">
        <v>15888467116</v>
      </c>
      <c r="N12" s="79">
        <v>13.7826352663962</v>
      </c>
    </row>
    <row r="13" spans="1:14" ht="20.149999999999999" customHeight="1" x14ac:dyDescent="0.35">
      <c r="B13" s="56" t="s">
        <v>38</v>
      </c>
      <c r="C13" s="80">
        <v>66282</v>
      </c>
      <c r="D13" s="81">
        <v>1.1756657307859899</v>
      </c>
      <c r="E13" s="80">
        <v>63086</v>
      </c>
      <c r="F13" s="81">
        <v>1.21585338989045</v>
      </c>
      <c r="G13" s="80">
        <v>3196</v>
      </c>
      <c r="H13" s="81">
        <v>0.71147441719648796</v>
      </c>
      <c r="I13" s="80">
        <v>160715413850</v>
      </c>
      <c r="J13" s="81">
        <v>6.6832484990814898</v>
      </c>
      <c r="K13" s="80">
        <v>152973117129</v>
      </c>
      <c r="L13" s="81">
        <v>6.6815920936217204</v>
      </c>
      <c r="M13" s="80">
        <v>7742296721</v>
      </c>
      <c r="N13" s="81">
        <v>6.7161451794364604</v>
      </c>
    </row>
    <row r="14" spans="1:14" ht="20.149999999999999" customHeight="1" x14ac:dyDescent="0.35">
      <c r="B14" s="55" t="s">
        <v>39</v>
      </c>
      <c r="C14" s="78">
        <v>46731</v>
      </c>
      <c r="D14" s="79">
        <v>0.82888318495760904</v>
      </c>
      <c r="E14" s="78">
        <v>44674</v>
      </c>
      <c r="F14" s="79">
        <v>0.86099981517239899</v>
      </c>
      <c r="G14" s="78">
        <v>2057</v>
      </c>
      <c r="H14" s="79">
        <v>0.45791704511050602</v>
      </c>
      <c r="I14" s="78">
        <v>178069824212</v>
      </c>
      <c r="J14" s="79">
        <v>7.4049206413224997</v>
      </c>
      <c r="K14" s="78">
        <v>170242393552</v>
      </c>
      <c r="L14" s="79">
        <v>7.4358831937578298</v>
      </c>
      <c r="M14" s="78">
        <v>7827430660</v>
      </c>
      <c r="N14" s="79">
        <v>6.7899956032351803</v>
      </c>
    </row>
    <row r="15" spans="1:14" ht="20.149999999999999" customHeight="1" x14ac:dyDescent="0.35">
      <c r="B15" s="56" t="s">
        <v>40</v>
      </c>
      <c r="C15" s="80">
        <v>29665</v>
      </c>
      <c r="D15" s="81">
        <v>0.52617790506874396</v>
      </c>
      <c r="E15" s="80">
        <v>28522</v>
      </c>
      <c r="F15" s="81">
        <v>0.54970310982556203</v>
      </c>
      <c r="G15" s="80">
        <v>1143</v>
      </c>
      <c r="H15" s="81">
        <v>0.25444782817759298</v>
      </c>
      <c r="I15" s="80">
        <v>203853271799</v>
      </c>
      <c r="J15" s="81">
        <v>8.4771089477147701</v>
      </c>
      <c r="K15" s="80">
        <v>196107174629</v>
      </c>
      <c r="L15" s="81">
        <v>8.5656105601787207</v>
      </c>
      <c r="M15" s="80">
        <v>7746097170</v>
      </c>
      <c r="N15" s="81">
        <v>6.7194419230450801</v>
      </c>
    </row>
    <row r="16" spans="1:14" ht="20.149999999999999" customHeight="1" x14ac:dyDescent="0.35">
      <c r="B16" s="55" t="s">
        <v>41</v>
      </c>
      <c r="C16" s="78">
        <v>20975</v>
      </c>
      <c r="D16" s="79">
        <v>0.37204050425811203</v>
      </c>
      <c r="E16" s="78">
        <v>20479</v>
      </c>
      <c r="F16" s="79">
        <v>0.39469076453676799</v>
      </c>
      <c r="G16" s="78">
        <v>496</v>
      </c>
      <c r="H16" s="79">
        <v>0.110416555359655</v>
      </c>
      <c r="I16" s="78">
        <v>856991544959</v>
      </c>
      <c r="J16" s="79">
        <v>35.637449572312804</v>
      </c>
      <c r="K16" s="78">
        <v>837803855876</v>
      </c>
      <c r="L16" s="79">
        <v>36.593773628253103</v>
      </c>
      <c r="M16" s="78">
        <v>19187689083</v>
      </c>
      <c r="N16" s="79">
        <v>16.644583665952698</v>
      </c>
    </row>
    <row r="17" spans="2:14" ht="20.149999999999999" customHeight="1" x14ac:dyDescent="0.35">
      <c r="B17" s="56" t="s">
        <v>30</v>
      </c>
      <c r="C17" s="80">
        <v>5637827</v>
      </c>
      <c r="D17" s="81">
        <v>100</v>
      </c>
      <c r="E17" s="80">
        <v>5188619</v>
      </c>
      <c r="F17" s="81">
        <v>100</v>
      </c>
      <c r="G17" s="80">
        <v>449208</v>
      </c>
      <c r="H17" s="81">
        <v>100</v>
      </c>
      <c r="I17" s="80">
        <v>2404749933690</v>
      </c>
      <c r="J17" s="81">
        <v>100</v>
      </c>
      <c r="K17" s="80">
        <v>2289471056981</v>
      </c>
      <c r="L17" s="81">
        <v>100</v>
      </c>
      <c r="M17" s="80">
        <v>115278876709</v>
      </c>
      <c r="N17" s="81">
        <v>100</v>
      </c>
    </row>
  </sheetData>
  <pageMargins left="0.78740157480314998" right="0.78740157480314998" top="0.78740157480314998" bottom="0.78740157480314998" header="0.78740157480314998" footer="0.78740157480314998"/>
  <pageSetup paperSize="9"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BAC04-CCF2-4AFA-9296-BDFFB87210B6}">
  <dimension ref="A3:O31"/>
  <sheetViews>
    <sheetView tabSelected="1" topLeftCell="D1" zoomScale="92" zoomScaleNormal="92" workbookViewId="0">
      <selection activeCell="C23" sqref="C23"/>
    </sheetView>
  </sheetViews>
  <sheetFormatPr baseColWidth="10" defaultRowHeight="14.5" x14ac:dyDescent="0.35"/>
  <cols>
    <col min="2" max="2" width="22.81640625" bestFit="1" customWidth="1"/>
    <col min="3" max="3" width="10.453125" bestFit="1" customWidth="1"/>
    <col min="4" max="4" width="16.1796875" bestFit="1" customWidth="1"/>
    <col min="5" max="5" width="33" bestFit="1" customWidth="1"/>
    <col min="6" max="6" width="28.81640625" bestFit="1" customWidth="1"/>
    <col min="7" max="7" width="13.81640625" bestFit="1" customWidth="1"/>
    <col min="8" max="8" width="15.81640625" bestFit="1" customWidth="1"/>
    <col min="11" max="11" width="25" customWidth="1"/>
    <col min="12" max="12" width="13.26953125" bestFit="1" customWidth="1"/>
  </cols>
  <sheetData>
    <row r="3" spans="1:13" ht="15" thickBot="1" x14ac:dyDescent="0.4">
      <c r="E3" s="109" t="s">
        <v>290</v>
      </c>
      <c r="F3" s="109"/>
      <c r="G3" s="109"/>
      <c r="H3" s="109"/>
    </row>
    <row r="4" spans="1:13" ht="174.5" thickBot="1" x14ac:dyDescent="0.4">
      <c r="A4" t="s">
        <v>293</v>
      </c>
      <c r="B4" s="58" t="s">
        <v>239</v>
      </c>
      <c r="C4" s="57" t="s">
        <v>285</v>
      </c>
      <c r="D4" s="85" t="s">
        <v>284</v>
      </c>
      <c r="E4" s="94" t="s">
        <v>287</v>
      </c>
      <c r="F4" s="94" t="s">
        <v>286</v>
      </c>
      <c r="G4" s="86" t="s">
        <v>288</v>
      </c>
      <c r="H4" s="87" t="s">
        <v>289</v>
      </c>
      <c r="I4" s="98" t="s">
        <v>294</v>
      </c>
      <c r="J4" s="83" t="s">
        <v>297</v>
      </c>
      <c r="K4" s="83" t="s">
        <v>298</v>
      </c>
      <c r="L4" s="83" t="s">
        <v>297</v>
      </c>
      <c r="M4" s="83" t="s">
        <v>298</v>
      </c>
    </row>
    <row r="5" spans="1:13" x14ac:dyDescent="0.35">
      <c r="B5" s="58"/>
      <c r="C5" s="57"/>
      <c r="D5" s="85"/>
      <c r="E5" s="95">
        <v>0</v>
      </c>
      <c r="F5" s="95">
        <v>0</v>
      </c>
      <c r="G5" s="90">
        <v>0</v>
      </c>
      <c r="H5" s="91">
        <f>0</f>
        <v>0</v>
      </c>
      <c r="I5" s="99">
        <f>((F5+F6)*(E6-E5))/2</f>
        <v>0</v>
      </c>
    </row>
    <row r="6" spans="1:13" x14ac:dyDescent="0.35">
      <c r="A6">
        <v>0</v>
      </c>
      <c r="B6" s="55" t="s">
        <v>31</v>
      </c>
      <c r="C6" s="78">
        <v>1258692</v>
      </c>
      <c r="D6" s="88">
        <v>0</v>
      </c>
      <c r="E6" s="95">
        <f>C$6/C17</f>
        <v>0.2232583582291546</v>
      </c>
      <c r="F6" s="97">
        <f>D6</f>
        <v>0</v>
      </c>
      <c r="G6" s="90">
        <f>G5+1/11</f>
        <v>9.0909090909090912E-2</v>
      </c>
      <c r="H6" s="91">
        <f>H5+1/11</f>
        <v>9.0909090909090912E-2</v>
      </c>
      <c r="I6" s="99">
        <f>((F6+F7)*(E7-E6))/2</f>
        <v>1.8153205207826089E-3</v>
      </c>
      <c r="J6">
        <v>1</v>
      </c>
      <c r="K6" s="84">
        <f>SUM(D6:D$16)/D$17</f>
        <v>1</v>
      </c>
      <c r="L6">
        <f>LOG(J6)</f>
        <v>0</v>
      </c>
      <c r="M6">
        <f>LOG(K6)</f>
        <v>0</v>
      </c>
    </row>
    <row r="7" spans="1:13" x14ac:dyDescent="0.35">
      <c r="A7">
        <v>0</v>
      </c>
      <c r="B7" s="56" t="s">
        <v>32</v>
      </c>
      <c r="C7" s="80">
        <v>1703168</v>
      </c>
      <c r="D7" s="89">
        <v>28900642016</v>
      </c>
      <c r="E7" s="95">
        <f>SUM(C$6:C7)/C$17</f>
        <v>0.5253548929401346</v>
      </c>
      <c r="F7" s="95">
        <f>SUM(D$6:D7)/D$17</f>
        <v>1.2018148586307696E-2</v>
      </c>
      <c r="G7" s="90">
        <f t="shared" ref="G7:G16" si="0">G6+1/11</f>
        <v>0.18181818181818182</v>
      </c>
      <c r="H7" s="91">
        <f t="shared" ref="H7:H16" si="1">H6+1/11</f>
        <v>0.18181818181818182</v>
      </c>
      <c r="I7" s="99">
        <f>((F7+F8)*(E8-E7))/2</f>
        <v>1.9782279678017193E-3</v>
      </c>
      <c r="J7">
        <f>SUM(C7:C$16)/C$17</f>
        <v>0.77674164177084537</v>
      </c>
      <c r="K7" s="84">
        <f>SUM(D7:D$16)/D$17</f>
        <v>1</v>
      </c>
      <c r="L7">
        <f>LOG(J7)</f>
        <v>-0.10972341132993091</v>
      </c>
      <c r="M7">
        <f>LOG(K7)</f>
        <v>0</v>
      </c>
    </row>
    <row r="8" spans="1:13" x14ac:dyDescent="0.35">
      <c r="A8">
        <v>50000</v>
      </c>
      <c r="B8" s="55" t="s">
        <v>33</v>
      </c>
      <c r="C8" s="78">
        <v>548846</v>
      </c>
      <c r="D8" s="88">
        <v>39930875760</v>
      </c>
      <c r="E8" s="95">
        <f>SUM(C$6:C8)/C$17</f>
        <v>0.62270552111655786</v>
      </c>
      <c r="F8" s="95">
        <f>SUM(D$6:D8)/D$17</f>
        <v>2.8623149880029553E-2</v>
      </c>
      <c r="G8" s="90">
        <f t="shared" si="0"/>
        <v>0.27272727272727271</v>
      </c>
      <c r="H8" s="91">
        <f t="shared" si="1"/>
        <v>0.27272727272727271</v>
      </c>
      <c r="I8" s="99">
        <f t="shared" ref="I8:I13" si="2">((F8+F9)*(E9-E8))/2</f>
        <v>4.6395802459625783E-3</v>
      </c>
      <c r="J8">
        <f>SUM(C8:C$16)/C$17</f>
        <v>0.47464510705986546</v>
      </c>
      <c r="K8">
        <f>SUM(D8:D$16)/D$17</f>
        <v>0.98798185141369232</v>
      </c>
      <c r="L8">
        <f t="shared" ref="L8:M16" si="3">LOG(J8)</f>
        <v>-0.3236309917479962</v>
      </c>
      <c r="M8">
        <f t="shared" si="3"/>
        <v>-5.2510330472700442E-3</v>
      </c>
    </row>
    <row r="9" spans="1:13" x14ac:dyDescent="0.35">
      <c r="A9">
        <v>100000</v>
      </c>
      <c r="B9" s="56" t="s">
        <v>34</v>
      </c>
      <c r="C9" s="80">
        <v>571093</v>
      </c>
      <c r="D9" s="89">
        <v>82621249502</v>
      </c>
      <c r="E9" s="95">
        <f>SUM(C$6:C9)/C$17</f>
        <v>0.72400217317771542</v>
      </c>
      <c r="F9" s="95">
        <f>SUM(D$6:D9)/D$17</f>
        <v>6.2980672192223044E-2</v>
      </c>
      <c r="G9" s="90">
        <f t="shared" si="0"/>
        <v>0.36363636363636365</v>
      </c>
      <c r="H9" s="91">
        <f t="shared" si="1"/>
        <v>0.36363636363636365</v>
      </c>
      <c r="I9" s="99">
        <f t="shared" si="2"/>
        <v>1.478659048060735E-2</v>
      </c>
      <c r="J9">
        <f>SUM(C9:C$16)/C$17</f>
        <v>0.37729447888344214</v>
      </c>
      <c r="K9">
        <f>SUM(D9:D$16)/D$17</f>
        <v>0.97137685011997044</v>
      </c>
      <c r="L9">
        <f t="shared" si="3"/>
        <v>-0.42331954997525389</v>
      </c>
      <c r="M9">
        <f t="shared" si="3"/>
        <v>-1.2612250857788691E-2</v>
      </c>
    </row>
    <row r="10" spans="1:13" x14ac:dyDescent="0.35">
      <c r="A10">
        <v>200000</v>
      </c>
      <c r="B10" s="55" t="s">
        <v>35</v>
      </c>
      <c r="C10" s="78">
        <v>738627</v>
      </c>
      <c r="D10" s="88">
        <v>239912825256</v>
      </c>
      <c r="E10" s="95">
        <f>SUM(C$6:C10)/C$17</f>
        <v>0.85501488428076988</v>
      </c>
      <c r="F10" s="95">
        <f>SUM(D$6:D10)/D$17</f>
        <v>0.16274689814980633</v>
      </c>
      <c r="G10" s="90">
        <f t="shared" si="0"/>
        <v>0.45454545454545459</v>
      </c>
      <c r="H10" s="91">
        <f t="shared" si="1"/>
        <v>0.45454545454545459</v>
      </c>
      <c r="I10" s="99">
        <f t="shared" si="2"/>
        <v>1.6974287031610292E-2</v>
      </c>
      <c r="J10">
        <f>SUM(C10:C$16)/C$17</f>
        <v>0.27599782682228452</v>
      </c>
      <c r="K10">
        <f>SUM(D10:D$16)/D$17</f>
        <v>0.93701932780777697</v>
      </c>
      <c r="L10">
        <f t="shared" si="3"/>
        <v>-0.55909433751016524</v>
      </c>
      <c r="M10">
        <f t="shared" si="3"/>
        <v>-2.8251450869219045E-2</v>
      </c>
    </row>
    <row r="11" spans="1:13" x14ac:dyDescent="0.35">
      <c r="A11">
        <v>500000</v>
      </c>
      <c r="B11" s="56" t="s">
        <v>36</v>
      </c>
      <c r="C11" s="80">
        <v>425398</v>
      </c>
      <c r="D11" s="89">
        <v>299220232464</v>
      </c>
      <c r="E11" s="95">
        <f>SUM(C$6:C11)/C$17</f>
        <v>0.93046913287690447</v>
      </c>
      <c r="F11" s="95">
        <f>SUM(D$6:D11)/D$17</f>
        <v>0.28717573304527411</v>
      </c>
      <c r="G11" s="90">
        <f t="shared" si="0"/>
        <v>0.54545454545454553</v>
      </c>
      <c r="H11" s="91">
        <f t="shared" si="1"/>
        <v>0.54545454545454553</v>
      </c>
      <c r="I11" s="99">
        <f t="shared" si="2"/>
        <v>1.4280382320022692E-2</v>
      </c>
      <c r="J11">
        <f>SUM(C11:C$16)/C$17</f>
        <v>0.14498511571923012</v>
      </c>
      <c r="K11">
        <f>SUM(D11:D$16)/D$17</f>
        <v>0.83725310185019364</v>
      </c>
      <c r="L11">
        <f t="shared" si="3"/>
        <v>-0.83867658047400384</v>
      </c>
      <c r="M11">
        <f t="shared" si="3"/>
        <v>-7.7143234813562972E-2</v>
      </c>
    </row>
    <row r="12" spans="1:13" x14ac:dyDescent="0.35">
      <c r="A12">
        <v>1000000</v>
      </c>
      <c r="B12" s="55" t="s">
        <v>37</v>
      </c>
      <c r="C12" s="78">
        <v>228350</v>
      </c>
      <c r="D12" s="88">
        <v>314534053872</v>
      </c>
      <c r="E12" s="95">
        <f>SUM(C$6:C12)/C$17</f>
        <v>0.97097232674929546</v>
      </c>
      <c r="F12" s="95">
        <f>SUM(D$6:D12)/D$17</f>
        <v>0.41797272339568409</v>
      </c>
      <c r="G12" s="90">
        <f t="shared" si="0"/>
        <v>0.63636363636363646</v>
      </c>
      <c r="H12" s="91">
        <f t="shared" si="1"/>
        <v>0.63636363636363646</v>
      </c>
      <c r="I12" s="99">
        <f t="shared" si="2"/>
        <v>5.3068253845308276E-3</v>
      </c>
      <c r="J12">
        <f>SUM(C12:C$16)/C$17</f>
        <v>6.9530867123095474E-2</v>
      </c>
      <c r="K12">
        <f>SUM(D12:D$16)/D$17</f>
        <v>0.71282426695472589</v>
      </c>
      <c r="L12">
        <f t="shared" si="3"/>
        <v>-1.1578223544713198</v>
      </c>
      <c r="M12">
        <f t="shared" si="3"/>
        <v>-0.14701752386296574</v>
      </c>
    </row>
    <row r="13" spans="1:13" x14ac:dyDescent="0.35">
      <c r="A13">
        <v>2000000</v>
      </c>
      <c r="B13" s="56" t="s">
        <v>38</v>
      </c>
      <c r="C13" s="80">
        <v>66282</v>
      </c>
      <c r="D13" s="89">
        <v>160715413850</v>
      </c>
      <c r="E13" s="95">
        <f>SUM(C$6:C13)/C$17</f>
        <v>0.98272898405715536</v>
      </c>
      <c r="F13" s="95">
        <f>SUM(D$6:D13)/D$17</f>
        <v>0.48480520838649893</v>
      </c>
      <c r="G13" s="90">
        <f t="shared" si="0"/>
        <v>0.7272727272727274</v>
      </c>
      <c r="H13" s="91">
        <f t="shared" si="1"/>
        <v>0.7272727272727274</v>
      </c>
      <c r="I13" s="99">
        <f t="shared" si="2"/>
        <v>4.3253595623912637E-3</v>
      </c>
      <c r="J13">
        <f>SUM(C13:C$16)/C$17</f>
        <v>2.9027673250704572E-2</v>
      </c>
      <c r="K13">
        <f>SUM(D13:D$16)/D$17</f>
        <v>0.58202727660431597</v>
      </c>
      <c r="L13">
        <f t="shared" si="3"/>
        <v>-1.5371877741882165</v>
      </c>
      <c r="M13">
        <f t="shared" si="3"/>
        <v>-0.23505666173988304</v>
      </c>
    </row>
    <row r="14" spans="1:13" s="100" customFormat="1" x14ac:dyDescent="0.35">
      <c r="A14" s="100">
        <v>3000000</v>
      </c>
      <c r="B14" s="101" t="s">
        <v>39</v>
      </c>
      <c r="C14" s="102">
        <v>46731</v>
      </c>
      <c r="D14" s="103">
        <v>178069824212</v>
      </c>
      <c r="E14" s="104">
        <f>SUM(C$6:C14)/C$17</f>
        <v>0.99101781590673144</v>
      </c>
      <c r="F14" s="104">
        <f>SUM(D$6:D14)/D$17</f>
        <v>0.55885441479972398</v>
      </c>
      <c r="G14" s="100">
        <f t="shared" si="0"/>
        <v>0.81818181818181834</v>
      </c>
      <c r="H14" s="105">
        <f t="shared" si="1"/>
        <v>0.81818181818181834</v>
      </c>
      <c r="I14" s="100">
        <f>((F14+F15)*(E15-E14))/2</f>
        <v>3.163591823534801E-3</v>
      </c>
      <c r="J14" s="100">
        <f>SUM(C14:C$16)/C$17</f>
        <v>1.7271015942844647E-2</v>
      </c>
      <c r="K14" s="100">
        <f>SUM(D14:D$16)/D$17</f>
        <v>0.51519479161350101</v>
      </c>
      <c r="L14" s="100">
        <f t="shared" si="3"/>
        <v>-1.762682114928541</v>
      </c>
      <c r="M14" s="100">
        <f t="shared" si="3"/>
        <v>-0.28802853614698237</v>
      </c>
    </row>
    <row r="15" spans="1:13" s="100" customFormat="1" x14ac:dyDescent="0.35">
      <c r="A15" s="100">
        <v>5000000</v>
      </c>
      <c r="B15" s="106" t="s">
        <v>40</v>
      </c>
      <c r="C15" s="107">
        <v>29665</v>
      </c>
      <c r="D15" s="108">
        <v>203853271799</v>
      </c>
      <c r="E15" s="104">
        <f>SUM(C$6:C15)/C$17</f>
        <v>0.99627959495741891</v>
      </c>
      <c r="F15" s="104">
        <f>SUM(D$6:D15)/D$17</f>
        <v>0.64362550427687171</v>
      </c>
      <c r="G15" s="100">
        <f t="shared" si="0"/>
        <v>0.90909090909090928</v>
      </c>
      <c r="H15" s="105">
        <f t="shared" si="1"/>
        <v>0.90909090909090928</v>
      </c>
      <c r="I15" s="100">
        <f>((F15+F16)*(E16-E15))/2</f>
        <v>3.0574763071132783E-3</v>
      </c>
      <c r="J15" s="100">
        <f>SUM(C15:C$16)/C$17</f>
        <v>8.9821840932685585E-3</v>
      </c>
      <c r="K15" s="100">
        <f>SUM(D15:D$16)/D$17</f>
        <v>0.44114558520027602</v>
      </c>
      <c r="L15" s="100">
        <f t="shared" si="3"/>
        <v>-2.0466180481520198</v>
      </c>
      <c r="M15" s="100">
        <f t="shared" si="3"/>
        <v>-0.35541806265226172</v>
      </c>
    </row>
    <row r="16" spans="1:13" ht="15" thickBot="1" x14ac:dyDescent="0.4">
      <c r="A16">
        <v>10000000</v>
      </c>
      <c r="B16" s="55" t="s">
        <v>41</v>
      </c>
      <c r="C16" s="78">
        <v>20975</v>
      </c>
      <c r="D16" s="88">
        <v>856991544959</v>
      </c>
      <c r="E16" s="96">
        <f>SUM(C$6:C16)/C$17</f>
        <v>1</v>
      </c>
      <c r="F16" s="96">
        <f>SUM(D$6:D16)/D$17</f>
        <v>1</v>
      </c>
      <c r="G16" s="92">
        <f t="shared" si="0"/>
        <v>1.0000000000000002</v>
      </c>
      <c r="H16" s="93">
        <f t="shared" si="1"/>
        <v>1.0000000000000002</v>
      </c>
      <c r="I16" s="99"/>
      <c r="J16">
        <f>SUM(C16:C$16)/C$17</f>
        <v>3.7204050425811222E-3</v>
      </c>
      <c r="K16">
        <f>SUM(D16:D$16)/D$17</f>
        <v>0.35637449572312829</v>
      </c>
      <c r="L16">
        <f t="shared" si="3"/>
        <v>-2.4294097756605804</v>
      </c>
      <c r="M16">
        <f t="shared" si="3"/>
        <v>-0.44809338421722278</v>
      </c>
    </row>
    <row r="17" spans="1:15" x14ac:dyDescent="0.35">
      <c r="B17" s="56" t="s">
        <v>30</v>
      </c>
      <c r="C17" s="80">
        <v>5637827</v>
      </c>
      <c r="D17" s="80">
        <v>2404749933690</v>
      </c>
      <c r="E17" s="82"/>
    </row>
    <row r="18" spans="1:15" x14ac:dyDescent="0.35">
      <c r="H18" s="100" t="s">
        <v>296</v>
      </c>
      <c r="I18" s="100">
        <f>SUM(I5:I15)</f>
        <v>7.0327641644357411E-2</v>
      </c>
    </row>
    <row r="19" spans="1:15" x14ac:dyDescent="0.35">
      <c r="H19" s="100" t="s">
        <v>295</v>
      </c>
      <c r="I19" s="100">
        <f>1-2*I18</f>
        <v>0.85934471671128521</v>
      </c>
    </row>
    <row r="20" spans="1:15" x14ac:dyDescent="0.35">
      <c r="K20" t="s">
        <v>300</v>
      </c>
    </row>
    <row r="21" spans="1:15" ht="43.5" x14ac:dyDescent="0.35">
      <c r="A21" t="s">
        <v>292</v>
      </c>
      <c r="B21" s="83" t="s">
        <v>291</v>
      </c>
      <c r="C21" s="83"/>
      <c r="J21" t="s">
        <v>304</v>
      </c>
      <c r="K21" t="s">
        <v>299</v>
      </c>
      <c r="L21" t="s">
        <v>301</v>
      </c>
      <c r="M21" t="s">
        <v>302</v>
      </c>
      <c r="N21" t="s">
        <v>303</v>
      </c>
      <c r="O21" t="s">
        <v>305</v>
      </c>
    </row>
    <row r="22" spans="1:15" x14ac:dyDescent="0.35">
      <c r="A22">
        <f>LOG(D7/C7)</f>
        <v>4.2296500017809704</v>
      </c>
      <c r="C22" s="84">
        <f>1-F6</f>
        <v>1</v>
      </c>
      <c r="J22">
        <f>SUM(C14:C16)/C17</f>
        <v>1.7271015942844647E-2</v>
      </c>
      <c r="K22" s="84">
        <f>(SUM(D14:D16)/SUM(C14:C16))/3000000</f>
        <v>4.2412170665803988</v>
      </c>
      <c r="L22" s="84">
        <f>K22/(K22-1)</f>
        <v>1.3085260812399202</v>
      </c>
      <c r="M22">
        <f>(3*10^6)*J22^(1/L22)</f>
        <v>134910.81193523729</v>
      </c>
      <c r="N22">
        <f>M22/(0.01^(1/L22))</f>
        <v>4554954.0695537403</v>
      </c>
      <c r="O22">
        <f>N22*K22</f>
        <v>19318548.937281165</v>
      </c>
    </row>
    <row r="23" spans="1:15" x14ac:dyDescent="0.35">
      <c r="A23">
        <f t="shared" ref="A23:A31" si="4">LOG(D8/C8)</f>
        <v>4.861858331794771</v>
      </c>
      <c r="C23" s="84">
        <f t="shared" ref="C22:C31" si="5">1-F7</f>
        <v>0.98798185141369232</v>
      </c>
    </row>
    <row r="24" spans="1:15" x14ac:dyDescent="0.35">
      <c r="A24">
        <f t="shared" si="4"/>
        <v>5.1603849216713229</v>
      </c>
      <c r="C24" s="84">
        <f t="shared" si="5"/>
        <v>0.97137685011997044</v>
      </c>
      <c r="K24" t="s">
        <v>307</v>
      </c>
      <c r="L24" t="s">
        <v>300</v>
      </c>
    </row>
    <row r="25" spans="1:15" x14ac:dyDescent="0.35">
      <c r="A25">
        <f t="shared" si="4"/>
        <v>5.5116282861558688</v>
      </c>
      <c r="C25" s="84">
        <f t="shared" si="5"/>
        <v>0.93701932780777697</v>
      </c>
      <c r="K25">
        <f>O22*(1-0.01)*C17</f>
        <v>107825490431430.81</v>
      </c>
      <c r="L25">
        <f>K25/D17</f>
        <v>44.8385459630626</v>
      </c>
    </row>
    <row r="26" spans="1:15" x14ac:dyDescent="0.35">
      <c r="A26">
        <f t="shared" si="4"/>
        <v>5.8471955122603507</v>
      </c>
      <c r="C26" s="84">
        <f t="shared" si="5"/>
        <v>0.83725310185019364</v>
      </c>
    </row>
    <row r="27" spans="1:15" x14ac:dyDescent="0.35">
      <c r="A27">
        <f t="shared" si="4"/>
        <v>6.1390666564394154</v>
      </c>
      <c r="C27" s="84">
        <f t="shared" si="5"/>
        <v>0.71282426695472589</v>
      </c>
      <c r="K27" t="s">
        <v>306</v>
      </c>
    </row>
    <row r="28" spans="1:15" x14ac:dyDescent="0.35">
      <c r="A28">
        <f t="shared" si="4"/>
        <v>6.3846619265652382</v>
      </c>
      <c r="C28" s="84">
        <f t="shared" si="5"/>
        <v>0.58202727660431597</v>
      </c>
      <c r="K28">
        <f>K15 +((J14-J15)*(0.01*K15))/(K14-K15)</f>
        <v>0.44163938948988618</v>
      </c>
    </row>
    <row r="29" spans="1:15" x14ac:dyDescent="0.35">
      <c r="A29">
        <f t="shared" si="4"/>
        <v>6.5809852553487378</v>
      </c>
      <c r="C29" s="84">
        <f t="shared" si="5"/>
        <v>0.51519479161350112</v>
      </c>
    </row>
    <row r="30" spans="1:15" x14ac:dyDescent="0.35">
      <c r="A30">
        <f t="shared" si="4"/>
        <v>6.8370733334990481</v>
      </c>
      <c r="C30" s="84">
        <f t="shared" si="5"/>
        <v>0.44114558520027602</v>
      </c>
    </row>
    <row r="31" spans="1:15" x14ac:dyDescent="0.35">
      <c r="A31">
        <f t="shared" si="4"/>
        <v>7.6112745677132834</v>
      </c>
      <c r="C31" s="84">
        <f t="shared" si="5"/>
        <v>0.35637449572312829</v>
      </c>
    </row>
  </sheetData>
  <mergeCells count="1">
    <mergeCell ref="E3:H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3</v>
      </c>
      <c r="B6" s="55" t="s">
        <v>31</v>
      </c>
      <c r="C6" s="78">
        <v>196332</v>
      </c>
      <c r="D6" s="79">
        <v>20.7752354689644</v>
      </c>
      <c r="E6" s="78">
        <v>190177</v>
      </c>
      <c r="F6" s="79">
        <v>20.673480391517401</v>
      </c>
      <c r="G6" s="78">
        <v>6155</v>
      </c>
      <c r="H6" s="79">
        <v>24.5014131603041</v>
      </c>
      <c r="I6" s="78">
        <v>0</v>
      </c>
      <c r="J6" s="79">
        <v>0</v>
      </c>
      <c r="K6" s="78">
        <v>0</v>
      </c>
      <c r="L6" s="79">
        <v>0</v>
      </c>
      <c r="M6" s="78">
        <v>0</v>
      </c>
      <c r="N6" s="79">
        <v>0</v>
      </c>
    </row>
    <row r="7" spans="1:14" ht="20.149999999999999" customHeight="1" x14ac:dyDescent="0.35">
      <c r="B7" s="56" t="s">
        <v>32</v>
      </c>
      <c r="C7" s="80">
        <v>249712</v>
      </c>
      <c r="D7" s="81">
        <v>26.423739377310099</v>
      </c>
      <c r="E7" s="80">
        <v>246891</v>
      </c>
      <c r="F7" s="81">
        <v>26.838662127082301</v>
      </c>
      <c r="G7" s="80">
        <v>2821</v>
      </c>
      <c r="H7" s="81">
        <v>11.2296485012539</v>
      </c>
      <c r="I7" s="80">
        <v>4689261000</v>
      </c>
      <c r="J7" s="81">
        <v>0.93101647593413295</v>
      </c>
      <c r="K7" s="80">
        <v>4633248000</v>
      </c>
      <c r="L7" s="81">
        <v>0.94664519840129902</v>
      </c>
      <c r="M7" s="80">
        <v>56013000</v>
      </c>
      <c r="N7" s="81">
        <v>0.393559682086012</v>
      </c>
    </row>
    <row r="8" spans="1:14" ht="20.149999999999999" customHeight="1" x14ac:dyDescent="0.35">
      <c r="B8" s="55" t="s">
        <v>33</v>
      </c>
      <c r="C8" s="78">
        <v>91288</v>
      </c>
      <c r="D8" s="79">
        <v>9.6598093815110406</v>
      </c>
      <c r="E8" s="78">
        <v>89616</v>
      </c>
      <c r="F8" s="79">
        <v>9.7418437495923502</v>
      </c>
      <c r="G8" s="78">
        <v>1672</v>
      </c>
      <c r="H8" s="79">
        <v>6.6557859957804197</v>
      </c>
      <c r="I8" s="78">
        <v>6695306000</v>
      </c>
      <c r="J8" s="79">
        <v>1.32930118358109</v>
      </c>
      <c r="K8" s="78">
        <v>6570866000</v>
      </c>
      <c r="L8" s="79">
        <v>1.3425309304052699</v>
      </c>
      <c r="M8" s="78">
        <v>124440000</v>
      </c>
      <c r="N8" s="79">
        <v>0.87434286395628302</v>
      </c>
    </row>
    <row r="9" spans="1:14" ht="20.149999999999999" customHeight="1" x14ac:dyDescent="0.35">
      <c r="B9" s="56" t="s">
        <v>34</v>
      </c>
      <c r="C9" s="80">
        <v>98563</v>
      </c>
      <c r="D9" s="81">
        <v>10.4296270273187</v>
      </c>
      <c r="E9" s="80">
        <v>95794</v>
      </c>
      <c r="F9" s="81">
        <v>10.4134326476126</v>
      </c>
      <c r="G9" s="80">
        <v>2769</v>
      </c>
      <c r="H9" s="81">
        <v>11.0226503721986</v>
      </c>
      <c r="I9" s="80">
        <v>14312209000</v>
      </c>
      <c r="J9" s="81">
        <v>2.8415783182068099</v>
      </c>
      <c r="K9" s="80">
        <v>13898990000</v>
      </c>
      <c r="L9" s="81">
        <v>2.8397815411840002</v>
      </c>
      <c r="M9" s="80">
        <v>413219000</v>
      </c>
      <c r="N9" s="81">
        <v>2.9033677587684901</v>
      </c>
    </row>
    <row r="10" spans="1:14" ht="20.149999999999999" customHeight="1" x14ac:dyDescent="0.35">
      <c r="B10" s="55" t="s">
        <v>35</v>
      </c>
      <c r="C10" s="78">
        <v>131721</v>
      </c>
      <c r="D10" s="79">
        <v>13.9383024224653</v>
      </c>
      <c r="E10" s="78">
        <v>126581</v>
      </c>
      <c r="F10" s="79">
        <v>13.7601803658627</v>
      </c>
      <c r="G10" s="78">
        <v>5140</v>
      </c>
      <c r="H10" s="79">
        <v>20.460968910473301</v>
      </c>
      <c r="I10" s="78">
        <v>43015738000</v>
      </c>
      <c r="J10" s="79">
        <v>8.5404418313388692</v>
      </c>
      <c r="K10" s="78">
        <v>41320049000</v>
      </c>
      <c r="L10" s="79">
        <v>8.4423337545403196</v>
      </c>
      <c r="M10" s="78">
        <v>1695689000</v>
      </c>
      <c r="N10" s="79">
        <v>11.914284608157899</v>
      </c>
    </row>
    <row r="11" spans="1:14" ht="20.149999999999999" customHeight="1" x14ac:dyDescent="0.35">
      <c r="B11" s="56" t="s">
        <v>36</v>
      </c>
      <c r="C11" s="80">
        <v>84599</v>
      </c>
      <c r="D11" s="81">
        <v>8.9520004148020895</v>
      </c>
      <c r="E11" s="80">
        <v>81409</v>
      </c>
      <c r="F11" s="81">
        <v>8.8496893167577593</v>
      </c>
      <c r="G11" s="80">
        <v>3190</v>
      </c>
      <c r="H11" s="81">
        <v>12.698539070896899</v>
      </c>
      <c r="I11" s="80">
        <v>60020224000</v>
      </c>
      <c r="J11" s="81">
        <v>11.916550909249301</v>
      </c>
      <c r="K11" s="80">
        <v>57770238000</v>
      </c>
      <c r="L11" s="81">
        <v>11.8033652446837</v>
      </c>
      <c r="M11" s="80">
        <v>2249986000</v>
      </c>
      <c r="N11" s="81">
        <v>15.8088974855476</v>
      </c>
    </row>
    <row r="12" spans="1:14" ht="20.149999999999999" customHeight="1" x14ac:dyDescent="0.35">
      <c r="B12" s="55" t="s">
        <v>37</v>
      </c>
      <c r="C12" s="78">
        <v>52738</v>
      </c>
      <c r="D12" s="79">
        <v>5.5805694851692396</v>
      </c>
      <c r="E12" s="78">
        <v>50806</v>
      </c>
      <c r="F12" s="79">
        <v>5.5229435987077</v>
      </c>
      <c r="G12" s="78">
        <v>1932</v>
      </c>
      <c r="H12" s="79">
        <v>7.6907766410572798</v>
      </c>
      <c r="I12" s="78">
        <v>73178620000</v>
      </c>
      <c r="J12" s="79">
        <v>14.529048586999799</v>
      </c>
      <c r="K12" s="78">
        <v>70480415000</v>
      </c>
      <c r="L12" s="79">
        <v>14.4002536538258</v>
      </c>
      <c r="M12" s="78">
        <v>2698205000</v>
      </c>
      <c r="N12" s="79">
        <v>18.9581829575793</v>
      </c>
    </row>
    <row r="13" spans="1:14" ht="20.149999999999999" customHeight="1" x14ac:dyDescent="0.35">
      <c r="B13" s="56" t="s">
        <v>38</v>
      </c>
      <c r="C13" s="80">
        <v>16454</v>
      </c>
      <c r="D13" s="81">
        <v>1.7411105902570201</v>
      </c>
      <c r="E13" s="80">
        <v>15786</v>
      </c>
      <c r="F13" s="81">
        <v>1.71604116933432</v>
      </c>
      <c r="G13" s="80">
        <v>668</v>
      </c>
      <c r="H13" s="81">
        <v>2.65912981171132</v>
      </c>
      <c r="I13" s="80">
        <v>39906063000</v>
      </c>
      <c r="J13" s="81">
        <v>7.9230399294612699</v>
      </c>
      <c r="K13" s="80">
        <v>38287749000</v>
      </c>
      <c r="L13" s="81">
        <v>7.8227873294164603</v>
      </c>
      <c r="M13" s="80">
        <v>1618314000</v>
      </c>
      <c r="N13" s="81">
        <v>11.3706308063368</v>
      </c>
    </row>
    <row r="14" spans="1:14" ht="20.149999999999999" customHeight="1" x14ac:dyDescent="0.35">
      <c r="B14" s="55" t="s">
        <v>39</v>
      </c>
      <c r="C14" s="78">
        <v>11725</v>
      </c>
      <c r="D14" s="79">
        <v>1.2407026662673799</v>
      </c>
      <c r="E14" s="78">
        <v>11295</v>
      </c>
      <c r="F14" s="79">
        <v>1.2278401753218799</v>
      </c>
      <c r="G14" s="78">
        <v>430</v>
      </c>
      <c r="H14" s="79">
        <v>1.71171529795788</v>
      </c>
      <c r="I14" s="78">
        <v>44587247000</v>
      </c>
      <c r="J14" s="79">
        <v>8.8524527795626504</v>
      </c>
      <c r="K14" s="78">
        <v>42960974000</v>
      </c>
      <c r="L14" s="79">
        <v>8.7776004556076099</v>
      </c>
      <c r="M14" s="78">
        <v>1626273000</v>
      </c>
      <c r="N14" s="79">
        <v>11.4265524943328</v>
      </c>
    </row>
    <row r="15" spans="1:14" ht="20.149999999999999" customHeight="1" x14ac:dyDescent="0.35">
      <c r="B15" s="56" t="s">
        <v>40</v>
      </c>
      <c r="C15" s="80">
        <v>7323</v>
      </c>
      <c r="D15" s="81">
        <v>0.774896855017148</v>
      </c>
      <c r="E15" s="80">
        <v>7065</v>
      </c>
      <c r="F15" s="81">
        <v>0.76801158376707201</v>
      </c>
      <c r="G15" s="80">
        <v>258</v>
      </c>
      <c r="H15" s="81">
        <v>1.0270291787747301</v>
      </c>
      <c r="I15" s="80">
        <v>49996410000</v>
      </c>
      <c r="J15" s="81">
        <v>9.9264002254423502</v>
      </c>
      <c r="K15" s="80">
        <v>48259062000</v>
      </c>
      <c r="L15" s="81">
        <v>9.8600828882137606</v>
      </c>
      <c r="M15" s="80">
        <v>1737348000</v>
      </c>
      <c r="N15" s="81">
        <v>12.2069899229245</v>
      </c>
    </row>
    <row r="16" spans="1:14" ht="20.149999999999999" customHeight="1" x14ac:dyDescent="0.35">
      <c r="B16" s="55" t="s">
        <v>41</v>
      </c>
      <c r="C16" s="78">
        <v>4574</v>
      </c>
      <c r="D16" s="79">
        <v>0.48400631091744301</v>
      </c>
      <c r="E16" s="78">
        <v>4488</v>
      </c>
      <c r="F16" s="79">
        <v>0.48787487444396599</v>
      </c>
      <c r="G16" s="78">
        <v>86</v>
      </c>
      <c r="H16" s="79">
        <v>0.34234305959157701</v>
      </c>
      <c r="I16" s="78">
        <v>167270030000</v>
      </c>
      <c r="J16" s="79">
        <v>33.210169760223799</v>
      </c>
      <c r="K16" s="78">
        <v>165257114000</v>
      </c>
      <c r="L16" s="79">
        <v>33.764619003721798</v>
      </c>
      <c r="M16" s="78">
        <v>2012916000</v>
      </c>
      <c r="N16" s="79">
        <v>14.1431914203104</v>
      </c>
    </row>
    <row r="17" spans="2:14" ht="20.149999999999999" customHeight="1" x14ac:dyDescent="0.35">
      <c r="B17" s="56" t="s">
        <v>30</v>
      </c>
      <c r="C17" s="80">
        <v>945029</v>
      </c>
      <c r="D17" s="81">
        <v>100</v>
      </c>
      <c r="E17" s="80">
        <v>919908</v>
      </c>
      <c r="F17" s="81">
        <v>100</v>
      </c>
      <c r="G17" s="80">
        <v>25121</v>
      </c>
      <c r="H17" s="81">
        <v>100</v>
      </c>
      <c r="I17" s="80">
        <v>503671108000</v>
      </c>
      <c r="J17" s="81">
        <v>100</v>
      </c>
      <c r="K17" s="80">
        <v>489438705000</v>
      </c>
      <c r="L17" s="81">
        <v>100</v>
      </c>
      <c r="M17" s="80">
        <v>14232403000</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4</v>
      </c>
      <c r="B6" s="55" t="s">
        <v>31</v>
      </c>
      <c r="C6" s="78">
        <v>118727</v>
      </c>
      <c r="D6" s="79">
        <v>17.762069326631099</v>
      </c>
      <c r="E6" s="78">
        <v>110564</v>
      </c>
      <c r="F6" s="79">
        <v>17.483155519502599</v>
      </c>
      <c r="G6" s="78">
        <v>8163</v>
      </c>
      <c r="H6" s="79">
        <v>22.658006495128699</v>
      </c>
      <c r="I6" s="78">
        <v>0</v>
      </c>
      <c r="J6" s="79">
        <v>0</v>
      </c>
      <c r="K6" s="78">
        <v>0</v>
      </c>
      <c r="L6" s="79">
        <v>0</v>
      </c>
      <c r="M6" s="78">
        <v>0</v>
      </c>
      <c r="N6" s="79">
        <v>0</v>
      </c>
    </row>
    <row r="7" spans="1:14" ht="20.149999999999999" customHeight="1" x14ac:dyDescent="0.35">
      <c r="B7" s="56" t="s">
        <v>32</v>
      </c>
      <c r="C7" s="80">
        <v>212373</v>
      </c>
      <c r="D7" s="81">
        <v>31.771913289349701</v>
      </c>
      <c r="E7" s="80">
        <v>205974</v>
      </c>
      <c r="F7" s="81">
        <v>32.570054221754198</v>
      </c>
      <c r="G7" s="80">
        <v>6399</v>
      </c>
      <c r="H7" s="81">
        <v>17.761678740944301</v>
      </c>
      <c r="I7" s="80">
        <v>3612787876</v>
      </c>
      <c r="J7" s="81">
        <v>1.5424198784632099</v>
      </c>
      <c r="K7" s="80">
        <v>3489447391</v>
      </c>
      <c r="L7" s="81">
        <v>1.5638835739263901</v>
      </c>
      <c r="M7" s="80">
        <v>123340485</v>
      </c>
      <c r="N7" s="81">
        <v>1.1110250504958801</v>
      </c>
    </row>
    <row r="8" spans="1:14" ht="20.149999999999999" customHeight="1" x14ac:dyDescent="0.35">
      <c r="B8" s="55" t="s">
        <v>33</v>
      </c>
      <c r="C8" s="78">
        <v>69014</v>
      </c>
      <c r="D8" s="79">
        <v>10.324790927995499</v>
      </c>
      <c r="E8" s="78">
        <v>65087</v>
      </c>
      <c r="F8" s="79">
        <v>10.2920131624929</v>
      </c>
      <c r="G8" s="78">
        <v>3927</v>
      </c>
      <c r="H8" s="79">
        <v>10.900158214672301</v>
      </c>
      <c r="I8" s="78">
        <v>5025437304</v>
      </c>
      <c r="J8" s="79">
        <v>2.14552712799797</v>
      </c>
      <c r="K8" s="78">
        <v>4734310342</v>
      </c>
      <c r="L8" s="79">
        <v>2.1218002016078099</v>
      </c>
      <c r="M8" s="78">
        <v>291126962</v>
      </c>
      <c r="N8" s="79">
        <v>2.62241021394364</v>
      </c>
    </row>
    <row r="9" spans="1:14" ht="20.149999999999999" customHeight="1" x14ac:dyDescent="0.35">
      <c r="B9" s="56" t="s">
        <v>34</v>
      </c>
      <c r="C9" s="80">
        <v>72809</v>
      </c>
      <c r="D9" s="81">
        <v>10.892539233726801</v>
      </c>
      <c r="E9" s="80">
        <v>67105</v>
      </c>
      <c r="F9" s="81">
        <v>10.6111134830164</v>
      </c>
      <c r="G9" s="80">
        <v>5704</v>
      </c>
      <c r="H9" s="81">
        <v>15.832570016931699</v>
      </c>
      <c r="I9" s="80">
        <v>10528571089</v>
      </c>
      <c r="J9" s="81">
        <v>4.4949988476673797</v>
      </c>
      <c r="K9" s="80">
        <v>9697190328</v>
      </c>
      <c r="L9" s="81">
        <v>4.3460396354767896</v>
      </c>
      <c r="M9" s="80">
        <v>831380761</v>
      </c>
      <c r="N9" s="81">
        <v>7.4889023824685701</v>
      </c>
    </row>
    <row r="10" spans="1:14" ht="20.149999999999999" customHeight="1" x14ac:dyDescent="0.35">
      <c r="B10" s="55" t="s">
        <v>35</v>
      </c>
      <c r="C10" s="78">
        <v>97567</v>
      </c>
      <c r="D10" s="79">
        <v>14.596442409826</v>
      </c>
      <c r="E10" s="78">
        <v>90541</v>
      </c>
      <c r="F10" s="79">
        <v>14.316978255953901</v>
      </c>
      <c r="G10" s="78">
        <v>7026</v>
      </c>
      <c r="H10" s="79">
        <v>19.502040136564201</v>
      </c>
      <c r="I10" s="78">
        <v>31704984656</v>
      </c>
      <c r="J10" s="79">
        <v>13.535917484845299</v>
      </c>
      <c r="K10" s="78">
        <v>29486629556</v>
      </c>
      <c r="L10" s="79">
        <v>13.215174337351399</v>
      </c>
      <c r="M10" s="78">
        <v>2218355100</v>
      </c>
      <c r="N10" s="79">
        <v>19.9824744243165</v>
      </c>
    </row>
    <row r="11" spans="1:14" ht="20.149999999999999" customHeight="1" x14ac:dyDescent="0.35">
      <c r="B11" s="56" t="s">
        <v>36</v>
      </c>
      <c r="C11" s="80">
        <v>54960</v>
      </c>
      <c r="D11" s="81">
        <v>8.2222521430815494</v>
      </c>
      <c r="E11" s="80">
        <v>52251</v>
      </c>
      <c r="F11" s="81">
        <v>8.2622947708976699</v>
      </c>
      <c r="G11" s="80">
        <v>2709</v>
      </c>
      <c r="H11" s="81">
        <v>7.5193604796402704</v>
      </c>
      <c r="I11" s="80">
        <v>38507709874</v>
      </c>
      <c r="J11" s="81">
        <v>16.440228217747599</v>
      </c>
      <c r="K11" s="80">
        <v>36638046430</v>
      </c>
      <c r="L11" s="81">
        <v>16.420261597985899</v>
      </c>
      <c r="M11" s="80">
        <v>1869663444</v>
      </c>
      <c r="N11" s="81">
        <v>16.841533599291399</v>
      </c>
    </row>
    <row r="12" spans="1:14" ht="20.149999999999999" customHeight="1" x14ac:dyDescent="0.35">
      <c r="B12" s="55" t="s">
        <v>37</v>
      </c>
      <c r="C12" s="78">
        <v>27009</v>
      </c>
      <c r="D12" s="79">
        <v>4.0406624478255004</v>
      </c>
      <c r="E12" s="78">
        <v>25740</v>
      </c>
      <c r="F12" s="79">
        <v>4.0701894203537901</v>
      </c>
      <c r="G12" s="78">
        <v>1269</v>
      </c>
      <c r="H12" s="79">
        <v>3.52235823132651</v>
      </c>
      <c r="I12" s="78">
        <v>36971847248</v>
      </c>
      <c r="J12" s="79">
        <v>15.784517136378</v>
      </c>
      <c r="K12" s="78">
        <v>35236474609</v>
      </c>
      <c r="L12" s="79">
        <v>15.7921119505107</v>
      </c>
      <c r="M12" s="78">
        <v>1735372639</v>
      </c>
      <c r="N12" s="79">
        <v>15.6318703779553</v>
      </c>
    </row>
    <row r="13" spans="1:14" ht="20.149999999999999" customHeight="1" x14ac:dyDescent="0.35">
      <c r="B13" s="56" t="s">
        <v>38</v>
      </c>
      <c r="C13" s="80">
        <v>7167</v>
      </c>
      <c r="D13" s="81">
        <v>1.0722139939859101</v>
      </c>
      <c r="E13" s="80">
        <v>6804</v>
      </c>
      <c r="F13" s="81">
        <v>1.07589622440121</v>
      </c>
      <c r="G13" s="80">
        <v>363</v>
      </c>
      <c r="H13" s="81">
        <v>1.0075776500957601</v>
      </c>
      <c r="I13" s="80">
        <v>17315677699</v>
      </c>
      <c r="J13" s="81">
        <v>7.3926414748629901</v>
      </c>
      <c r="K13" s="80">
        <v>16429161042</v>
      </c>
      <c r="L13" s="81">
        <v>7.3631415545176297</v>
      </c>
      <c r="M13" s="80">
        <v>886516657</v>
      </c>
      <c r="N13" s="81">
        <v>7.9855548939090397</v>
      </c>
    </row>
    <row r="14" spans="1:14" ht="20.149999999999999" customHeight="1" x14ac:dyDescent="0.35">
      <c r="B14" s="55" t="s">
        <v>39</v>
      </c>
      <c r="C14" s="78">
        <v>4640</v>
      </c>
      <c r="D14" s="79">
        <v>0.69416393638825302</v>
      </c>
      <c r="E14" s="78">
        <v>4380</v>
      </c>
      <c r="F14" s="79">
        <v>0.69259633493199702</v>
      </c>
      <c r="G14" s="78">
        <v>260</v>
      </c>
      <c r="H14" s="79">
        <v>0.72168096150109595</v>
      </c>
      <c r="I14" s="78">
        <v>17645252868</v>
      </c>
      <c r="J14" s="79">
        <v>7.5333481284394201</v>
      </c>
      <c r="K14" s="78">
        <v>16643546896</v>
      </c>
      <c r="L14" s="79">
        <v>7.4592239647059904</v>
      </c>
      <c r="M14" s="78">
        <v>1001705972</v>
      </c>
      <c r="N14" s="79">
        <v>9.0231559258367202</v>
      </c>
    </row>
    <row r="15" spans="1:14" ht="20.149999999999999" customHeight="1" x14ac:dyDescent="0.35">
      <c r="B15" s="56" t="s">
        <v>40</v>
      </c>
      <c r="C15" s="80">
        <v>2628</v>
      </c>
      <c r="D15" s="81">
        <v>0.39316009155782999</v>
      </c>
      <c r="E15" s="80">
        <v>2467</v>
      </c>
      <c r="F15" s="81">
        <v>0.39009935120484901</v>
      </c>
      <c r="G15" s="80">
        <v>161</v>
      </c>
      <c r="H15" s="81">
        <v>0.44688705692952502</v>
      </c>
      <c r="I15" s="80">
        <v>17893076664</v>
      </c>
      <c r="J15" s="81">
        <v>7.6391523888683102</v>
      </c>
      <c r="K15" s="80">
        <v>16811132636</v>
      </c>
      <c r="L15" s="81">
        <v>7.5343317272377597</v>
      </c>
      <c r="M15" s="80">
        <v>1081944028</v>
      </c>
      <c r="N15" s="81">
        <v>9.7459233952454198</v>
      </c>
    </row>
    <row r="16" spans="1:14" ht="20.149999999999999" customHeight="1" x14ac:dyDescent="0.35">
      <c r="B16" s="55" t="s">
        <v>41</v>
      </c>
      <c r="C16" s="78">
        <v>1536</v>
      </c>
      <c r="D16" s="79">
        <v>0.229792199631973</v>
      </c>
      <c r="E16" s="78">
        <v>1490</v>
      </c>
      <c r="F16" s="79">
        <v>0.23560925549056499</v>
      </c>
      <c r="G16" s="78">
        <v>46</v>
      </c>
      <c r="H16" s="79">
        <v>0.12768201626557901</v>
      </c>
      <c r="I16" s="78">
        <v>55023215080</v>
      </c>
      <c r="J16" s="79">
        <v>23.4912493147297</v>
      </c>
      <c r="K16" s="78">
        <v>53961117616</v>
      </c>
      <c r="L16" s="79">
        <v>24.184031456679602</v>
      </c>
      <c r="M16" s="78">
        <v>1062097464</v>
      </c>
      <c r="N16" s="79">
        <v>9.5671497365374201</v>
      </c>
    </row>
    <row r="17" spans="2:14" ht="20.149999999999999" customHeight="1" x14ac:dyDescent="0.35">
      <c r="B17" s="56" t="s">
        <v>30</v>
      </c>
      <c r="C17" s="80">
        <v>668430</v>
      </c>
      <c r="D17" s="81">
        <v>100</v>
      </c>
      <c r="E17" s="80">
        <v>632403</v>
      </c>
      <c r="F17" s="81">
        <v>100</v>
      </c>
      <c r="G17" s="80">
        <v>36027</v>
      </c>
      <c r="H17" s="81">
        <v>100</v>
      </c>
      <c r="I17" s="80">
        <v>234228560358</v>
      </c>
      <c r="J17" s="81">
        <v>100</v>
      </c>
      <c r="K17" s="80">
        <v>223127056846</v>
      </c>
      <c r="L17" s="81">
        <v>100</v>
      </c>
      <c r="M17" s="80">
        <v>11101503512</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7"/>
  <sheetViews>
    <sheetView showGridLines="0" workbookViewId="0">
      <pane xSplit="1" ySplit="5" topLeftCell="B8"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5</v>
      </c>
      <c r="B6" s="55" t="s">
        <v>31</v>
      </c>
      <c r="C6" s="78">
        <v>37272</v>
      </c>
      <c r="D6" s="79">
        <v>14.5334305556097</v>
      </c>
      <c r="E6" s="78">
        <v>36075</v>
      </c>
      <c r="F6" s="79">
        <v>14.6169211881541</v>
      </c>
      <c r="G6" s="78">
        <v>1197</v>
      </c>
      <c r="H6" s="79">
        <v>12.399005593536399</v>
      </c>
      <c r="I6" s="78">
        <v>0</v>
      </c>
      <c r="J6" s="79">
        <v>0</v>
      </c>
      <c r="K6" s="78">
        <v>0</v>
      </c>
      <c r="L6" s="79">
        <v>0</v>
      </c>
      <c r="M6" s="78">
        <v>0</v>
      </c>
      <c r="N6" s="79">
        <v>0</v>
      </c>
    </row>
    <row r="7" spans="1:14" ht="20.149999999999999" customHeight="1" x14ac:dyDescent="0.35">
      <c r="B7" s="56" t="s">
        <v>32</v>
      </c>
      <c r="C7" s="80">
        <v>86805</v>
      </c>
      <c r="D7" s="81">
        <v>33.8477795497881</v>
      </c>
      <c r="E7" s="80">
        <v>85093</v>
      </c>
      <c r="F7" s="81">
        <v>34.478106019781002</v>
      </c>
      <c r="G7" s="80">
        <v>1712</v>
      </c>
      <c r="H7" s="81">
        <v>17.7335819349492</v>
      </c>
      <c r="I7" s="80">
        <v>1526175759</v>
      </c>
      <c r="J7" s="81">
        <v>1.33963447619179</v>
      </c>
      <c r="K7" s="80">
        <v>1492594786</v>
      </c>
      <c r="L7" s="81">
        <v>1.3611839871284199</v>
      </c>
      <c r="M7" s="80">
        <v>33580973</v>
      </c>
      <c r="N7" s="81">
        <v>0.78632260173834201</v>
      </c>
    </row>
    <row r="8" spans="1:14" ht="20.149999999999999" customHeight="1" x14ac:dyDescent="0.35">
      <c r="B8" s="55" t="s">
        <v>33</v>
      </c>
      <c r="C8" s="78">
        <v>29266</v>
      </c>
      <c r="D8" s="79">
        <v>11.411659654445</v>
      </c>
      <c r="E8" s="78">
        <v>28234</v>
      </c>
      <c r="F8" s="79">
        <v>11.439893356239599</v>
      </c>
      <c r="G8" s="78">
        <v>1032</v>
      </c>
      <c r="H8" s="79">
        <v>10.6898694841516</v>
      </c>
      <c r="I8" s="78">
        <v>2118107951</v>
      </c>
      <c r="J8" s="79">
        <v>1.85921602982003</v>
      </c>
      <c r="K8" s="78">
        <v>2040380278</v>
      </c>
      <c r="L8" s="79">
        <v>1.8607414337210699</v>
      </c>
      <c r="M8" s="78">
        <v>77727673</v>
      </c>
      <c r="N8" s="79">
        <v>1.8200492898293099</v>
      </c>
    </row>
    <row r="9" spans="1:14" ht="20.149999999999999" customHeight="1" x14ac:dyDescent="0.35">
      <c r="B9" s="56" t="s">
        <v>34</v>
      </c>
      <c r="C9" s="80">
        <v>28880</v>
      </c>
      <c r="D9" s="81">
        <v>11.261147092885</v>
      </c>
      <c r="E9" s="80">
        <v>27268</v>
      </c>
      <c r="F9" s="81">
        <v>11.0484880653801</v>
      </c>
      <c r="G9" s="80">
        <v>1612</v>
      </c>
      <c r="H9" s="81">
        <v>16.697741868655498</v>
      </c>
      <c r="I9" s="80">
        <v>4158644037</v>
      </c>
      <c r="J9" s="81">
        <v>3.6503416420563202</v>
      </c>
      <c r="K9" s="80">
        <v>3920129560</v>
      </c>
      <c r="L9" s="81">
        <v>3.5749941207022098</v>
      </c>
      <c r="M9" s="80">
        <v>238514477</v>
      </c>
      <c r="N9" s="81">
        <v>5.5849877877838701</v>
      </c>
    </row>
    <row r="10" spans="1:14" ht="20.149999999999999" customHeight="1" x14ac:dyDescent="0.35">
      <c r="B10" s="55" t="s">
        <v>35</v>
      </c>
      <c r="C10" s="78">
        <v>35914</v>
      </c>
      <c r="D10" s="79">
        <v>14.0039070877379</v>
      </c>
      <c r="E10" s="78">
        <v>33708</v>
      </c>
      <c r="F10" s="79">
        <v>13.657856671110199</v>
      </c>
      <c r="G10" s="78">
        <v>2206</v>
      </c>
      <c r="H10" s="79">
        <v>22.850631862440402</v>
      </c>
      <c r="I10" s="78">
        <v>11677528354</v>
      </c>
      <c r="J10" s="79">
        <v>10.2502083966894</v>
      </c>
      <c r="K10" s="78">
        <v>10963822722</v>
      </c>
      <c r="L10" s="79">
        <v>9.9985475407530497</v>
      </c>
      <c r="M10" s="78">
        <v>713705632</v>
      </c>
      <c r="N10" s="79">
        <v>16.711929979799802</v>
      </c>
    </row>
    <row r="11" spans="1:14" ht="20.149999999999999" customHeight="1" x14ac:dyDescent="0.35">
      <c r="B11" s="56" t="s">
        <v>36</v>
      </c>
      <c r="C11" s="80">
        <v>20268</v>
      </c>
      <c r="D11" s="81">
        <v>7.9030792686493196</v>
      </c>
      <c r="E11" s="80">
        <v>19262</v>
      </c>
      <c r="F11" s="81">
        <v>7.8046052924802396</v>
      </c>
      <c r="G11" s="80">
        <v>1006</v>
      </c>
      <c r="H11" s="81">
        <v>10.4205510669153</v>
      </c>
      <c r="I11" s="80">
        <v>14248771308</v>
      </c>
      <c r="J11" s="81">
        <v>12.5071736823263</v>
      </c>
      <c r="K11" s="80">
        <v>13547238202</v>
      </c>
      <c r="L11" s="81">
        <v>12.3545143553629</v>
      </c>
      <c r="M11" s="80">
        <v>701533106</v>
      </c>
      <c r="N11" s="81">
        <v>16.426901540807101</v>
      </c>
    </row>
    <row r="12" spans="1:14" ht="20.149999999999999" customHeight="1" x14ac:dyDescent="0.35">
      <c r="B12" s="55" t="s">
        <v>37</v>
      </c>
      <c r="C12" s="78">
        <v>10380</v>
      </c>
      <c r="D12" s="79">
        <v>4.0474621476504797</v>
      </c>
      <c r="E12" s="78">
        <v>9860</v>
      </c>
      <c r="F12" s="79">
        <v>3.9950892006985299</v>
      </c>
      <c r="G12" s="78">
        <v>520</v>
      </c>
      <c r="H12" s="79">
        <v>5.3863683447275701</v>
      </c>
      <c r="I12" s="78">
        <v>14275921799</v>
      </c>
      <c r="J12" s="79">
        <v>12.531005625386999</v>
      </c>
      <c r="K12" s="78">
        <v>13544452216</v>
      </c>
      <c r="L12" s="79">
        <v>12.351973652710599</v>
      </c>
      <c r="M12" s="78">
        <v>731469583</v>
      </c>
      <c r="N12" s="79">
        <v>17.127885651110201</v>
      </c>
    </row>
    <row r="13" spans="1:14" ht="20.149999999999999" customHeight="1" x14ac:dyDescent="0.35">
      <c r="B13" s="56" t="s">
        <v>38</v>
      </c>
      <c r="C13" s="80">
        <v>3115</v>
      </c>
      <c r="D13" s="81">
        <v>1.2146285732111</v>
      </c>
      <c r="E13" s="80">
        <v>2935</v>
      </c>
      <c r="F13" s="81">
        <v>1.1892075866176699</v>
      </c>
      <c r="G13" s="80">
        <v>180</v>
      </c>
      <c r="H13" s="81">
        <v>1.8645121193287799</v>
      </c>
      <c r="I13" s="80">
        <v>7579054945</v>
      </c>
      <c r="J13" s="81">
        <v>6.6526828521549604</v>
      </c>
      <c r="K13" s="80">
        <v>7137018525</v>
      </c>
      <c r="L13" s="81">
        <v>6.5086622459023502</v>
      </c>
      <c r="M13" s="80">
        <v>442036420</v>
      </c>
      <c r="N13" s="81">
        <v>10.3506002591855</v>
      </c>
    </row>
    <row r="14" spans="1:14" ht="20.149999999999999" customHeight="1" x14ac:dyDescent="0.35">
      <c r="B14" s="55" t="s">
        <v>39</v>
      </c>
      <c r="C14" s="78">
        <v>2166</v>
      </c>
      <c r="D14" s="79">
        <v>0.84458603196637205</v>
      </c>
      <c r="E14" s="78">
        <v>2063</v>
      </c>
      <c r="F14" s="79">
        <v>0.83588935304676204</v>
      </c>
      <c r="G14" s="78">
        <v>103</v>
      </c>
      <c r="H14" s="79">
        <v>1.06691526828258</v>
      </c>
      <c r="I14" s="78">
        <v>8292233246</v>
      </c>
      <c r="J14" s="79">
        <v>7.27869085553034</v>
      </c>
      <c r="K14" s="78">
        <v>7902660310</v>
      </c>
      <c r="L14" s="79">
        <v>7.2068955155035104</v>
      </c>
      <c r="M14" s="78">
        <v>389572936</v>
      </c>
      <c r="N14" s="79">
        <v>9.12213010035072</v>
      </c>
    </row>
    <row r="15" spans="1:14" ht="20.149999999999999" customHeight="1" x14ac:dyDescent="0.35">
      <c r="B15" s="56" t="s">
        <v>40</v>
      </c>
      <c r="C15" s="80">
        <v>1372</v>
      </c>
      <c r="D15" s="81">
        <v>0.53498247269522803</v>
      </c>
      <c r="E15" s="80">
        <v>1316</v>
      </c>
      <c r="F15" s="81">
        <v>0.53321880204049399</v>
      </c>
      <c r="G15" s="80">
        <v>56</v>
      </c>
      <c r="H15" s="81">
        <v>0.58007043712450801</v>
      </c>
      <c r="I15" s="80">
        <v>9440231104</v>
      </c>
      <c r="J15" s="81">
        <v>8.2863713275218505</v>
      </c>
      <c r="K15" s="80">
        <v>9047545291</v>
      </c>
      <c r="L15" s="81">
        <v>8.2509827104061308</v>
      </c>
      <c r="M15" s="80">
        <v>392685813</v>
      </c>
      <c r="N15" s="81">
        <v>9.1950203510748807</v>
      </c>
    </row>
    <row r="16" spans="1:14" ht="20.149999999999999" customHeight="1" x14ac:dyDescent="0.35">
      <c r="B16" s="55" t="s">
        <v>41</v>
      </c>
      <c r="C16" s="78">
        <v>1019</v>
      </c>
      <c r="D16" s="79">
        <v>0.39733756536183501</v>
      </c>
      <c r="E16" s="78">
        <v>989</v>
      </c>
      <c r="F16" s="79">
        <v>0.40072446445140503</v>
      </c>
      <c r="G16" s="78">
        <v>30</v>
      </c>
      <c r="H16" s="79">
        <v>0.31075201988812901</v>
      </c>
      <c r="I16" s="78">
        <v>40608121141</v>
      </c>
      <c r="J16" s="79">
        <v>35.644675112321899</v>
      </c>
      <c r="K16" s="78">
        <v>40058312149</v>
      </c>
      <c r="L16" s="79">
        <v>36.531504437809701</v>
      </c>
      <c r="M16" s="78">
        <v>549808992</v>
      </c>
      <c r="N16" s="79">
        <v>12.874172438320199</v>
      </c>
    </row>
    <row r="17" spans="2:14" ht="20.149999999999999" customHeight="1" x14ac:dyDescent="0.35">
      <c r="B17" s="56" t="s">
        <v>30</v>
      </c>
      <c r="C17" s="80">
        <v>256457</v>
      </c>
      <c r="D17" s="81">
        <v>100</v>
      </c>
      <c r="E17" s="80">
        <v>246803</v>
      </c>
      <c r="F17" s="81">
        <v>100</v>
      </c>
      <c r="G17" s="80">
        <v>9654</v>
      </c>
      <c r="H17" s="81">
        <v>100</v>
      </c>
      <c r="I17" s="80">
        <v>113924789644</v>
      </c>
      <c r="J17" s="81">
        <v>100</v>
      </c>
      <c r="K17" s="80">
        <v>109654154039</v>
      </c>
      <c r="L17" s="81">
        <v>100</v>
      </c>
      <c r="M17" s="80">
        <v>4270635605</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6</v>
      </c>
      <c r="B6" s="55" t="s">
        <v>31</v>
      </c>
      <c r="C6" s="78">
        <v>2185</v>
      </c>
      <c r="D6" s="79">
        <v>9.0472444205208902</v>
      </c>
      <c r="E6" s="78">
        <v>1587</v>
      </c>
      <c r="F6" s="79">
        <v>7.5370440729483299</v>
      </c>
      <c r="G6" s="78">
        <v>598</v>
      </c>
      <c r="H6" s="79">
        <v>19.3214862681745</v>
      </c>
      <c r="I6" s="78">
        <v>0</v>
      </c>
      <c r="J6" s="79">
        <v>0</v>
      </c>
      <c r="K6" s="78">
        <v>0</v>
      </c>
      <c r="L6" s="79">
        <v>0</v>
      </c>
      <c r="M6" s="78">
        <v>0</v>
      </c>
      <c r="N6" s="79">
        <v>0</v>
      </c>
    </row>
    <row r="7" spans="1:14" ht="20.149999999999999" customHeight="1" x14ac:dyDescent="0.35">
      <c r="B7" s="56" t="s">
        <v>32</v>
      </c>
      <c r="C7" s="80">
        <v>6758</v>
      </c>
      <c r="D7" s="81">
        <v>27.982278166535501</v>
      </c>
      <c r="E7" s="80">
        <v>6013</v>
      </c>
      <c r="F7" s="81">
        <v>28.557180851063801</v>
      </c>
      <c r="G7" s="80">
        <v>745</v>
      </c>
      <c r="H7" s="81">
        <v>24.071082390953201</v>
      </c>
      <c r="I7" s="80">
        <v>135104716</v>
      </c>
      <c r="J7" s="81">
        <v>1.55323361895364</v>
      </c>
      <c r="K7" s="80">
        <v>119430009</v>
      </c>
      <c r="L7" s="81">
        <v>1.50345713427371</v>
      </c>
      <c r="M7" s="80">
        <v>15674707</v>
      </c>
      <c r="N7" s="81">
        <v>2.0772356547691402</v>
      </c>
    </row>
    <row r="8" spans="1:14" ht="20.149999999999999" customHeight="1" x14ac:dyDescent="0.35">
      <c r="B8" s="55" t="s">
        <v>33</v>
      </c>
      <c r="C8" s="78">
        <v>3084</v>
      </c>
      <c r="D8" s="79">
        <v>12.769657571115101</v>
      </c>
      <c r="E8" s="78">
        <v>2680</v>
      </c>
      <c r="F8" s="79">
        <v>12.7279635258359</v>
      </c>
      <c r="G8" s="78">
        <v>404</v>
      </c>
      <c r="H8" s="79">
        <v>13.053311793214901</v>
      </c>
      <c r="I8" s="78">
        <v>226209065</v>
      </c>
      <c r="J8" s="79">
        <v>2.6006162854453598</v>
      </c>
      <c r="K8" s="78">
        <v>196233389</v>
      </c>
      <c r="L8" s="79">
        <v>2.4703045000587598</v>
      </c>
      <c r="M8" s="78">
        <v>29975676</v>
      </c>
      <c r="N8" s="79">
        <v>3.9724214917068301</v>
      </c>
    </row>
    <row r="9" spans="1:14" ht="20.149999999999999" customHeight="1" x14ac:dyDescent="0.35">
      <c r="B9" s="56" t="s">
        <v>34</v>
      </c>
      <c r="C9" s="80">
        <v>3408</v>
      </c>
      <c r="D9" s="81">
        <v>14.111216926835301</v>
      </c>
      <c r="E9" s="80">
        <v>2954</v>
      </c>
      <c r="F9" s="81">
        <v>14.0292553191489</v>
      </c>
      <c r="G9" s="80">
        <v>454</v>
      </c>
      <c r="H9" s="81">
        <v>14.668820678513701</v>
      </c>
      <c r="I9" s="80">
        <v>494678528</v>
      </c>
      <c r="J9" s="81">
        <v>5.6870799407483403</v>
      </c>
      <c r="K9" s="80">
        <v>428189210</v>
      </c>
      <c r="L9" s="81">
        <v>5.3903045640189404</v>
      </c>
      <c r="M9" s="80">
        <v>66489318</v>
      </c>
      <c r="N9" s="81">
        <v>8.8112640326153002</v>
      </c>
    </row>
    <row r="10" spans="1:14" ht="20.149999999999999" customHeight="1" x14ac:dyDescent="0.35">
      <c r="B10" s="55" t="s">
        <v>35</v>
      </c>
      <c r="C10" s="78">
        <v>4714</v>
      </c>
      <c r="D10" s="79">
        <v>19.518860502670702</v>
      </c>
      <c r="E10" s="78">
        <v>4183</v>
      </c>
      <c r="F10" s="79">
        <v>19.866071428571399</v>
      </c>
      <c r="G10" s="78">
        <v>531</v>
      </c>
      <c r="H10" s="79">
        <v>17.156704361873999</v>
      </c>
      <c r="I10" s="78">
        <v>1544041951</v>
      </c>
      <c r="J10" s="79">
        <v>17.751104020439801</v>
      </c>
      <c r="K10" s="78">
        <v>1371815049</v>
      </c>
      <c r="L10" s="79">
        <v>17.269236932931001</v>
      </c>
      <c r="M10" s="78">
        <v>172226902</v>
      </c>
      <c r="N10" s="79">
        <v>22.8237670755077</v>
      </c>
    </row>
    <row r="11" spans="1:14" ht="20.149999999999999" customHeight="1" x14ac:dyDescent="0.35">
      <c r="B11" s="56" t="s">
        <v>36</v>
      </c>
      <c r="C11" s="80">
        <v>2473</v>
      </c>
      <c r="D11" s="81">
        <v>10.2397416256056</v>
      </c>
      <c r="E11" s="80">
        <v>2259</v>
      </c>
      <c r="F11" s="81">
        <v>10.728533434650499</v>
      </c>
      <c r="G11" s="80">
        <v>214</v>
      </c>
      <c r="H11" s="81">
        <v>6.9143780290791597</v>
      </c>
      <c r="I11" s="80">
        <v>1713043400</v>
      </c>
      <c r="J11" s="81">
        <v>19.694031995201801</v>
      </c>
      <c r="K11" s="80">
        <v>1558554701</v>
      </c>
      <c r="L11" s="81">
        <v>19.620028533819099</v>
      </c>
      <c r="M11" s="80">
        <v>154488699</v>
      </c>
      <c r="N11" s="81">
        <v>20.473073839383201</v>
      </c>
    </row>
    <row r="12" spans="1:14" ht="20.149999999999999" customHeight="1" x14ac:dyDescent="0.35">
      <c r="B12" s="55" t="s">
        <v>37</v>
      </c>
      <c r="C12" s="78">
        <v>1010</v>
      </c>
      <c r="D12" s="79">
        <v>4.1820214483872302</v>
      </c>
      <c r="E12" s="78">
        <v>902</v>
      </c>
      <c r="F12" s="79">
        <v>4.2838145896656501</v>
      </c>
      <c r="G12" s="78">
        <v>108</v>
      </c>
      <c r="H12" s="79">
        <v>3.4894991922455598</v>
      </c>
      <c r="I12" s="78">
        <v>1386279005</v>
      </c>
      <c r="J12" s="79">
        <v>15.9373796827019</v>
      </c>
      <c r="K12" s="78">
        <v>1231961743</v>
      </c>
      <c r="L12" s="79">
        <v>15.5086789926108</v>
      </c>
      <c r="M12" s="78">
        <v>154317262</v>
      </c>
      <c r="N12" s="79">
        <v>20.450354751304101</v>
      </c>
    </row>
    <row r="13" spans="1:14" ht="20.149999999999999" customHeight="1" x14ac:dyDescent="0.35">
      <c r="B13" s="56" t="s">
        <v>38</v>
      </c>
      <c r="C13" s="80">
        <v>227</v>
      </c>
      <c r="D13" s="81">
        <v>0.93991967206326898</v>
      </c>
      <c r="E13" s="80">
        <v>205</v>
      </c>
      <c r="F13" s="81">
        <v>0.97359422492401204</v>
      </c>
      <c r="G13" s="80">
        <v>22</v>
      </c>
      <c r="H13" s="81">
        <v>0.71082390953150199</v>
      </c>
      <c r="I13" s="80">
        <v>549424931</v>
      </c>
      <c r="J13" s="81">
        <v>6.3164728751621499</v>
      </c>
      <c r="K13" s="80">
        <v>496069847</v>
      </c>
      <c r="L13" s="81">
        <v>6.2448270482020698</v>
      </c>
      <c r="M13" s="80">
        <v>53355084</v>
      </c>
      <c r="N13" s="81">
        <v>7.0706956658266202</v>
      </c>
    </row>
    <row r="14" spans="1:14" ht="20.149999999999999" customHeight="1" x14ac:dyDescent="0.35">
      <c r="B14" s="55" t="s">
        <v>39</v>
      </c>
      <c r="C14" s="78">
        <v>143</v>
      </c>
      <c r="D14" s="79">
        <v>0.59210798724690505</v>
      </c>
      <c r="E14" s="78">
        <v>132</v>
      </c>
      <c r="F14" s="79">
        <v>0.62689969604863205</v>
      </c>
      <c r="G14" s="78">
        <v>11</v>
      </c>
      <c r="H14" s="79">
        <v>0.35541195476575099</v>
      </c>
      <c r="I14" s="78">
        <v>543417371</v>
      </c>
      <c r="J14" s="79">
        <v>6.2474068615088498</v>
      </c>
      <c r="K14" s="78">
        <v>501763171</v>
      </c>
      <c r="L14" s="79">
        <v>6.3164980516391704</v>
      </c>
      <c r="M14" s="78">
        <v>41654200</v>
      </c>
      <c r="N14" s="79">
        <v>5.5200769884173599</v>
      </c>
    </row>
    <row r="15" spans="1:14" ht="20.149999999999999" customHeight="1" x14ac:dyDescent="0.35">
      <c r="B15" s="56" t="s">
        <v>40</v>
      </c>
      <c r="C15" s="80">
        <v>84</v>
      </c>
      <c r="D15" s="81">
        <v>0.34781168481636399</v>
      </c>
      <c r="E15" s="80">
        <v>78</v>
      </c>
      <c r="F15" s="81">
        <v>0.37044072948328299</v>
      </c>
      <c r="G15" s="80">
        <v>6</v>
      </c>
      <c r="H15" s="81">
        <v>0.19386106623586399</v>
      </c>
      <c r="I15" s="80">
        <v>586659030</v>
      </c>
      <c r="J15" s="81">
        <v>6.7445353148052503</v>
      </c>
      <c r="K15" s="80">
        <v>545145030</v>
      </c>
      <c r="L15" s="81">
        <v>6.8626151118129304</v>
      </c>
      <c r="M15" s="80">
        <v>41514000</v>
      </c>
      <c r="N15" s="81">
        <v>5.50149747437613</v>
      </c>
    </row>
    <row r="16" spans="1:14" ht="20.149999999999999" customHeight="1" x14ac:dyDescent="0.35">
      <c r="B16" s="55" t="s">
        <v>41</v>
      </c>
      <c r="C16" s="78">
        <v>65</v>
      </c>
      <c r="D16" s="79">
        <v>0.269139994203139</v>
      </c>
      <c r="E16" s="78" t="s">
        <v>43</v>
      </c>
      <c r="F16" s="79" t="s">
        <v>43</v>
      </c>
      <c r="G16" s="78" t="s">
        <v>43</v>
      </c>
      <c r="H16" s="79" t="s">
        <v>43</v>
      </c>
      <c r="I16" s="78">
        <v>1519428877</v>
      </c>
      <c r="J16" s="79">
        <v>17.4681394050329</v>
      </c>
      <c r="K16" s="78">
        <v>1494530177</v>
      </c>
      <c r="L16" s="79">
        <v>18.814049130633499</v>
      </c>
      <c r="M16" s="78">
        <v>24898700</v>
      </c>
      <c r="N16" s="79">
        <v>3.2996130260935801</v>
      </c>
    </row>
    <row r="17" spans="2:14" ht="20.149999999999999" customHeight="1" x14ac:dyDescent="0.35">
      <c r="B17" s="56" t="s">
        <v>30</v>
      </c>
      <c r="C17" s="80">
        <v>24151</v>
      </c>
      <c r="D17" s="81">
        <v>100</v>
      </c>
      <c r="E17" s="80">
        <v>20993</v>
      </c>
      <c r="F17" s="81">
        <v>99.700797872340402</v>
      </c>
      <c r="G17" s="80">
        <v>3093</v>
      </c>
      <c r="H17" s="81">
        <v>99.935379644588096</v>
      </c>
      <c r="I17" s="80">
        <v>8698286874</v>
      </c>
      <c r="J17" s="81">
        <v>100</v>
      </c>
      <c r="K17" s="80">
        <v>7943692326</v>
      </c>
      <c r="L17" s="81">
        <v>100</v>
      </c>
      <c r="M17" s="80">
        <v>754594548</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7</v>
      </c>
      <c r="B6" s="55" t="s">
        <v>31</v>
      </c>
      <c r="C6" s="78">
        <v>10006</v>
      </c>
      <c r="D6" s="79">
        <v>9.4957911419433803</v>
      </c>
      <c r="E6" s="78">
        <v>9058</v>
      </c>
      <c r="F6" s="79">
        <v>9.2453099801988294</v>
      </c>
      <c r="G6" s="78">
        <v>948</v>
      </c>
      <c r="H6" s="79">
        <v>12.812542235437199</v>
      </c>
      <c r="I6" s="78">
        <v>0</v>
      </c>
      <c r="J6" s="79">
        <v>0</v>
      </c>
      <c r="K6" s="78">
        <v>0</v>
      </c>
      <c r="L6" s="79">
        <v>0</v>
      </c>
      <c r="M6" s="78">
        <v>0</v>
      </c>
      <c r="N6" s="79">
        <v>0</v>
      </c>
    </row>
    <row r="7" spans="1:14" ht="20.149999999999999" customHeight="1" x14ac:dyDescent="0.35">
      <c r="B7" s="56" t="s">
        <v>32</v>
      </c>
      <c r="C7" s="80">
        <v>29703</v>
      </c>
      <c r="D7" s="81">
        <v>28.188435367693799</v>
      </c>
      <c r="E7" s="80">
        <v>28053</v>
      </c>
      <c r="F7" s="81">
        <v>28.6331067426052</v>
      </c>
      <c r="G7" s="80">
        <v>1650</v>
      </c>
      <c r="H7" s="81">
        <v>22.300310852817901</v>
      </c>
      <c r="I7" s="80">
        <v>533156731</v>
      </c>
      <c r="J7" s="81">
        <v>0.35158105160019898</v>
      </c>
      <c r="K7" s="80">
        <v>506258770</v>
      </c>
      <c r="L7" s="81">
        <v>0.34187957359916099</v>
      </c>
      <c r="M7" s="80">
        <v>26897961</v>
      </c>
      <c r="N7" s="81">
        <v>0.754618494074349</v>
      </c>
    </row>
    <row r="8" spans="1:14" ht="20.149999999999999" customHeight="1" x14ac:dyDescent="0.35">
      <c r="B8" s="55" t="s">
        <v>33</v>
      </c>
      <c r="C8" s="78">
        <v>10659</v>
      </c>
      <c r="D8" s="79">
        <v>10.115494481508501</v>
      </c>
      <c r="E8" s="78">
        <v>9846</v>
      </c>
      <c r="F8" s="79">
        <v>10.049604997244201</v>
      </c>
      <c r="G8" s="78">
        <v>813</v>
      </c>
      <c r="H8" s="79">
        <v>10.9879713474794</v>
      </c>
      <c r="I8" s="78">
        <v>775078172</v>
      </c>
      <c r="J8" s="79">
        <v>0.51111199191466195</v>
      </c>
      <c r="K8" s="78">
        <v>714341695</v>
      </c>
      <c r="L8" s="79">
        <v>0.482399216690511</v>
      </c>
      <c r="M8" s="78">
        <v>60736477</v>
      </c>
      <c r="N8" s="79">
        <v>1.7039532776897599</v>
      </c>
    </row>
    <row r="9" spans="1:14" ht="20.149999999999999" customHeight="1" x14ac:dyDescent="0.35">
      <c r="B9" s="56" t="s">
        <v>34</v>
      </c>
      <c r="C9" s="80">
        <v>11548</v>
      </c>
      <c r="D9" s="81">
        <v>10.959164112248899</v>
      </c>
      <c r="E9" s="80">
        <v>10332</v>
      </c>
      <c r="F9" s="81">
        <v>10.545654969685801</v>
      </c>
      <c r="G9" s="80">
        <v>1216</v>
      </c>
      <c r="H9" s="81">
        <v>16.434653331531301</v>
      </c>
      <c r="I9" s="80">
        <v>1669511534</v>
      </c>
      <c r="J9" s="81">
        <v>1.10093071446636</v>
      </c>
      <c r="K9" s="80">
        <v>1490764263</v>
      </c>
      <c r="L9" s="81">
        <v>1.0067220180132499</v>
      </c>
      <c r="M9" s="80">
        <v>178747271</v>
      </c>
      <c r="N9" s="81">
        <v>5.0147294236139199</v>
      </c>
    </row>
    <row r="10" spans="1:14" ht="20.149999999999999" customHeight="1" x14ac:dyDescent="0.35">
      <c r="B10" s="55" t="s">
        <v>35</v>
      </c>
      <c r="C10" s="78">
        <v>16786</v>
      </c>
      <c r="D10" s="79">
        <v>15.9300769646873</v>
      </c>
      <c r="E10" s="78">
        <v>15233</v>
      </c>
      <c r="F10" s="79">
        <v>15.548002531283799</v>
      </c>
      <c r="G10" s="78">
        <v>1553</v>
      </c>
      <c r="H10" s="79">
        <v>20.9893228814705</v>
      </c>
      <c r="I10" s="78">
        <v>5533614072</v>
      </c>
      <c r="J10" s="79">
        <v>3.6490467839248102</v>
      </c>
      <c r="K10" s="78">
        <v>5041191358</v>
      </c>
      <c r="L10" s="79">
        <v>3.40434665833999</v>
      </c>
      <c r="M10" s="78">
        <v>492422714</v>
      </c>
      <c r="N10" s="79">
        <v>13.814849641825401</v>
      </c>
    </row>
    <row r="11" spans="1:14" ht="20.149999999999999" customHeight="1" x14ac:dyDescent="0.35">
      <c r="B11" s="56" t="s">
        <v>36</v>
      </c>
      <c r="C11" s="80">
        <v>11554</v>
      </c>
      <c r="D11" s="81">
        <v>10.964858170499101</v>
      </c>
      <c r="E11" s="80">
        <v>10886</v>
      </c>
      <c r="F11" s="81">
        <v>11.1111111111111</v>
      </c>
      <c r="G11" s="80">
        <v>668</v>
      </c>
      <c r="H11" s="81">
        <v>9.0282470604135696</v>
      </c>
      <c r="I11" s="80">
        <v>8211149316</v>
      </c>
      <c r="J11" s="81">
        <v>5.4147014255092101</v>
      </c>
      <c r="K11" s="80">
        <v>7753999253</v>
      </c>
      <c r="L11" s="81">
        <v>5.2363220459447097</v>
      </c>
      <c r="M11" s="80">
        <v>457150063</v>
      </c>
      <c r="N11" s="81">
        <v>12.8252804034869</v>
      </c>
    </row>
    <row r="12" spans="1:14" ht="20.149999999999999" customHeight="1" x14ac:dyDescent="0.35">
      <c r="B12" s="55" t="s">
        <v>37</v>
      </c>
      <c r="C12" s="78">
        <v>7438</v>
      </c>
      <c r="D12" s="79">
        <v>7.0587342108509796</v>
      </c>
      <c r="E12" s="78">
        <v>7092</v>
      </c>
      <c r="F12" s="79">
        <v>7.2386551534080503</v>
      </c>
      <c r="G12" s="78">
        <v>346</v>
      </c>
      <c r="H12" s="79">
        <v>4.6763076091363702</v>
      </c>
      <c r="I12" s="78">
        <v>10313343356</v>
      </c>
      <c r="J12" s="79">
        <v>6.8009571891091802</v>
      </c>
      <c r="K12" s="78">
        <v>9847093054</v>
      </c>
      <c r="L12" s="79">
        <v>6.6498008014612298</v>
      </c>
      <c r="M12" s="78">
        <v>466250302</v>
      </c>
      <c r="N12" s="79">
        <v>13.0805863223964</v>
      </c>
    </row>
    <row r="13" spans="1:14" ht="20.149999999999999" customHeight="1" x14ac:dyDescent="0.35">
      <c r="B13" s="56" t="s">
        <v>38</v>
      </c>
      <c r="C13" s="80">
        <v>2497</v>
      </c>
      <c r="D13" s="81">
        <v>2.36967724179818</v>
      </c>
      <c r="E13" s="80">
        <v>2399</v>
      </c>
      <c r="F13" s="81">
        <v>2.4486088145834599</v>
      </c>
      <c r="G13" s="80">
        <v>98</v>
      </c>
      <c r="H13" s="81">
        <v>1.32450331125828</v>
      </c>
      <c r="I13" s="80">
        <v>6082620617</v>
      </c>
      <c r="J13" s="81">
        <v>4.0110797232154001</v>
      </c>
      <c r="K13" s="80">
        <v>5841480331</v>
      </c>
      <c r="L13" s="81">
        <v>3.94478658562333</v>
      </c>
      <c r="M13" s="80">
        <v>241140286</v>
      </c>
      <c r="N13" s="81">
        <v>6.7651566407571897</v>
      </c>
    </row>
    <row r="14" spans="1:14" ht="20.149999999999999" customHeight="1" x14ac:dyDescent="0.35">
      <c r="B14" s="55" t="s">
        <v>39</v>
      </c>
      <c r="C14" s="78">
        <v>1997</v>
      </c>
      <c r="D14" s="79">
        <v>1.89517238761353</v>
      </c>
      <c r="E14" s="78">
        <v>1935</v>
      </c>
      <c r="F14" s="79">
        <v>1.9750137791658999</v>
      </c>
      <c r="G14" s="78">
        <v>62</v>
      </c>
      <c r="H14" s="79">
        <v>0.83795107446952299</v>
      </c>
      <c r="I14" s="78">
        <v>7667192182</v>
      </c>
      <c r="J14" s="79">
        <v>5.0559982336008096</v>
      </c>
      <c r="K14" s="78">
        <v>7426802722</v>
      </c>
      <c r="L14" s="79">
        <v>5.0153642727067203</v>
      </c>
      <c r="M14" s="78">
        <v>240389460</v>
      </c>
      <c r="N14" s="79">
        <v>6.7440923234495704</v>
      </c>
    </row>
    <row r="15" spans="1:14" ht="20.149999999999999" customHeight="1" x14ac:dyDescent="0.35">
      <c r="B15" s="56" t="s">
        <v>40</v>
      </c>
      <c r="C15" s="80">
        <v>1496</v>
      </c>
      <c r="D15" s="81">
        <v>1.4197185237204999</v>
      </c>
      <c r="E15" s="80">
        <v>1463</v>
      </c>
      <c r="F15" s="81">
        <v>1.4932533121032101</v>
      </c>
      <c r="G15" s="80">
        <v>33</v>
      </c>
      <c r="H15" s="81">
        <v>0.44600621705635901</v>
      </c>
      <c r="I15" s="80">
        <v>10415923889</v>
      </c>
      <c r="J15" s="81">
        <v>6.8686021602196599</v>
      </c>
      <c r="K15" s="80">
        <v>10207242062</v>
      </c>
      <c r="L15" s="81">
        <v>6.89301157939442</v>
      </c>
      <c r="M15" s="80">
        <v>208681827</v>
      </c>
      <c r="N15" s="81">
        <v>5.8545391612183497</v>
      </c>
    </row>
    <row r="16" spans="1:14" ht="20.149999999999999" customHeight="1" x14ac:dyDescent="0.35">
      <c r="B16" s="55" t="s">
        <v>41</v>
      </c>
      <c r="C16" s="78">
        <v>1689</v>
      </c>
      <c r="D16" s="79">
        <v>1.6028773974357799</v>
      </c>
      <c r="E16" s="78">
        <v>1677</v>
      </c>
      <c r="F16" s="79">
        <v>1.7116786086104501</v>
      </c>
      <c r="G16" s="78">
        <v>12</v>
      </c>
      <c r="H16" s="79">
        <v>0.162184078929585</v>
      </c>
      <c r="I16" s="78">
        <v>100443878103</v>
      </c>
      <c r="J16" s="79">
        <v>66.235990726439695</v>
      </c>
      <c r="K16" s="78">
        <v>99251849488</v>
      </c>
      <c r="L16" s="79">
        <v>67.025367248226701</v>
      </c>
      <c r="M16" s="78">
        <v>1192028615</v>
      </c>
      <c r="N16" s="79">
        <v>33.442194311488201</v>
      </c>
    </row>
    <row r="17" spans="2:14" ht="20.149999999999999" customHeight="1" x14ac:dyDescent="0.35">
      <c r="B17" s="56" t="s">
        <v>30</v>
      </c>
      <c r="C17" s="80">
        <v>105373</v>
      </c>
      <c r="D17" s="81">
        <v>100</v>
      </c>
      <c r="E17" s="80">
        <v>97974</v>
      </c>
      <c r="F17" s="81">
        <v>100</v>
      </c>
      <c r="G17" s="80">
        <v>7399</v>
      </c>
      <c r="H17" s="81">
        <v>100</v>
      </c>
      <c r="I17" s="80">
        <v>151645467972</v>
      </c>
      <c r="J17" s="81">
        <v>100</v>
      </c>
      <c r="K17" s="80">
        <v>148081022996</v>
      </c>
      <c r="L17" s="81">
        <v>100</v>
      </c>
      <c r="M17" s="80">
        <v>3564444976</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8</v>
      </c>
      <c r="B6" s="55" t="s">
        <v>31</v>
      </c>
      <c r="C6" s="78">
        <v>3610</v>
      </c>
      <c r="D6" s="79">
        <v>13.5581762187336</v>
      </c>
      <c r="E6" s="78">
        <v>2838</v>
      </c>
      <c r="F6" s="79">
        <v>12.696850393700799</v>
      </c>
      <c r="G6" s="78">
        <v>772</v>
      </c>
      <c r="H6" s="79">
        <v>18.062704726251798</v>
      </c>
      <c r="I6" s="78">
        <v>0</v>
      </c>
      <c r="J6" s="79">
        <v>0</v>
      </c>
      <c r="K6" s="78">
        <v>0</v>
      </c>
      <c r="L6" s="79">
        <v>0</v>
      </c>
      <c r="M6" s="78">
        <v>0</v>
      </c>
      <c r="N6" s="79">
        <v>0</v>
      </c>
    </row>
    <row r="7" spans="1:14" ht="20.149999999999999" customHeight="1" x14ac:dyDescent="0.35">
      <c r="B7" s="56" t="s">
        <v>32</v>
      </c>
      <c r="C7" s="80">
        <v>7892</v>
      </c>
      <c r="D7" s="81">
        <v>29.640201306993202</v>
      </c>
      <c r="E7" s="80">
        <v>6873</v>
      </c>
      <c r="F7" s="81">
        <v>30.748926270579801</v>
      </c>
      <c r="G7" s="80">
        <v>1019</v>
      </c>
      <c r="H7" s="81">
        <v>23.841834347215698</v>
      </c>
      <c r="I7" s="80">
        <v>145655355</v>
      </c>
      <c r="J7" s="81">
        <v>0.79446896370008402</v>
      </c>
      <c r="K7" s="80">
        <v>125403107</v>
      </c>
      <c r="L7" s="81">
        <v>0.70860523703102696</v>
      </c>
      <c r="M7" s="80">
        <v>20252248</v>
      </c>
      <c r="N7" s="81">
        <v>3.1818147368416301</v>
      </c>
    </row>
    <row r="8" spans="1:14" ht="20.149999999999999" customHeight="1" x14ac:dyDescent="0.35">
      <c r="B8" s="55" t="s">
        <v>33</v>
      </c>
      <c r="C8" s="78">
        <v>3247</v>
      </c>
      <c r="D8" s="79">
        <v>12.194847141891399</v>
      </c>
      <c r="E8" s="78">
        <v>2589</v>
      </c>
      <c r="F8" s="79">
        <v>11.5828561202577</v>
      </c>
      <c r="G8" s="78">
        <v>658</v>
      </c>
      <c r="H8" s="79">
        <v>15.395414131960701</v>
      </c>
      <c r="I8" s="78">
        <v>236366996</v>
      </c>
      <c r="J8" s="79">
        <v>1.2892505213077901</v>
      </c>
      <c r="K8" s="78">
        <v>187000813</v>
      </c>
      <c r="L8" s="79">
        <v>1.0566704333797701</v>
      </c>
      <c r="M8" s="78">
        <v>49366183</v>
      </c>
      <c r="N8" s="79">
        <v>7.7558821406404199</v>
      </c>
    </row>
    <row r="9" spans="1:14" ht="20.149999999999999" customHeight="1" x14ac:dyDescent="0.35">
      <c r="B9" s="56" t="s">
        <v>34</v>
      </c>
      <c r="C9" s="80">
        <v>3427</v>
      </c>
      <c r="D9" s="81">
        <v>12.870878089085901</v>
      </c>
      <c r="E9" s="80">
        <v>2518</v>
      </c>
      <c r="F9" s="81">
        <v>11.265211166786001</v>
      </c>
      <c r="G9" s="80">
        <v>909</v>
      </c>
      <c r="H9" s="81">
        <v>21.268132896584</v>
      </c>
      <c r="I9" s="80">
        <v>496153743</v>
      </c>
      <c r="J9" s="81">
        <v>2.7062427607768198</v>
      </c>
      <c r="K9" s="80">
        <v>364267708</v>
      </c>
      <c r="L9" s="81">
        <v>2.0583382002655601</v>
      </c>
      <c r="M9" s="80">
        <v>131886035</v>
      </c>
      <c r="N9" s="81">
        <v>20.720511112969302</v>
      </c>
    </row>
    <row r="10" spans="1:14" ht="20.149999999999999" customHeight="1" x14ac:dyDescent="0.35">
      <c r="B10" s="55" t="s">
        <v>35</v>
      </c>
      <c r="C10" s="78">
        <v>4259</v>
      </c>
      <c r="D10" s="79">
        <v>15.9956433561181</v>
      </c>
      <c r="E10" s="78">
        <v>3520</v>
      </c>
      <c r="F10" s="79">
        <v>15.748031496063</v>
      </c>
      <c r="G10" s="78">
        <v>739</v>
      </c>
      <c r="H10" s="79">
        <v>17.290594291062199</v>
      </c>
      <c r="I10" s="78">
        <v>1374250184</v>
      </c>
      <c r="J10" s="79">
        <v>7.4957705437409397</v>
      </c>
      <c r="K10" s="78">
        <v>1148666897</v>
      </c>
      <c r="L10" s="79">
        <v>6.4906795237408303</v>
      </c>
      <c r="M10" s="78">
        <v>225583287</v>
      </c>
      <c r="N10" s="79">
        <v>35.441212598313797</v>
      </c>
    </row>
    <row r="11" spans="1:14" ht="20.149999999999999" customHeight="1" x14ac:dyDescent="0.35">
      <c r="B11" s="56" t="s">
        <v>36</v>
      </c>
      <c r="C11" s="80">
        <v>2231</v>
      </c>
      <c r="D11" s="81">
        <v>8.3790280177270304</v>
      </c>
      <c r="E11" s="80">
        <v>2091</v>
      </c>
      <c r="F11" s="81">
        <v>9.3548675733715108</v>
      </c>
      <c r="G11" s="80">
        <v>140</v>
      </c>
      <c r="H11" s="81">
        <v>3.27562002807674</v>
      </c>
      <c r="I11" s="80">
        <v>1553361170</v>
      </c>
      <c r="J11" s="81">
        <v>8.4727213701264201</v>
      </c>
      <c r="K11" s="80">
        <v>1461695232</v>
      </c>
      <c r="L11" s="81">
        <v>8.2594835257031001</v>
      </c>
      <c r="M11" s="80">
        <v>91665938</v>
      </c>
      <c r="N11" s="81">
        <v>14.4015633422429</v>
      </c>
    </row>
    <row r="12" spans="1:14" ht="20.149999999999999" customHeight="1" x14ac:dyDescent="0.35">
      <c r="B12" s="55" t="s">
        <v>37</v>
      </c>
      <c r="C12" s="78">
        <v>1027</v>
      </c>
      <c r="D12" s="79">
        <v>3.8571321264929002</v>
      </c>
      <c r="E12" s="78">
        <v>1002</v>
      </c>
      <c r="F12" s="79">
        <v>4.4828203292770201</v>
      </c>
      <c r="G12" s="78">
        <v>25</v>
      </c>
      <c r="H12" s="79">
        <v>0.58493214787084702</v>
      </c>
      <c r="I12" s="78">
        <v>1410444020</v>
      </c>
      <c r="J12" s="79">
        <v>7.6931877920065501</v>
      </c>
      <c r="K12" s="78">
        <v>1376385299</v>
      </c>
      <c r="L12" s="79">
        <v>7.7774295579767099</v>
      </c>
      <c r="M12" s="78">
        <v>34058721</v>
      </c>
      <c r="N12" s="79">
        <v>5.3509388387786601</v>
      </c>
    </row>
    <row r="13" spans="1:14" ht="20.149999999999999" customHeight="1" x14ac:dyDescent="0.35">
      <c r="B13" s="56" t="s">
        <v>38</v>
      </c>
      <c r="C13" s="80">
        <v>296</v>
      </c>
      <c r="D13" s="81">
        <v>1.11169533538646</v>
      </c>
      <c r="E13" s="80" t="s">
        <v>43</v>
      </c>
      <c r="F13" s="81" t="s">
        <v>43</v>
      </c>
      <c r="G13" s="80" t="s">
        <v>43</v>
      </c>
      <c r="H13" s="81" t="s">
        <v>43</v>
      </c>
      <c r="I13" s="80">
        <v>724554241</v>
      </c>
      <c r="J13" s="81">
        <v>3.9520404656029999</v>
      </c>
      <c r="K13" s="80">
        <v>713151228</v>
      </c>
      <c r="L13" s="81">
        <v>4.0297462084086</v>
      </c>
      <c r="M13" s="80">
        <v>11403013</v>
      </c>
      <c r="N13" s="81">
        <v>1.79151839379987</v>
      </c>
    </row>
    <row r="14" spans="1:14" ht="20.149999999999999" customHeight="1" x14ac:dyDescent="0.35">
      <c r="B14" s="55" t="s">
        <v>39</v>
      </c>
      <c r="C14" s="78">
        <v>246</v>
      </c>
      <c r="D14" s="79">
        <v>0.92390896116577803</v>
      </c>
      <c r="E14" s="78">
        <v>242</v>
      </c>
      <c r="F14" s="79">
        <v>1.0826771653543299</v>
      </c>
      <c r="G14" s="78">
        <v>4</v>
      </c>
      <c r="H14" s="79">
        <v>9.3589143659335503E-2</v>
      </c>
      <c r="I14" s="78">
        <v>958440174</v>
      </c>
      <c r="J14" s="79">
        <v>5.2277581679458898</v>
      </c>
      <c r="K14" s="78">
        <v>942781287</v>
      </c>
      <c r="L14" s="79">
        <v>5.3272982888936902</v>
      </c>
      <c r="M14" s="78">
        <v>15658887</v>
      </c>
      <c r="N14" s="79">
        <v>2.4601554069028699</v>
      </c>
    </row>
    <row r="15" spans="1:14" ht="20.149999999999999" customHeight="1" x14ac:dyDescent="0.35">
      <c r="B15" s="56" t="s">
        <v>40</v>
      </c>
      <c r="C15" s="80">
        <v>194</v>
      </c>
      <c r="D15" s="81">
        <v>0.72861113197626404</v>
      </c>
      <c r="E15" s="80" t="s">
        <v>43</v>
      </c>
      <c r="F15" s="81" t="s">
        <v>43</v>
      </c>
      <c r="G15" s="80" t="s">
        <v>43</v>
      </c>
      <c r="H15" s="81" t="s">
        <v>43</v>
      </c>
      <c r="I15" s="80">
        <v>1414288329</v>
      </c>
      <c r="J15" s="81">
        <v>7.7141563598108203</v>
      </c>
      <c r="K15" s="80">
        <v>1408736729</v>
      </c>
      <c r="L15" s="81">
        <v>7.9602351779638099</v>
      </c>
      <c r="M15" s="80">
        <v>5551600</v>
      </c>
      <c r="N15" s="81">
        <v>0.872207504719969</v>
      </c>
    </row>
    <row r="16" spans="1:14" ht="20.149999999999999" customHeight="1" x14ac:dyDescent="0.35">
      <c r="B16" s="55" t="s">
        <v>41</v>
      </c>
      <c r="C16" s="78">
        <v>197</v>
      </c>
      <c r="D16" s="79">
        <v>0.73987831442950502</v>
      </c>
      <c r="E16" s="78" t="s">
        <v>43</v>
      </c>
      <c r="F16" s="79" t="s">
        <v>43</v>
      </c>
      <c r="G16" s="78" t="s">
        <v>43</v>
      </c>
      <c r="H16" s="79" t="s">
        <v>43</v>
      </c>
      <c r="I16" s="78">
        <v>10020160438</v>
      </c>
      <c r="J16" s="79">
        <v>54.654403054981699</v>
      </c>
      <c r="K16" s="78">
        <v>9969086438</v>
      </c>
      <c r="L16" s="79">
        <v>56.331513846636902</v>
      </c>
      <c r="M16" s="78">
        <v>51074000</v>
      </c>
      <c r="N16" s="79">
        <v>8.0241959247906394</v>
      </c>
    </row>
    <row r="17" spans="2:14" ht="20.149999999999999" customHeight="1" x14ac:dyDescent="0.35">
      <c r="B17" s="56" t="s">
        <v>30</v>
      </c>
      <c r="C17" s="80">
        <v>26626</v>
      </c>
      <c r="D17" s="81">
        <v>100</v>
      </c>
      <c r="E17" s="80">
        <v>21673</v>
      </c>
      <c r="F17" s="81">
        <v>96.962240515390107</v>
      </c>
      <c r="G17" s="80">
        <v>4266</v>
      </c>
      <c r="H17" s="81">
        <v>99.812821712681298</v>
      </c>
      <c r="I17" s="80">
        <v>18333674650</v>
      </c>
      <c r="J17" s="81">
        <v>100</v>
      </c>
      <c r="K17" s="80">
        <v>17697174738</v>
      </c>
      <c r="L17" s="81">
        <v>100</v>
      </c>
      <c r="M17" s="80">
        <v>636499912</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9</v>
      </c>
      <c r="B6" s="55" t="s">
        <v>31</v>
      </c>
      <c r="C6" s="78">
        <v>3530</v>
      </c>
      <c r="D6" s="79">
        <v>12.1883847800566</v>
      </c>
      <c r="E6" s="78">
        <v>3110</v>
      </c>
      <c r="F6" s="79">
        <v>11.6943671504851</v>
      </c>
      <c r="G6" s="78">
        <v>420</v>
      </c>
      <c r="H6" s="79">
        <v>17.736486486486498</v>
      </c>
      <c r="I6" s="78">
        <v>0</v>
      </c>
      <c r="J6" s="79">
        <v>0</v>
      </c>
      <c r="K6" s="78">
        <v>0</v>
      </c>
      <c r="L6" s="79">
        <v>0</v>
      </c>
      <c r="M6" s="78">
        <v>0</v>
      </c>
      <c r="N6" s="79">
        <v>0</v>
      </c>
    </row>
    <row r="7" spans="1:14" ht="20.149999999999999" customHeight="1" x14ac:dyDescent="0.35">
      <c r="B7" s="56" t="s">
        <v>32</v>
      </c>
      <c r="C7" s="80">
        <v>8100</v>
      </c>
      <c r="D7" s="81">
        <v>27.9676817899316</v>
      </c>
      <c r="E7" s="80">
        <v>7636</v>
      </c>
      <c r="F7" s="81">
        <v>28.713243588779399</v>
      </c>
      <c r="G7" s="80">
        <v>464</v>
      </c>
      <c r="H7" s="81">
        <v>19.5945945945946</v>
      </c>
      <c r="I7" s="80">
        <v>154547981</v>
      </c>
      <c r="J7" s="81">
        <v>0.353572538528025</v>
      </c>
      <c r="K7" s="80">
        <v>144832397</v>
      </c>
      <c r="L7" s="81">
        <v>0.33748878293455697</v>
      </c>
      <c r="M7" s="80">
        <v>9715584</v>
      </c>
      <c r="N7" s="81">
        <v>1.2210512252368599</v>
      </c>
    </row>
    <row r="8" spans="1:14" ht="20.149999999999999" customHeight="1" x14ac:dyDescent="0.35">
      <c r="B8" s="55" t="s">
        <v>33</v>
      </c>
      <c r="C8" s="78">
        <v>3128</v>
      </c>
      <c r="D8" s="79">
        <v>10.800359091222999</v>
      </c>
      <c r="E8" s="78">
        <v>2834</v>
      </c>
      <c r="F8" s="79">
        <v>10.6565390689629</v>
      </c>
      <c r="G8" s="78">
        <v>294</v>
      </c>
      <c r="H8" s="79">
        <v>12.415540540540499</v>
      </c>
      <c r="I8" s="78">
        <v>228340826</v>
      </c>
      <c r="J8" s="79">
        <v>0.52239469565381202</v>
      </c>
      <c r="K8" s="78">
        <v>206621875</v>
      </c>
      <c r="L8" s="79">
        <v>0.48147076597376298</v>
      </c>
      <c r="M8" s="78">
        <v>21718951</v>
      </c>
      <c r="N8" s="79">
        <v>2.7296302239175101</v>
      </c>
    </row>
    <row r="9" spans="1:14" ht="20.149999999999999" customHeight="1" x14ac:dyDescent="0.35">
      <c r="B9" s="56" t="s">
        <v>34</v>
      </c>
      <c r="C9" s="80">
        <v>3475</v>
      </c>
      <c r="D9" s="81">
        <v>11.9984807679028</v>
      </c>
      <c r="E9" s="80">
        <v>3049</v>
      </c>
      <c r="F9" s="81">
        <v>11.464992103482</v>
      </c>
      <c r="G9" s="80">
        <v>426</v>
      </c>
      <c r="H9" s="81">
        <v>17.989864864864899</v>
      </c>
      <c r="I9" s="80">
        <v>505350095</v>
      </c>
      <c r="J9" s="81">
        <v>1.1561323207097001</v>
      </c>
      <c r="K9" s="80">
        <v>443381496</v>
      </c>
      <c r="L9" s="81">
        <v>1.03316857664617</v>
      </c>
      <c r="M9" s="80">
        <v>61968599</v>
      </c>
      <c r="N9" s="81">
        <v>7.7881920155455102</v>
      </c>
    </row>
    <row r="10" spans="1:14" ht="20.149999999999999" customHeight="1" x14ac:dyDescent="0.35">
      <c r="B10" s="55" t="s">
        <v>35</v>
      </c>
      <c r="C10" s="78">
        <v>4581</v>
      </c>
      <c r="D10" s="79">
        <v>15.8172778123058</v>
      </c>
      <c r="E10" s="78">
        <v>4125</v>
      </c>
      <c r="F10" s="79">
        <v>15.5110175227495</v>
      </c>
      <c r="G10" s="78">
        <v>456</v>
      </c>
      <c r="H10" s="79">
        <v>19.256756756756801</v>
      </c>
      <c r="I10" s="78">
        <v>1507520265</v>
      </c>
      <c r="J10" s="79">
        <v>3.4488821111062702</v>
      </c>
      <c r="K10" s="78">
        <v>1363348012</v>
      </c>
      <c r="L10" s="79">
        <v>3.1768766575487102</v>
      </c>
      <c r="M10" s="78">
        <v>144172253</v>
      </c>
      <c r="N10" s="79">
        <v>18.119518720728301</v>
      </c>
    </row>
    <row r="11" spans="1:14" ht="20.149999999999999" customHeight="1" x14ac:dyDescent="0.35">
      <c r="B11" s="56" t="s">
        <v>36</v>
      </c>
      <c r="C11" s="80">
        <v>2850</v>
      </c>
      <c r="D11" s="81">
        <v>9.8404806297907594</v>
      </c>
      <c r="E11" s="80">
        <v>2665</v>
      </c>
      <c r="F11" s="81">
        <v>10.0210573813642</v>
      </c>
      <c r="G11" s="80">
        <v>185</v>
      </c>
      <c r="H11" s="81">
        <v>7.8125</v>
      </c>
      <c r="I11" s="80">
        <v>2014219785</v>
      </c>
      <c r="J11" s="81">
        <v>4.6081016259657499</v>
      </c>
      <c r="K11" s="80">
        <v>1886499036</v>
      </c>
      <c r="L11" s="81">
        <v>4.3959243708909597</v>
      </c>
      <c r="M11" s="80">
        <v>127720749</v>
      </c>
      <c r="N11" s="81">
        <v>16.051899407654702</v>
      </c>
    </row>
    <row r="12" spans="1:14" ht="20.149999999999999" customHeight="1" x14ac:dyDescent="0.35">
      <c r="B12" s="55" t="s">
        <v>37</v>
      </c>
      <c r="C12" s="78">
        <v>1654</v>
      </c>
      <c r="D12" s="79">
        <v>5.71093156549962</v>
      </c>
      <c r="E12" s="78">
        <v>1572</v>
      </c>
      <c r="F12" s="79">
        <v>5.9111077686696198</v>
      </c>
      <c r="G12" s="78">
        <v>82</v>
      </c>
      <c r="H12" s="79">
        <v>3.4628378378378399</v>
      </c>
      <c r="I12" s="78">
        <v>2295445491</v>
      </c>
      <c r="J12" s="79">
        <v>5.2514855519566996</v>
      </c>
      <c r="K12" s="78">
        <v>2179535138</v>
      </c>
      <c r="L12" s="79">
        <v>5.0787577663768202</v>
      </c>
      <c r="M12" s="78">
        <v>115910353</v>
      </c>
      <c r="N12" s="79">
        <v>14.5675729372817</v>
      </c>
    </row>
    <row r="13" spans="1:14" ht="20.149999999999999" customHeight="1" x14ac:dyDescent="0.35">
      <c r="B13" s="56" t="s">
        <v>38</v>
      </c>
      <c r="C13" s="80">
        <v>516</v>
      </c>
      <c r="D13" s="81">
        <v>1.7816449140252699</v>
      </c>
      <c r="E13" s="80">
        <v>494</v>
      </c>
      <c r="F13" s="81">
        <v>1.85756185605776</v>
      </c>
      <c r="G13" s="80">
        <v>22</v>
      </c>
      <c r="H13" s="81">
        <v>0.92905405405405395</v>
      </c>
      <c r="I13" s="80">
        <v>1271189739</v>
      </c>
      <c r="J13" s="81">
        <v>2.90820870037123</v>
      </c>
      <c r="K13" s="80">
        <v>1216038719</v>
      </c>
      <c r="L13" s="81">
        <v>2.8336162058866399</v>
      </c>
      <c r="M13" s="80">
        <v>55151020</v>
      </c>
      <c r="N13" s="81">
        <v>6.9313610529292502</v>
      </c>
    </row>
    <row r="14" spans="1:14" ht="20.149999999999999" customHeight="1" x14ac:dyDescent="0.35">
      <c r="B14" s="55" t="s">
        <v>39</v>
      </c>
      <c r="C14" s="78">
        <v>404</v>
      </c>
      <c r="D14" s="79">
        <v>1.3949312892756001</v>
      </c>
      <c r="E14" s="78">
        <v>393</v>
      </c>
      <c r="F14" s="79">
        <v>1.4777769421674101</v>
      </c>
      <c r="G14" s="78">
        <v>11</v>
      </c>
      <c r="H14" s="79">
        <v>0.46452702702702697</v>
      </c>
      <c r="I14" s="78">
        <v>1541729238</v>
      </c>
      <c r="J14" s="79">
        <v>3.52714488326145</v>
      </c>
      <c r="K14" s="78">
        <v>1504509205</v>
      </c>
      <c r="L14" s="79">
        <v>3.50581079252101</v>
      </c>
      <c r="M14" s="78">
        <v>37220033</v>
      </c>
      <c r="N14" s="79">
        <v>4.6778008298838598</v>
      </c>
    </row>
    <row r="15" spans="1:14" ht="20.149999999999999" customHeight="1" x14ac:dyDescent="0.35">
      <c r="B15" s="56" t="s">
        <v>40</v>
      </c>
      <c r="C15" s="80">
        <v>361</v>
      </c>
      <c r="D15" s="81">
        <v>1.2464608797735</v>
      </c>
      <c r="E15" s="80" t="s">
        <v>43</v>
      </c>
      <c r="F15" s="81" t="s">
        <v>43</v>
      </c>
      <c r="G15" s="80" t="s">
        <v>43</v>
      </c>
      <c r="H15" s="81" t="s">
        <v>43</v>
      </c>
      <c r="I15" s="80">
        <v>2607603310</v>
      </c>
      <c r="J15" s="81">
        <v>5.9656354992484903</v>
      </c>
      <c r="K15" s="80">
        <v>2593790240</v>
      </c>
      <c r="L15" s="81">
        <v>6.0440559530691997</v>
      </c>
      <c r="M15" s="80">
        <v>13813070</v>
      </c>
      <c r="N15" s="81">
        <v>1.73602184364651</v>
      </c>
    </row>
    <row r="16" spans="1:14" ht="20.149999999999999" customHeight="1" x14ac:dyDescent="0.35">
      <c r="B16" s="55" t="s">
        <v>41</v>
      </c>
      <c r="C16" s="78">
        <v>363</v>
      </c>
      <c r="D16" s="79">
        <v>1.2533664802154501</v>
      </c>
      <c r="E16" s="78">
        <v>357</v>
      </c>
      <c r="F16" s="79">
        <v>1.3424080619688701</v>
      </c>
      <c r="G16" s="78">
        <v>6</v>
      </c>
      <c r="H16" s="79">
        <v>0.25337837837837801</v>
      </c>
      <c r="I16" s="78">
        <v>31584456132</v>
      </c>
      <c r="J16" s="79">
        <v>72.258442073198594</v>
      </c>
      <c r="K16" s="78">
        <v>31376173000</v>
      </c>
      <c r="L16" s="79">
        <v>73.112830128152197</v>
      </c>
      <c r="M16" s="78">
        <v>208283132</v>
      </c>
      <c r="N16" s="79">
        <v>26.176951743175799</v>
      </c>
    </row>
    <row r="17" spans="2:14" ht="20.149999999999999" customHeight="1" x14ac:dyDescent="0.35">
      <c r="B17" s="56" t="s">
        <v>30</v>
      </c>
      <c r="C17" s="80">
        <v>28962</v>
      </c>
      <c r="D17" s="81">
        <v>100</v>
      </c>
      <c r="E17" s="80">
        <v>26235</v>
      </c>
      <c r="F17" s="81">
        <v>98.650071444686802</v>
      </c>
      <c r="G17" s="80">
        <v>2366</v>
      </c>
      <c r="H17" s="81">
        <v>99.915540540540505</v>
      </c>
      <c r="I17" s="80">
        <v>43710402862</v>
      </c>
      <c r="J17" s="81">
        <v>100</v>
      </c>
      <c r="K17" s="80">
        <v>42914729118</v>
      </c>
      <c r="L17" s="81">
        <v>100</v>
      </c>
      <c r="M17" s="80">
        <v>795673744</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10</v>
      </c>
      <c r="B6" s="55" t="s">
        <v>31</v>
      </c>
      <c r="C6" s="78">
        <v>3664</v>
      </c>
      <c r="D6" s="79">
        <v>13.298972814053901</v>
      </c>
      <c r="E6" s="78">
        <v>3359</v>
      </c>
      <c r="F6" s="79">
        <v>14.020368979046699</v>
      </c>
      <c r="G6" s="78">
        <v>305</v>
      </c>
      <c r="H6" s="79">
        <v>8.4887280823824103</v>
      </c>
      <c r="I6" s="78">
        <v>0</v>
      </c>
      <c r="J6" s="79">
        <v>0</v>
      </c>
      <c r="K6" s="78">
        <v>0</v>
      </c>
      <c r="L6" s="79">
        <v>0</v>
      </c>
      <c r="M6" s="78">
        <v>0</v>
      </c>
      <c r="N6" s="79">
        <v>0</v>
      </c>
    </row>
    <row r="7" spans="1:14" ht="20.149999999999999" customHeight="1" x14ac:dyDescent="0.35">
      <c r="B7" s="56" t="s">
        <v>32</v>
      </c>
      <c r="C7" s="80">
        <v>9063</v>
      </c>
      <c r="D7" s="81">
        <v>32.895357700265002</v>
      </c>
      <c r="E7" s="80">
        <v>8046</v>
      </c>
      <c r="F7" s="81">
        <v>33.583771600300501</v>
      </c>
      <c r="G7" s="80">
        <v>1017</v>
      </c>
      <c r="H7" s="81">
        <v>28.305037573058701</v>
      </c>
      <c r="I7" s="80">
        <v>156606922</v>
      </c>
      <c r="J7" s="81">
        <v>1.74314895955783</v>
      </c>
      <c r="K7" s="80">
        <v>133903676</v>
      </c>
      <c r="L7" s="81">
        <v>1.58498722358586</v>
      </c>
      <c r="M7" s="80">
        <v>22703246</v>
      </c>
      <c r="N7" s="81">
        <v>4.2365556100875503</v>
      </c>
    </row>
    <row r="8" spans="1:14" ht="20.149999999999999" customHeight="1" x14ac:dyDescent="0.35">
      <c r="B8" s="55" t="s">
        <v>33</v>
      </c>
      <c r="C8" s="78">
        <v>3289</v>
      </c>
      <c r="D8" s="79">
        <v>11.937860694711601</v>
      </c>
      <c r="E8" s="78">
        <v>2592</v>
      </c>
      <c r="F8" s="79">
        <v>10.8189331329827</v>
      </c>
      <c r="G8" s="78">
        <v>697</v>
      </c>
      <c r="H8" s="79">
        <v>19.398831060395199</v>
      </c>
      <c r="I8" s="78">
        <v>240205404</v>
      </c>
      <c r="J8" s="79">
        <v>2.6736608747266501</v>
      </c>
      <c r="K8" s="78">
        <v>188943080</v>
      </c>
      <c r="L8" s="79">
        <v>2.2364760754212698</v>
      </c>
      <c r="M8" s="78">
        <v>51262324</v>
      </c>
      <c r="N8" s="79">
        <v>9.5658429780625092</v>
      </c>
    </row>
    <row r="9" spans="1:14" ht="20.149999999999999" customHeight="1" x14ac:dyDescent="0.35">
      <c r="B9" s="56" t="s">
        <v>34</v>
      </c>
      <c r="C9" s="80">
        <v>3529</v>
      </c>
      <c r="D9" s="81">
        <v>12.8089724510907</v>
      </c>
      <c r="E9" s="80">
        <v>2696</v>
      </c>
      <c r="F9" s="81">
        <v>11.253026129059201</v>
      </c>
      <c r="G9" s="80">
        <v>833</v>
      </c>
      <c r="H9" s="81">
        <v>23.183968828277202</v>
      </c>
      <c r="I9" s="80">
        <v>512787297</v>
      </c>
      <c r="J9" s="81">
        <v>5.7076956230582399</v>
      </c>
      <c r="K9" s="80">
        <v>392424416</v>
      </c>
      <c r="L9" s="81">
        <v>4.6450381659659898</v>
      </c>
      <c r="M9" s="80">
        <v>120362881</v>
      </c>
      <c r="N9" s="81">
        <v>22.4604023031266</v>
      </c>
    </row>
    <row r="10" spans="1:14" ht="20.149999999999999" customHeight="1" x14ac:dyDescent="0.35">
      <c r="B10" s="55" t="s">
        <v>35</v>
      </c>
      <c r="C10" s="78">
        <v>4210</v>
      </c>
      <c r="D10" s="79">
        <v>15.280752059816299</v>
      </c>
      <c r="E10" s="78">
        <v>3618</v>
      </c>
      <c r="F10" s="79">
        <v>15.1014274981217</v>
      </c>
      <c r="G10" s="78">
        <v>592</v>
      </c>
      <c r="H10" s="79">
        <v>16.476482048427499</v>
      </c>
      <c r="I10" s="78">
        <v>1349627368</v>
      </c>
      <c r="J10" s="79">
        <v>15.022334340496</v>
      </c>
      <c r="K10" s="78">
        <v>1175768449</v>
      </c>
      <c r="L10" s="79">
        <v>13.917302535894301</v>
      </c>
      <c r="M10" s="78">
        <v>173858919</v>
      </c>
      <c r="N10" s="79">
        <v>32.443069094754399</v>
      </c>
    </row>
    <row r="11" spans="1:14" ht="20.149999999999999" customHeight="1" x14ac:dyDescent="0.35">
      <c r="B11" s="56" t="s">
        <v>36</v>
      </c>
      <c r="C11" s="80">
        <v>2180</v>
      </c>
      <c r="D11" s="81">
        <v>7.9125984537766296</v>
      </c>
      <c r="E11" s="80">
        <v>2084</v>
      </c>
      <c r="F11" s="81">
        <v>8.6985558059938199</v>
      </c>
      <c r="G11" s="80">
        <v>96</v>
      </c>
      <c r="H11" s="81">
        <v>2.6718619537990498</v>
      </c>
      <c r="I11" s="80">
        <v>1525275818</v>
      </c>
      <c r="J11" s="81">
        <v>16.977429357722901</v>
      </c>
      <c r="K11" s="80">
        <v>1457281489</v>
      </c>
      <c r="L11" s="81">
        <v>17.249508080967001</v>
      </c>
      <c r="M11" s="80">
        <v>67994329</v>
      </c>
      <c r="N11" s="81">
        <v>12.688130850499901</v>
      </c>
    </row>
    <row r="12" spans="1:14" ht="20.149999999999999" customHeight="1" x14ac:dyDescent="0.35">
      <c r="B12" s="55" t="s">
        <v>37</v>
      </c>
      <c r="C12" s="78">
        <v>1019</v>
      </c>
      <c r="D12" s="79">
        <v>3.69859533229284</v>
      </c>
      <c r="E12" s="78">
        <v>983</v>
      </c>
      <c r="F12" s="79">
        <v>4.1030136071458401</v>
      </c>
      <c r="G12" s="78">
        <v>36</v>
      </c>
      <c r="H12" s="79">
        <v>1.0019482326746501</v>
      </c>
      <c r="I12" s="78">
        <v>1393313595</v>
      </c>
      <c r="J12" s="79">
        <v>15.508593824876</v>
      </c>
      <c r="K12" s="78">
        <v>1343283301</v>
      </c>
      <c r="L12" s="79">
        <v>15.9001375715872</v>
      </c>
      <c r="M12" s="78">
        <v>50030294</v>
      </c>
      <c r="N12" s="79">
        <v>9.3359391304674997</v>
      </c>
    </row>
    <row r="13" spans="1:14" ht="20.149999999999999" customHeight="1" x14ac:dyDescent="0.35">
      <c r="B13" s="56" t="s">
        <v>38</v>
      </c>
      <c r="C13" s="80">
        <v>248</v>
      </c>
      <c r="D13" s="81">
        <v>0.90014881492504795</v>
      </c>
      <c r="E13" s="80">
        <v>237</v>
      </c>
      <c r="F13" s="81">
        <v>0.98923115452041099</v>
      </c>
      <c r="G13" s="80">
        <v>11</v>
      </c>
      <c r="H13" s="81">
        <v>0.30615084887280802</v>
      </c>
      <c r="I13" s="80">
        <v>598419271</v>
      </c>
      <c r="J13" s="81">
        <v>6.6608417833728097</v>
      </c>
      <c r="K13" s="80">
        <v>572142196</v>
      </c>
      <c r="L13" s="81">
        <v>6.7723164727334204</v>
      </c>
      <c r="M13" s="80">
        <v>26277075</v>
      </c>
      <c r="N13" s="81">
        <v>4.9034525507031601</v>
      </c>
    </row>
    <row r="14" spans="1:14" ht="20.149999999999999" customHeight="1" x14ac:dyDescent="0.35">
      <c r="B14" s="55" t="s">
        <v>39</v>
      </c>
      <c r="C14" s="78">
        <v>194</v>
      </c>
      <c r="D14" s="79">
        <v>0.70414866973975498</v>
      </c>
      <c r="E14" s="78">
        <v>188</v>
      </c>
      <c r="F14" s="79">
        <v>0.78470656983053699</v>
      </c>
      <c r="G14" s="78">
        <v>6</v>
      </c>
      <c r="H14" s="79">
        <v>0.166991372112441</v>
      </c>
      <c r="I14" s="78">
        <v>736422418</v>
      </c>
      <c r="J14" s="79">
        <v>8.1969171945781696</v>
      </c>
      <c r="K14" s="78">
        <v>713022238</v>
      </c>
      <c r="L14" s="79">
        <v>8.4398813469661391</v>
      </c>
      <c r="M14" s="78">
        <v>23400180</v>
      </c>
      <c r="N14" s="79">
        <v>4.3666074822982797</v>
      </c>
    </row>
    <row r="15" spans="1:14" ht="20.149999999999999" customHeight="1" x14ac:dyDescent="0.35">
      <c r="B15" s="56" t="s">
        <v>40</v>
      </c>
      <c r="C15" s="80">
        <v>93</v>
      </c>
      <c r="D15" s="81">
        <v>0.33755580559689302</v>
      </c>
      <c r="E15" s="80">
        <v>93</v>
      </c>
      <c r="F15" s="81">
        <v>0.388179313799148</v>
      </c>
      <c r="G15" s="80">
        <v>0</v>
      </c>
      <c r="H15" s="81">
        <v>0</v>
      </c>
      <c r="I15" s="80">
        <v>636636111</v>
      </c>
      <c r="J15" s="81">
        <v>7.0862230119470304</v>
      </c>
      <c r="K15" s="80">
        <v>636636111</v>
      </c>
      <c r="L15" s="81">
        <v>7.5357162114682401</v>
      </c>
      <c r="M15" s="80">
        <v>0</v>
      </c>
      <c r="N15" s="81">
        <v>0</v>
      </c>
    </row>
    <row r="16" spans="1:14" ht="20.149999999999999" customHeight="1" x14ac:dyDescent="0.35">
      <c r="B16" s="55" t="s">
        <v>41</v>
      </c>
      <c r="C16" s="78">
        <v>62</v>
      </c>
      <c r="D16" s="79">
        <v>0.22503720373126199</v>
      </c>
      <c r="E16" s="78">
        <v>62</v>
      </c>
      <c r="F16" s="79">
        <v>0.25878620919943202</v>
      </c>
      <c r="G16" s="78">
        <v>0</v>
      </c>
      <c r="H16" s="79">
        <v>0</v>
      </c>
      <c r="I16" s="78">
        <v>1834844595</v>
      </c>
      <c r="J16" s="79">
        <v>20.4231550296644</v>
      </c>
      <c r="K16" s="78">
        <v>1834844595</v>
      </c>
      <c r="L16" s="79">
        <v>21.718636315410599</v>
      </c>
      <c r="M16" s="78">
        <v>0</v>
      </c>
      <c r="N16" s="79">
        <v>0</v>
      </c>
    </row>
    <row r="17" spans="2:14" ht="20.149999999999999" customHeight="1" x14ac:dyDescent="0.35">
      <c r="B17" s="56" t="s">
        <v>30</v>
      </c>
      <c r="C17" s="80">
        <v>27551</v>
      </c>
      <c r="D17" s="81">
        <v>100</v>
      </c>
      <c r="E17" s="80">
        <v>23958</v>
      </c>
      <c r="F17" s="81">
        <v>100</v>
      </c>
      <c r="G17" s="80">
        <v>3593</v>
      </c>
      <c r="H17" s="81">
        <v>100</v>
      </c>
      <c r="I17" s="80">
        <v>8984138799</v>
      </c>
      <c r="J17" s="81">
        <v>100</v>
      </c>
      <c r="K17" s="80">
        <v>8448249551</v>
      </c>
      <c r="L17" s="81">
        <v>100</v>
      </c>
      <c r="M17" s="80">
        <v>535889248</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11</v>
      </c>
      <c r="B6" s="55" t="s">
        <v>31</v>
      </c>
      <c r="C6" s="78">
        <v>9371</v>
      </c>
      <c r="D6" s="79">
        <v>11.728997697006101</v>
      </c>
      <c r="E6" s="78">
        <v>8362</v>
      </c>
      <c r="F6" s="79">
        <v>11.0452137847227</v>
      </c>
      <c r="G6" s="78">
        <v>1009</v>
      </c>
      <c r="H6" s="79">
        <v>24.086894246837002</v>
      </c>
      <c r="I6" s="78">
        <v>0</v>
      </c>
      <c r="J6" s="79">
        <v>0</v>
      </c>
      <c r="K6" s="78">
        <v>0</v>
      </c>
      <c r="L6" s="79">
        <v>0</v>
      </c>
      <c r="M6" s="78">
        <v>0</v>
      </c>
      <c r="N6" s="79">
        <v>0</v>
      </c>
    </row>
    <row r="7" spans="1:14" ht="20.149999999999999" customHeight="1" x14ac:dyDescent="0.35">
      <c r="B7" s="56" t="s">
        <v>32</v>
      </c>
      <c r="C7" s="80">
        <v>20329</v>
      </c>
      <c r="D7" s="81">
        <v>25.444327625913701</v>
      </c>
      <c r="E7" s="80">
        <v>19657</v>
      </c>
      <c r="F7" s="81">
        <v>25.964573949568699</v>
      </c>
      <c r="G7" s="80">
        <v>672</v>
      </c>
      <c r="H7" s="81">
        <v>16.042014800668401</v>
      </c>
      <c r="I7" s="80">
        <v>372493945</v>
      </c>
      <c r="J7" s="81">
        <v>0.39729857302759503</v>
      </c>
      <c r="K7" s="80">
        <v>359647775</v>
      </c>
      <c r="L7" s="81">
        <v>0.39075665871497101</v>
      </c>
      <c r="M7" s="80">
        <v>12846170</v>
      </c>
      <c r="N7" s="81">
        <v>0.74779672986053303</v>
      </c>
    </row>
    <row r="8" spans="1:14" ht="20.149999999999999" customHeight="1" x14ac:dyDescent="0.35">
      <c r="B8" s="55" t="s">
        <v>33</v>
      </c>
      <c r="C8" s="78">
        <v>7738</v>
      </c>
      <c r="D8" s="79">
        <v>9.6850906178031408</v>
      </c>
      <c r="E8" s="78">
        <v>7387</v>
      </c>
      <c r="F8" s="79">
        <v>9.7573540095367708</v>
      </c>
      <c r="G8" s="78">
        <v>351</v>
      </c>
      <c r="H8" s="79">
        <v>8.3790880878491301</v>
      </c>
      <c r="I8" s="78">
        <v>566540878</v>
      </c>
      <c r="J8" s="79">
        <v>0.60426722477650197</v>
      </c>
      <c r="K8" s="78">
        <v>540173688</v>
      </c>
      <c r="L8" s="79">
        <v>0.58689773751171703</v>
      </c>
      <c r="M8" s="78">
        <v>26367190</v>
      </c>
      <c r="N8" s="79">
        <v>1.53487759056679</v>
      </c>
    </row>
    <row r="9" spans="1:14" ht="20.149999999999999" customHeight="1" x14ac:dyDescent="0.35">
      <c r="B9" s="56" t="s">
        <v>34</v>
      </c>
      <c r="C9" s="80">
        <v>8852</v>
      </c>
      <c r="D9" s="81">
        <v>11.079403224191401</v>
      </c>
      <c r="E9" s="80">
        <v>8304</v>
      </c>
      <c r="F9" s="81">
        <v>10.968602639121899</v>
      </c>
      <c r="G9" s="80">
        <v>548</v>
      </c>
      <c r="H9" s="81">
        <v>13.081881117211701</v>
      </c>
      <c r="I9" s="80">
        <v>1288948941</v>
      </c>
      <c r="J9" s="81">
        <v>1.3747809376196201</v>
      </c>
      <c r="K9" s="80">
        <v>1206722400</v>
      </c>
      <c r="L9" s="81">
        <v>1.31110171061259</v>
      </c>
      <c r="M9" s="80">
        <v>82226541</v>
      </c>
      <c r="N9" s="81">
        <v>4.7865424844559197</v>
      </c>
    </row>
    <row r="10" spans="1:14" ht="20.149999999999999" customHeight="1" x14ac:dyDescent="0.35">
      <c r="B10" s="55" t="s">
        <v>35</v>
      </c>
      <c r="C10" s="78">
        <v>12429</v>
      </c>
      <c r="D10" s="79">
        <v>15.556473415440101</v>
      </c>
      <c r="E10" s="78">
        <v>11632</v>
      </c>
      <c r="F10" s="79">
        <v>15.364497338423099</v>
      </c>
      <c r="G10" s="78">
        <v>797</v>
      </c>
      <c r="H10" s="79">
        <v>19.0260205299594</v>
      </c>
      <c r="I10" s="78">
        <v>4081774333</v>
      </c>
      <c r="J10" s="79">
        <v>4.3535824935934597</v>
      </c>
      <c r="K10" s="78">
        <v>3825067420</v>
      </c>
      <c r="L10" s="79">
        <v>4.1559288512175403</v>
      </c>
      <c r="M10" s="78">
        <v>256706913</v>
      </c>
      <c r="N10" s="79">
        <v>14.943332532108199</v>
      </c>
    </row>
    <row r="11" spans="1:14" ht="20.149999999999999" customHeight="1" x14ac:dyDescent="0.35">
      <c r="B11" s="56" t="s">
        <v>36</v>
      </c>
      <c r="C11" s="80">
        <v>8984</v>
      </c>
      <c r="D11" s="81">
        <v>11.244618003404399</v>
      </c>
      <c r="E11" s="80">
        <v>8555</v>
      </c>
      <c r="F11" s="81">
        <v>11.3001439761185</v>
      </c>
      <c r="G11" s="80">
        <v>429</v>
      </c>
      <c r="H11" s="81">
        <v>10.2411076629267</v>
      </c>
      <c r="I11" s="80">
        <v>6386366784</v>
      </c>
      <c r="J11" s="81">
        <v>6.8116393411818601</v>
      </c>
      <c r="K11" s="80">
        <v>6095144773</v>
      </c>
      <c r="L11" s="81">
        <v>6.6223637999192304</v>
      </c>
      <c r="M11" s="80">
        <v>291222011</v>
      </c>
      <c r="N11" s="81">
        <v>16.952513277436601</v>
      </c>
    </row>
    <row r="12" spans="1:14" ht="20.149999999999999" customHeight="1" x14ac:dyDescent="0.35">
      <c r="B12" s="55" t="s">
        <v>37</v>
      </c>
      <c r="C12" s="78">
        <v>6030</v>
      </c>
      <c r="D12" s="79">
        <v>7.5473115049564399</v>
      </c>
      <c r="E12" s="78">
        <v>5795</v>
      </c>
      <c r="F12" s="79">
        <v>7.6545101509767903</v>
      </c>
      <c r="G12" s="78">
        <v>235</v>
      </c>
      <c r="H12" s="79">
        <v>5.6099307710670798</v>
      </c>
      <c r="I12" s="78">
        <v>8415088085</v>
      </c>
      <c r="J12" s="79">
        <v>8.9754545891263202</v>
      </c>
      <c r="K12" s="78">
        <v>8080836846</v>
      </c>
      <c r="L12" s="79">
        <v>8.7798146549461595</v>
      </c>
      <c r="M12" s="78">
        <v>334251239</v>
      </c>
      <c r="N12" s="79">
        <v>19.457315563785301</v>
      </c>
    </row>
    <row r="13" spans="1:14" ht="20.149999999999999" customHeight="1" x14ac:dyDescent="0.35">
      <c r="B13" s="56" t="s">
        <v>38</v>
      </c>
      <c r="C13" s="80">
        <v>2060</v>
      </c>
      <c r="D13" s="81">
        <v>2.5783518574146398</v>
      </c>
      <c r="E13" s="80">
        <v>2004</v>
      </c>
      <c r="F13" s="81">
        <v>2.64704716868982</v>
      </c>
      <c r="G13" s="80">
        <v>56</v>
      </c>
      <c r="H13" s="81">
        <v>1.33683456672237</v>
      </c>
      <c r="I13" s="80">
        <v>5039199329</v>
      </c>
      <c r="J13" s="81">
        <v>5.3747630786678</v>
      </c>
      <c r="K13" s="80">
        <v>4901937467</v>
      </c>
      <c r="L13" s="81">
        <v>5.3259462145557404</v>
      </c>
      <c r="M13" s="80">
        <v>137261862</v>
      </c>
      <c r="N13" s="81">
        <v>7.9902392338080404</v>
      </c>
    </row>
    <row r="14" spans="1:14" ht="20.149999999999999" customHeight="1" x14ac:dyDescent="0.35">
      <c r="B14" s="55" t="s">
        <v>39</v>
      </c>
      <c r="C14" s="78">
        <v>1620</v>
      </c>
      <c r="D14" s="79">
        <v>2.0276359267047201</v>
      </c>
      <c r="E14" s="78">
        <v>1570</v>
      </c>
      <c r="F14" s="79">
        <v>2.0737844585045</v>
      </c>
      <c r="G14" s="78">
        <v>50</v>
      </c>
      <c r="H14" s="79">
        <v>1.1936022917164</v>
      </c>
      <c r="I14" s="78">
        <v>6235198616</v>
      </c>
      <c r="J14" s="79">
        <v>6.6504047808896196</v>
      </c>
      <c r="K14" s="78">
        <v>6043145777</v>
      </c>
      <c r="L14" s="79">
        <v>6.5658669845740203</v>
      </c>
      <c r="M14" s="78">
        <v>192052839</v>
      </c>
      <c r="N14" s="79">
        <v>11.1797123161714</v>
      </c>
    </row>
    <row r="15" spans="1:14" ht="20.149999999999999" customHeight="1" x14ac:dyDescent="0.35">
      <c r="B15" s="56" t="s">
        <v>40</v>
      </c>
      <c r="C15" s="80">
        <v>1215</v>
      </c>
      <c r="D15" s="81">
        <v>1.5207269450285399</v>
      </c>
      <c r="E15" s="80">
        <v>1181</v>
      </c>
      <c r="F15" s="81">
        <v>1.55996143025084</v>
      </c>
      <c r="G15" s="80">
        <v>34</v>
      </c>
      <c r="H15" s="81">
        <v>0.81164955836715202</v>
      </c>
      <c r="I15" s="80">
        <v>8504134664</v>
      </c>
      <c r="J15" s="81">
        <v>9.0704308410750301</v>
      </c>
      <c r="K15" s="80">
        <v>8269732073</v>
      </c>
      <c r="L15" s="81">
        <v>8.9850489783052492</v>
      </c>
      <c r="M15" s="80">
        <v>234402591</v>
      </c>
      <c r="N15" s="81">
        <v>13.644961184589301</v>
      </c>
    </row>
    <row r="16" spans="1:14" ht="20.149999999999999" customHeight="1" x14ac:dyDescent="0.35">
      <c r="B16" s="55" t="s">
        <v>41</v>
      </c>
      <c r="C16" s="78">
        <v>1268</v>
      </c>
      <c r="D16" s="79">
        <v>1.58706318213678</v>
      </c>
      <c r="E16" s="78">
        <v>1260</v>
      </c>
      <c r="F16" s="79">
        <v>1.6643110940864101</v>
      </c>
      <c r="G16" s="78">
        <v>8</v>
      </c>
      <c r="H16" s="79">
        <v>0.190976366674624</v>
      </c>
      <c r="I16" s="78">
        <v>52866932724</v>
      </c>
      <c r="J16" s="79">
        <v>56.387378140042202</v>
      </c>
      <c r="K16" s="78">
        <v>52716400840</v>
      </c>
      <c r="L16" s="79">
        <v>57.276274409642802</v>
      </c>
      <c r="M16" s="78">
        <v>150531884</v>
      </c>
      <c r="N16" s="79">
        <v>8.7627090872178393</v>
      </c>
    </row>
    <row r="17" spans="2:14" ht="20.149999999999999" customHeight="1" x14ac:dyDescent="0.35">
      <c r="B17" s="56" t="s">
        <v>30</v>
      </c>
      <c r="C17" s="80">
        <v>79896</v>
      </c>
      <c r="D17" s="81">
        <v>100</v>
      </c>
      <c r="E17" s="80">
        <v>75707</v>
      </c>
      <c r="F17" s="81">
        <v>100</v>
      </c>
      <c r="G17" s="80">
        <v>4189</v>
      </c>
      <c r="H17" s="81">
        <v>100</v>
      </c>
      <c r="I17" s="80">
        <v>93756678299</v>
      </c>
      <c r="J17" s="81">
        <v>100</v>
      </c>
      <c r="K17" s="80">
        <v>92038809059</v>
      </c>
      <c r="L17" s="81">
        <v>100</v>
      </c>
      <c r="M17" s="80">
        <v>1717869240</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12</v>
      </c>
      <c r="B6" s="55" t="s">
        <v>31</v>
      </c>
      <c r="C6" s="78">
        <v>65353</v>
      </c>
      <c r="D6" s="79">
        <v>31.669719613487199</v>
      </c>
      <c r="E6" s="78">
        <v>62826</v>
      </c>
      <c r="F6" s="79">
        <v>32.442229738452397</v>
      </c>
      <c r="G6" s="78">
        <v>2527</v>
      </c>
      <c r="H6" s="79">
        <v>19.892938675903299</v>
      </c>
      <c r="I6" s="78">
        <v>0</v>
      </c>
      <c r="J6" s="79">
        <v>0</v>
      </c>
      <c r="K6" s="78">
        <v>0</v>
      </c>
      <c r="L6" s="79">
        <v>0</v>
      </c>
      <c r="M6" s="78">
        <v>0</v>
      </c>
      <c r="N6" s="79">
        <v>0</v>
      </c>
    </row>
    <row r="7" spans="1:14" ht="20.149999999999999" customHeight="1" x14ac:dyDescent="0.35">
      <c r="B7" s="56" t="s">
        <v>32</v>
      </c>
      <c r="C7" s="80">
        <v>66002</v>
      </c>
      <c r="D7" s="81">
        <v>31.984221595479699</v>
      </c>
      <c r="E7" s="80">
        <v>61063</v>
      </c>
      <c r="F7" s="81">
        <v>31.531847873796199</v>
      </c>
      <c r="G7" s="80">
        <v>4939</v>
      </c>
      <c r="H7" s="81">
        <v>38.880579390695097</v>
      </c>
      <c r="I7" s="80">
        <v>1119661941</v>
      </c>
      <c r="J7" s="81">
        <v>2.9845886066014198</v>
      </c>
      <c r="K7" s="80">
        <v>1043545574</v>
      </c>
      <c r="L7" s="81">
        <v>2.90087695138102</v>
      </c>
      <c r="M7" s="80">
        <v>76116367</v>
      </c>
      <c r="N7" s="81">
        <v>4.9383524866028701</v>
      </c>
    </row>
    <row r="8" spans="1:14" ht="20.149999999999999" customHeight="1" x14ac:dyDescent="0.35">
      <c r="B8" s="55" t="s">
        <v>33</v>
      </c>
      <c r="C8" s="78">
        <v>19948</v>
      </c>
      <c r="D8" s="79">
        <v>9.6666957423506705</v>
      </c>
      <c r="E8" s="78">
        <v>18378</v>
      </c>
      <c r="F8" s="79">
        <v>9.4900725517027702</v>
      </c>
      <c r="G8" s="78">
        <v>1570</v>
      </c>
      <c r="H8" s="79">
        <v>12.3592852082185</v>
      </c>
      <c r="I8" s="78">
        <v>1441277828</v>
      </c>
      <c r="J8" s="79">
        <v>3.8418930097366299</v>
      </c>
      <c r="K8" s="78">
        <v>1325813705</v>
      </c>
      <c r="L8" s="79">
        <v>3.68553373660284</v>
      </c>
      <c r="M8" s="78">
        <v>115464123</v>
      </c>
      <c r="N8" s="79">
        <v>7.4911948823105199</v>
      </c>
    </row>
    <row r="9" spans="1:14" ht="20.149999999999999" customHeight="1" x14ac:dyDescent="0.35">
      <c r="B9" s="56" t="s">
        <v>34</v>
      </c>
      <c r="C9" s="80">
        <v>19224</v>
      </c>
      <c r="D9" s="81">
        <v>9.3158491553513798</v>
      </c>
      <c r="E9" s="80">
        <v>17510</v>
      </c>
      <c r="F9" s="81">
        <v>9.0418527794273302</v>
      </c>
      <c r="G9" s="80">
        <v>1714</v>
      </c>
      <c r="H9" s="81">
        <v>13.492875698653901</v>
      </c>
      <c r="I9" s="80">
        <v>2761503864</v>
      </c>
      <c r="J9" s="81">
        <v>7.3611084451250504</v>
      </c>
      <c r="K9" s="80">
        <v>2515729283</v>
      </c>
      <c r="L9" s="81">
        <v>6.9932940877664</v>
      </c>
      <c r="M9" s="80">
        <v>245774581</v>
      </c>
      <c r="N9" s="81">
        <v>15.9456048818663</v>
      </c>
    </row>
    <row r="10" spans="1:14" ht="20.149999999999999" customHeight="1" x14ac:dyDescent="0.35">
      <c r="B10" s="55" t="s">
        <v>35</v>
      </c>
      <c r="C10" s="78">
        <v>20467</v>
      </c>
      <c r="D10" s="79">
        <v>9.9182004089979507</v>
      </c>
      <c r="E10" s="78">
        <v>19130</v>
      </c>
      <c r="F10" s="79">
        <v>9.8783919857478502</v>
      </c>
      <c r="G10" s="78">
        <v>1337</v>
      </c>
      <c r="H10" s="79">
        <v>10.5250728174447</v>
      </c>
      <c r="I10" s="78">
        <v>6511973208</v>
      </c>
      <c r="J10" s="79">
        <v>17.358418940034799</v>
      </c>
      <c r="K10" s="78">
        <v>6110396330</v>
      </c>
      <c r="L10" s="79">
        <v>16.9858493190257</v>
      </c>
      <c r="M10" s="78">
        <v>401576878</v>
      </c>
      <c r="N10" s="79">
        <v>26.0538994725473</v>
      </c>
    </row>
    <row r="11" spans="1:14" ht="20.149999999999999" customHeight="1" x14ac:dyDescent="0.35">
      <c r="B11" s="56" t="s">
        <v>36</v>
      </c>
      <c r="C11" s="80">
        <v>9034</v>
      </c>
      <c r="D11" s="81">
        <v>4.3778288217563697</v>
      </c>
      <c r="E11" s="80">
        <v>8639</v>
      </c>
      <c r="F11" s="81">
        <v>4.4610260514833104</v>
      </c>
      <c r="G11" s="80">
        <v>395</v>
      </c>
      <c r="H11" s="81">
        <v>3.1095016925135801</v>
      </c>
      <c r="I11" s="80">
        <v>6252879849</v>
      </c>
      <c r="J11" s="81">
        <v>16.667775577961699</v>
      </c>
      <c r="K11" s="80">
        <v>5976954103</v>
      </c>
      <c r="L11" s="81">
        <v>16.614902912572699</v>
      </c>
      <c r="M11" s="80">
        <v>275925746</v>
      </c>
      <c r="N11" s="81">
        <v>17.9017818057035</v>
      </c>
    </row>
    <row r="12" spans="1:14" ht="20.149999999999999" customHeight="1" x14ac:dyDescent="0.35">
      <c r="B12" s="55" t="s">
        <v>37</v>
      </c>
      <c r="C12" s="78">
        <v>3992</v>
      </c>
      <c r="D12" s="79">
        <v>1.93450217583035</v>
      </c>
      <c r="E12" s="78">
        <v>3825</v>
      </c>
      <c r="F12" s="79">
        <v>1.9751620149234499</v>
      </c>
      <c r="G12" s="78">
        <v>167</v>
      </c>
      <c r="H12" s="79">
        <v>1.3146500826576399</v>
      </c>
      <c r="I12" s="78">
        <v>5466583916</v>
      </c>
      <c r="J12" s="79">
        <v>14.5718126831679</v>
      </c>
      <c r="K12" s="78">
        <v>5240963162</v>
      </c>
      <c r="L12" s="79">
        <v>14.568974866528199</v>
      </c>
      <c r="M12" s="78">
        <v>225620754</v>
      </c>
      <c r="N12" s="79">
        <v>14.6380450809629</v>
      </c>
    </row>
    <row r="13" spans="1:14" ht="20.149999999999999" customHeight="1" x14ac:dyDescent="0.35">
      <c r="B13" s="56" t="s">
        <v>38</v>
      </c>
      <c r="C13" s="80">
        <v>1023</v>
      </c>
      <c r="D13" s="81">
        <v>0.49574041229319898</v>
      </c>
      <c r="E13" s="80">
        <v>992</v>
      </c>
      <c r="F13" s="81">
        <v>0.51225116831478701</v>
      </c>
      <c r="G13" s="80">
        <v>31</v>
      </c>
      <c r="H13" s="81">
        <v>0.244036841690939</v>
      </c>
      <c r="I13" s="80">
        <v>2477545392</v>
      </c>
      <c r="J13" s="81">
        <v>6.6041842439485503</v>
      </c>
      <c r="K13" s="80">
        <v>2402241672</v>
      </c>
      <c r="L13" s="81">
        <v>6.6778180767328896</v>
      </c>
      <c r="M13" s="80">
        <v>75303720</v>
      </c>
      <c r="N13" s="81">
        <v>4.8856287756409396</v>
      </c>
    </row>
    <row r="14" spans="1:14" ht="20.149999999999999" customHeight="1" x14ac:dyDescent="0.35">
      <c r="B14" s="55" t="s">
        <v>39</v>
      </c>
      <c r="C14" s="78">
        <v>645</v>
      </c>
      <c r="D14" s="79">
        <v>0.31256360305876202</v>
      </c>
      <c r="E14" s="78">
        <v>630</v>
      </c>
      <c r="F14" s="79">
        <v>0.32532080245797901</v>
      </c>
      <c r="G14" s="78">
        <v>15</v>
      </c>
      <c r="H14" s="79">
        <v>0.11808234275368</v>
      </c>
      <c r="I14" s="78">
        <v>2468051151</v>
      </c>
      <c r="J14" s="79">
        <v>6.57887624473977</v>
      </c>
      <c r="K14" s="78">
        <v>2413607103</v>
      </c>
      <c r="L14" s="79">
        <v>6.70941201728695</v>
      </c>
      <c r="M14" s="78">
        <v>54444048</v>
      </c>
      <c r="N14" s="79">
        <v>3.5322744689263201</v>
      </c>
    </row>
    <row r="15" spans="1:14" ht="20.149999999999999" customHeight="1" x14ac:dyDescent="0.35">
      <c r="B15" s="56" t="s">
        <v>40</v>
      </c>
      <c r="C15" s="80">
        <v>427</v>
      </c>
      <c r="D15" s="81">
        <v>0.206921951172235</v>
      </c>
      <c r="E15" s="80">
        <v>422</v>
      </c>
      <c r="F15" s="81">
        <v>0.21791329942423401</v>
      </c>
      <c r="G15" s="80">
        <v>5</v>
      </c>
      <c r="H15" s="81">
        <v>3.9360780917893398E-2</v>
      </c>
      <c r="I15" s="80">
        <v>2904501607</v>
      </c>
      <c r="J15" s="81">
        <v>7.7422854941067598</v>
      </c>
      <c r="K15" s="80">
        <v>2869615538</v>
      </c>
      <c r="L15" s="81">
        <v>7.9770369219246398</v>
      </c>
      <c r="M15" s="80">
        <v>34886069</v>
      </c>
      <c r="N15" s="81">
        <v>2.26337268033233</v>
      </c>
    </row>
    <row r="16" spans="1:14" ht="20.149999999999999" customHeight="1" x14ac:dyDescent="0.35">
      <c r="B16" s="55" t="s">
        <v>41</v>
      </c>
      <c r="C16" s="78">
        <v>243</v>
      </c>
      <c r="D16" s="79">
        <v>0.11775652022213801</v>
      </c>
      <c r="E16" s="78" t="s">
        <v>43</v>
      </c>
      <c r="F16" s="79" t="s">
        <v>43</v>
      </c>
      <c r="G16" s="78" t="s">
        <v>43</v>
      </c>
      <c r="H16" s="79" t="s">
        <v>43</v>
      </c>
      <c r="I16" s="78">
        <v>6110804304</v>
      </c>
      <c r="J16" s="79">
        <v>16.289056754577398</v>
      </c>
      <c r="K16" s="78">
        <v>6074585403</v>
      </c>
      <c r="L16" s="79">
        <v>16.8863011101787</v>
      </c>
      <c r="M16" s="78">
        <v>36218901</v>
      </c>
      <c r="N16" s="79">
        <v>2.3498454651070402</v>
      </c>
    </row>
    <row r="17" spans="2:14" ht="20.149999999999999" customHeight="1" x14ac:dyDescent="0.35">
      <c r="B17" s="56" t="s">
        <v>30</v>
      </c>
      <c r="C17" s="80">
        <v>206358</v>
      </c>
      <c r="D17" s="81">
        <v>100</v>
      </c>
      <c r="E17" s="80">
        <v>193415</v>
      </c>
      <c r="F17" s="81">
        <v>99.876068265730297</v>
      </c>
      <c r="G17" s="80">
        <v>12700</v>
      </c>
      <c r="H17" s="81">
        <v>99.976383531449301</v>
      </c>
      <c r="I17" s="80">
        <v>37514783060</v>
      </c>
      <c r="J17" s="81">
        <v>100</v>
      </c>
      <c r="K17" s="80">
        <v>35973451873</v>
      </c>
      <c r="L17" s="81">
        <v>100</v>
      </c>
      <c r="M17" s="80">
        <v>1541331187</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13</v>
      </c>
      <c r="B6" s="55" t="s">
        <v>31</v>
      </c>
      <c r="C6" s="78">
        <v>66003</v>
      </c>
      <c r="D6" s="79">
        <v>37.798941677738597</v>
      </c>
      <c r="E6" s="78">
        <v>61738</v>
      </c>
      <c r="F6" s="79">
        <v>37.0289511722616</v>
      </c>
      <c r="G6" s="78">
        <v>4265</v>
      </c>
      <c r="H6" s="79">
        <v>54.076328134905502</v>
      </c>
      <c r="I6" s="78">
        <v>0</v>
      </c>
      <c r="J6" s="79">
        <v>0</v>
      </c>
      <c r="K6" s="78">
        <v>0</v>
      </c>
      <c r="L6" s="79">
        <v>0</v>
      </c>
      <c r="M6" s="78">
        <v>0</v>
      </c>
      <c r="N6" s="79">
        <v>0</v>
      </c>
    </row>
    <row r="7" spans="1:14" ht="20.149999999999999" customHeight="1" x14ac:dyDescent="0.35">
      <c r="B7" s="56" t="s">
        <v>32</v>
      </c>
      <c r="C7" s="80">
        <v>56443</v>
      </c>
      <c r="D7" s="81">
        <v>32.324071104595198</v>
      </c>
      <c r="E7" s="80">
        <v>54438</v>
      </c>
      <c r="F7" s="81">
        <v>32.650588679833703</v>
      </c>
      <c r="G7" s="80">
        <v>2005</v>
      </c>
      <c r="H7" s="81">
        <v>25.421579814885298</v>
      </c>
      <c r="I7" s="80">
        <v>831673469</v>
      </c>
      <c r="J7" s="81">
        <v>2.4987454186794098</v>
      </c>
      <c r="K7" s="80">
        <v>797773395</v>
      </c>
      <c r="L7" s="81">
        <v>2.4271049215212002</v>
      </c>
      <c r="M7" s="80">
        <v>33900074</v>
      </c>
      <c r="N7" s="81">
        <v>8.1824845514606501</v>
      </c>
    </row>
    <row r="8" spans="1:14" ht="20.149999999999999" customHeight="1" x14ac:dyDescent="0.35">
      <c r="B8" s="55" t="s">
        <v>33</v>
      </c>
      <c r="C8" s="78">
        <v>13198</v>
      </c>
      <c r="D8" s="79">
        <v>7.5582993540110897</v>
      </c>
      <c r="E8" s="78">
        <v>12516</v>
      </c>
      <c r="F8" s="79">
        <v>7.5067924596201001</v>
      </c>
      <c r="G8" s="78">
        <v>682</v>
      </c>
      <c r="H8" s="79">
        <v>8.6471408647140908</v>
      </c>
      <c r="I8" s="78">
        <v>950130268</v>
      </c>
      <c r="J8" s="79">
        <v>2.8546463760209702</v>
      </c>
      <c r="K8" s="78">
        <v>901315753</v>
      </c>
      <c r="L8" s="79">
        <v>2.7421168889079</v>
      </c>
      <c r="M8" s="78">
        <v>48814515</v>
      </c>
      <c r="N8" s="79">
        <v>11.782393598153901</v>
      </c>
    </row>
    <row r="9" spans="1:14" ht="20.149999999999999" customHeight="1" x14ac:dyDescent="0.35">
      <c r="B9" s="56" t="s">
        <v>34</v>
      </c>
      <c r="C9" s="80">
        <v>12338</v>
      </c>
      <c r="D9" s="81">
        <v>7.0657900765107398</v>
      </c>
      <c r="E9" s="80">
        <v>11801</v>
      </c>
      <c r="F9" s="81">
        <v>7.0779528456357301</v>
      </c>
      <c r="G9" s="80">
        <v>537</v>
      </c>
      <c r="H9" s="81">
        <v>6.8086724990490701</v>
      </c>
      <c r="I9" s="80">
        <v>1767735027</v>
      </c>
      <c r="J9" s="81">
        <v>5.31112265185818</v>
      </c>
      <c r="K9" s="80">
        <v>1692880018</v>
      </c>
      <c r="L9" s="81">
        <v>5.1503314712979398</v>
      </c>
      <c r="M9" s="80">
        <v>74855009</v>
      </c>
      <c r="N9" s="81">
        <v>18.067805832575701</v>
      </c>
    </row>
    <row r="10" spans="1:14" ht="20.149999999999999" customHeight="1" x14ac:dyDescent="0.35">
      <c r="B10" s="55" t="s">
        <v>35</v>
      </c>
      <c r="C10" s="78">
        <v>14067</v>
      </c>
      <c r="D10" s="79">
        <v>8.0559627983689897</v>
      </c>
      <c r="E10" s="78">
        <v>13786</v>
      </c>
      <c r="F10" s="79">
        <v>8.2685075781657709</v>
      </c>
      <c r="G10" s="78">
        <v>281</v>
      </c>
      <c r="H10" s="79">
        <v>3.5628249017370401</v>
      </c>
      <c r="I10" s="78">
        <v>4502751381</v>
      </c>
      <c r="J10" s="79">
        <v>13.528421675221299</v>
      </c>
      <c r="K10" s="78">
        <v>4414880190</v>
      </c>
      <c r="L10" s="79">
        <v>13.431605396010299</v>
      </c>
      <c r="M10" s="78">
        <v>87871191</v>
      </c>
      <c r="N10" s="79">
        <v>21.2095307778959</v>
      </c>
    </row>
    <row r="11" spans="1:14" ht="20.149999999999999" customHeight="1" x14ac:dyDescent="0.35">
      <c r="B11" s="56" t="s">
        <v>36</v>
      </c>
      <c r="C11" s="80">
        <v>6981</v>
      </c>
      <c r="D11" s="81">
        <v>3.9979154258487202</v>
      </c>
      <c r="E11" s="80">
        <v>6901</v>
      </c>
      <c r="F11" s="81">
        <v>4.1390519945540403</v>
      </c>
      <c r="G11" s="80">
        <v>80</v>
      </c>
      <c r="H11" s="81">
        <v>1.0143273741600101</v>
      </c>
      <c r="I11" s="80">
        <v>4876713852</v>
      </c>
      <c r="J11" s="81">
        <v>14.651984041943001</v>
      </c>
      <c r="K11" s="80">
        <v>4821622608</v>
      </c>
      <c r="L11" s="81">
        <v>14.669057698514401</v>
      </c>
      <c r="M11" s="80">
        <v>55091244</v>
      </c>
      <c r="N11" s="81">
        <v>13.2974120631934</v>
      </c>
    </row>
    <row r="12" spans="1:14" ht="20.149999999999999" customHeight="1" x14ac:dyDescent="0.35">
      <c r="B12" s="55" t="s">
        <v>37</v>
      </c>
      <c r="C12" s="78">
        <v>3282</v>
      </c>
      <c r="D12" s="79">
        <v>1.87955284739085</v>
      </c>
      <c r="E12" s="78">
        <v>3262</v>
      </c>
      <c r="F12" s="79">
        <v>1.9564682808629601</v>
      </c>
      <c r="G12" s="78">
        <v>20</v>
      </c>
      <c r="H12" s="79">
        <v>0.25358184354000302</v>
      </c>
      <c r="I12" s="78">
        <v>4500967774</v>
      </c>
      <c r="J12" s="79">
        <v>13.523062865561</v>
      </c>
      <c r="K12" s="78">
        <v>4474771622</v>
      </c>
      <c r="L12" s="79">
        <v>13.6138160215779</v>
      </c>
      <c r="M12" s="78">
        <v>26196152</v>
      </c>
      <c r="N12" s="79">
        <v>6.3229835146588496</v>
      </c>
    </row>
    <row r="13" spans="1:14" ht="20.149999999999999" customHeight="1" x14ac:dyDescent="0.35">
      <c r="B13" s="56" t="s">
        <v>38</v>
      </c>
      <c r="C13" s="80">
        <v>970</v>
      </c>
      <c r="D13" s="81">
        <v>0.55550465020387596</v>
      </c>
      <c r="E13" s="80">
        <v>962</v>
      </c>
      <c r="F13" s="81">
        <v>0.57698420790624305</v>
      </c>
      <c r="G13" s="80">
        <v>8</v>
      </c>
      <c r="H13" s="81">
        <v>0.10143273741600101</v>
      </c>
      <c r="I13" s="80">
        <v>2368516492</v>
      </c>
      <c r="J13" s="81">
        <v>7.1161579081845403</v>
      </c>
      <c r="K13" s="80">
        <v>2347390499</v>
      </c>
      <c r="L13" s="81">
        <v>7.1415806400199804</v>
      </c>
      <c r="M13" s="80">
        <v>21125993</v>
      </c>
      <c r="N13" s="81">
        <v>5.0991956936957097</v>
      </c>
    </row>
    <row r="14" spans="1:14" ht="20.149999999999999" customHeight="1" x14ac:dyDescent="0.35">
      <c r="B14" s="55" t="s">
        <v>39</v>
      </c>
      <c r="C14" s="78">
        <v>637</v>
      </c>
      <c r="D14" s="79">
        <v>0.36480047647409197</v>
      </c>
      <c r="E14" s="78" t="s">
        <v>43</v>
      </c>
      <c r="F14" s="79" t="s">
        <v>43</v>
      </c>
      <c r="G14" s="78" t="s">
        <v>43</v>
      </c>
      <c r="H14" s="79" t="s">
        <v>43</v>
      </c>
      <c r="I14" s="78">
        <v>2407086155</v>
      </c>
      <c r="J14" s="79">
        <v>7.2320396482106402</v>
      </c>
      <c r="K14" s="78">
        <v>2396616542</v>
      </c>
      <c r="L14" s="79">
        <v>7.29134343228798</v>
      </c>
      <c r="M14" s="78">
        <v>10469613</v>
      </c>
      <c r="N14" s="79">
        <v>2.5270578061945099</v>
      </c>
    </row>
    <row r="15" spans="1:14" ht="20.149999999999999" customHeight="1" x14ac:dyDescent="0.35">
      <c r="B15" s="56" t="s">
        <v>40</v>
      </c>
      <c r="C15" s="80">
        <v>419</v>
      </c>
      <c r="D15" s="81">
        <v>0.23995510147981899</v>
      </c>
      <c r="E15" s="80">
        <v>414</v>
      </c>
      <c r="F15" s="81">
        <v>0.24830713313220901</v>
      </c>
      <c r="G15" s="80">
        <v>5</v>
      </c>
      <c r="H15" s="81">
        <v>6.3395460885000601E-2</v>
      </c>
      <c r="I15" s="80">
        <v>2868418478</v>
      </c>
      <c r="J15" s="81">
        <v>8.6181028948488194</v>
      </c>
      <c r="K15" s="80">
        <v>2837541612</v>
      </c>
      <c r="L15" s="81">
        <v>8.6327912846810495</v>
      </c>
      <c r="M15" s="80">
        <v>30876866</v>
      </c>
      <c r="N15" s="81">
        <v>7.4527707238196799</v>
      </c>
    </row>
    <row r="16" spans="1:14" ht="20.149999999999999" customHeight="1" x14ac:dyDescent="0.35">
      <c r="B16" s="55" t="s">
        <v>41</v>
      </c>
      <c r="C16" s="78">
        <v>278</v>
      </c>
      <c r="D16" s="79">
        <v>0.15920648737801801</v>
      </c>
      <c r="E16" s="78" t="s">
        <v>43</v>
      </c>
      <c r="F16" s="79" t="s">
        <v>43</v>
      </c>
      <c r="G16" s="78" t="s">
        <v>43</v>
      </c>
      <c r="H16" s="79" t="s">
        <v>43</v>
      </c>
      <c r="I16" s="78">
        <v>8209648678</v>
      </c>
      <c r="J16" s="79">
        <v>24.665716519472099</v>
      </c>
      <c r="K16" s="78">
        <v>8184548840</v>
      </c>
      <c r="L16" s="79">
        <v>24.900252245181299</v>
      </c>
      <c r="M16" s="78">
        <v>25099838</v>
      </c>
      <c r="N16" s="79">
        <v>6.0583654383517</v>
      </c>
    </row>
    <row r="17" spans="2:14" ht="20.149999999999999" customHeight="1" x14ac:dyDescent="0.35">
      <c r="B17" s="56" t="s">
        <v>30</v>
      </c>
      <c r="C17" s="80">
        <v>174616</v>
      </c>
      <c r="D17" s="81">
        <v>100</v>
      </c>
      <c r="E17" s="80">
        <v>165818</v>
      </c>
      <c r="F17" s="81">
        <v>99.453604351972402</v>
      </c>
      <c r="G17" s="80">
        <v>7883</v>
      </c>
      <c r="H17" s="81">
        <v>99.949283631292005</v>
      </c>
      <c r="I17" s="80">
        <v>33283641574</v>
      </c>
      <c r="J17" s="81">
        <v>100</v>
      </c>
      <c r="K17" s="80">
        <v>32869341079</v>
      </c>
      <c r="L17" s="81">
        <v>100</v>
      </c>
      <c r="M17" s="80">
        <v>414300495</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14</v>
      </c>
      <c r="B6" s="55" t="s">
        <v>31</v>
      </c>
      <c r="C6" s="78">
        <v>21597</v>
      </c>
      <c r="D6" s="79">
        <v>16.5567838579599</v>
      </c>
      <c r="E6" s="78">
        <v>19473</v>
      </c>
      <c r="F6" s="79">
        <v>15.9710318469248</v>
      </c>
      <c r="G6" s="78">
        <v>2124</v>
      </c>
      <c r="H6" s="79">
        <v>24.944216089254301</v>
      </c>
      <c r="I6" s="78">
        <v>0</v>
      </c>
      <c r="J6" s="79">
        <v>0</v>
      </c>
      <c r="K6" s="78">
        <v>0</v>
      </c>
      <c r="L6" s="79">
        <v>0</v>
      </c>
      <c r="M6" s="78">
        <v>0</v>
      </c>
      <c r="N6" s="79">
        <v>0</v>
      </c>
    </row>
    <row r="7" spans="1:14" ht="20.149999999999999" customHeight="1" x14ac:dyDescent="0.35">
      <c r="B7" s="56" t="s">
        <v>32</v>
      </c>
      <c r="C7" s="80">
        <v>59622</v>
      </c>
      <c r="D7" s="81">
        <v>45.707670842213403</v>
      </c>
      <c r="E7" s="80">
        <v>57892</v>
      </c>
      <c r="F7" s="81">
        <v>47.4808697007226</v>
      </c>
      <c r="G7" s="80">
        <v>1730</v>
      </c>
      <c r="H7" s="81">
        <v>20.317087492660001</v>
      </c>
      <c r="I7" s="80">
        <v>776738956</v>
      </c>
      <c r="J7" s="81">
        <v>1.1134630121551301</v>
      </c>
      <c r="K7" s="80">
        <v>746814626</v>
      </c>
      <c r="L7" s="81">
        <v>1.1291776052821101</v>
      </c>
      <c r="M7" s="80">
        <v>29924330</v>
      </c>
      <c r="N7" s="81">
        <v>0.82642828822649195</v>
      </c>
    </row>
    <row r="8" spans="1:14" ht="20.149999999999999" customHeight="1" x14ac:dyDescent="0.35">
      <c r="B8" s="55" t="s">
        <v>33</v>
      </c>
      <c r="C8" s="78">
        <v>11460</v>
      </c>
      <c r="D8" s="79">
        <v>8.7855138682326306</v>
      </c>
      <c r="E8" s="78">
        <v>10853</v>
      </c>
      <c r="F8" s="79">
        <v>8.9012277838378697</v>
      </c>
      <c r="G8" s="78">
        <v>607</v>
      </c>
      <c r="H8" s="79">
        <v>7.1285965942454501</v>
      </c>
      <c r="I8" s="78">
        <v>822562127</v>
      </c>
      <c r="J8" s="79">
        <v>1.1791509831446501</v>
      </c>
      <c r="K8" s="78">
        <v>778017050</v>
      </c>
      <c r="L8" s="79">
        <v>1.1763554151223301</v>
      </c>
      <c r="M8" s="78">
        <v>44545077</v>
      </c>
      <c r="N8" s="79">
        <v>1.2302133993986599</v>
      </c>
    </row>
    <row r="9" spans="1:14" ht="20.149999999999999" customHeight="1" x14ac:dyDescent="0.35">
      <c r="B9" s="56" t="s">
        <v>34</v>
      </c>
      <c r="C9" s="80">
        <v>10318</v>
      </c>
      <c r="D9" s="81">
        <v>7.9100289783965296</v>
      </c>
      <c r="E9" s="80">
        <v>9456</v>
      </c>
      <c r="F9" s="81">
        <v>7.7554602344025501</v>
      </c>
      <c r="G9" s="80">
        <v>862</v>
      </c>
      <c r="H9" s="81">
        <v>10.1233118027011</v>
      </c>
      <c r="I9" s="80">
        <v>1479296189</v>
      </c>
      <c r="J9" s="81">
        <v>2.1205857872198002</v>
      </c>
      <c r="K9" s="80">
        <v>1353471191</v>
      </c>
      <c r="L9" s="81">
        <v>2.0464373688788902</v>
      </c>
      <c r="M9" s="80">
        <v>125824998</v>
      </c>
      <c r="N9" s="81">
        <v>3.47494288805269</v>
      </c>
    </row>
    <row r="10" spans="1:14" ht="20.149999999999999" customHeight="1" x14ac:dyDescent="0.35">
      <c r="B10" s="55" t="s">
        <v>35</v>
      </c>
      <c r="C10" s="78">
        <v>12146</v>
      </c>
      <c r="D10" s="79">
        <v>9.3114181015317197</v>
      </c>
      <c r="E10" s="78">
        <v>10783</v>
      </c>
      <c r="F10" s="79">
        <v>8.8438163819334505</v>
      </c>
      <c r="G10" s="78">
        <v>1363</v>
      </c>
      <c r="H10" s="79">
        <v>16.007046388725801</v>
      </c>
      <c r="I10" s="78">
        <v>3916594660</v>
      </c>
      <c r="J10" s="79">
        <v>5.6144773656933697</v>
      </c>
      <c r="K10" s="78">
        <v>3471132715</v>
      </c>
      <c r="L10" s="79">
        <v>5.2483242698839403</v>
      </c>
      <c r="M10" s="78">
        <v>445461945</v>
      </c>
      <c r="N10" s="79">
        <v>12.302442616974</v>
      </c>
    </row>
    <row r="11" spans="1:14" ht="20.149999999999999" customHeight="1" x14ac:dyDescent="0.35">
      <c r="B11" s="56" t="s">
        <v>36</v>
      </c>
      <c r="C11" s="80">
        <v>7113</v>
      </c>
      <c r="D11" s="81">
        <v>5.4529982674291997</v>
      </c>
      <c r="E11" s="80">
        <v>6205</v>
      </c>
      <c r="F11" s="81">
        <v>5.0891106973845002</v>
      </c>
      <c r="G11" s="80">
        <v>908</v>
      </c>
      <c r="H11" s="81">
        <v>10.6635349383441</v>
      </c>
      <c r="I11" s="80">
        <v>5015494987</v>
      </c>
      <c r="J11" s="81">
        <v>7.1897619046082397</v>
      </c>
      <c r="K11" s="80">
        <v>4376026247</v>
      </c>
      <c r="L11" s="81">
        <v>6.6165158878920103</v>
      </c>
      <c r="M11" s="80">
        <v>639468740</v>
      </c>
      <c r="N11" s="81">
        <v>17.6603805723487</v>
      </c>
    </row>
    <row r="12" spans="1:14" ht="20.149999999999999" customHeight="1" x14ac:dyDescent="0.35">
      <c r="B12" s="55" t="s">
        <v>37</v>
      </c>
      <c r="C12" s="78">
        <v>4428</v>
      </c>
      <c r="D12" s="79">
        <v>3.3946121647935499</v>
      </c>
      <c r="E12" s="78">
        <v>3858</v>
      </c>
      <c r="F12" s="79">
        <v>3.16418840781779</v>
      </c>
      <c r="G12" s="78">
        <v>570</v>
      </c>
      <c r="H12" s="79">
        <v>6.69406928948914</v>
      </c>
      <c r="I12" s="78">
        <v>6173696239</v>
      </c>
      <c r="J12" s="79">
        <v>8.8500549088048306</v>
      </c>
      <c r="K12" s="78">
        <v>5377198973</v>
      </c>
      <c r="L12" s="79">
        <v>8.1302808596273799</v>
      </c>
      <c r="M12" s="78">
        <v>796497266</v>
      </c>
      <c r="N12" s="79">
        <v>21.997079704623602</v>
      </c>
    </row>
    <row r="13" spans="1:14" ht="20.149999999999999" customHeight="1" x14ac:dyDescent="0.35">
      <c r="B13" s="56" t="s">
        <v>38</v>
      </c>
      <c r="C13" s="80">
        <v>1532</v>
      </c>
      <c r="D13" s="81">
        <v>1.17446834608485</v>
      </c>
      <c r="E13" s="80">
        <v>1354</v>
      </c>
      <c r="F13" s="81">
        <v>1.1105005454083201</v>
      </c>
      <c r="G13" s="80">
        <v>178</v>
      </c>
      <c r="H13" s="81">
        <v>2.0904286553141498</v>
      </c>
      <c r="I13" s="80">
        <v>3706842291</v>
      </c>
      <c r="J13" s="81">
        <v>5.3137952603485497</v>
      </c>
      <c r="K13" s="80">
        <v>3284205007</v>
      </c>
      <c r="L13" s="81">
        <v>4.9656911045282399</v>
      </c>
      <c r="M13" s="80">
        <v>422637284</v>
      </c>
      <c r="N13" s="81">
        <v>11.672087801358099</v>
      </c>
    </row>
    <row r="14" spans="1:14" ht="20.149999999999999" customHeight="1" x14ac:dyDescent="0.35">
      <c r="B14" s="55" t="s">
        <v>39</v>
      </c>
      <c r="C14" s="78">
        <v>1108</v>
      </c>
      <c r="D14" s="79">
        <v>0.849419665445179</v>
      </c>
      <c r="E14" s="78">
        <v>1006</v>
      </c>
      <c r="F14" s="79">
        <v>0.82508386165492498</v>
      </c>
      <c r="G14" s="78">
        <v>102</v>
      </c>
      <c r="H14" s="79">
        <v>1.19788608338227</v>
      </c>
      <c r="I14" s="78">
        <v>4211811965</v>
      </c>
      <c r="J14" s="79">
        <v>6.0376743060894196</v>
      </c>
      <c r="K14" s="78">
        <v>3810178173</v>
      </c>
      <c r="L14" s="79">
        <v>5.76095822885814</v>
      </c>
      <c r="M14" s="78">
        <v>401633792</v>
      </c>
      <c r="N14" s="79">
        <v>11.0920287009425</v>
      </c>
    </row>
    <row r="15" spans="1:14" ht="20.149999999999999" customHeight="1" x14ac:dyDescent="0.35">
      <c r="B15" s="56" t="s">
        <v>40</v>
      </c>
      <c r="C15" s="80">
        <v>672</v>
      </c>
      <c r="D15" s="81">
        <v>0.51517149384400696</v>
      </c>
      <c r="E15" s="80">
        <v>618</v>
      </c>
      <c r="F15" s="81">
        <v>0.506860662527578</v>
      </c>
      <c r="G15" s="80">
        <v>54</v>
      </c>
      <c r="H15" s="81">
        <v>0.63417498532002303</v>
      </c>
      <c r="I15" s="80">
        <v>4590271215</v>
      </c>
      <c r="J15" s="81">
        <v>6.5801994018475503</v>
      </c>
      <c r="K15" s="80">
        <v>4217372571</v>
      </c>
      <c r="L15" s="81">
        <v>6.3766328276278896</v>
      </c>
      <c r="M15" s="80">
        <v>372898644</v>
      </c>
      <c r="N15" s="81">
        <v>10.298442372574399</v>
      </c>
    </row>
    <row r="16" spans="1:14" ht="20.149999999999999" customHeight="1" x14ac:dyDescent="0.35">
      <c r="B16" s="55" t="s">
        <v>41</v>
      </c>
      <c r="C16" s="78">
        <v>446</v>
      </c>
      <c r="D16" s="79">
        <v>0.34191441406908801</v>
      </c>
      <c r="E16" s="78">
        <v>429</v>
      </c>
      <c r="F16" s="79">
        <v>0.35184987738564899</v>
      </c>
      <c r="G16" s="78">
        <v>17</v>
      </c>
      <c r="H16" s="79">
        <v>0.19964768056371099</v>
      </c>
      <c r="I16" s="78">
        <v>39065538097</v>
      </c>
      <c r="J16" s="79">
        <v>56.000837070088501</v>
      </c>
      <c r="K16" s="78">
        <v>38723507411</v>
      </c>
      <c r="L16" s="79">
        <v>58.5496264322991</v>
      </c>
      <c r="M16" s="78">
        <v>342030686</v>
      </c>
      <c r="N16" s="79">
        <v>9.4459536555008103</v>
      </c>
    </row>
    <row r="17" spans="2:14" ht="20.149999999999999" customHeight="1" x14ac:dyDescent="0.35">
      <c r="B17" s="56" t="s">
        <v>30</v>
      </c>
      <c r="C17" s="80">
        <v>130442</v>
      </c>
      <c r="D17" s="81">
        <v>100</v>
      </c>
      <c r="E17" s="80">
        <v>121927</v>
      </c>
      <c r="F17" s="81">
        <v>100</v>
      </c>
      <c r="G17" s="80">
        <v>8515</v>
      </c>
      <c r="H17" s="81">
        <v>100</v>
      </c>
      <c r="I17" s="80">
        <v>69758846726</v>
      </c>
      <c r="J17" s="81">
        <v>100</v>
      </c>
      <c r="K17" s="80">
        <v>66137923964</v>
      </c>
      <c r="L17" s="81">
        <v>100</v>
      </c>
      <c r="M17" s="80">
        <v>3620922762</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15</v>
      </c>
      <c r="B6" s="55" t="s">
        <v>31</v>
      </c>
      <c r="C6" s="78">
        <v>51627</v>
      </c>
      <c r="D6" s="79">
        <v>28.154090296826698</v>
      </c>
      <c r="E6" s="78">
        <v>46824</v>
      </c>
      <c r="F6" s="79">
        <v>26.7887178900395</v>
      </c>
      <c r="G6" s="78">
        <v>4803</v>
      </c>
      <c r="H6" s="79">
        <v>55.959454736106302</v>
      </c>
      <c r="I6" s="78">
        <v>0</v>
      </c>
      <c r="J6" s="79">
        <v>0</v>
      </c>
      <c r="K6" s="78">
        <v>0</v>
      </c>
      <c r="L6" s="79">
        <v>0</v>
      </c>
      <c r="M6" s="78">
        <v>0</v>
      </c>
      <c r="N6" s="79">
        <v>0</v>
      </c>
    </row>
    <row r="7" spans="1:14" ht="20.149999999999999" customHeight="1" x14ac:dyDescent="0.35">
      <c r="B7" s="56" t="s">
        <v>32</v>
      </c>
      <c r="C7" s="80">
        <v>61846</v>
      </c>
      <c r="D7" s="81">
        <v>33.726884546798097</v>
      </c>
      <c r="E7" s="80">
        <v>59849</v>
      </c>
      <c r="F7" s="81">
        <v>34.240517192059002</v>
      </c>
      <c r="G7" s="80">
        <v>1997</v>
      </c>
      <c r="H7" s="81">
        <v>23.2669229873005</v>
      </c>
      <c r="I7" s="80">
        <v>955681083</v>
      </c>
      <c r="J7" s="81">
        <v>1.8841702515380701</v>
      </c>
      <c r="K7" s="80">
        <v>919318327</v>
      </c>
      <c r="L7" s="81">
        <v>1.8380433208967499</v>
      </c>
      <c r="M7" s="80">
        <v>36362756</v>
      </c>
      <c r="N7" s="81">
        <v>5.1545605486368302</v>
      </c>
    </row>
    <row r="8" spans="1:14" ht="20.149999999999999" customHeight="1" x14ac:dyDescent="0.35">
      <c r="B8" s="55" t="s">
        <v>33</v>
      </c>
      <c r="C8" s="78">
        <v>16512</v>
      </c>
      <c r="D8" s="79">
        <v>9.0045971871540509</v>
      </c>
      <c r="E8" s="78">
        <v>15894</v>
      </c>
      <c r="F8" s="79">
        <v>9.0931975513473304</v>
      </c>
      <c r="G8" s="78">
        <v>618</v>
      </c>
      <c r="H8" s="79">
        <v>7.2002796225096102</v>
      </c>
      <c r="I8" s="78">
        <v>1191066573</v>
      </c>
      <c r="J8" s="79">
        <v>2.3482438277456201</v>
      </c>
      <c r="K8" s="78">
        <v>1146331479</v>
      </c>
      <c r="L8" s="79">
        <v>2.2919231093601899</v>
      </c>
      <c r="M8" s="78">
        <v>44735094</v>
      </c>
      <c r="N8" s="79">
        <v>6.3413716680869898</v>
      </c>
    </row>
    <row r="9" spans="1:14" ht="20.149999999999999" customHeight="1" x14ac:dyDescent="0.35">
      <c r="B9" s="56" t="s">
        <v>34</v>
      </c>
      <c r="C9" s="80">
        <v>15958</v>
      </c>
      <c r="D9" s="81">
        <v>8.7024807359862102</v>
      </c>
      <c r="E9" s="80">
        <v>15361</v>
      </c>
      <c r="F9" s="81">
        <v>8.7882601979518302</v>
      </c>
      <c r="G9" s="80">
        <v>597</v>
      </c>
      <c r="H9" s="81">
        <v>6.9556099265990898</v>
      </c>
      <c r="I9" s="80">
        <v>2291447373</v>
      </c>
      <c r="J9" s="81">
        <v>4.5176963842567401</v>
      </c>
      <c r="K9" s="80">
        <v>2206731295</v>
      </c>
      <c r="L9" s="81">
        <v>4.4120383534881897</v>
      </c>
      <c r="M9" s="80">
        <v>84716078</v>
      </c>
      <c r="N9" s="81">
        <v>12.0088299548593</v>
      </c>
    </row>
    <row r="10" spans="1:14" ht="20.149999999999999" customHeight="1" x14ac:dyDescent="0.35">
      <c r="B10" s="55" t="s">
        <v>35</v>
      </c>
      <c r="C10" s="78">
        <v>18836</v>
      </c>
      <c r="D10" s="79">
        <v>10.2719593397065</v>
      </c>
      <c r="E10" s="78">
        <v>18470</v>
      </c>
      <c r="F10" s="79">
        <v>10.566966073573999</v>
      </c>
      <c r="G10" s="78">
        <v>366</v>
      </c>
      <c r="H10" s="79">
        <v>4.2642432715833598</v>
      </c>
      <c r="I10" s="78">
        <v>6077338590</v>
      </c>
      <c r="J10" s="79">
        <v>11.9817591699702</v>
      </c>
      <c r="K10" s="78">
        <v>5965246841</v>
      </c>
      <c r="L10" s="79">
        <v>11.9266436788881</v>
      </c>
      <c r="M10" s="78">
        <v>112091749</v>
      </c>
      <c r="N10" s="79">
        <v>15.889436631896199</v>
      </c>
    </row>
    <row r="11" spans="1:14" ht="20.149999999999999" customHeight="1" x14ac:dyDescent="0.35">
      <c r="B11" s="56" t="s">
        <v>36</v>
      </c>
      <c r="C11" s="80">
        <v>10026</v>
      </c>
      <c r="D11" s="81">
        <v>5.4675442949616402</v>
      </c>
      <c r="E11" s="80">
        <v>9910</v>
      </c>
      <c r="F11" s="81">
        <v>5.6696607357400302</v>
      </c>
      <c r="G11" s="80">
        <v>116</v>
      </c>
      <c r="H11" s="81">
        <v>1.3515087964581101</v>
      </c>
      <c r="I11" s="80">
        <v>7037237811</v>
      </c>
      <c r="J11" s="81">
        <v>13.8742456791782</v>
      </c>
      <c r="K11" s="80">
        <v>6957535435</v>
      </c>
      <c r="L11" s="81">
        <v>13.9105804383733</v>
      </c>
      <c r="M11" s="80">
        <v>79702376</v>
      </c>
      <c r="N11" s="81">
        <v>11.298118408907699</v>
      </c>
    </row>
    <row r="12" spans="1:14" ht="20.149999999999999" customHeight="1" x14ac:dyDescent="0.35">
      <c r="B12" s="55" t="s">
        <v>37</v>
      </c>
      <c r="C12" s="78">
        <v>5162</v>
      </c>
      <c r="D12" s="79">
        <v>2.8150272940945502</v>
      </c>
      <c r="E12" s="78">
        <v>5101</v>
      </c>
      <c r="F12" s="79">
        <v>2.9183591738657801</v>
      </c>
      <c r="G12" s="78">
        <v>61</v>
      </c>
      <c r="H12" s="79">
        <v>0.71070721193055997</v>
      </c>
      <c r="I12" s="78">
        <v>7096515739</v>
      </c>
      <c r="J12" s="79">
        <v>13.9911149052173</v>
      </c>
      <c r="K12" s="78">
        <v>7015100254</v>
      </c>
      <c r="L12" s="79">
        <v>14.025672923722601</v>
      </c>
      <c r="M12" s="78">
        <v>81415485</v>
      </c>
      <c r="N12" s="79">
        <v>11.540958199899199</v>
      </c>
    </row>
    <row r="13" spans="1:14" ht="20.149999999999999" customHeight="1" x14ac:dyDescent="0.35">
      <c r="B13" s="56" t="s">
        <v>38</v>
      </c>
      <c r="C13" s="80">
        <v>1451</v>
      </c>
      <c r="D13" s="81">
        <v>0.79128334051359805</v>
      </c>
      <c r="E13" s="80">
        <v>1440</v>
      </c>
      <c r="F13" s="81">
        <v>0.82384575776646296</v>
      </c>
      <c r="G13" s="80">
        <v>11</v>
      </c>
      <c r="H13" s="81">
        <v>0.128160316905511</v>
      </c>
      <c r="I13" s="80">
        <v>3507508109</v>
      </c>
      <c r="J13" s="81">
        <v>6.9152173811588904</v>
      </c>
      <c r="K13" s="80">
        <v>3482044273</v>
      </c>
      <c r="L13" s="81">
        <v>6.9618412154796996</v>
      </c>
      <c r="M13" s="80">
        <v>25463836</v>
      </c>
      <c r="N13" s="81">
        <v>3.6095967110567302</v>
      </c>
    </row>
    <row r="14" spans="1:14" ht="20.149999999999999" customHeight="1" x14ac:dyDescent="0.35">
      <c r="B14" s="55" t="s">
        <v>39</v>
      </c>
      <c r="C14" s="78">
        <v>970</v>
      </c>
      <c r="D14" s="79">
        <v>0.52897645782094405</v>
      </c>
      <c r="E14" s="78">
        <v>963</v>
      </c>
      <c r="F14" s="79">
        <v>0.55094685050632197</v>
      </c>
      <c r="G14" s="78">
        <v>7</v>
      </c>
      <c r="H14" s="79">
        <v>8.1556565303506898E-2</v>
      </c>
      <c r="I14" s="78">
        <v>3695123405</v>
      </c>
      <c r="J14" s="79">
        <v>7.2851097707278401</v>
      </c>
      <c r="K14" s="78">
        <v>3667313182</v>
      </c>
      <c r="L14" s="79">
        <v>7.3322594599071103</v>
      </c>
      <c r="M14" s="78">
        <v>27810223</v>
      </c>
      <c r="N14" s="79">
        <v>3.9422060947358499</v>
      </c>
    </row>
    <row r="15" spans="1:14" ht="20.149999999999999" customHeight="1" x14ac:dyDescent="0.35">
      <c r="B15" s="56" t="s">
        <v>40</v>
      </c>
      <c r="C15" s="80">
        <v>591</v>
      </c>
      <c r="D15" s="81">
        <v>0.32229390368265798</v>
      </c>
      <c r="E15" s="80" t="s">
        <v>43</v>
      </c>
      <c r="F15" s="81" t="s">
        <v>43</v>
      </c>
      <c r="G15" s="80" t="s">
        <v>43</v>
      </c>
      <c r="H15" s="81" t="s">
        <v>43</v>
      </c>
      <c r="I15" s="80">
        <v>4006190616</v>
      </c>
      <c r="J15" s="81">
        <v>7.8983934232149897</v>
      </c>
      <c r="K15" s="80">
        <v>3992314426</v>
      </c>
      <c r="L15" s="81">
        <v>7.9820521903171597</v>
      </c>
      <c r="M15" s="80">
        <v>13876190</v>
      </c>
      <c r="N15" s="81">
        <v>1.96700331348341</v>
      </c>
    </row>
    <row r="16" spans="1:14" ht="20.149999999999999" customHeight="1" x14ac:dyDescent="0.35">
      <c r="B16" s="55" t="s">
        <v>41</v>
      </c>
      <c r="C16" s="78">
        <v>394</v>
      </c>
      <c r="D16" s="79">
        <v>0.214862602455105</v>
      </c>
      <c r="E16" s="78">
        <v>389</v>
      </c>
      <c r="F16" s="79">
        <v>0.222552777618857</v>
      </c>
      <c r="G16" s="78">
        <v>5</v>
      </c>
      <c r="H16" s="79">
        <v>5.8254689502505001E-2</v>
      </c>
      <c r="I16" s="78">
        <v>14863479274</v>
      </c>
      <c r="J16" s="79">
        <v>29.304049206992101</v>
      </c>
      <c r="K16" s="78">
        <v>14664204834</v>
      </c>
      <c r="L16" s="79">
        <v>29.318945309566999</v>
      </c>
      <c r="M16" s="78">
        <v>199274440</v>
      </c>
      <c r="N16" s="79">
        <v>28.247918468437799</v>
      </c>
    </row>
    <row r="17" spans="2:14" ht="20.149999999999999" customHeight="1" x14ac:dyDescent="0.35">
      <c r="B17" s="56" t="s">
        <v>30</v>
      </c>
      <c r="C17" s="80">
        <v>183373</v>
      </c>
      <c r="D17" s="81">
        <v>100</v>
      </c>
      <c r="E17" s="80">
        <v>174201</v>
      </c>
      <c r="F17" s="81">
        <v>99.663024200469096</v>
      </c>
      <c r="G17" s="80">
        <v>8581</v>
      </c>
      <c r="H17" s="81">
        <v>99.976698124199004</v>
      </c>
      <c r="I17" s="80">
        <v>50721588573</v>
      </c>
      <c r="J17" s="81">
        <v>100</v>
      </c>
      <c r="K17" s="80">
        <v>50016140346</v>
      </c>
      <c r="L17" s="81">
        <v>100</v>
      </c>
      <c r="M17" s="80">
        <v>705448227</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16</v>
      </c>
      <c r="B6" s="55" t="s">
        <v>31</v>
      </c>
      <c r="C6" s="78">
        <v>10879</v>
      </c>
      <c r="D6" s="79">
        <v>20.288314497780799</v>
      </c>
      <c r="E6" s="78">
        <v>10329</v>
      </c>
      <c r="F6" s="79">
        <v>20.500555731978402</v>
      </c>
      <c r="G6" s="78">
        <v>550</v>
      </c>
      <c r="H6" s="79">
        <v>16.9857936998147</v>
      </c>
      <c r="I6" s="78">
        <v>0</v>
      </c>
      <c r="J6" s="79">
        <v>0</v>
      </c>
      <c r="K6" s="78">
        <v>0</v>
      </c>
      <c r="L6" s="79">
        <v>0</v>
      </c>
      <c r="M6" s="78">
        <v>0</v>
      </c>
      <c r="N6" s="79">
        <v>0</v>
      </c>
    </row>
    <row r="7" spans="1:14" ht="20.149999999999999" customHeight="1" x14ac:dyDescent="0.35">
      <c r="B7" s="56" t="s">
        <v>32</v>
      </c>
      <c r="C7" s="80">
        <v>16552</v>
      </c>
      <c r="D7" s="81">
        <v>30.8679273432546</v>
      </c>
      <c r="E7" s="80">
        <v>15722</v>
      </c>
      <c r="F7" s="81">
        <v>31.204350587488101</v>
      </c>
      <c r="G7" s="80">
        <v>830</v>
      </c>
      <c r="H7" s="81">
        <v>25.633106856084002</v>
      </c>
      <c r="I7" s="80">
        <v>291775858</v>
      </c>
      <c r="J7" s="81">
        <v>1.75562885243929</v>
      </c>
      <c r="K7" s="80">
        <v>276093261</v>
      </c>
      <c r="L7" s="81">
        <v>1.7391518402128701</v>
      </c>
      <c r="M7" s="80">
        <v>15682597</v>
      </c>
      <c r="N7" s="81">
        <v>2.1070749946420602</v>
      </c>
    </row>
    <row r="8" spans="1:14" ht="20.149999999999999" customHeight="1" x14ac:dyDescent="0.35">
      <c r="B8" s="55" t="s">
        <v>33</v>
      </c>
      <c r="C8" s="78">
        <v>5320</v>
      </c>
      <c r="D8" s="79">
        <v>9.9213009585617904</v>
      </c>
      <c r="E8" s="78">
        <v>4923</v>
      </c>
      <c r="F8" s="79">
        <v>9.7709590346141599</v>
      </c>
      <c r="G8" s="78">
        <v>397</v>
      </c>
      <c r="H8" s="79">
        <v>12.260654725139</v>
      </c>
      <c r="I8" s="78">
        <v>388674452</v>
      </c>
      <c r="J8" s="79">
        <v>2.3386721808122699</v>
      </c>
      <c r="K8" s="78">
        <v>358698502</v>
      </c>
      <c r="L8" s="79">
        <v>2.2594943374402101</v>
      </c>
      <c r="M8" s="78">
        <v>29975950</v>
      </c>
      <c r="N8" s="79">
        <v>4.0274945970772897</v>
      </c>
    </row>
    <row r="9" spans="1:14" ht="20.149999999999999" customHeight="1" x14ac:dyDescent="0.35">
      <c r="B9" s="56" t="s">
        <v>34</v>
      </c>
      <c r="C9" s="80">
        <v>5478</v>
      </c>
      <c r="D9" s="81">
        <v>10.2159561374063</v>
      </c>
      <c r="E9" s="80">
        <v>4975</v>
      </c>
      <c r="F9" s="81">
        <v>9.8741664020323903</v>
      </c>
      <c r="G9" s="80">
        <v>503</v>
      </c>
      <c r="H9" s="81">
        <v>15.534280420012401</v>
      </c>
      <c r="I9" s="80">
        <v>801477730</v>
      </c>
      <c r="J9" s="81">
        <v>4.8225286252968402</v>
      </c>
      <c r="K9" s="80">
        <v>726533084</v>
      </c>
      <c r="L9" s="81">
        <v>4.5765381793007096</v>
      </c>
      <c r="M9" s="80">
        <v>74944646</v>
      </c>
      <c r="N9" s="81">
        <v>10.069377512468201</v>
      </c>
    </row>
    <row r="10" spans="1:14" ht="20.149999999999999" customHeight="1" x14ac:dyDescent="0.35">
      <c r="B10" s="55" t="s">
        <v>35</v>
      </c>
      <c r="C10" s="78">
        <v>7446</v>
      </c>
      <c r="D10" s="79">
        <v>13.886091529596101</v>
      </c>
      <c r="E10" s="78">
        <v>6856</v>
      </c>
      <c r="F10" s="79">
        <v>13.607494442680199</v>
      </c>
      <c r="G10" s="78">
        <v>590</v>
      </c>
      <c r="H10" s="79">
        <v>18.221124150710299</v>
      </c>
      <c r="I10" s="78">
        <v>2442829668</v>
      </c>
      <c r="J10" s="79">
        <v>14.6986192625145</v>
      </c>
      <c r="K10" s="78">
        <v>2255306355</v>
      </c>
      <c r="L10" s="79">
        <v>14.206504654751599</v>
      </c>
      <c r="M10" s="78">
        <v>187523313</v>
      </c>
      <c r="N10" s="79">
        <v>25.195169125033001</v>
      </c>
    </row>
    <row r="11" spans="1:14" ht="20.149999999999999" customHeight="1" x14ac:dyDescent="0.35">
      <c r="B11" s="56" t="s">
        <v>36</v>
      </c>
      <c r="C11" s="80">
        <v>4504</v>
      </c>
      <c r="D11" s="81">
        <v>8.3995375032635895</v>
      </c>
      <c r="E11" s="80">
        <v>4271</v>
      </c>
      <c r="F11" s="81">
        <v>8.4768974277548406</v>
      </c>
      <c r="G11" s="80">
        <v>233</v>
      </c>
      <c r="H11" s="81">
        <v>7.1957998764669604</v>
      </c>
      <c r="I11" s="80">
        <v>3170022665</v>
      </c>
      <c r="J11" s="81">
        <v>19.074173208533601</v>
      </c>
      <c r="K11" s="80">
        <v>3007807209</v>
      </c>
      <c r="L11" s="81">
        <v>18.946617616059399</v>
      </c>
      <c r="M11" s="80">
        <v>162215456</v>
      </c>
      <c r="N11" s="81">
        <v>21.794867972572298</v>
      </c>
    </row>
    <row r="12" spans="1:14" ht="20.149999999999999" customHeight="1" x14ac:dyDescent="0.35">
      <c r="B12" s="55" t="s">
        <v>37</v>
      </c>
      <c r="C12" s="78">
        <v>2253</v>
      </c>
      <c r="D12" s="79">
        <v>4.2016336578270099</v>
      </c>
      <c r="E12" s="78">
        <v>2159</v>
      </c>
      <c r="F12" s="79">
        <v>4.2850905049222003</v>
      </c>
      <c r="G12" s="78">
        <v>94</v>
      </c>
      <c r="H12" s="79">
        <v>2.9030265596046898</v>
      </c>
      <c r="I12" s="78">
        <v>3094279602</v>
      </c>
      <c r="J12" s="79">
        <v>18.618423690097</v>
      </c>
      <c r="K12" s="78">
        <v>2961540312</v>
      </c>
      <c r="L12" s="79">
        <v>18.655175663557401</v>
      </c>
      <c r="M12" s="78">
        <v>132739290</v>
      </c>
      <c r="N12" s="79">
        <v>17.834523119196401</v>
      </c>
    </row>
    <row r="13" spans="1:14" ht="20.149999999999999" customHeight="1" x14ac:dyDescent="0.35">
      <c r="B13" s="56" t="s">
        <v>38</v>
      </c>
      <c r="C13" s="80">
        <v>591</v>
      </c>
      <c r="D13" s="81">
        <v>1.10215956137406</v>
      </c>
      <c r="E13" s="80">
        <v>565</v>
      </c>
      <c r="F13" s="81">
        <v>1.12138774214036</v>
      </c>
      <c r="G13" s="80">
        <v>26</v>
      </c>
      <c r="H13" s="81">
        <v>0.80296479308214996</v>
      </c>
      <c r="I13" s="80">
        <v>1427227344</v>
      </c>
      <c r="J13" s="81">
        <v>8.5876930370184894</v>
      </c>
      <c r="K13" s="80">
        <v>1365089168</v>
      </c>
      <c r="L13" s="81">
        <v>8.5988963656083595</v>
      </c>
      <c r="M13" s="80">
        <v>62138176</v>
      </c>
      <c r="N13" s="81">
        <v>8.3487318370973398</v>
      </c>
    </row>
    <row r="14" spans="1:14" ht="20.149999999999999" customHeight="1" x14ac:dyDescent="0.35">
      <c r="B14" s="55" t="s">
        <v>39</v>
      </c>
      <c r="C14" s="78">
        <v>331</v>
      </c>
      <c r="D14" s="79">
        <v>0.61728395061728403</v>
      </c>
      <c r="E14" s="78">
        <v>321</v>
      </c>
      <c r="F14" s="79">
        <v>0.63710701810098402</v>
      </c>
      <c r="G14" s="78">
        <v>10</v>
      </c>
      <c r="H14" s="79">
        <v>0.308832612723904</v>
      </c>
      <c r="I14" s="78">
        <v>1256675077</v>
      </c>
      <c r="J14" s="79">
        <v>7.5614721466179899</v>
      </c>
      <c r="K14" s="78">
        <v>1220797694</v>
      </c>
      <c r="L14" s="79">
        <v>7.6899832627487896</v>
      </c>
      <c r="M14" s="78">
        <v>35877383</v>
      </c>
      <c r="N14" s="79">
        <v>4.8203965575660703</v>
      </c>
    </row>
    <row r="15" spans="1:14" ht="20.149999999999999" customHeight="1" x14ac:dyDescent="0.35">
      <c r="B15" s="56" t="s">
        <v>40</v>
      </c>
      <c r="C15" s="80">
        <v>182</v>
      </c>
      <c r="D15" s="81">
        <v>0.339412927529745</v>
      </c>
      <c r="E15" s="80" t="s">
        <v>43</v>
      </c>
      <c r="F15" s="81" t="s">
        <v>43</v>
      </c>
      <c r="G15" s="80" t="s">
        <v>43</v>
      </c>
      <c r="H15" s="81" t="s">
        <v>43</v>
      </c>
      <c r="I15" s="80">
        <v>1232643784</v>
      </c>
      <c r="J15" s="81">
        <v>7.4168747435243398</v>
      </c>
      <c r="K15" s="80">
        <v>1215239784</v>
      </c>
      <c r="L15" s="81">
        <v>7.6549731746023904</v>
      </c>
      <c r="M15" s="80">
        <v>17404000</v>
      </c>
      <c r="N15" s="81">
        <v>2.3383584496082102</v>
      </c>
    </row>
    <row r="16" spans="1:14" ht="20.149999999999999" customHeight="1" x14ac:dyDescent="0.35">
      <c r="B16" s="55" t="s">
        <v>41</v>
      </c>
      <c r="C16" s="78">
        <v>86</v>
      </c>
      <c r="D16" s="79">
        <v>0.16038193278878099</v>
      </c>
      <c r="E16" s="78" t="s">
        <v>43</v>
      </c>
      <c r="F16" s="79" t="s">
        <v>43</v>
      </c>
      <c r="G16" s="78" t="s">
        <v>43</v>
      </c>
      <c r="H16" s="79" t="s">
        <v>43</v>
      </c>
      <c r="I16" s="78">
        <v>2513843745</v>
      </c>
      <c r="J16" s="79">
        <v>15.125914253145799</v>
      </c>
      <c r="K16" s="78">
        <v>2488061745</v>
      </c>
      <c r="L16" s="79">
        <v>15.6726649057182</v>
      </c>
      <c r="M16" s="78">
        <v>25782000</v>
      </c>
      <c r="N16" s="79">
        <v>3.4640058347390701</v>
      </c>
    </row>
    <row r="17" spans="2:14" ht="20.149999999999999" customHeight="1" x14ac:dyDescent="0.35">
      <c r="B17" s="56" t="s">
        <v>30</v>
      </c>
      <c r="C17" s="80">
        <v>53622</v>
      </c>
      <c r="D17" s="81">
        <v>100</v>
      </c>
      <c r="E17" s="80">
        <v>50121</v>
      </c>
      <c r="F17" s="81">
        <v>99.478008891711596</v>
      </c>
      <c r="G17" s="80">
        <v>3233</v>
      </c>
      <c r="H17" s="81">
        <v>99.845583693638105</v>
      </c>
      <c r="I17" s="80">
        <v>16619449925</v>
      </c>
      <c r="J17" s="81">
        <v>100</v>
      </c>
      <c r="K17" s="80">
        <v>15875167114</v>
      </c>
      <c r="L17" s="81">
        <v>100</v>
      </c>
      <c r="M17" s="80">
        <v>744282811</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17</v>
      </c>
      <c r="B6" s="55" t="s">
        <v>31</v>
      </c>
      <c r="C6" s="78">
        <v>3648</v>
      </c>
      <c r="D6" s="79">
        <v>9.9707546396261009</v>
      </c>
      <c r="E6" s="78">
        <v>3045</v>
      </c>
      <c r="F6" s="79">
        <v>9.2691242275729806</v>
      </c>
      <c r="G6" s="78">
        <v>603</v>
      </c>
      <c r="H6" s="79">
        <v>16.140256959314801</v>
      </c>
      <c r="I6" s="78">
        <v>0</v>
      </c>
      <c r="J6" s="79">
        <v>0</v>
      </c>
      <c r="K6" s="78">
        <v>0</v>
      </c>
      <c r="L6" s="79">
        <v>0</v>
      </c>
      <c r="M6" s="78">
        <v>0</v>
      </c>
      <c r="N6" s="79">
        <v>0</v>
      </c>
    </row>
    <row r="7" spans="1:14" ht="20.149999999999999" customHeight="1" x14ac:dyDescent="0.35">
      <c r="B7" s="56" t="s">
        <v>32</v>
      </c>
      <c r="C7" s="80">
        <v>11338</v>
      </c>
      <c r="D7" s="81">
        <v>30.989149151337902</v>
      </c>
      <c r="E7" s="80">
        <v>10584</v>
      </c>
      <c r="F7" s="81">
        <v>32.218197315150199</v>
      </c>
      <c r="G7" s="80">
        <v>754</v>
      </c>
      <c r="H7" s="81">
        <v>20.182012847965701</v>
      </c>
      <c r="I7" s="80">
        <v>192310946</v>
      </c>
      <c r="J7" s="81">
        <v>1.0322738068233299</v>
      </c>
      <c r="K7" s="80">
        <v>175444791</v>
      </c>
      <c r="L7" s="81">
        <v>0.98430977669388198</v>
      </c>
      <c r="M7" s="80">
        <v>16866155</v>
      </c>
      <c r="N7" s="81">
        <v>2.0933675185158598</v>
      </c>
    </row>
    <row r="8" spans="1:14" ht="20.149999999999999" customHeight="1" x14ac:dyDescent="0.35">
      <c r="B8" s="55" t="s">
        <v>33</v>
      </c>
      <c r="C8" s="78">
        <v>3811</v>
      </c>
      <c r="D8" s="79">
        <v>10.416268073359401</v>
      </c>
      <c r="E8" s="78">
        <v>3299</v>
      </c>
      <c r="F8" s="79">
        <v>10.042312258378701</v>
      </c>
      <c r="G8" s="78">
        <v>512</v>
      </c>
      <c r="H8" s="79">
        <v>13.704496788008599</v>
      </c>
      <c r="I8" s="78">
        <v>278680092</v>
      </c>
      <c r="J8" s="79">
        <v>1.4958803200662101</v>
      </c>
      <c r="K8" s="78">
        <v>240296628</v>
      </c>
      <c r="L8" s="79">
        <v>1.3481524238982601</v>
      </c>
      <c r="M8" s="78">
        <v>38383464</v>
      </c>
      <c r="N8" s="79">
        <v>4.7640198246561001</v>
      </c>
    </row>
    <row r="9" spans="1:14" ht="20.149999999999999" customHeight="1" x14ac:dyDescent="0.35">
      <c r="B9" s="56" t="s">
        <v>34</v>
      </c>
      <c r="C9" s="80">
        <v>4501</v>
      </c>
      <c r="D9" s="81">
        <v>12.3021838357887</v>
      </c>
      <c r="E9" s="80">
        <v>3783</v>
      </c>
      <c r="F9" s="81">
        <v>11.515631183221201</v>
      </c>
      <c r="G9" s="80">
        <v>718</v>
      </c>
      <c r="H9" s="81">
        <v>19.218415417558901</v>
      </c>
      <c r="I9" s="80">
        <v>658772478</v>
      </c>
      <c r="J9" s="81">
        <v>3.5361147549838199</v>
      </c>
      <c r="K9" s="80">
        <v>551448877</v>
      </c>
      <c r="L9" s="81">
        <v>3.0938309304262099</v>
      </c>
      <c r="M9" s="80">
        <v>107323601</v>
      </c>
      <c r="N9" s="81">
        <v>13.3206258512124</v>
      </c>
    </row>
    <row r="10" spans="1:14" ht="20.149999999999999" customHeight="1" x14ac:dyDescent="0.35">
      <c r="B10" s="55" t="s">
        <v>35</v>
      </c>
      <c r="C10" s="78">
        <v>6314</v>
      </c>
      <c r="D10" s="79">
        <v>17.2574958318528</v>
      </c>
      <c r="E10" s="78">
        <v>5537</v>
      </c>
      <c r="F10" s="79">
        <v>16.8548902620925</v>
      </c>
      <c r="G10" s="78">
        <v>777</v>
      </c>
      <c r="H10" s="79">
        <v>20.797644539614598</v>
      </c>
      <c r="I10" s="78">
        <v>2052999431</v>
      </c>
      <c r="J10" s="79">
        <v>11.0199527490468</v>
      </c>
      <c r="K10" s="78">
        <v>1810135413</v>
      </c>
      <c r="L10" s="79">
        <v>10.1555251312974</v>
      </c>
      <c r="M10" s="78">
        <v>242864018</v>
      </c>
      <c r="N10" s="79">
        <v>30.143423127408099</v>
      </c>
    </row>
    <row r="11" spans="1:14" ht="20.149999999999999" customHeight="1" x14ac:dyDescent="0.35">
      <c r="B11" s="56" t="s">
        <v>36</v>
      </c>
      <c r="C11" s="80">
        <v>3755</v>
      </c>
      <c r="D11" s="81">
        <v>10.263208243365099</v>
      </c>
      <c r="E11" s="80">
        <v>3495</v>
      </c>
      <c r="F11" s="81">
        <v>10.6389455419926</v>
      </c>
      <c r="G11" s="80">
        <v>260</v>
      </c>
      <c r="H11" s="81">
        <v>6.9593147751605997</v>
      </c>
      <c r="I11" s="80">
        <v>2633484275</v>
      </c>
      <c r="J11" s="81">
        <v>14.1358403892601</v>
      </c>
      <c r="K11" s="80">
        <v>2457179686</v>
      </c>
      <c r="L11" s="81">
        <v>13.7856813772454</v>
      </c>
      <c r="M11" s="80">
        <v>176304589</v>
      </c>
      <c r="N11" s="81">
        <v>21.8823021594363</v>
      </c>
    </row>
    <row r="12" spans="1:14" ht="20.149999999999999" customHeight="1" x14ac:dyDescent="0.35">
      <c r="B12" s="55" t="s">
        <v>37</v>
      </c>
      <c r="C12" s="78">
        <v>1984</v>
      </c>
      <c r="D12" s="79">
        <v>5.4226911197966503</v>
      </c>
      <c r="E12" s="78">
        <v>1910</v>
      </c>
      <c r="F12" s="79">
        <v>5.81413046787008</v>
      </c>
      <c r="G12" s="78">
        <v>74</v>
      </c>
      <c r="H12" s="79">
        <v>1.9807280513918599</v>
      </c>
      <c r="I12" s="78">
        <v>2712557588</v>
      </c>
      <c r="J12" s="79">
        <v>14.560284819108899</v>
      </c>
      <c r="K12" s="78">
        <v>2614430232</v>
      </c>
      <c r="L12" s="79">
        <v>14.6679147506959</v>
      </c>
      <c r="M12" s="78">
        <v>98127356</v>
      </c>
      <c r="N12" s="79">
        <v>12.1792204404763</v>
      </c>
    </row>
    <row r="13" spans="1:14" ht="20.149999999999999" customHeight="1" x14ac:dyDescent="0.35">
      <c r="B13" s="56" t="s">
        <v>38</v>
      </c>
      <c r="C13" s="80">
        <v>530</v>
      </c>
      <c r="D13" s="81">
        <v>1.4486019624456801</v>
      </c>
      <c r="E13" s="80">
        <v>506</v>
      </c>
      <c r="F13" s="81">
        <v>1.5402879668807601</v>
      </c>
      <c r="G13" s="80">
        <v>24</v>
      </c>
      <c r="H13" s="81">
        <v>0.64239828693790102</v>
      </c>
      <c r="I13" s="80">
        <v>1288130241</v>
      </c>
      <c r="J13" s="81">
        <v>6.9143391742315101</v>
      </c>
      <c r="K13" s="80">
        <v>1228566632</v>
      </c>
      <c r="L13" s="81">
        <v>6.89271046637956</v>
      </c>
      <c r="M13" s="80">
        <v>59563609</v>
      </c>
      <c r="N13" s="81">
        <v>7.3928245273554403</v>
      </c>
    </row>
    <row r="14" spans="1:14" ht="20.149999999999999" customHeight="1" x14ac:dyDescent="0.35">
      <c r="B14" s="55" t="s">
        <v>39</v>
      </c>
      <c r="C14" s="78">
        <v>347</v>
      </c>
      <c r="D14" s="79">
        <v>0.94842430371443398</v>
      </c>
      <c r="E14" s="78">
        <v>339</v>
      </c>
      <c r="F14" s="79">
        <v>1.0319320568628001</v>
      </c>
      <c r="G14" s="78">
        <v>8</v>
      </c>
      <c r="H14" s="79">
        <v>0.21413276231263401</v>
      </c>
      <c r="I14" s="78">
        <v>1310331112</v>
      </c>
      <c r="J14" s="79">
        <v>7.0335075216326199</v>
      </c>
      <c r="K14" s="78">
        <v>1280584124</v>
      </c>
      <c r="L14" s="79">
        <v>7.1845477198132999</v>
      </c>
      <c r="M14" s="78">
        <v>29746988</v>
      </c>
      <c r="N14" s="79">
        <v>3.6920909628116698</v>
      </c>
    </row>
    <row r="15" spans="1:14" ht="20.149999999999999" customHeight="1" x14ac:dyDescent="0.35">
      <c r="B15" s="56" t="s">
        <v>40</v>
      </c>
      <c r="C15" s="80">
        <v>203</v>
      </c>
      <c r="D15" s="81">
        <v>0.55484188372919296</v>
      </c>
      <c r="E15" s="80">
        <v>197</v>
      </c>
      <c r="F15" s="81">
        <v>0.59967733097927001</v>
      </c>
      <c r="G15" s="80">
        <v>6</v>
      </c>
      <c r="H15" s="81">
        <v>0.16059957173447501</v>
      </c>
      <c r="I15" s="80">
        <v>1379893044</v>
      </c>
      <c r="J15" s="81">
        <v>7.4068973980238697</v>
      </c>
      <c r="K15" s="80">
        <v>1343377940</v>
      </c>
      <c r="L15" s="81">
        <v>7.5368441126125401</v>
      </c>
      <c r="M15" s="80">
        <v>36515104</v>
      </c>
      <c r="N15" s="81">
        <v>4.5321255881277303</v>
      </c>
    </row>
    <row r="16" spans="1:14" ht="20.149999999999999" customHeight="1" x14ac:dyDescent="0.35">
      <c r="B16" s="55" t="s">
        <v>41</v>
      </c>
      <c r="C16" s="78">
        <v>156</v>
      </c>
      <c r="D16" s="79">
        <v>0.42638095498401102</v>
      </c>
      <c r="E16" s="78">
        <v>156</v>
      </c>
      <c r="F16" s="79">
        <v>0.47487138899881298</v>
      </c>
      <c r="G16" s="78">
        <v>0</v>
      </c>
      <c r="H16" s="79">
        <v>0</v>
      </c>
      <c r="I16" s="78">
        <v>6122679575</v>
      </c>
      <c r="J16" s="79">
        <v>32.864909066822896</v>
      </c>
      <c r="K16" s="78">
        <v>6122679575</v>
      </c>
      <c r="L16" s="79">
        <v>34.350483310937598</v>
      </c>
      <c r="M16" s="78">
        <v>0</v>
      </c>
      <c r="N16" s="79">
        <v>0</v>
      </c>
    </row>
    <row r="17" spans="2:14" ht="20.149999999999999" customHeight="1" x14ac:dyDescent="0.35">
      <c r="B17" s="56" t="s">
        <v>30</v>
      </c>
      <c r="C17" s="80">
        <v>36587</v>
      </c>
      <c r="D17" s="81">
        <v>100</v>
      </c>
      <c r="E17" s="80">
        <v>32851</v>
      </c>
      <c r="F17" s="81">
        <v>100</v>
      </c>
      <c r="G17" s="80">
        <v>3736</v>
      </c>
      <c r="H17" s="81">
        <v>100</v>
      </c>
      <c r="I17" s="80">
        <v>18629838782</v>
      </c>
      <c r="J17" s="81">
        <v>100</v>
      </c>
      <c r="K17" s="80">
        <v>17824143898</v>
      </c>
      <c r="L17" s="81">
        <v>100</v>
      </c>
      <c r="M17" s="80">
        <v>805694884</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18</v>
      </c>
      <c r="B6" s="55" t="s">
        <v>31</v>
      </c>
      <c r="C6" s="78">
        <v>687</v>
      </c>
      <c r="D6" s="79">
        <v>6.5032184778493001</v>
      </c>
      <c r="E6" s="78">
        <v>624</v>
      </c>
      <c r="F6" s="79">
        <v>6.5292455791566404</v>
      </c>
      <c r="G6" s="78">
        <v>63</v>
      </c>
      <c r="H6" s="79">
        <v>6.2562065541211496</v>
      </c>
      <c r="I6" s="78">
        <v>0</v>
      </c>
      <c r="J6" s="79">
        <v>0</v>
      </c>
      <c r="K6" s="78">
        <v>0</v>
      </c>
      <c r="L6" s="79">
        <v>0</v>
      </c>
      <c r="M6" s="78">
        <v>0</v>
      </c>
      <c r="N6" s="79">
        <v>0</v>
      </c>
    </row>
    <row r="7" spans="1:14" ht="20.149999999999999" customHeight="1" x14ac:dyDescent="0.35">
      <c r="B7" s="56" t="s">
        <v>32</v>
      </c>
      <c r="C7" s="80">
        <v>2564</v>
      </c>
      <c r="D7" s="81">
        <v>24.271109428246898</v>
      </c>
      <c r="E7" s="80">
        <v>2367</v>
      </c>
      <c r="F7" s="81">
        <v>24.767186355550901</v>
      </c>
      <c r="G7" s="80">
        <v>197</v>
      </c>
      <c r="H7" s="81">
        <v>19.563058589870899</v>
      </c>
      <c r="I7" s="80">
        <v>53514553</v>
      </c>
      <c r="J7" s="81">
        <v>0.67217118754167005</v>
      </c>
      <c r="K7" s="80">
        <v>48500597</v>
      </c>
      <c r="L7" s="81">
        <v>0.62806894024428195</v>
      </c>
      <c r="M7" s="80">
        <v>5013956</v>
      </c>
      <c r="N7" s="81">
        <v>2.0955244554447301</v>
      </c>
    </row>
    <row r="8" spans="1:14" ht="20.149999999999999" customHeight="1" x14ac:dyDescent="0.35">
      <c r="B8" s="55" t="s">
        <v>33</v>
      </c>
      <c r="C8" s="78">
        <v>1157</v>
      </c>
      <c r="D8" s="79">
        <v>10.952290798939799</v>
      </c>
      <c r="E8" s="78">
        <v>1005</v>
      </c>
      <c r="F8" s="79">
        <v>10.5158522548917</v>
      </c>
      <c r="G8" s="78">
        <v>152</v>
      </c>
      <c r="H8" s="79">
        <v>15.094339622641501</v>
      </c>
      <c r="I8" s="78">
        <v>84510800</v>
      </c>
      <c r="J8" s="79">
        <v>1.0615005005478899</v>
      </c>
      <c r="K8" s="78">
        <v>73255951</v>
      </c>
      <c r="L8" s="79">
        <v>0.94864373548138003</v>
      </c>
      <c r="M8" s="78">
        <v>11254849</v>
      </c>
      <c r="N8" s="79">
        <v>4.7038329259047504</v>
      </c>
    </row>
    <row r="9" spans="1:14" ht="20.149999999999999" customHeight="1" x14ac:dyDescent="0.35">
      <c r="B9" s="56" t="s">
        <v>34</v>
      </c>
      <c r="C9" s="80">
        <v>1332</v>
      </c>
      <c r="D9" s="81">
        <v>12.6088602801969</v>
      </c>
      <c r="E9" s="80">
        <v>1120</v>
      </c>
      <c r="F9" s="81">
        <v>11.719158731819601</v>
      </c>
      <c r="G9" s="80">
        <v>212</v>
      </c>
      <c r="H9" s="81">
        <v>21.052631578947398</v>
      </c>
      <c r="I9" s="80">
        <v>193759602</v>
      </c>
      <c r="J9" s="81">
        <v>2.4337234354539299</v>
      </c>
      <c r="K9" s="80">
        <v>162961491</v>
      </c>
      <c r="L9" s="81">
        <v>2.1103049711531998</v>
      </c>
      <c r="M9" s="80">
        <v>30798111</v>
      </c>
      <c r="N9" s="81">
        <v>12.8717114354417</v>
      </c>
    </row>
    <row r="10" spans="1:14" ht="20.149999999999999" customHeight="1" x14ac:dyDescent="0.35">
      <c r="B10" s="55" t="s">
        <v>35</v>
      </c>
      <c r="C10" s="78">
        <v>2014</v>
      </c>
      <c r="D10" s="79">
        <v>19.0647482014388</v>
      </c>
      <c r="E10" s="78">
        <v>1751</v>
      </c>
      <c r="F10" s="79">
        <v>18.321649053050098</v>
      </c>
      <c r="G10" s="78">
        <v>263</v>
      </c>
      <c r="H10" s="79">
        <v>26.117179741807298</v>
      </c>
      <c r="I10" s="78">
        <v>670353936</v>
      </c>
      <c r="J10" s="79">
        <v>8.4200012141436105</v>
      </c>
      <c r="K10" s="78">
        <v>586354792</v>
      </c>
      <c r="L10" s="79">
        <v>7.5931278293047804</v>
      </c>
      <c r="M10" s="78">
        <v>83999144</v>
      </c>
      <c r="N10" s="79">
        <v>35.106462938331198</v>
      </c>
    </row>
    <row r="11" spans="1:14" ht="20.149999999999999" customHeight="1" x14ac:dyDescent="0.35">
      <c r="B11" s="56" t="s">
        <v>36</v>
      </c>
      <c r="C11" s="80">
        <v>1401</v>
      </c>
      <c r="D11" s="81">
        <v>13.2620219613783</v>
      </c>
      <c r="E11" s="80">
        <v>1311</v>
      </c>
      <c r="F11" s="81">
        <v>13.7176938369781</v>
      </c>
      <c r="G11" s="80">
        <v>90</v>
      </c>
      <c r="H11" s="81">
        <v>8.9374379344587904</v>
      </c>
      <c r="I11" s="80">
        <v>997452943</v>
      </c>
      <c r="J11" s="81">
        <v>12.5285383438266</v>
      </c>
      <c r="K11" s="80">
        <v>936840428</v>
      </c>
      <c r="L11" s="81">
        <v>12.131817156641601</v>
      </c>
      <c r="M11" s="80">
        <v>60612515</v>
      </c>
      <c r="N11" s="81">
        <v>25.332293998693</v>
      </c>
    </row>
    <row r="12" spans="1:14" ht="20.149999999999999" customHeight="1" x14ac:dyDescent="0.35">
      <c r="B12" s="55" t="s">
        <v>37</v>
      </c>
      <c r="C12" s="78">
        <v>815</v>
      </c>
      <c r="D12" s="79">
        <v>7.7148807269973503</v>
      </c>
      <c r="E12" s="78">
        <v>791</v>
      </c>
      <c r="F12" s="79">
        <v>8.2766558543476005</v>
      </c>
      <c r="G12" s="78">
        <v>24</v>
      </c>
      <c r="H12" s="79">
        <v>2.38331678252234</v>
      </c>
      <c r="I12" s="78">
        <v>1112690007</v>
      </c>
      <c r="J12" s="79">
        <v>13.9759770276123</v>
      </c>
      <c r="K12" s="78">
        <v>1079356287</v>
      </c>
      <c r="L12" s="79">
        <v>13.9773570070095</v>
      </c>
      <c r="M12" s="78">
        <v>33333720</v>
      </c>
      <c r="N12" s="79">
        <v>13.9314396558221</v>
      </c>
    </row>
    <row r="13" spans="1:14" ht="20.149999999999999" customHeight="1" x14ac:dyDescent="0.35">
      <c r="B13" s="56" t="s">
        <v>38</v>
      </c>
      <c r="C13" s="80">
        <v>221</v>
      </c>
      <c r="D13" s="81">
        <v>2.09201060204468</v>
      </c>
      <c r="E13" s="80" t="s">
        <v>43</v>
      </c>
      <c r="F13" s="81" t="s">
        <v>43</v>
      </c>
      <c r="G13" s="80" t="s">
        <v>43</v>
      </c>
      <c r="H13" s="81" t="s">
        <v>43</v>
      </c>
      <c r="I13" s="80">
        <v>538345006</v>
      </c>
      <c r="J13" s="81">
        <v>6.7618989920395496</v>
      </c>
      <c r="K13" s="80">
        <v>527419557</v>
      </c>
      <c r="L13" s="81">
        <v>6.8299332939983897</v>
      </c>
      <c r="M13" s="80">
        <v>10925449</v>
      </c>
      <c r="N13" s="81">
        <v>4.5661640361850404</v>
      </c>
    </row>
    <row r="14" spans="1:14" ht="20.149999999999999" customHeight="1" x14ac:dyDescent="0.35">
      <c r="B14" s="55" t="s">
        <v>39</v>
      </c>
      <c r="C14" s="78">
        <v>151</v>
      </c>
      <c r="D14" s="79">
        <v>1.4293828095418399</v>
      </c>
      <c r="E14" s="78" t="s">
        <v>43</v>
      </c>
      <c r="F14" s="79" t="s">
        <v>43</v>
      </c>
      <c r="G14" s="78" t="s">
        <v>43</v>
      </c>
      <c r="H14" s="79" t="s">
        <v>43</v>
      </c>
      <c r="I14" s="78">
        <v>585945126</v>
      </c>
      <c r="J14" s="79">
        <v>7.3597817621250297</v>
      </c>
      <c r="K14" s="78">
        <v>582613126</v>
      </c>
      <c r="L14" s="79">
        <v>7.5446743185290703</v>
      </c>
      <c r="M14" s="78">
        <v>3332000</v>
      </c>
      <c r="N14" s="79">
        <v>1.3925705541775499</v>
      </c>
    </row>
    <row r="15" spans="1:14" ht="20.149999999999999" customHeight="1" x14ac:dyDescent="0.35">
      <c r="B15" s="56" t="s">
        <v>40</v>
      </c>
      <c r="C15" s="80">
        <v>112</v>
      </c>
      <c r="D15" s="81">
        <v>1.0602044680045399</v>
      </c>
      <c r="E15" s="80">
        <v>112</v>
      </c>
      <c r="F15" s="81">
        <v>1.1719158731819601</v>
      </c>
      <c r="G15" s="80">
        <v>0</v>
      </c>
      <c r="H15" s="81">
        <v>0</v>
      </c>
      <c r="I15" s="80">
        <v>788636636</v>
      </c>
      <c r="J15" s="81">
        <v>9.9056947025043307</v>
      </c>
      <c r="K15" s="80">
        <v>788636636</v>
      </c>
      <c r="L15" s="81">
        <v>10.212620191259401</v>
      </c>
      <c r="M15" s="80">
        <v>0</v>
      </c>
      <c r="N15" s="81">
        <v>0</v>
      </c>
    </row>
    <row r="16" spans="1:14" ht="20.149999999999999" customHeight="1" x14ac:dyDescent="0.35">
      <c r="B16" s="55" t="s">
        <v>41</v>
      </c>
      <c r="C16" s="78">
        <v>110</v>
      </c>
      <c r="D16" s="79">
        <v>1.0412722453616099</v>
      </c>
      <c r="E16" s="78">
        <v>110</v>
      </c>
      <c r="F16" s="79">
        <v>1.1509888040180001</v>
      </c>
      <c r="G16" s="78">
        <v>0</v>
      </c>
      <c r="H16" s="79">
        <v>0</v>
      </c>
      <c r="I16" s="78">
        <v>2936238414</v>
      </c>
      <c r="J16" s="79">
        <v>36.880712834205099</v>
      </c>
      <c r="K16" s="78">
        <v>2936238414</v>
      </c>
      <c r="L16" s="79">
        <v>38.023452556378402</v>
      </c>
      <c r="M16" s="78">
        <v>0</v>
      </c>
      <c r="N16" s="79">
        <v>0</v>
      </c>
    </row>
    <row r="17" spans="2:14" ht="20.149999999999999" customHeight="1" x14ac:dyDescent="0.35">
      <c r="B17" s="56" t="s">
        <v>30</v>
      </c>
      <c r="C17" s="80">
        <v>10564</v>
      </c>
      <c r="D17" s="81">
        <v>100</v>
      </c>
      <c r="E17" s="80">
        <v>9191</v>
      </c>
      <c r="F17" s="81">
        <v>96.170346342994605</v>
      </c>
      <c r="G17" s="80">
        <v>1001</v>
      </c>
      <c r="H17" s="81">
        <v>99.4041708043694</v>
      </c>
      <c r="I17" s="80">
        <v>7961447023</v>
      </c>
      <c r="J17" s="81">
        <v>100</v>
      </c>
      <c r="K17" s="80">
        <v>7722177279</v>
      </c>
      <c r="L17" s="81">
        <v>100</v>
      </c>
      <c r="M17" s="80">
        <v>239269744</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19</v>
      </c>
      <c r="B6" s="55" t="s">
        <v>31</v>
      </c>
      <c r="C6" s="78">
        <v>34728</v>
      </c>
      <c r="D6" s="79">
        <v>10.6957076112365</v>
      </c>
      <c r="E6" s="78">
        <v>33243</v>
      </c>
      <c r="F6" s="79">
        <v>10.9554144325548</v>
      </c>
      <c r="G6" s="78">
        <v>1485</v>
      </c>
      <c r="H6" s="79">
        <v>6.9875776397515503</v>
      </c>
      <c r="I6" s="78">
        <v>0</v>
      </c>
      <c r="J6" s="79">
        <v>0</v>
      </c>
      <c r="K6" s="78">
        <v>0</v>
      </c>
      <c r="L6" s="79">
        <v>0</v>
      </c>
      <c r="M6" s="78">
        <v>0</v>
      </c>
      <c r="N6" s="79">
        <v>0</v>
      </c>
    </row>
    <row r="7" spans="1:14" ht="20.149999999999999" customHeight="1" x14ac:dyDescent="0.35">
      <c r="B7" s="56" t="s">
        <v>32</v>
      </c>
      <c r="C7" s="80">
        <v>108051</v>
      </c>
      <c r="D7" s="81">
        <v>33.2781013332676</v>
      </c>
      <c r="E7" s="80">
        <v>103996</v>
      </c>
      <c r="F7" s="81">
        <v>34.272456737597999</v>
      </c>
      <c r="G7" s="80">
        <v>4055</v>
      </c>
      <c r="H7" s="81">
        <v>19.080557124035401</v>
      </c>
      <c r="I7" s="80">
        <v>1794897949</v>
      </c>
      <c r="J7" s="81">
        <v>1.2957584106298901</v>
      </c>
      <c r="K7" s="80">
        <v>1706602598</v>
      </c>
      <c r="L7" s="81">
        <v>1.30296370824145</v>
      </c>
      <c r="M7" s="80">
        <v>88295351</v>
      </c>
      <c r="N7" s="81">
        <v>1.17063575475602</v>
      </c>
    </row>
    <row r="8" spans="1:14" ht="20.149999999999999" customHeight="1" x14ac:dyDescent="0.35">
      <c r="B8" s="55" t="s">
        <v>33</v>
      </c>
      <c r="C8" s="78">
        <v>33340</v>
      </c>
      <c r="D8" s="79">
        <v>10.2682242501332</v>
      </c>
      <c r="E8" s="78">
        <v>30691</v>
      </c>
      <c r="F8" s="79">
        <v>10.114388723928</v>
      </c>
      <c r="G8" s="78">
        <v>2649</v>
      </c>
      <c r="H8" s="79">
        <v>12.4647092038396</v>
      </c>
      <c r="I8" s="78">
        <v>2416042294</v>
      </c>
      <c r="J8" s="79">
        <v>1.7441699817152201</v>
      </c>
      <c r="K8" s="78">
        <v>2218678684</v>
      </c>
      <c r="L8" s="79">
        <v>1.6939255857741899</v>
      </c>
      <c r="M8" s="78">
        <v>197363610</v>
      </c>
      <c r="N8" s="79">
        <v>2.6166824859637701</v>
      </c>
    </row>
    <row r="9" spans="1:14" ht="20.149999999999999" customHeight="1" x14ac:dyDescent="0.35">
      <c r="B9" s="56" t="s">
        <v>34</v>
      </c>
      <c r="C9" s="80">
        <v>35942</v>
      </c>
      <c r="D9" s="81">
        <v>11.0696015596367</v>
      </c>
      <c r="E9" s="80">
        <v>31885</v>
      </c>
      <c r="F9" s="81">
        <v>10.5078780249078</v>
      </c>
      <c r="G9" s="80">
        <v>4057</v>
      </c>
      <c r="H9" s="81">
        <v>19.089968003011499</v>
      </c>
      <c r="I9" s="80">
        <v>5225118446</v>
      </c>
      <c r="J9" s="81">
        <v>3.7720758312270299</v>
      </c>
      <c r="K9" s="80">
        <v>4625696655</v>
      </c>
      <c r="L9" s="81">
        <v>3.5316451960533501</v>
      </c>
      <c r="M9" s="80">
        <v>599421791</v>
      </c>
      <c r="N9" s="81">
        <v>7.9472426665418903</v>
      </c>
    </row>
    <row r="10" spans="1:14" ht="20.149999999999999" customHeight="1" x14ac:dyDescent="0.35">
      <c r="B10" s="55" t="s">
        <v>35</v>
      </c>
      <c r="C10" s="78">
        <v>53343</v>
      </c>
      <c r="D10" s="79">
        <v>16.428850815082601</v>
      </c>
      <c r="E10" s="78">
        <v>47747</v>
      </c>
      <c r="F10" s="79">
        <v>15.735287817320801</v>
      </c>
      <c r="G10" s="78">
        <v>5596</v>
      </c>
      <c r="H10" s="79">
        <v>26.3316393751176</v>
      </c>
      <c r="I10" s="78">
        <v>17475940828</v>
      </c>
      <c r="J10" s="79">
        <v>12.616091808543899</v>
      </c>
      <c r="K10" s="78">
        <v>15703916023</v>
      </c>
      <c r="L10" s="79">
        <v>11.989687979626799</v>
      </c>
      <c r="M10" s="78">
        <v>1772024805</v>
      </c>
      <c r="N10" s="79">
        <v>23.493825796644401</v>
      </c>
    </row>
    <row r="11" spans="1:14" ht="20.149999999999999" customHeight="1" x14ac:dyDescent="0.35">
      <c r="B11" s="56" t="s">
        <v>36</v>
      </c>
      <c r="C11" s="80">
        <v>32749</v>
      </c>
      <c r="D11" s="81">
        <v>10.0862050380208</v>
      </c>
      <c r="E11" s="80">
        <v>30674</v>
      </c>
      <c r="F11" s="81">
        <v>10.1087862799442</v>
      </c>
      <c r="G11" s="80">
        <v>2075</v>
      </c>
      <c r="H11" s="81">
        <v>9.7637869376999795</v>
      </c>
      <c r="I11" s="80">
        <v>23017426262</v>
      </c>
      <c r="J11" s="81">
        <v>16.616556772298001</v>
      </c>
      <c r="K11" s="80">
        <v>21590828575</v>
      </c>
      <c r="L11" s="81">
        <v>16.484251282082901</v>
      </c>
      <c r="M11" s="80">
        <v>1426597687</v>
      </c>
      <c r="N11" s="81">
        <v>18.9140905057894</v>
      </c>
    </row>
    <row r="12" spans="1:14" ht="20.149999999999999" customHeight="1" x14ac:dyDescent="0.35">
      <c r="B12" s="55" t="s">
        <v>37</v>
      </c>
      <c r="C12" s="78">
        <v>16493</v>
      </c>
      <c r="D12" s="79">
        <v>5.0795987569720102</v>
      </c>
      <c r="E12" s="78">
        <v>15641</v>
      </c>
      <c r="F12" s="79">
        <v>5.1545780206235898</v>
      </c>
      <c r="G12" s="78">
        <v>852</v>
      </c>
      <c r="H12" s="79">
        <v>4.0090344438170504</v>
      </c>
      <c r="I12" s="78">
        <v>22632478404</v>
      </c>
      <c r="J12" s="79">
        <v>16.338658285124701</v>
      </c>
      <c r="K12" s="78">
        <v>21439524297</v>
      </c>
      <c r="L12" s="79">
        <v>16.368732892876899</v>
      </c>
      <c r="M12" s="78">
        <v>1192954107</v>
      </c>
      <c r="N12" s="79">
        <v>15.816401606889199</v>
      </c>
    </row>
    <row r="13" spans="1:14" ht="20.149999999999999" customHeight="1" x14ac:dyDescent="0.35">
      <c r="B13" s="56" t="s">
        <v>38</v>
      </c>
      <c r="C13" s="80">
        <v>4442</v>
      </c>
      <c r="D13" s="81">
        <v>1.3680699495828299</v>
      </c>
      <c r="E13" s="80">
        <v>4222</v>
      </c>
      <c r="F13" s="81">
        <v>1.39138344115292</v>
      </c>
      <c r="G13" s="80">
        <v>220</v>
      </c>
      <c r="H13" s="81">
        <v>1.0351966873706</v>
      </c>
      <c r="I13" s="80">
        <v>10740371576</v>
      </c>
      <c r="J13" s="81">
        <v>7.75360337931511</v>
      </c>
      <c r="K13" s="80">
        <v>10208584648</v>
      </c>
      <c r="L13" s="81">
        <v>7.7940906245208996</v>
      </c>
      <c r="M13" s="80">
        <v>531786928</v>
      </c>
      <c r="N13" s="81">
        <v>7.0505274035171697</v>
      </c>
    </row>
    <row r="14" spans="1:14" ht="20.149999999999999" customHeight="1" x14ac:dyDescent="0.35">
      <c r="B14" s="55" t="s">
        <v>39</v>
      </c>
      <c r="C14" s="78">
        <v>2904</v>
      </c>
      <c r="D14" s="79">
        <v>0.89438881890782296</v>
      </c>
      <c r="E14" s="78">
        <v>2743</v>
      </c>
      <c r="F14" s="79">
        <v>0.90397081456240003</v>
      </c>
      <c r="G14" s="78">
        <v>161</v>
      </c>
      <c r="H14" s="79">
        <v>0.75757575757575801</v>
      </c>
      <c r="I14" s="78">
        <v>11061314345</v>
      </c>
      <c r="J14" s="79">
        <v>7.9852958231636801</v>
      </c>
      <c r="K14" s="78">
        <v>10456378779</v>
      </c>
      <c r="L14" s="79">
        <v>7.9832774687145003</v>
      </c>
      <c r="M14" s="78">
        <v>604935566</v>
      </c>
      <c r="N14" s="79">
        <v>8.0203452940933708</v>
      </c>
    </row>
    <row r="15" spans="1:14" ht="20.149999999999999" customHeight="1" x14ac:dyDescent="0.35">
      <c r="B15" s="56" t="s">
        <v>40</v>
      </c>
      <c r="C15" s="80">
        <v>1673</v>
      </c>
      <c r="D15" s="81">
        <v>0.51525912328952805</v>
      </c>
      <c r="E15" s="80">
        <v>1603</v>
      </c>
      <c r="F15" s="81">
        <v>0.52827751211940499</v>
      </c>
      <c r="G15" s="80">
        <v>70</v>
      </c>
      <c r="H15" s="81">
        <v>0.32938076416337297</v>
      </c>
      <c r="I15" s="80">
        <v>11393643871</v>
      </c>
      <c r="J15" s="81">
        <v>8.2252085038010705</v>
      </c>
      <c r="K15" s="80">
        <v>10921720346</v>
      </c>
      <c r="L15" s="81">
        <v>8.3385582906514699</v>
      </c>
      <c r="M15" s="80">
        <v>471923525</v>
      </c>
      <c r="N15" s="81">
        <v>6.2568475646639401</v>
      </c>
    </row>
    <row r="16" spans="1:14" ht="20.149999999999999" customHeight="1" x14ac:dyDescent="0.35">
      <c r="B16" s="55" t="s">
        <v>41</v>
      </c>
      <c r="C16" s="78">
        <v>1026</v>
      </c>
      <c r="D16" s="79">
        <v>0.315992743870326</v>
      </c>
      <c r="E16" s="78">
        <v>994</v>
      </c>
      <c r="F16" s="79">
        <v>0.32757819528801502</v>
      </c>
      <c r="G16" s="78">
        <v>32</v>
      </c>
      <c r="H16" s="79">
        <v>0.150574063617542</v>
      </c>
      <c r="I16" s="78">
        <v>32763800060</v>
      </c>
      <c r="J16" s="79">
        <v>23.652581204181299</v>
      </c>
      <c r="K16" s="78">
        <v>32106590685</v>
      </c>
      <c r="L16" s="79">
        <v>24.512866971457601</v>
      </c>
      <c r="M16" s="78">
        <v>657209375</v>
      </c>
      <c r="N16" s="79">
        <v>8.7134009211409005</v>
      </c>
    </row>
    <row r="17" spans="2:14" ht="20.149999999999999" customHeight="1" x14ac:dyDescent="0.35">
      <c r="B17" s="56" t="s">
        <v>30</v>
      </c>
      <c r="C17" s="80">
        <v>324691</v>
      </c>
      <c r="D17" s="81">
        <v>100</v>
      </c>
      <c r="E17" s="80">
        <v>303439</v>
      </c>
      <c r="F17" s="81">
        <v>100</v>
      </c>
      <c r="G17" s="80">
        <v>21252</v>
      </c>
      <c r="H17" s="81">
        <v>100</v>
      </c>
      <c r="I17" s="80">
        <v>138521034035</v>
      </c>
      <c r="J17" s="81">
        <v>100</v>
      </c>
      <c r="K17" s="80">
        <v>130978521290</v>
      </c>
      <c r="L17" s="81">
        <v>100</v>
      </c>
      <c r="M17" s="80">
        <v>7542512745</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20</v>
      </c>
      <c r="B6" s="55" t="s">
        <v>31</v>
      </c>
      <c r="C6" s="78">
        <v>21785</v>
      </c>
      <c r="D6" s="79">
        <v>11.9044366362658</v>
      </c>
      <c r="E6" s="78">
        <v>15066</v>
      </c>
      <c r="F6" s="79">
        <v>12.647856345335301</v>
      </c>
      <c r="G6" s="78">
        <v>6719</v>
      </c>
      <c r="H6" s="79">
        <v>10.5181590482154</v>
      </c>
      <c r="I6" s="78">
        <v>0</v>
      </c>
      <c r="J6" s="79">
        <v>0</v>
      </c>
      <c r="K6" s="78">
        <v>0</v>
      </c>
      <c r="L6" s="79">
        <v>0</v>
      </c>
      <c r="M6" s="78">
        <v>0</v>
      </c>
      <c r="N6" s="79">
        <v>0</v>
      </c>
    </row>
    <row r="7" spans="1:14" ht="20.149999999999999" customHeight="1" x14ac:dyDescent="0.35">
      <c r="B7" s="56" t="s">
        <v>32</v>
      </c>
      <c r="C7" s="80">
        <v>44724</v>
      </c>
      <c r="D7" s="81">
        <v>24.439477811354202</v>
      </c>
      <c r="E7" s="80">
        <v>34223</v>
      </c>
      <c r="F7" s="81">
        <v>28.7300934359758</v>
      </c>
      <c r="G7" s="80">
        <v>10501</v>
      </c>
      <c r="H7" s="81">
        <v>16.438634940513499</v>
      </c>
      <c r="I7" s="80">
        <v>874936992</v>
      </c>
      <c r="J7" s="81">
        <v>1.01710674756768</v>
      </c>
      <c r="K7" s="80">
        <v>630683663</v>
      </c>
      <c r="L7" s="81">
        <v>0.97617312013872404</v>
      </c>
      <c r="M7" s="80">
        <v>244253329</v>
      </c>
      <c r="N7" s="81">
        <v>1.1406046607882701</v>
      </c>
    </row>
    <row r="8" spans="1:14" ht="20.149999999999999" customHeight="1" x14ac:dyDescent="0.35">
      <c r="B8" s="55" t="s">
        <v>33</v>
      </c>
      <c r="C8" s="78">
        <v>21224</v>
      </c>
      <c r="D8" s="79">
        <v>11.597877584030501</v>
      </c>
      <c r="E8" s="78">
        <v>12437</v>
      </c>
      <c r="F8" s="79">
        <v>10.4408196845172</v>
      </c>
      <c r="G8" s="78">
        <v>8787</v>
      </c>
      <c r="H8" s="79">
        <v>13.7554790231684</v>
      </c>
      <c r="I8" s="78">
        <v>1553886714</v>
      </c>
      <c r="J8" s="79">
        <v>1.80637997503387</v>
      </c>
      <c r="K8" s="78">
        <v>899325404</v>
      </c>
      <c r="L8" s="79">
        <v>1.39197721004341</v>
      </c>
      <c r="M8" s="78">
        <v>654561310</v>
      </c>
      <c r="N8" s="79">
        <v>3.0566448531707602</v>
      </c>
    </row>
    <row r="9" spans="1:14" ht="20.149999999999999" customHeight="1" x14ac:dyDescent="0.35">
      <c r="B9" s="56" t="s">
        <v>34</v>
      </c>
      <c r="C9" s="80">
        <v>26402</v>
      </c>
      <c r="D9" s="81">
        <v>14.427401242629699</v>
      </c>
      <c r="E9" s="80">
        <v>13005</v>
      </c>
      <c r="F9" s="81">
        <v>10.9176537747966</v>
      </c>
      <c r="G9" s="80">
        <v>13397</v>
      </c>
      <c r="H9" s="81">
        <v>20.972135253600499</v>
      </c>
      <c r="I9" s="80">
        <v>3845233012</v>
      </c>
      <c r="J9" s="81">
        <v>4.4700503901830597</v>
      </c>
      <c r="K9" s="80">
        <v>1885405131</v>
      </c>
      <c r="L9" s="81">
        <v>2.9182328914294899</v>
      </c>
      <c r="M9" s="80">
        <v>1959827881</v>
      </c>
      <c r="N9" s="81">
        <v>9.1519277324215995</v>
      </c>
    </row>
    <row r="10" spans="1:14" ht="20.149999999999999" customHeight="1" x14ac:dyDescent="0.35">
      <c r="B10" s="55" t="s">
        <v>35</v>
      </c>
      <c r="C10" s="78">
        <v>36453</v>
      </c>
      <c r="D10" s="79">
        <v>19.919780982409701</v>
      </c>
      <c r="E10" s="78">
        <v>19671</v>
      </c>
      <c r="F10" s="79">
        <v>16.513738362477898</v>
      </c>
      <c r="G10" s="78">
        <v>16782</v>
      </c>
      <c r="H10" s="79">
        <v>26.2711333750783</v>
      </c>
      <c r="I10" s="78">
        <v>11755687330</v>
      </c>
      <c r="J10" s="79">
        <v>13.6658856751583</v>
      </c>
      <c r="K10" s="78">
        <v>6464659660</v>
      </c>
      <c r="L10" s="79">
        <v>10.006009924086401</v>
      </c>
      <c r="M10" s="78">
        <v>5291027670</v>
      </c>
      <c r="N10" s="79">
        <v>24.707834466246702</v>
      </c>
    </row>
    <row r="11" spans="1:14" ht="20.149999999999999" customHeight="1" x14ac:dyDescent="0.35">
      <c r="B11" s="56" t="s">
        <v>36</v>
      </c>
      <c r="C11" s="80">
        <v>18351</v>
      </c>
      <c r="D11" s="81">
        <v>10.027923649856</v>
      </c>
      <c r="E11" s="80">
        <v>12820</v>
      </c>
      <c r="F11" s="81">
        <v>10.7623468968007</v>
      </c>
      <c r="G11" s="80">
        <v>5531</v>
      </c>
      <c r="H11" s="81">
        <v>8.6584220413274906</v>
      </c>
      <c r="I11" s="80">
        <v>12772045452</v>
      </c>
      <c r="J11" s="81">
        <v>14.8473932731722</v>
      </c>
      <c r="K11" s="80">
        <v>9016946162</v>
      </c>
      <c r="L11" s="81">
        <v>13.956442802423499</v>
      </c>
      <c r="M11" s="80">
        <v>3755099290</v>
      </c>
      <c r="N11" s="81">
        <v>17.5354160757282</v>
      </c>
    </row>
    <row r="12" spans="1:14" ht="20.149999999999999" customHeight="1" x14ac:dyDescent="0.35">
      <c r="B12" s="55" t="s">
        <v>37</v>
      </c>
      <c r="C12" s="78">
        <v>8655</v>
      </c>
      <c r="D12" s="79">
        <v>4.7295340411696198</v>
      </c>
      <c r="E12" s="78">
        <v>7055</v>
      </c>
      <c r="F12" s="79">
        <v>5.9226487797916398</v>
      </c>
      <c r="G12" s="78">
        <v>1600</v>
      </c>
      <c r="H12" s="79">
        <v>2.5046963055729501</v>
      </c>
      <c r="I12" s="78">
        <v>11815379755</v>
      </c>
      <c r="J12" s="79">
        <v>13.7352776071503</v>
      </c>
      <c r="K12" s="78">
        <v>9679759763</v>
      </c>
      <c r="L12" s="79">
        <v>14.982346688820099</v>
      </c>
      <c r="M12" s="78">
        <v>2135619992</v>
      </c>
      <c r="N12" s="79">
        <v>9.9728348699304998</v>
      </c>
    </row>
    <row r="13" spans="1:14" ht="20.149999999999999" customHeight="1" x14ac:dyDescent="0.35">
      <c r="B13" s="56" t="s">
        <v>38</v>
      </c>
      <c r="C13" s="80">
        <v>2216</v>
      </c>
      <c r="D13" s="81">
        <v>1.2109355788829399</v>
      </c>
      <c r="E13" s="80">
        <v>1916</v>
      </c>
      <c r="F13" s="81">
        <v>1.60847555805539</v>
      </c>
      <c r="G13" s="80">
        <v>300</v>
      </c>
      <c r="H13" s="81">
        <v>0.46963055729492797</v>
      </c>
      <c r="I13" s="80">
        <v>5367632328</v>
      </c>
      <c r="J13" s="81">
        <v>6.23982653515605</v>
      </c>
      <c r="K13" s="80">
        <v>4648357461</v>
      </c>
      <c r="L13" s="81">
        <v>7.1947346545180597</v>
      </c>
      <c r="M13" s="80">
        <v>719274867</v>
      </c>
      <c r="N13" s="81">
        <v>3.3588416954106801</v>
      </c>
    </row>
    <row r="14" spans="1:14" ht="20.149999999999999" customHeight="1" x14ac:dyDescent="0.35">
      <c r="B14" s="55" t="s">
        <v>39</v>
      </c>
      <c r="C14" s="78">
        <v>1499</v>
      </c>
      <c r="D14" s="79">
        <v>0.81913015918119803</v>
      </c>
      <c r="E14" s="78">
        <v>1335</v>
      </c>
      <c r="F14" s="79">
        <v>1.1207280114843099</v>
      </c>
      <c r="G14" s="78">
        <v>164</v>
      </c>
      <c r="H14" s="79">
        <v>0.25673137132122698</v>
      </c>
      <c r="I14" s="78">
        <v>5705734141</v>
      </c>
      <c r="J14" s="79">
        <v>6.6328669923678101</v>
      </c>
      <c r="K14" s="78">
        <v>5079708862</v>
      </c>
      <c r="L14" s="79">
        <v>7.8623810003698598</v>
      </c>
      <c r="M14" s="78">
        <v>626025279</v>
      </c>
      <c r="N14" s="79">
        <v>2.9233884095748701</v>
      </c>
    </row>
    <row r="15" spans="1:14" ht="20.149999999999999" customHeight="1" x14ac:dyDescent="0.35">
      <c r="B15" s="56" t="s">
        <v>40</v>
      </c>
      <c r="C15" s="80">
        <v>1038</v>
      </c>
      <c r="D15" s="81">
        <v>0.56721621429625302</v>
      </c>
      <c r="E15" s="80">
        <v>973</v>
      </c>
      <c r="F15" s="81">
        <v>0.81683022859493404</v>
      </c>
      <c r="G15" s="80">
        <v>65</v>
      </c>
      <c r="H15" s="81">
        <v>0.10175328741390099</v>
      </c>
      <c r="I15" s="80">
        <v>7287721879</v>
      </c>
      <c r="J15" s="81">
        <v>8.4719141667375197</v>
      </c>
      <c r="K15" s="80">
        <v>6852370731</v>
      </c>
      <c r="L15" s="81">
        <v>10.6061097016676</v>
      </c>
      <c r="M15" s="80">
        <v>435351148</v>
      </c>
      <c r="N15" s="81">
        <v>2.03298579602296</v>
      </c>
    </row>
    <row r="16" spans="1:14" ht="20.149999999999999" customHeight="1" x14ac:dyDescent="0.35">
      <c r="B16" s="55" t="s">
        <v>41</v>
      </c>
      <c r="C16" s="78">
        <v>652</v>
      </c>
      <c r="D16" s="79">
        <v>0.35628609992404298</v>
      </c>
      <c r="E16" s="78">
        <v>618</v>
      </c>
      <c r="F16" s="79">
        <v>0.51880892217026697</v>
      </c>
      <c r="G16" s="78">
        <v>34</v>
      </c>
      <c r="H16" s="79">
        <v>5.3224796493425201E-2</v>
      </c>
      <c r="I16" s="78">
        <v>25043882560</v>
      </c>
      <c r="J16" s="79">
        <v>29.1132986374732</v>
      </c>
      <c r="K16" s="78">
        <v>19450550985</v>
      </c>
      <c r="L16" s="79">
        <v>30.105592006502899</v>
      </c>
      <c r="M16" s="78">
        <v>5593331575</v>
      </c>
      <c r="N16" s="79">
        <v>26.119521440705501</v>
      </c>
    </row>
    <row r="17" spans="2:14" ht="20.149999999999999" customHeight="1" x14ac:dyDescent="0.35">
      <c r="B17" s="56" t="s">
        <v>30</v>
      </c>
      <c r="C17" s="80">
        <v>182999</v>
      </c>
      <c r="D17" s="81">
        <v>100</v>
      </c>
      <c r="E17" s="80">
        <v>119119</v>
      </c>
      <c r="F17" s="81">
        <v>100</v>
      </c>
      <c r="G17" s="80">
        <v>63880</v>
      </c>
      <c r="H17" s="81">
        <v>100</v>
      </c>
      <c r="I17" s="80">
        <v>86022140163</v>
      </c>
      <c r="J17" s="81">
        <v>100</v>
      </c>
      <c r="K17" s="80">
        <v>64607767822</v>
      </c>
      <c r="L17" s="81">
        <v>100</v>
      </c>
      <c r="M17" s="80">
        <v>21414372341</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21</v>
      </c>
      <c r="B6" s="55" t="s">
        <v>31</v>
      </c>
      <c r="C6" s="78">
        <v>79055</v>
      </c>
      <c r="D6" s="79">
        <v>18.595619661889302</v>
      </c>
      <c r="E6" s="78">
        <v>75302</v>
      </c>
      <c r="F6" s="79">
        <v>18.408951451041599</v>
      </c>
      <c r="G6" s="78">
        <v>3753</v>
      </c>
      <c r="H6" s="79">
        <v>23.345359542174702</v>
      </c>
      <c r="I6" s="78">
        <v>0</v>
      </c>
      <c r="J6" s="79">
        <v>0</v>
      </c>
      <c r="K6" s="78">
        <v>0</v>
      </c>
      <c r="L6" s="79">
        <v>0</v>
      </c>
      <c r="M6" s="78">
        <v>0</v>
      </c>
      <c r="N6" s="79">
        <v>0</v>
      </c>
    </row>
    <row r="7" spans="1:14" ht="20.149999999999999" customHeight="1" x14ac:dyDescent="0.35">
      <c r="B7" s="56" t="s">
        <v>32</v>
      </c>
      <c r="C7" s="80">
        <v>141462</v>
      </c>
      <c r="D7" s="81">
        <v>33.275233048006797</v>
      </c>
      <c r="E7" s="80">
        <v>137768</v>
      </c>
      <c r="F7" s="81">
        <v>33.679907884346903</v>
      </c>
      <c r="G7" s="80">
        <v>3694</v>
      </c>
      <c r="H7" s="81">
        <v>22.978352824085601</v>
      </c>
      <c r="I7" s="80">
        <v>2270043168</v>
      </c>
      <c r="J7" s="81">
        <v>1.5947900000803601</v>
      </c>
      <c r="K7" s="80">
        <v>2194701910</v>
      </c>
      <c r="L7" s="81">
        <v>1.57838643267399</v>
      </c>
      <c r="M7" s="80">
        <v>75341258</v>
      </c>
      <c r="N7" s="81">
        <v>2.2872193294879</v>
      </c>
    </row>
    <row r="8" spans="1:14" ht="20.149999999999999" customHeight="1" x14ac:dyDescent="0.35">
      <c r="B8" s="55" t="s">
        <v>33</v>
      </c>
      <c r="C8" s="78">
        <v>41551</v>
      </c>
      <c r="D8" s="79">
        <v>9.7737852453502096</v>
      </c>
      <c r="E8" s="78">
        <v>39614</v>
      </c>
      <c r="F8" s="79">
        <v>9.6843669860237505</v>
      </c>
      <c r="G8" s="78">
        <v>1937</v>
      </c>
      <c r="H8" s="79">
        <v>12.0490171684499</v>
      </c>
      <c r="I8" s="78">
        <v>3018494597</v>
      </c>
      <c r="J8" s="79">
        <v>2.1206050468341502</v>
      </c>
      <c r="K8" s="78">
        <v>2876391722</v>
      </c>
      <c r="L8" s="79">
        <v>2.0686443331434301</v>
      </c>
      <c r="M8" s="78">
        <v>142102875</v>
      </c>
      <c r="N8" s="79">
        <v>4.3139768448756604</v>
      </c>
    </row>
    <row r="9" spans="1:14" ht="20.149999999999999" customHeight="1" x14ac:dyDescent="0.35">
      <c r="B9" s="56" t="s">
        <v>34</v>
      </c>
      <c r="C9" s="80">
        <v>42097</v>
      </c>
      <c r="D9" s="81">
        <v>9.9022174550193203</v>
      </c>
      <c r="E9" s="80">
        <v>39701</v>
      </c>
      <c r="F9" s="81">
        <v>9.7056357275743093</v>
      </c>
      <c r="G9" s="80">
        <v>2396</v>
      </c>
      <c r="H9" s="81">
        <v>14.904205026125901</v>
      </c>
      <c r="I9" s="80">
        <v>6084943849</v>
      </c>
      <c r="J9" s="81">
        <v>4.2749000275556304</v>
      </c>
      <c r="K9" s="80">
        <v>5737765044</v>
      </c>
      <c r="L9" s="81">
        <v>4.1264877284955102</v>
      </c>
      <c r="M9" s="80">
        <v>347178805</v>
      </c>
      <c r="N9" s="81">
        <v>10.5396975662991</v>
      </c>
    </row>
    <row r="10" spans="1:14" ht="20.149999999999999" customHeight="1" x14ac:dyDescent="0.35">
      <c r="B10" s="55" t="s">
        <v>35</v>
      </c>
      <c r="C10" s="78">
        <v>56412</v>
      </c>
      <c r="D10" s="79">
        <v>13.269446541856899</v>
      </c>
      <c r="E10" s="78">
        <v>53590</v>
      </c>
      <c r="F10" s="79">
        <v>13.1010558585604</v>
      </c>
      <c r="G10" s="78">
        <v>2822</v>
      </c>
      <c r="H10" s="79">
        <v>17.554117939786</v>
      </c>
      <c r="I10" s="78">
        <v>18464051371</v>
      </c>
      <c r="J10" s="79">
        <v>12.9716848131061</v>
      </c>
      <c r="K10" s="78">
        <v>17579940656</v>
      </c>
      <c r="L10" s="79">
        <v>12.6431474325569</v>
      </c>
      <c r="M10" s="78">
        <v>884110715</v>
      </c>
      <c r="N10" s="79">
        <v>26.8399436170202</v>
      </c>
    </row>
    <row r="11" spans="1:14" ht="20.149999999999999" customHeight="1" x14ac:dyDescent="0.35">
      <c r="B11" s="56" t="s">
        <v>36</v>
      </c>
      <c r="C11" s="80">
        <v>35677</v>
      </c>
      <c r="D11" s="81">
        <v>8.3920804841847296</v>
      </c>
      <c r="E11" s="80">
        <v>34731</v>
      </c>
      <c r="F11" s="81">
        <v>8.4906283079616003</v>
      </c>
      <c r="G11" s="80">
        <v>946</v>
      </c>
      <c r="H11" s="81">
        <v>5.8845483951231596</v>
      </c>
      <c r="I11" s="80">
        <v>25142933138</v>
      </c>
      <c r="J11" s="81">
        <v>17.663848382451299</v>
      </c>
      <c r="K11" s="80">
        <v>24493070527</v>
      </c>
      <c r="L11" s="81">
        <v>17.614934419200399</v>
      </c>
      <c r="M11" s="80">
        <v>649862611</v>
      </c>
      <c r="N11" s="81">
        <v>19.728610390215099</v>
      </c>
    </row>
    <row r="12" spans="1:14" ht="20.149999999999999" customHeight="1" x14ac:dyDescent="0.35">
      <c r="B12" s="55" t="s">
        <v>37</v>
      </c>
      <c r="C12" s="78">
        <v>18582</v>
      </c>
      <c r="D12" s="79">
        <v>4.3709291576399503</v>
      </c>
      <c r="E12" s="78">
        <v>18242</v>
      </c>
      <c r="F12" s="79">
        <v>4.4595906133953997</v>
      </c>
      <c r="G12" s="78">
        <v>340</v>
      </c>
      <c r="H12" s="79">
        <v>2.11495396864892</v>
      </c>
      <c r="I12" s="78">
        <v>25404011845</v>
      </c>
      <c r="J12" s="79">
        <v>17.847265912578901</v>
      </c>
      <c r="K12" s="78">
        <v>24941607508</v>
      </c>
      <c r="L12" s="79">
        <v>17.9375133909219</v>
      </c>
      <c r="M12" s="78">
        <v>462404337</v>
      </c>
      <c r="N12" s="79">
        <v>14.0377286721896</v>
      </c>
    </row>
    <row r="13" spans="1:14" ht="20.149999999999999" customHeight="1" x14ac:dyDescent="0.35">
      <c r="B13" s="56" t="s">
        <v>38</v>
      </c>
      <c r="C13" s="80">
        <v>4667</v>
      </c>
      <c r="D13" s="81">
        <v>1.09778960169549</v>
      </c>
      <c r="E13" s="80">
        <v>4572</v>
      </c>
      <c r="F13" s="81">
        <v>1.1177090387262201</v>
      </c>
      <c r="G13" s="80">
        <v>95</v>
      </c>
      <c r="H13" s="81">
        <v>0.59094302065190296</v>
      </c>
      <c r="I13" s="80">
        <v>11271997188</v>
      </c>
      <c r="J13" s="81">
        <v>7.9189984797488604</v>
      </c>
      <c r="K13" s="80">
        <v>11042252236</v>
      </c>
      <c r="L13" s="81">
        <v>7.9413705506213397</v>
      </c>
      <c r="M13" s="80">
        <v>229744952</v>
      </c>
      <c r="N13" s="81">
        <v>6.97462597540739</v>
      </c>
    </row>
    <row r="14" spans="1:14" ht="20.149999999999999" customHeight="1" x14ac:dyDescent="0.35">
      <c r="B14" s="55" t="s">
        <v>39</v>
      </c>
      <c r="C14" s="78">
        <v>3072</v>
      </c>
      <c r="D14" s="79">
        <v>0.72260759725917201</v>
      </c>
      <c r="E14" s="78">
        <v>3017</v>
      </c>
      <c r="F14" s="79">
        <v>0.737560842046591</v>
      </c>
      <c r="G14" s="78">
        <v>55</v>
      </c>
      <c r="H14" s="79">
        <v>0.342124906693207</v>
      </c>
      <c r="I14" s="78">
        <v>11583442156</v>
      </c>
      <c r="J14" s="79">
        <v>8.1378001869337293</v>
      </c>
      <c r="K14" s="78">
        <v>11379862869</v>
      </c>
      <c r="L14" s="79">
        <v>8.1841734753491302</v>
      </c>
      <c r="M14" s="78">
        <v>203579287</v>
      </c>
      <c r="N14" s="79">
        <v>6.1802854461199104</v>
      </c>
    </row>
    <row r="15" spans="1:14" ht="20.149999999999999" customHeight="1" x14ac:dyDescent="0.35">
      <c r="B15" s="56" t="s">
        <v>40</v>
      </c>
      <c r="C15" s="80">
        <v>1626</v>
      </c>
      <c r="D15" s="81">
        <v>0.382473943080538</v>
      </c>
      <c r="E15" s="80">
        <v>1595</v>
      </c>
      <c r="F15" s="81">
        <v>0.38992692842701798</v>
      </c>
      <c r="G15" s="80">
        <v>31</v>
      </c>
      <c r="H15" s="81">
        <v>0.19283403831799001</v>
      </c>
      <c r="I15" s="80">
        <v>11048069677</v>
      </c>
      <c r="J15" s="81">
        <v>7.7616810505828298</v>
      </c>
      <c r="K15" s="80">
        <v>10831879053</v>
      </c>
      <c r="L15" s="81">
        <v>7.7900742965229197</v>
      </c>
      <c r="M15" s="80">
        <v>216190624</v>
      </c>
      <c r="N15" s="81">
        <v>6.5631419914285303</v>
      </c>
    </row>
    <row r="16" spans="1:14" ht="20.149999999999999" customHeight="1" x14ac:dyDescent="0.35">
      <c r="B16" s="55" t="s">
        <v>41</v>
      </c>
      <c r="C16" s="78">
        <v>926</v>
      </c>
      <c r="D16" s="79">
        <v>0.21781726401757601</v>
      </c>
      <c r="E16" s="78">
        <v>919</v>
      </c>
      <c r="F16" s="79">
        <v>0.22466636189619399</v>
      </c>
      <c r="G16" s="78">
        <v>7</v>
      </c>
      <c r="H16" s="79">
        <v>4.3543169942771798E-2</v>
      </c>
      <c r="I16" s="78">
        <v>28053209525</v>
      </c>
      <c r="J16" s="79">
        <v>19.7084261001282</v>
      </c>
      <c r="K16" s="78">
        <v>27969713915</v>
      </c>
      <c r="L16" s="79">
        <v>20.115267940514499</v>
      </c>
      <c r="M16" s="78">
        <v>83495610</v>
      </c>
      <c r="N16" s="79">
        <v>2.53477016695664</v>
      </c>
    </row>
    <row r="17" spans="2:14" ht="20.149999999999999" customHeight="1" x14ac:dyDescent="0.35">
      <c r="B17" s="56" t="s">
        <v>30</v>
      </c>
      <c r="C17" s="80">
        <v>425127</v>
      </c>
      <c r="D17" s="81">
        <v>100</v>
      </c>
      <c r="E17" s="80">
        <v>409051</v>
      </c>
      <c r="F17" s="81">
        <v>100</v>
      </c>
      <c r="G17" s="80">
        <v>16076</v>
      </c>
      <c r="H17" s="81">
        <v>100</v>
      </c>
      <c r="I17" s="80">
        <v>142341196514</v>
      </c>
      <c r="J17" s="81">
        <v>100</v>
      </c>
      <c r="K17" s="80">
        <v>139047185440</v>
      </c>
      <c r="L17" s="81">
        <v>100</v>
      </c>
      <c r="M17" s="80">
        <v>3294011074</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22</v>
      </c>
      <c r="B6" s="55" t="s">
        <v>31</v>
      </c>
      <c r="C6" s="78">
        <v>29278</v>
      </c>
      <c r="D6" s="79">
        <v>16.693845434537199</v>
      </c>
      <c r="E6" s="78">
        <v>27858</v>
      </c>
      <c r="F6" s="79">
        <v>16.867280213126701</v>
      </c>
      <c r="G6" s="78">
        <v>1420</v>
      </c>
      <c r="H6" s="79">
        <v>13.891606339268201</v>
      </c>
      <c r="I6" s="78">
        <v>0</v>
      </c>
      <c r="J6" s="79">
        <v>0</v>
      </c>
      <c r="K6" s="78">
        <v>0</v>
      </c>
      <c r="L6" s="79">
        <v>0</v>
      </c>
      <c r="M6" s="78">
        <v>0</v>
      </c>
      <c r="N6" s="79">
        <v>0</v>
      </c>
    </row>
    <row r="7" spans="1:14" ht="20.149999999999999" customHeight="1" x14ac:dyDescent="0.35">
      <c r="B7" s="56" t="s">
        <v>32</v>
      </c>
      <c r="C7" s="80">
        <v>53076</v>
      </c>
      <c r="D7" s="81">
        <v>30.263082870533999</v>
      </c>
      <c r="E7" s="80">
        <v>50804</v>
      </c>
      <c r="F7" s="81">
        <v>30.760474691208501</v>
      </c>
      <c r="G7" s="80">
        <v>2272</v>
      </c>
      <c r="H7" s="81">
        <v>22.2265701428292</v>
      </c>
      <c r="I7" s="80">
        <v>908658500</v>
      </c>
      <c r="J7" s="81">
        <v>1.2648854845772399</v>
      </c>
      <c r="K7" s="80">
        <v>870103100</v>
      </c>
      <c r="L7" s="81">
        <v>1.2641791383780601</v>
      </c>
      <c r="M7" s="80">
        <v>38555400</v>
      </c>
      <c r="N7" s="81">
        <v>1.2810386156619999</v>
      </c>
    </row>
    <row r="8" spans="1:14" ht="20.149999999999999" customHeight="1" x14ac:dyDescent="0.35">
      <c r="B8" s="55" t="s">
        <v>33</v>
      </c>
      <c r="C8" s="78">
        <v>18341</v>
      </c>
      <c r="D8" s="79">
        <v>10.4577436681073</v>
      </c>
      <c r="E8" s="78">
        <v>17050</v>
      </c>
      <c r="F8" s="79">
        <v>10.323322838459699</v>
      </c>
      <c r="G8" s="78">
        <v>1291</v>
      </c>
      <c r="H8" s="79">
        <v>12.629622383095301</v>
      </c>
      <c r="I8" s="78">
        <v>1340879300</v>
      </c>
      <c r="J8" s="79">
        <v>1.8665524651341401</v>
      </c>
      <c r="K8" s="78">
        <v>1243981300</v>
      </c>
      <c r="L8" s="79">
        <v>1.8073895013044099</v>
      </c>
      <c r="M8" s="78">
        <v>96898000</v>
      </c>
      <c r="N8" s="79">
        <v>3.21952514512666</v>
      </c>
    </row>
    <row r="9" spans="1:14" ht="20.149999999999999" customHeight="1" x14ac:dyDescent="0.35">
      <c r="B9" s="56" t="s">
        <v>34</v>
      </c>
      <c r="C9" s="80">
        <v>19276</v>
      </c>
      <c r="D9" s="81">
        <v>10.9908656532597</v>
      </c>
      <c r="E9" s="80">
        <v>17544</v>
      </c>
      <c r="F9" s="81">
        <v>10.622426737708899</v>
      </c>
      <c r="G9" s="80">
        <v>1732</v>
      </c>
      <c r="H9" s="81">
        <v>16.943846605360999</v>
      </c>
      <c r="I9" s="80">
        <v>2807976600</v>
      </c>
      <c r="J9" s="81">
        <v>3.9088049496841202</v>
      </c>
      <c r="K9" s="80">
        <v>2556449000</v>
      </c>
      <c r="L9" s="81">
        <v>3.7142833925398602</v>
      </c>
      <c r="M9" s="80">
        <v>251527600</v>
      </c>
      <c r="N9" s="81">
        <v>8.3572357829197799</v>
      </c>
    </row>
    <row r="10" spans="1:14" ht="20.149999999999999" customHeight="1" x14ac:dyDescent="0.35">
      <c r="B10" s="55" t="s">
        <v>35</v>
      </c>
      <c r="C10" s="78">
        <v>26408</v>
      </c>
      <c r="D10" s="79">
        <v>15.0574175228929</v>
      </c>
      <c r="E10" s="78">
        <v>24294</v>
      </c>
      <c r="F10" s="79">
        <v>14.709372729474399</v>
      </c>
      <c r="G10" s="78">
        <v>2114</v>
      </c>
      <c r="H10" s="79">
        <v>20.680884367051501</v>
      </c>
      <c r="I10" s="78">
        <v>8645240600</v>
      </c>
      <c r="J10" s="79">
        <v>12.0344874841514</v>
      </c>
      <c r="K10" s="78">
        <v>7972071700</v>
      </c>
      <c r="L10" s="79">
        <v>11.582681101577601</v>
      </c>
      <c r="M10" s="78">
        <v>673168900</v>
      </c>
      <c r="N10" s="79">
        <v>22.3666556633497</v>
      </c>
    </row>
    <row r="11" spans="1:14" ht="20.149999999999999" customHeight="1" x14ac:dyDescent="0.35">
      <c r="B11" s="56" t="s">
        <v>36</v>
      </c>
      <c r="C11" s="80">
        <v>15787</v>
      </c>
      <c r="D11" s="81">
        <v>9.0014938819263097</v>
      </c>
      <c r="E11" s="80">
        <v>14951</v>
      </c>
      <c r="F11" s="81">
        <v>9.0524340033906494</v>
      </c>
      <c r="G11" s="80">
        <v>836</v>
      </c>
      <c r="H11" s="81">
        <v>8.1784386617100395</v>
      </c>
      <c r="I11" s="80">
        <v>11116995500</v>
      </c>
      <c r="J11" s="81">
        <v>15.4752596713292</v>
      </c>
      <c r="K11" s="80">
        <v>10534713600</v>
      </c>
      <c r="L11" s="81">
        <v>15.305962203683199</v>
      </c>
      <c r="M11" s="80">
        <v>582281900</v>
      </c>
      <c r="N11" s="81">
        <v>19.3468515201772</v>
      </c>
    </row>
    <row r="12" spans="1:14" ht="20.149999999999999" customHeight="1" x14ac:dyDescent="0.35">
      <c r="B12" s="55" t="s">
        <v>37</v>
      </c>
      <c r="C12" s="78">
        <v>8218</v>
      </c>
      <c r="D12" s="79">
        <v>4.6857716299278103</v>
      </c>
      <c r="E12" s="78">
        <v>7855</v>
      </c>
      <c r="F12" s="79">
        <v>4.7559941874545899</v>
      </c>
      <c r="G12" s="78">
        <v>363</v>
      </c>
      <c r="H12" s="79">
        <v>3.5511641557425202</v>
      </c>
      <c r="I12" s="78">
        <v>11281083100</v>
      </c>
      <c r="J12" s="79">
        <v>15.7036755431216</v>
      </c>
      <c r="K12" s="78">
        <v>10783789300</v>
      </c>
      <c r="L12" s="79">
        <v>15.6678461043577</v>
      </c>
      <c r="M12" s="78">
        <v>497293800</v>
      </c>
      <c r="N12" s="79">
        <v>16.523043753385899</v>
      </c>
    </row>
    <row r="13" spans="1:14" ht="20.149999999999999" customHeight="1" x14ac:dyDescent="0.35">
      <c r="B13" s="56" t="s">
        <v>38</v>
      </c>
      <c r="C13" s="80">
        <v>2182</v>
      </c>
      <c r="D13" s="81">
        <v>1.24414136000274</v>
      </c>
      <c r="E13" s="80">
        <v>2084</v>
      </c>
      <c r="F13" s="81">
        <v>1.2618067328650999</v>
      </c>
      <c r="G13" s="80">
        <v>98</v>
      </c>
      <c r="H13" s="81">
        <v>0.958716493836823</v>
      </c>
      <c r="I13" s="80">
        <v>5256362500</v>
      </c>
      <c r="J13" s="81">
        <v>7.3170466439549298</v>
      </c>
      <c r="K13" s="80">
        <v>5020850100</v>
      </c>
      <c r="L13" s="81">
        <v>7.2948297199991501</v>
      </c>
      <c r="M13" s="80">
        <v>235512400</v>
      </c>
      <c r="N13" s="81">
        <v>7.8251160373705204</v>
      </c>
    </row>
    <row r="14" spans="1:14" ht="20.149999999999999" customHeight="1" x14ac:dyDescent="0.35">
      <c r="B14" s="55" t="s">
        <v>39</v>
      </c>
      <c r="C14" s="78">
        <v>1437</v>
      </c>
      <c r="D14" s="79">
        <v>0.81935432370482697</v>
      </c>
      <c r="E14" s="78">
        <v>1376</v>
      </c>
      <c r="F14" s="79">
        <v>0.83313150883991305</v>
      </c>
      <c r="G14" s="78">
        <v>61</v>
      </c>
      <c r="H14" s="79">
        <v>0.59675210330659401</v>
      </c>
      <c r="I14" s="78">
        <v>5422657000</v>
      </c>
      <c r="J14" s="79">
        <v>7.5485346003379101</v>
      </c>
      <c r="K14" s="78">
        <v>5193158500</v>
      </c>
      <c r="L14" s="79">
        <v>7.5451778507520499</v>
      </c>
      <c r="M14" s="78">
        <v>229498500</v>
      </c>
      <c r="N14" s="79">
        <v>7.6252986802498697</v>
      </c>
    </row>
    <row r="15" spans="1:14" ht="20.149999999999999" customHeight="1" x14ac:dyDescent="0.35">
      <c r="B15" s="56" t="s">
        <v>40</v>
      </c>
      <c r="C15" s="80">
        <v>818</v>
      </c>
      <c r="D15" s="81">
        <v>0.46641046401569097</v>
      </c>
      <c r="E15" s="80">
        <v>793</v>
      </c>
      <c r="F15" s="81">
        <v>0.48014046984742098</v>
      </c>
      <c r="G15" s="80">
        <v>25</v>
      </c>
      <c r="H15" s="81">
        <v>0.24457053414204699</v>
      </c>
      <c r="I15" s="80">
        <v>5597919200</v>
      </c>
      <c r="J15" s="81">
        <v>7.7925059193483799</v>
      </c>
      <c r="K15" s="80">
        <v>5430868100</v>
      </c>
      <c r="L15" s="81">
        <v>7.8905478618601501</v>
      </c>
      <c r="M15" s="80">
        <v>167051100</v>
      </c>
      <c r="N15" s="81">
        <v>5.5504263965310798</v>
      </c>
    </row>
    <row r="16" spans="1:14" ht="20.149999999999999" customHeight="1" x14ac:dyDescent="0.35">
      <c r="B16" s="55" t="s">
        <v>41</v>
      </c>
      <c r="C16" s="78">
        <v>561</v>
      </c>
      <c r="D16" s="79">
        <v>0.31987319109144602</v>
      </c>
      <c r="E16" s="78">
        <v>551</v>
      </c>
      <c r="F16" s="79">
        <v>0.33361588762412198</v>
      </c>
      <c r="G16" s="78">
        <v>10</v>
      </c>
      <c r="H16" s="79">
        <v>9.7828213656818597E-2</v>
      </c>
      <c r="I16" s="78">
        <v>19459442300</v>
      </c>
      <c r="J16" s="79">
        <v>27.088247238360999</v>
      </c>
      <c r="K16" s="78">
        <v>19221531400</v>
      </c>
      <c r="L16" s="79">
        <v>27.927103125547799</v>
      </c>
      <c r="M16" s="78">
        <v>237910900</v>
      </c>
      <c r="N16" s="79">
        <v>7.9048084052272998</v>
      </c>
    </row>
    <row r="17" spans="2:14" ht="20.149999999999999" customHeight="1" x14ac:dyDescent="0.35">
      <c r="B17" s="56" t="s">
        <v>30</v>
      </c>
      <c r="C17" s="80">
        <v>175382</v>
      </c>
      <c r="D17" s="81">
        <v>100</v>
      </c>
      <c r="E17" s="80">
        <v>165160</v>
      </c>
      <c r="F17" s="81">
        <v>100</v>
      </c>
      <c r="G17" s="80">
        <v>10222</v>
      </c>
      <c r="H17" s="81">
        <v>100</v>
      </c>
      <c r="I17" s="80">
        <v>71837214600</v>
      </c>
      <c r="J17" s="81">
        <v>100</v>
      </c>
      <c r="K17" s="80">
        <v>68827516100</v>
      </c>
      <c r="L17" s="81">
        <v>100</v>
      </c>
      <c r="M17" s="80">
        <v>3009698500</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23</v>
      </c>
      <c r="B6" s="55" t="s">
        <v>31</v>
      </c>
      <c r="C6" s="78">
        <v>80872</v>
      </c>
      <c r="D6" s="79">
        <v>31.0152675561555</v>
      </c>
      <c r="E6" s="78">
        <v>71578</v>
      </c>
      <c r="F6" s="79">
        <v>32.822652757078998</v>
      </c>
      <c r="G6" s="78">
        <v>9294</v>
      </c>
      <c r="H6" s="79">
        <v>21.7790692224774</v>
      </c>
      <c r="I6" s="78">
        <v>0</v>
      </c>
      <c r="J6" s="79">
        <v>0</v>
      </c>
      <c r="K6" s="78">
        <v>0</v>
      </c>
      <c r="L6" s="79">
        <v>0</v>
      </c>
      <c r="M6" s="78">
        <v>0</v>
      </c>
      <c r="N6" s="79">
        <v>0</v>
      </c>
    </row>
    <row r="7" spans="1:14" ht="20.149999999999999" customHeight="1" x14ac:dyDescent="0.35">
      <c r="B7" s="56" t="s">
        <v>32</v>
      </c>
      <c r="C7" s="80">
        <v>66627</v>
      </c>
      <c r="D7" s="81">
        <v>25.552159356315801</v>
      </c>
      <c r="E7" s="80">
        <v>54996</v>
      </c>
      <c r="F7" s="81">
        <v>25.218846727043399</v>
      </c>
      <c r="G7" s="80">
        <v>11631</v>
      </c>
      <c r="H7" s="81">
        <v>27.255471715798802</v>
      </c>
      <c r="I7" s="80">
        <v>1199027000</v>
      </c>
      <c r="J7" s="81">
        <v>1.3612173700185599</v>
      </c>
      <c r="K7" s="80">
        <v>951417000</v>
      </c>
      <c r="L7" s="81">
        <v>1.1524374755698901</v>
      </c>
      <c r="M7" s="80">
        <v>247610000</v>
      </c>
      <c r="N7" s="81">
        <v>4.4792186937237197</v>
      </c>
    </row>
    <row r="8" spans="1:14" ht="20.149999999999999" customHeight="1" x14ac:dyDescent="0.35">
      <c r="B8" s="55" t="s">
        <v>33</v>
      </c>
      <c r="C8" s="78">
        <v>25931</v>
      </c>
      <c r="D8" s="79">
        <v>9.9448128276618508</v>
      </c>
      <c r="E8" s="78">
        <v>18817</v>
      </c>
      <c r="F8" s="79">
        <v>8.6286827926172194</v>
      </c>
      <c r="G8" s="78">
        <v>7114</v>
      </c>
      <c r="H8" s="79">
        <v>16.670572245395299</v>
      </c>
      <c r="I8" s="78">
        <v>1870280000</v>
      </c>
      <c r="J8" s="79">
        <v>2.1232696367957602</v>
      </c>
      <c r="K8" s="78">
        <v>1352108000</v>
      </c>
      <c r="L8" s="79">
        <v>1.6377886144748799</v>
      </c>
      <c r="M8" s="78">
        <v>518172000</v>
      </c>
      <c r="N8" s="79">
        <v>9.3736347843956604</v>
      </c>
    </row>
    <row r="9" spans="1:14" ht="20.149999999999999" customHeight="1" x14ac:dyDescent="0.35">
      <c r="B9" s="56" t="s">
        <v>34</v>
      </c>
      <c r="C9" s="80">
        <v>27469</v>
      </c>
      <c r="D9" s="81">
        <v>10.5346520983781</v>
      </c>
      <c r="E9" s="80">
        <v>20088</v>
      </c>
      <c r="F9" s="81">
        <v>9.2115098016737402</v>
      </c>
      <c r="G9" s="80">
        <v>7381</v>
      </c>
      <c r="H9" s="81">
        <v>17.296245957726001</v>
      </c>
      <c r="I9" s="80">
        <v>3957411000</v>
      </c>
      <c r="J9" s="81">
        <v>4.4927233444305399</v>
      </c>
      <c r="K9" s="80">
        <v>2902978000</v>
      </c>
      <c r="L9" s="81">
        <v>3.51633472804766</v>
      </c>
      <c r="M9" s="80">
        <v>1054433000</v>
      </c>
      <c r="N9" s="81">
        <v>19.0744962032195</v>
      </c>
    </row>
    <row r="10" spans="1:14" ht="20.149999999999999" customHeight="1" x14ac:dyDescent="0.35">
      <c r="B10" s="55" t="s">
        <v>35</v>
      </c>
      <c r="C10" s="78">
        <v>30720</v>
      </c>
      <c r="D10" s="79">
        <v>11.7814449911601</v>
      </c>
      <c r="E10" s="78">
        <v>25316</v>
      </c>
      <c r="F10" s="79">
        <v>11.608850166227199</v>
      </c>
      <c r="G10" s="78">
        <v>5404</v>
      </c>
      <c r="H10" s="79">
        <v>12.6634484697943</v>
      </c>
      <c r="I10" s="78">
        <v>9804100000</v>
      </c>
      <c r="J10" s="79">
        <v>11.130284153233401</v>
      </c>
      <c r="K10" s="78">
        <v>8168198000</v>
      </c>
      <c r="L10" s="79">
        <v>9.8940185881427496</v>
      </c>
      <c r="M10" s="78">
        <v>1635902000</v>
      </c>
      <c r="N10" s="79">
        <v>29.593161905819699</v>
      </c>
    </row>
    <row r="11" spans="1:14" ht="20.149999999999999" customHeight="1" x14ac:dyDescent="0.35">
      <c r="B11" s="56" t="s">
        <v>36</v>
      </c>
      <c r="C11" s="80">
        <v>14919</v>
      </c>
      <c r="D11" s="81">
        <v>5.7215943301795997</v>
      </c>
      <c r="E11" s="80">
        <v>13644</v>
      </c>
      <c r="F11" s="81">
        <v>6.2565631090221299</v>
      </c>
      <c r="G11" s="80">
        <v>1275</v>
      </c>
      <c r="H11" s="81">
        <v>2.9877677274218502</v>
      </c>
      <c r="I11" s="80">
        <v>10438859000</v>
      </c>
      <c r="J11" s="81">
        <v>11.850905937876799</v>
      </c>
      <c r="K11" s="80">
        <v>9578755000</v>
      </c>
      <c r="L11" s="81">
        <v>11.602605620146001</v>
      </c>
      <c r="M11" s="80">
        <v>860104000</v>
      </c>
      <c r="N11" s="81">
        <v>15.559120856777</v>
      </c>
    </row>
    <row r="12" spans="1:14" ht="20.149999999999999" customHeight="1" x14ac:dyDescent="0.35">
      <c r="B12" s="55" t="s">
        <v>37</v>
      </c>
      <c r="C12" s="78">
        <v>7580</v>
      </c>
      <c r="D12" s="79">
        <v>2.9070101898760901</v>
      </c>
      <c r="E12" s="78">
        <v>7165</v>
      </c>
      <c r="F12" s="79">
        <v>3.2855668921242702</v>
      </c>
      <c r="G12" s="78">
        <v>415</v>
      </c>
      <c r="H12" s="79">
        <v>0.972489103435347</v>
      </c>
      <c r="I12" s="78">
        <v>10421436000</v>
      </c>
      <c r="J12" s="79">
        <v>11.831126157907001</v>
      </c>
      <c r="K12" s="78">
        <v>9854175000</v>
      </c>
      <c r="L12" s="79">
        <v>11.9362178317435</v>
      </c>
      <c r="M12" s="78">
        <v>567261000</v>
      </c>
      <c r="N12" s="79">
        <v>10.2616456339421</v>
      </c>
    </row>
    <row r="13" spans="1:14" ht="20.149999999999999" customHeight="1" x14ac:dyDescent="0.35">
      <c r="B13" s="56" t="s">
        <v>38</v>
      </c>
      <c r="C13" s="80">
        <v>2434</v>
      </c>
      <c r="D13" s="81">
        <v>0.93346474962511805</v>
      </c>
      <c r="E13" s="80">
        <v>2357</v>
      </c>
      <c r="F13" s="81">
        <v>1.08082081852574</v>
      </c>
      <c r="G13" s="80">
        <v>77</v>
      </c>
      <c r="H13" s="81">
        <v>0.18043773726390799</v>
      </c>
      <c r="I13" s="80">
        <v>5918095000</v>
      </c>
      <c r="J13" s="81">
        <v>6.7186257785854604</v>
      </c>
      <c r="K13" s="80">
        <v>5736438000</v>
      </c>
      <c r="L13" s="81">
        <v>6.9484633210076998</v>
      </c>
      <c r="M13" s="80">
        <v>181657000</v>
      </c>
      <c r="N13" s="81">
        <v>3.2861412311529001</v>
      </c>
    </row>
    <row r="14" spans="1:14" ht="20.149999999999999" customHeight="1" x14ac:dyDescent="0.35">
      <c r="B14" s="55" t="s">
        <v>39</v>
      </c>
      <c r="C14" s="78">
        <v>1921</v>
      </c>
      <c r="D14" s="79">
        <v>0.73672382252664403</v>
      </c>
      <c r="E14" s="78">
        <v>1872</v>
      </c>
      <c r="F14" s="79">
        <v>0.858420268256334</v>
      </c>
      <c r="G14" s="78">
        <v>49</v>
      </c>
      <c r="H14" s="79">
        <v>0.11482401462248699</v>
      </c>
      <c r="I14" s="78">
        <v>7348473000</v>
      </c>
      <c r="J14" s="79">
        <v>8.3424886101083597</v>
      </c>
      <c r="K14" s="78">
        <v>7162304000</v>
      </c>
      <c r="L14" s="79">
        <v>8.6755939204619192</v>
      </c>
      <c r="M14" s="78">
        <v>186169000</v>
      </c>
      <c r="N14" s="79">
        <v>3.3677624691727002</v>
      </c>
    </row>
    <row r="15" spans="1:14" ht="20.149999999999999" customHeight="1" x14ac:dyDescent="0.35">
      <c r="B15" s="56" t="s">
        <v>40</v>
      </c>
      <c r="C15" s="80">
        <v>1357</v>
      </c>
      <c r="D15" s="81">
        <v>0.52042385589206497</v>
      </c>
      <c r="E15" s="80">
        <v>1328</v>
      </c>
      <c r="F15" s="81">
        <v>0.60896480568611699</v>
      </c>
      <c r="G15" s="80">
        <v>29</v>
      </c>
      <c r="H15" s="81">
        <v>6.7957069878614607E-2</v>
      </c>
      <c r="I15" s="80">
        <v>9394800000</v>
      </c>
      <c r="J15" s="81">
        <v>10.6656188291426</v>
      </c>
      <c r="K15" s="80">
        <v>9199817000</v>
      </c>
      <c r="L15" s="81">
        <v>11.143603571499099</v>
      </c>
      <c r="M15" s="80">
        <v>194983000</v>
      </c>
      <c r="N15" s="81">
        <v>3.5272060844001998</v>
      </c>
    </row>
    <row r="16" spans="1:14" ht="20.149999999999999" customHeight="1" x14ac:dyDescent="0.35">
      <c r="B16" s="55" t="s">
        <v>41</v>
      </c>
      <c r="C16" s="78">
        <v>919</v>
      </c>
      <c r="D16" s="79">
        <v>0.35244622222903998</v>
      </c>
      <c r="E16" s="78">
        <v>914</v>
      </c>
      <c r="F16" s="79">
        <v>0.41912186174481297</v>
      </c>
      <c r="G16" s="78">
        <v>5</v>
      </c>
      <c r="H16" s="79">
        <v>1.1716736185968E-2</v>
      </c>
      <c r="I16" s="78">
        <v>27732422000</v>
      </c>
      <c r="J16" s="79">
        <v>31.483740181901499</v>
      </c>
      <c r="K16" s="78">
        <v>27650740000</v>
      </c>
      <c r="L16" s="79">
        <v>33.492936328906602</v>
      </c>
      <c r="M16" s="78">
        <v>81682000</v>
      </c>
      <c r="N16" s="79">
        <v>1.4776121373964699</v>
      </c>
    </row>
    <row r="17" spans="2:14" ht="20.149999999999999" customHeight="1" x14ac:dyDescent="0.35">
      <c r="B17" s="56" t="s">
        <v>30</v>
      </c>
      <c r="C17" s="80">
        <v>260749</v>
      </c>
      <c r="D17" s="81">
        <v>100</v>
      </c>
      <c r="E17" s="80">
        <v>218075</v>
      </c>
      <c r="F17" s="81">
        <v>100</v>
      </c>
      <c r="G17" s="80">
        <v>42674</v>
      </c>
      <c r="H17" s="81">
        <v>100</v>
      </c>
      <c r="I17" s="80">
        <v>88084903000</v>
      </c>
      <c r="J17" s="81">
        <v>100</v>
      </c>
      <c r="K17" s="80">
        <v>82556930000</v>
      </c>
      <c r="L17" s="81">
        <v>100</v>
      </c>
      <c r="M17" s="80">
        <v>5527973000</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24</v>
      </c>
      <c r="B6" s="55" t="s">
        <v>31</v>
      </c>
      <c r="C6" s="78">
        <v>152694</v>
      </c>
      <c r="D6" s="79">
        <v>29.708506655978699</v>
      </c>
      <c r="E6" s="78">
        <v>146510</v>
      </c>
      <c r="F6" s="79">
        <v>30.488807313484699</v>
      </c>
      <c r="G6" s="78">
        <v>6184</v>
      </c>
      <c r="H6" s="79">
        <v>18.494482160480899</v>
      </c>
      <c r="I6" s="78">
        <v>0</v>
      </c>
      <c r="J6" s="79">
        <v>0</v>
      </c>
      <c r="K6" s="78">
        <v>0</v>
      </c>
      <c r="L6" s="79">
        <v>0</v>
      </c>
      <c r="M6" s="78">
        <v>0</v>
      </c>
      <c r="N6" s="79">
        <v>0</v>
      </c>
    </row>
    <row r="7" spans="1:14" ht="20.149999999999999" customHeight="1" x14ac:dyDescent="0.35">
      <c r="B7" s="56" t="s">
        <v>32</v>
      </c>
      <c r="C7" s="80">
        <v>144350</v>
      </c>
      <c r="D7" s="81">
        <v>28.085078233529298</v>
      </c>
      <c r="E7" s="80">
        <v>137037</v>
      </c>
      <c r="F7" s="81">
        <v>28.517471079230098</v>
      </c>
      <c r="G7" s="80">
        <v>7313</v>
      </c>
      <c r="H7" s="81">
        <v>21.870981248317701</v>
      </c>
      <c r="I7" s="80">
        <v>2537786480</v>
      </c>
      <c r="J7" s="81">
        <v>1.46455234816691</v>
      </c>
      <c r="K7" s="80">
        <v>2396340000</v>
      </c>
      <c r="L7" s="81">
        <v>1.4939991650286299</v>
      </c>
      <c r="M7" s="80">
        <v>141446480</v>
      </c>
      <c r="N7" s="81">
        <v>1.0979299931672499</v>
      </c>
    </row>
    <row r="8" spans="1:14" ht="20.149999999999999" customHeight="1" x14ac:dyDescent="0.35">
      <c r="B8" s="55" t="s">
        <v>33</v>
      </c>
      <c r="C8" s="78">
        <v>46134</v>
      </c>
      <c r="D8" s="79">
        <v>8.9759404172195492</v>
      </c>
      <c r="E8" s="78">
        <v>42363</v>
      </c>
      <c r="F8" s="79">
        <v>8.8157623658531996</v>
      </c>
      <c r="G8" s="78">
        <v>3771</v>
      </c>
      <c r="H8" s="79">
        <v>11.277925651224701</v>
      </c>
      <c r="I8" s="78">
        <v>3373802000</v>
      </c>
      <c r="J8" s="79">
        <v>1.9470155114665999</v>
      </c>
      <c r="K8" s="78">
        <v>3093237000</v>
      </c>
      <c r="L8" s="79">
        <v>1.9284798881776699</v>
      </c>
      <c r="M8" s="78">
        <v>280565000</v>
      </c>
      <c r="N8" s="79">
        <v>2.1777899918963701</v>
      </c>
    </row>
    <row r="9" spans="1:14" ht="20.149999999999999" customHeight="1" x14ac:dyDescent="0.35">
      <c r="B9" s="56" t="s">
        <v>34</v>
      </c>
      <c r="C9" s="80">
        <v>47717</v>
      </c>
      <c r="D9" s="81">
        <v>9.2839326502896995</v>
      </c>
      <c r="E9" s="80">
        <v>42527</v>
      </c>
      <c r="F9" s="81">
        <v>8.8498908512768004</v>
      </c>
      <c r="G9" s="80">
        <v>5190</v>
      </c>
      <c r="H9" s="81">
        <v>15.521727427699901</v>
      </c>
      <c r="I9" s="80">
        <v>6915262000</v>
      </c>
      <c r="J9" s="81">
        <v>3.9907861753166101</v>
      </c>
      <c r="K9" s="80">
        <v>6158236000</v>
      </c>
      <c r="L9" s="81">
        <v>3.83935478356547</v>
      </c>
      <c r="M9" s="80">
        <v>757026000</v>
      </c>
      <c r="N9" s="81">
        <v>5.8761557799630797</v>
      </c>
    </row>
    <row r="10" spans="1:14" ht="20.149999999999999" customHeight="1" x14ac:dyDescent="0.35">
      <c r="B10" s="55" t="s">
        <v>35</v>
      </c>
      <c r="C10" s="78">
        <v>60224</v>
      </c>
      <c r="D10" s="79">
        <v>11.717324222626001</v>
      </c>
      <c r="E10" s="78">
        <v>53924</v>
      </c>
      <c r="F10" s="79">
        <v>11.221612487696101</v>
      </c>
      <c r="G10" s="78">
        <v>6300</v>
      </c>
      <c r="H10" s="79">
        <v>18.841403235936198</v>
      </c>
      <c r="I10" s="78">
        <v>19508095000</v>
      </c>
      <c r="J10" s="79">
        <v>11.2580891125692</v>
      </c>
      <c r="K10" s="78">
        <v>17502387000</v>
      </c>
      <c r="L10" s="79">
        <v>10.911870420728301</v>
      </c>
      <c r="M10" s="78">
        <v>2005708000</v>
      </c>
      <c r="N10" s="79">
        <v>15.568623345985699</v>
      </c>
    </row>
    <row r="11" spans="1:14" ht="20.149999999999999" customHeight="1" x14ac:dyDescent="0.35">
      <c r="B11" s="56" t="s">
        <v>36</v>
      </c>
      <c r="C11" s="80">
        <v>32581</v>
      </c>
      <c r="D11" s="81">
        <v>6.3390366049644502</v>
      </c>
      <c r="E11" s="80">
        <v>29946</v>
      </c>
      <c r="F11" s="81">
        <v>6.2317781981408302</v>
      </c>
      <c r="G11" s="80">
        <v>2635</v>
      </c>
      <c r="H11" s="81">
        <v>7.8804916709034902</v>
      </c>
      <c r="I11" s="80">
        <v>22857692000</v>
      </c>
      <c r="J11" s="81">
        <v>13.191135958875501</v>
      </c>
      <c r="K11" s="80">
        <v>21024012000</v>
      </c>
      <c r="L11" s="81">
        <v>13.1074289848486</v>
      </c>
      <c r="M11" s="80">
        <v>1833680000</v>
      </c>
      <c r="N11" s="81">
        <v>14.233314748242099</v>
      </c>
    </row>
    <row r="12" spans="1:14" ht="20.149999999999999" customHeight="1" x14ac:dyDescent="0.35">
      <c r="B12" s="55" t="s">
        <v>37</v>
      </c>
      <c r="C12" s="78">
        <v>17246</v>
      </c>
      <c r="D12" s="79">
        <v>3.3554226478382199</v>
      </c>
      <c r="E12" s="78">
        <v>15974</v>
      </c>
      <c r="F12" s="79">
        <v>3.32419772046689</v>
      </c>
      <c r="G12" s="78">
        <v>1272</v>
      </c>
      <c r="H12" s="79">
        <v>3.8041690343033201</v>
      </c>
      <c r="I12" s="78">
        <v>23808037001</v>
      </c>
      <c r="J12" s="79">
        <v>13.7395784751203</v>
      </c>
      <c r="K12" s="78">
        <v>22051737001</v>
      </c>
      <c r="L12" s="79">
        <v>13.7481645621761</v>
      </c>
      <c r="M12" s="78">
        <v>1756300000</v>
      </c>
      <c r="N12" s="79">
        <v>13.632678925623599</v>
      </c>
    </row>
    <row r="13" spans="1:14" ht="20.149999999999999" customHeight="1" x14ac:dyDescent="0.35">
      <c r="B13" s="56" t="s">
        <v>38</v>
      </c>
      <c r="C13" s="80">
        <v>5239</v>
      </c>
      <c r="D13" s="81">
        <v>1.01931226093149</v>
      </c>
      <c r="E13" s="80">
        <v>4871</v>
      </c>
      <c r="F13" s="81">
        <v>1.0136576371850701</v>
      </c>
      <c r="G13" s="80">
        <v>368</v>
      </c>
      <c r="H13" s="81">
        <v>1.10057720489278</v>
      </c>
      <c r="I13" s="80">
        <v>12725908000</v>
      </c>
      <c r="J13" s="81">
        <v>7.3441002979715204</v>
      </c>
      <c r="K13" s="80">
        <v>11828130000</v>
      </c>
      <c r="L13" s="81">
        <v>7.3742525450687904</v>
      </c>
      <c r="M13" s="80">
        <v>897778000</v>
      </c>
      <c r="N13" s="81">
        <v>6.9686951093141998</v>
      </c>
    </row>
    <row r="14" spans="1:14" ht="20.149999999999999" customHeight="1" x14ac:dyDescent="0.35">
      <c r="B14" s="55" t="s">
        <v>39</v>
      </c>
      <c r="C14" s="78">
        <v>3815</v>
      </c>
      <c r="D14" s="79">
        <v>0.74225544482794803</v>
      </c>
      <c r="E14" s="78">
        <v>3584</v>
      </c>
      <c r="F14" s="79">
        <v>0.74583226681816395</v>
      </c>
      <c r="G14" s="78">
        <v>231</v>
      </c>
      <c r="H14" s="79">
        <v>0.69085145198432896</v>
      </c>
      <c r="I14" s="78">
        <v>14568890000</v>
      </c>
      <c r="J14" s="79">
        <v>8.4076821386823095</v>
      </c>
      <c r="K14" s="78">
        <v>13699509000</v>
      </c>
      <c r="L14" s="79">
        <v>8.5409645573258608</v>
      </c>
      <c r="M14" s="78">
        <v>869381000</v>
      </c>
      <c r="N14" s="79">
        <v>6.7482730951645999</v>
      </c>
    </row>
    <row r="15" spans="1:14" ht="20.149999999999999" customHeight="1" x14ac:dyDescent="0.35">
      <c r="B15" s="56" t="s">
        <v>40</v>
      </c>
      <c r="C15" s="80">
        <v>2413</v>
      </c>
      <c r="D15" s="81">
        <v>0.46947900088331301</v>
      </c>
      <c r="E15" s="80">
        <v>2295</v>
      </c>
      <c r="F15" s="81">
        <v>0.47759069540951099</v>
      </c>
      <c r="G15" s="80">
        <v>118</v>
      </c>
      <c r="H15" s="81">
        <v>0.352902473308012</v>
      </c>
      <c r="I15" s="80">
        <v>16646406000</v>
      </c>
      <c r="J15" s="81">
        <v>9.60661315992186</v>
      </c>
      <c r="K15" s="80">
        <v>15850638000</v>
      </c>
      <c r="L15" s="81">
        <v>9.8820868228928802</v>
      </c>
      <c r="M15" s="80">
        <v>795768000</v>
      </c>
      <c r="N15" s="81">
        <v>6.17687732351287</v>
      </c>
    </row>
    <row r="16" spans="1:14" ht="20.149999999999999" customHeight="1" x14ac:dyDescent="0.35">
      <c r="B16" s="55" t="s">
        <v>41</v>
      </c>
      <c r="C16" s="78">
        <v>1561</v>
      </c>
      <c r="D16" s="79">
        <v>0.30371186091125202</v>
      </c>
      <c r="E16" s="78">
        <v>1506</v>
      </c>
      <c r="F16" s="79">
        <v>0.313399384438659</v>
      </c>
      <c r="G16" s="78">
        <v>55</v>
      </c>
      <c r="H16" s="79">
        <v>0.16448844094865001</v>
      </c>
      <c r="I16" s="78">
        <v>50338816004</v>
      </c>
      <c r="J16" s="79">
        <v>29.050446821909301</v>
      </c>
      <c r="K16" s="78">
        <v>46793454004</v>
      </c>
      <c r="L16" s="79">
        <v>29.1733982701878</v>
      </c>
      <c r="M16" s="78">
        <v>3545362000</v>
      </c>
      <c r="N16" s="79">
        <v>27.519661687130199</v>
      </c>
    </row>
    <row r="17" spans="2:14" ht="20.149999999999999" customHeight="1" x14ac:dyDescent="0.35">
      <c r="B17" s="56" t="s">
        <v>30</v>
      </c>
      <c r="C17" s="80">
        <v>513974</v>
      </c>
      <c r="D17" s="81">
        <v>100</v>
      </c>
      <c r="E17" s="80">
        <v>480537</v>
      </c>
      <c r="F17" s="81">
        <v>100</v>
      </c>
      <c r="G17" s="80">
        <v>33437</v>
      </c>
      <c r="H17" s="81">
        <v>100</v>
      </c>
      <c r="I17" s="80">
        <v>173280694485</v>
      </c>
      <c r="J17" s="81">
        <v>100</v>
      </c>
      <c r="K17" s="80">
        <v>160397680005</v>
      </c>
      <c r="L17" s="81">
        <v>100</v>
      </c>
      <c r="M17" s="80">
        <v>12883014480</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25</v>
      </c>
      <c r="B6" s="55" t="s">
        <v>31</v>
      </c>
      <c r="C6" s="78">
        <v>80220</v>
      </c>
      <c r="D6" s="79">
        <v>26.551923872569301</v>
      </c>
      <c r="E6" s="78">
        <v>60185</v>
      </c>
      <c r="F6" s="79">
        <v>27.374985217462498</v>
      </c>
      <c r="G6" s="78">
        <v>20035</v>
      </c>
      <c r="H6" s="79">
        <v>24.352444968457899</v>
      </c>
      <c r="I6" s="78">
        <v>0</v>
      </c>
      <c r="J6" s="79">
        <v>0</v>
      </c>
      <c r="K6" s="78">
        <v>0</v>
      </c>
      <c r="L6" s="79">
        <v>0</v>
      </c>
      <c r="M6" s="78">
        <v>0</v>
      </c>
      <c r="N6" s="79">
        <v>0</v>
      </c>
    </row>
    <row r="7" spans="1:14" ht="20.149999999999999" customHeight="1" x14ac:dyDescent="0.35">
      <c r="B7" s="56" t="s">
        <v>32</v>
      </c>
      <c r="C7" s="80">
        <v>95710</v>
      </c>
      <c r="D7" s="81">
        <v>31.678940835746801</v>
      </c>
      <c r="E7" s="80">
        <v>65937</v>
      </c>
      <c r="F7" s="81">
        <v>29.991266931691001</v>
      </c>
      <c r="G7" s="80">
        <v>29773</v>
      </c>
      <c r="H7" s="81">
        <v>36.188936563309099</v>
      </c>
      <c r="I7" s="80">
        <v>1588072047</v>
      </c>
      <c r="J7" s="81">
        <v>2.3373907112855101</v>
      </c>
      <c r="K7" s="80">
        <v>1035847271</v>
      </c>
      <c r="L7" s="81">
        <v>1.69188669870987</v>
      </c>
      <c r="M7" s="80">
        <v>552224776</v>
      </c>
      <c r="N7" s="81">
        <v>8.2204440752514198</v>
      </c>
    </row>
    <row r="8" spans="1:14" ht="20.149999999999999" customHeight="1" x14ac:dyDescent="0.35">
      <c r="B8" s="55" t="s">
        <v>33</v>
      </c>
      <c r="C8" s="78">
        <v>32285</v>
      </c>
      <c r="D8" s="79">
        <v>10.685974348365701</v>
      </c>
      <c r="E8" s="78">
        <v>18709</v>
      </c>
      <c r="F8" s="79">
        <v>8.5097382808591195</v>
      </c>
      <c r="G8" s="78">
        <v>13576</v>
      </c>
      <c r="H8" s="79">
        <v>16.501561911244501</v>
      </c>
      <c r="I8" s="78">
        <v>2340648810</v>
      </c>
      <c r="J8" s="79">
        <v>3.4450645971702998</v>
      </c>
      <c r="K8" s="78">
        <v>1357656889</v>
      </c>
      <c r="L8" s="79">
        <v>2.2175099517261998</v>
      </c>
      <c r="M8" s="78">
        <v>982991921</v>
      </c>
      <c r="N8" s="79">
        <v>14.632864123800999</v>
      </c>
    </row>
    <row r="9" spans="1:14" ht="20.149999999999999" customHeight="1" x14ac:dyDescent="0.35">
      <c r="B9" s="56" t="s">
        <v>34</v>
      </c>
      <c r="C9" s="80">
        <v>30631</v>
      </c>
      <c r="D9" s="81">
        <v>10.138518824989699</v>
      </c>
      <c r="E9" s="80">
        <v>19840</v>
      </c>
      <c r="F9" s="81">
        <v>9.0241705859343</v>
      </c>
      <c r="G9" s="80">
        <v>10791</v>
      </c>
      <c r="H9" s="81">
        <v>13.116407968786101</v>
      </c>
      <c r="I9" s="80">
        <v>4385077273</v>
      </c>
      <c r="J9" s="81">
        <v>6.4541397259285498</v>
      </c>
      <c r="K9" s="80">
        <v>2880014002</v>
      </c>
      <c r="L9" s="81">
        <v>4.7040307181366199</v>
      </c>
      <c r="M9" s="80">
        <v>1505063271</v>
      </c>
      <c r="N9" s="81">
        <v>22.404442876663801</v>
      </c>
    </row>
    <row r="10" spans="1:14" ht="20.149999999999999" customHeight="1" x14ac:dyDescent="0.35">
      <c r="B10" s="55" t="s">
        <v>35</v>
      </c>
      <c r="C10" s="78">
        <v>34713</v>
      </c>
      <c r="D10" s="79">
        <v>11.4896152254861</v>
      </c>
      <c r="E10" s="78">
        <v>28567</v>
      </c>
      <c r="F10" s="79">
        <v>12.9936230407452</v>
      </c>
      <c r="G10" s="78">
        <v>6146</v>
      </c>
      <c r="H10" s="79">
        <v>7.4704330809155097</v>
      </c>
      <c r="I10" s="78">
        <v>11155969986</v>
      </c>
      <c r="J10" s="79">
        <v>16.419822179929302</v>
      </c>
      <c r="K10" s="78">
        <v>9315033096</v>
      </c>
      <c r="L10" s="79">
        <v>15.2145794407993</v>
      </c>
      <c r="M10" s="78">
        <v>1840936890</v>
      </c>
      <c r="N10" s="79">
        <v>27.404273419112702</v>
      </c>
    </row>
    <row r="11" spans="1:14" ht="20.149999999999999" customHeight="1" x14ac:dyDescent="0.35">
      <c r="B11" s="56" t="s">
        <v>36</v>
      </c>
      <c r="C11" s="80">
        <v>17107</v>
      </c>
      <c r="D11" s="81">
        <v>5.6622258998758799</v>
      </c>
      <c r="E11" s="80">
        <v>15640</v>
      </c>
      <c r="F11" s="81">
        <v>7.1138118933473997</v>
      </c>
      <c r="G11" s="80">
        <v>1467</v>
      </c>
      <c r="H11" s="81">
        <v>1.7831313585589099</v>
      </c>
      <c r="I11" s="80">
        <v>11956078001</v>
      </c>
      <c r="J11" s="81">
        <v>17.5974545460546</v>
      </c>
      <c r="K11" s="80">
        <v>10966932271</v>
      </c>
      <c r="L11" s="81">
        <v>17.912685928152602</v>
      </c>
      <c r="M11" s="80">
        <v>989145730</v>
      </c>
      <c r="N11" s="81">
        <v>14.7244700149758</v>
      </c>
    </row>
    <row r="12" spans="1:14" ht="20.149999999999999" customHeight="1" x14ac:dyDescent="0.35">
      <c r="B12" s="55" t="s">
        <v>37</v>
      </c>
      <c r="C12" s="78">
        <v>7353</v>
      </c>
      <c r="D12" s="79">
        <v>2.4337608605709602</v>
      </c>
      <c r="E12" s="78">
        <v>6970</v>
      </c>
      <c r="F12" s="79">
        <v>3.1702857350787301</v>
      </c>
      <c r="G12" s="78">
        <v>383</v>
      </c>
      <c r="H12" s="79">
        <v>0.46553463553378499</v>
      </c>
      <c r="I12" s="78">
        <v>9976778886</v>
      </c>
      <c r="J12" s="79">
        <v>14.6842395096233</v>
      </c>
      <c r="K12" s="78">
        <v>9460454287</v>
      </c>
      <c r="L12" s="79">
        <v>15.452101115713701</v>
      </c>
      <c r="M12" s="78">
        <v>516324599</v>
      </c>
      <c r="N12" s="79">
        <v>7.6860323462852298</v>
      </c>
    </row>
    <row r="13" spans="1:14" ht="20.149999999999999" customHeight="1" x14ac:dyDescent="0.35">
      <c r="B13" s="56" t="s">
        <v>38</v>
      </c>
      <c r="C13" s="80">
        <v>1787</v>
      </c>
      <c r="D13" s="81">
        <v>0.59147703764997905</v>
      </c>
      <c r="E13" s="80">
        <v>1730</v>
      </c>
      <c r="F13" s="81">
        <v>0.78688584242269899</v>
      </c>
      <c r="G13" s="80">
        <v>57</v>
      </c>
      <c r="H13" s="81">
        <v>6.9283222520693799E-2</v>
      </c>
      <c r="I13" s="80">
        <v>4333840030</v>
      </c>
      <c r="J13" s="81">
        <v>6.3787266134779497</v>
      </c>
      <c r="K13" s="80">
        <v>4195178542</v>
      </c>
      <c r="L13" s="81">
        <v>6.8521363840353899</v>
      </c>
      <c r="M13" s="80">
        <v>138661488</v>
      </c>
      <c r="N13" s="81">
        <v>2.0641214538609298</v>
      </c>
    </row>
    <row r="14" spans="1:14" ht="20.149999999999999" customHeight="1" x14ac:dyDescent="0.35">
      <c r="B14" s="55" t="s">
        <v>39</v>
      </c>
      <c r="C14" s="78">
        <v>1212</v>
      </c>
      <c r="D14" s="79">
        <v>0.40115846090194501</v>
      </c>
      <c r="E14" s="78">
        <v>1179</v>
      </c>
      <c r="F14" s="79">
        <v>0.53626497584760802</v>
      </c>
      <c r="G14" s="78">
        <v>33</v>
      </c>
      <c r="H14" s="79">
        <v>4.0111339354085902E-2</v>
      </c>
      <c r="I14" s="78">
        <v>4601863261</v>
      </c>
      <c r="J14" s="79">
        <v>6.7732143898553403</v>
      </c>
      <c r="K14" s="78">
        <v>4484335682</v>
      </c>
      <c r="L14" s="79">
        <v>7.3244271673385102</v>
      </c>
      <c r="M14" s="78">
        <v>117527579</v>
      </c>
      <c r="N14" s="79">
        <v>1.7495210871690301</v>
      </c>
    </row>
    <row r="15" spans="1:14" ht="20.149999999999999" customHeight="1" x14ac:dyDescent="0.35">
      <c r="B15" s="56" t="s">
        <v>40</v>
      </c>
      <c r="C15" s="80">
        <v>693</v>
      </c>
      <c r="D15" s="81">
        <v>0.229375258585023</v>
      </c>
      <c r="E15" s="80">
        <v>684</v>
      </c>
      <c r="F15" s="81">
        <v>0.311115558507009</v>
      </c>
      <c r="G15" s="80">
        <v>9</v>
      </c>
      <c r="H15" s="81">
        <v>1.0939456187478E-2</v>
      </c>
      <c r="I15" s="80">
        <v>4772781686</v>
      </c>
      <c r="J15" s="81">
        <v>7.02477926043992</v>
      </c>
      <c r="K15" s="80">
        <v>4711949366</v>
      </c>
      <c r="L15" s="81">
        <v>7.6961968047988503</v>
      </c>
      <c r="M15" s="80">
        <v>60832320</v>
      </c>
      <c r="N15" s="81">
        <v>0.90555278622232305</v>
      </c>
    </row>
    <row r="16" spans="1:14" ht="20.149999999999999" customHeight="1" x14ac:dyDescent="0.35">
      <c r="B16" s="55" t="s">
        <v>41</v>
      </c>
      <c r="C16" s="78">
        <v>414</v>
      </c>
      <c r="D16" s="79">
        <v>0.137029375258585</v>
      </c>
      <c r="E16" s="78" t="s">
        <v>43</v>
      </c>
      <c r="F16" s="79" t="s">
        <v>43</v>
      </c>
      <c r="G16" s="78" t="s">
        <v>43</v>
      </c>
      <c r="H16" s="79" t="s">
        <v>43</v>
      </c>
      <c r="I16" s="78">
        <v>12830977722</v>
      </c>
      <c r="J16" s="79">
        <v>18.8851684662352</v>
      </c>
      <c r="K16" s="78">
        <v>12816986243</v>
      </c>
      <c r="L16" s="79">
        <v>20.934445790588999</v>
      </c>
      <c r="M16" s="78">
        <v>13991479</v>
      </c>
      <c r="N16" s="79">
        <v>0.208277816657677</v>
      </c>
    </row>
    <row r="17" spans="2:14" ht="20.149999999999999" customHeight="1" x14ac:dyDescent="0.35">
      <c r="B17" s="56" t="s">
        <v>30</v>
      </c>
      <c r="C17" s="80">
        <v>302125</v>
      </c>
      <c r="D17" s="81">
        <v>100</v>
      </c>
      <c r="E17" s="80">
        <v>219441</v>
      </c>
      <c r="F17" s="81">
        <v>99.812148061895599</v>
      </c>
      <c r="G17" s="80">
        <v>82270</v>
      </c>
      <c r="H17" s="81">
        <v>99.998784504868098</v>
      </c>
      <c r="I17" s="80">
        <v>67942087702</v>
      </c>
      <c r="J17" s="81">
        <v>100</v>
      </c>
      <c r="K17" s="80">
        <v>61224387649</v>
      </c>
      <c r="L17" s="81">
        <v>100</v>
      </c>
      <c r="M17" s="80">
        <v>6717700053</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26</v>
      </c>
      <c r="B6" s="55" t="s">
        <v>31</v>
      </c>
      <c r="C6" s="78">
        <v>31760</v>
      </c>
      <c r="D6" s="79">
        <v>28.332099305078501</v>
      </c>
      <c r="E6" s="78">
        <v>30138</v>
      </c>
      <c r="F6" s="79">
        <v>28.214345896758999</v>
      </c>
      <c r="G6" s="78">
        <v>1622</v>
      </c>
      <c r="H6" s="79">
        <v>30.713879946979699</v>
      </c>
      <c r="I6" s="78">
        <v>0</v>
      </c>
      <c r="J6" s="79">
        <v>0</v>
      </c>
      <c r="K6" s="78">
        <v>0</v>
      </c>
      <c r="L6" s="79">
        <v>0</v>
      </c>
      <c r="M6" s="78">
        <v>0</v>
      </c>
      <c r="N6" s="79">
        <v>0</v>
      </c>
    </row>
    <row r="7" spans="1:14" ht="20.149999999999999" customHeight="1" x14ac:dyDescent="0.35">
      <c r="B7" s="56" t="s">
        <v>32</v>
      </c>
      <c r="C7" s="80">
        <v>40697</v>
      </c>
      <c r="D7" s="81">
        <v>36.304516543412497</v>
      </c>
      <c r="E7" s="80">
        <v>39388</v>
      </c>
      <c r="F7" s="81">
        <v>36.8739351045704</v>
      </c>
      <c r="G7" s="80">
        <v>1309</v>
      </c>
      <c r="H7" s="81">
        <v>24.786972164362801</v>
      </c>
      <c r="I7" s="80">
        <v>617828494</v>
      </c>
      <c r="J7" s="81">
        <v>2.88244219972924</v>
      </c>
      <c r="K7" s="80">
        <v>590840986</v>
      </c>
      <c r="L7" s="81">
        <v>2.8603108777648401</v>
      </c>
      <c r="M7" s="80">
        <v>26987508</v>
      </c>
      <c r="N7" s="81">
        <v>3.4702945956801599</v>
      </c>
    </row>
    <row r="8" spans="1:14" ht="20.149999999999999" customHeight="1" x14ac:dyDescent="0.35">
      <c r="B8" s="55" t="s">
        <v>33</v>
      </c>
      <c r="C8" s="78">
        <v>10087</v>
      </c>
      <c r="D8" s="79">
        <v>8.9982961489397795</v>
      </c>
      <c r="E8" s="78">
        <v>9454</v>
      </c>
      <c r="F8" s="79">
        <v>8.8505682562863903</v>
      </c>
      <c r="G8" s="78">
        <v>633</v>
      </c>
      <c r="H8" s="79">
        <v>11.986366218519199</v>
      </c>
      <c r="I8" s="78">
        <v>729567533</v>
      </c>
      <c r="J8" s="79">
        <v>3.4037540597335298</v>
      </c>
      <c r="K8" s="78">
        <v>683380628</v>
      </c>
      <c r="L8" s="79">
        <v>3.3083030633256798</v>
      </c>
      <c r="M8" s="78">
        <v>46186905</v>
      </c>
      <c r="N8" s="79">
        <v>5.9391243834997001</v>
      </c>
    </row>
    <row r="9" spans="1:14" ht="20.149999999999999" customHeight="1" x14ac:dyDescent="0.35">
      <c r="B9" s="56" t="s">
        <v>34</v>
      </c>
      <c r="C9" s="80">
        <v>9708</v>
      </c>
      <c r="D9" s="81">
        <v>8.6602021427488207</v>
      </c>
      <c r="E9" s="80">
        <v>9010</v>
      </c>
      <c r="F9" s="81">
        <v>8.4349079743114395</v>
      </c>
      <c r="G9" s="80">
        <v>698</v>
      </c>
      <c r="H9" s="81">
        <v>13.2171937133119</v>
      </c>
      <c r="I9" s="80">
        <v>1399350509</v>
      </c>
      <c r="J9" s="81">
        <v>6.5285868141817804</v>
      </c>
      <c r="K9" s="80">
        <v>1297182409</v>
      </c>
      <c r="L9" s="81">
        <v>6.2797690797095296</v>
      </c>
      <c r="M9" s="80">
        <v>102168100</v>
      </c>
      <c r="N9" s="81">
        <v>13.1376859723732</v>
      </c>
    </row>
    <row r="10" spans="1:14" ht="20.149999999999999" customHeight="1" x14ac:dyDescent="0.35">
      <c r="B10" s="55" t="s">
        <v>35</v>
      </c>
      <c r="C10" s="78">
        <v>11194</v>
      </c>
      <c r="D10" s="79">
        <v>9.9858161089751007</v>
      </c>
      <c r="E10" s="78">
        <v>10541</v>
      </c>
      <c r="F10" s="79">
        <v>9.8681870096800193</v>
      </c>
      <c r="G10" s="78">
        <v>653</v>
      </c>
      <c r="H10" s="79">
        <v>12.365082370763099</v>
      </c>
      <c r="I10" s="78">
        <v>3573410030</v>
      </c>
      <c r="J10" s="79">
        <v>16.671532581350501</v>
      </c>
      <c r="K10" s="78">
        <v>3374995583</v>
      </c>
      <c r="L10" s="79">
        <v>16.3386373105524</v>
      </c>
      <c r="M10" s="78">
        <v>198414447</v>
      </c>
      <c r="N10" s="79">
        <v>25.5139001025574</v>
      </c>
    </row>
    <row r="11" spans="1:14" ht="20.149999999999999" customHeight="1" x14ac:dyDescent="0.35">
      <c r="B11" s="56" t="s">
        <v>36</v>
      </c>
      <c r="C11" s="80">
        <v>5058</v>
      </c>
      <c r="D11" s="81">
        <v>4.5120830694296998</v>
      </c>
      <c r="E11" s="80">
        <v>4816</v>
      </c>
      <c r="F11" s="81">
        <v>4.5086034188994404</v>
      </c>
      <c r="G11" s="80">
        <v>242</v>
      </c>
      <c r="H11" s="81">
        <v>4.5824654421511104</v>
      </c>
      <c r="I11" s="80">
        <v>3502920249</v>
      </c>
      <c r="J11" s="81">
        <v>16.342666688344199</v>
      </c>
      <c r="K11" s="80">
        <v>3339159249</v>
      </c>
      <c r="L11" s="81">
        <v>16.165150605350501</v>
      </c>
      <c r="M11" s="80">
        <v>163761000</v>
      </c>
      <c r="N11" s="81">
        <v>21.0578506649513</v>
      </c>
    </row>
    <row r="12" spans="1:14" ht="20.149999999999999" customHeight="1" x14ac:dyDescent="0.35">
      <c r="B12" s="55" t="s">
        <v>37</v>
      </c>
      <c r="C12" s="78">
        <v>2176</v>
      </c>
      <c r="D12" s="79">
        <v>1.9411413125897601</v>
      </c>
      <c r="E12" s="78">
        <v>2088</v>
      </c>
      <c r="F12" s="79">
        <v>1.9547267314497601</v>
      </c>
      <c r="G12" s="78">
        <v>88</v>
      </c>
      <c r="H12" s="79">
        <v>1.6663510698731301</v>
      </c>
      <c r="I12" s="78">
        <v>2970313594</v>
      </c>
      <c r="J12" s="79">
        <v>13.8578219245664</v>
      </c>
      <c r="K12" s="78">
        <v>2850232594</v>
      </c>
      <c r="L12" s="79">
        <v>13.7982155706072</v>
      </c>
      <c r="M12" s="78">
        <v>120081000</v>
      </c>
      <c r="N12" s="79">
        <v>15.4410864961622</v>
      </c>
    </row>
    <row r="13" spans="1:14" ht="20.149999999999999" customHeight="1" x14ac:dyDescent="0.35">
      <c r="B13" s="56" t="s">
        <v>38</v>
      </c>
      <c r="C13" s="80">
        <v>598</v>
      </c>
      <c r="D13" s="81">
        <v>0.53345703351501805</v>
      </c>
      <c r="E13" s="80">
        <v>578</v>
      </c>
      <c r="F13" s="81">
        <v>0.54110730401243201</v>
      </c>
      <c r="G13" s="80">
        <v>20</v>
      </c>
      <c r="H13" s="81">
        <v>0.37871615224389299</v>
      </c>
      <c r="I13" s="80">
        <v>1446209515</v>
      </c>
      <c r="J13" s="81">
        <v>6.7472047277993497</v>
      </c>
      <c r="K13" s="80">
        <v>1399511515</v>
      </c>
      <c r="L13" s="81">
        <v>6.7751528833709704</v>
      </c>
      <c r="M13" s="80">
        <v>46698000</v>
      </c>
      <c r="N13" s="81">
        <v>6.0048455392425399</v>
      </c>
    </row>
    <row r="14" spans="1:14" ht="20.149999999999999" customHeight="1" x14ac:dyDescent="0.35">
      <c r="B14" s="55" t="s">
        <v>39</v>
      </c>
      <c r="C14" s="78">
        <v>423</v>
      </c>
      <c r="D14" s="79">
        <v>0.37734502537935199</v>
      </c>
      <c r="E14" s="78">
        <v>412</v>
      </c>
      <c r="F14" s="79">
        <v>0.38570278417495202</v>
      </c>
      <c r="G14" s="78">
        <v>11</v>
      </c>
      <c r="H14" s="79">
        <v>0.20829388373414101</v>
      </c>
      <c r="I14" s="78">
        <v>1627693296</v>
      </c>
      <c r="J14" s="79">
        <v>7.5939065455384602</v>
      </c>
      <c r="K14" s="78">
        <v>1584661296</v>
      </c>
      <c r="L14" s="79">
        <v>7.6714785363954396</v>
      </c>
      <c r="M14" s="78">
        <v>43032000</v>
      </c>
      <c r="N14" s="79">
        <v>5.5334385465048799</v>
      </c>
    </row>
    <row r="15" spans="1:14" ht="20.149999999999999" customHeight="1" x14ac:dyDescent="0.35">
      <c r="B15" s="56" t="s">
        <v>40</v>
      </c>
      <c r="C15" s="80">
        <v>254</v>
      </c>
      <c r="D15" s="81">
        <v>0.22658542895119499</v>
      </c>
      <c r="E15" s="80">
        <v>249</v>
      </c>
      <c r="F15" s="81">
        <v>0.23310677975622099</v>
      </c>
      <c r="G15" s="80">
        <v>5</v>
      </c>
      <c r="H15" s="81">
        <v>9.4679038060973303E-2</v>
      </c>
      <c r="I15" s="80">
        <v>1717352640</v>
      </c>
      <c r="J15" s="81">
        <v>8.0122068979104295</v>
      </c>
      <c r="K15" s="80">
        <v>1687009640</v>
      </c>
      <c r="L15" s="81">
        <v>8.1669554728319707</v>
      </c>
      <c r="M15" s="80">
        <v>30343000</v>
      </c>
      <c r="N15" s="81">
        <v>3.9017736990285701</v>
      </c>
    </row>
    <row r="16" spans="1:14" ht="20.149999999999999" customHeight="1" x14ac:dyDescent="0.35">
      <c r="B16" s="55" t="s">
        <v>41</v>
      </c>
      <c r="C16" s="78">
        <v>144</v>
      </c>
      <c r="D16" s="79">
        <v>0.128457880980205</v>
      </c>
      <c r="E16" s="78">
        <v>144</v>
      </c>
      <c r="F16" s="79">
        <v>0.134808740099983</v>
      </c>
      <c r="G16" s="78">
        <v>0</v>
      </c>
      <c r="H16" s="79">
        <v>0</v>
      </c>
      <c r="I16" s="78">
        <v>3849556500</v>
      </c>
      <c r="J16" s="79">
        <v>17.959877560846198</v>
      </c>
      <c r="K16" s="78">
        <v>3849556500</v>
      </c>
      <c r="L16" s="79">
        <v>18.636026600091601</v>
      </c>
      <c r="M16" s="78">
        <v>0</v>
      </c>
      <c r="N16" s="79">
        <v>0</v>
      </c>
    </row>
    <row r="17" spans="2:14" ht="20.149999999999999" customHeight="1" x14ac:dyDescent="0.35">
      <c r="B17" s="56" t="s">
        <v>30</v>
      </c>
      <c r="C17" s="80">
        <v>112099</v>
      </c>
      <c r="D17" s="81">
        <v>100</v>
      </c>
      <c r="E17" s="80">
        <v>106818</v>
      </c>
      <c r="F17" s="81">
        <v>100</v>
      </c>
      <c r="G17" s="80">
        <v>5281</v>
      </c>
      <c r="H17" s="81">
        <v>100</v>
      </c>
      <c r="I17" s="80">
        <v>21434202360</v>
      </c>
      <c r="J17" s="81">
        <v>100</v>
      </c>
      <c r="K17" s="80">
        <v>20656530400</v>
      </c>
      <c r="L17" s="81">
        <v>100</v>
      </c>
      <c r="M17" s="80">
        <v>777671960</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17"/>
  <sheetViews>
    <sheetView showGridLines="0" workbookViewId="0">
      <pane xSplit="1" ySplit="5" topLeftCell="H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27</v>
      </c>
      <c r="B6" s="55" t="s">
        <v>31</v>
      </c>
      <c r="C6" s="78">
        <v>125329</v>
      </c>
      <c r="D6" s="79">
        <v>37.628200509199203</v>
      </c>
      <c r="E6" s="78">
        <v>104752</v>
      </c>
      <c r="F6" s="79">
        <v>34.512729105783201</v>
      </c>
      <c r="G6" s="78">
        <v>20577</v>
      </c>
      <c r="H6" s="79">
        <v>69.622737269497506</v>
      </c>
      <c r="I6" s="78">
        <v>0</v>
      </c>
      <c r="J6" s="79">
        <v>0</v>
      </c>
      <c r="K6" s="78">
        <v>0</v>
      </c>
      <c r="L6" s="79">
        <v>0</v>
      </c>
      <c r="M6" s="78">
        <v>0</v>
      </c>
      <c r="N6" s="79">
        <v>0</v>
      </c>
    </row>
    <row r="7" spans="1:14" ht="20.149999999999999" customHeight="1" x14ac:dyDescent="0.35">
      <c r="B7" s="56" t="s">
        <v>32</v>
      </c>
      <c r="C7" s="80">
        <v>90029</v>
      </c>
      <c r="D7" s="81">
        <v>27.029891434884899</v>
      </c>
      <c r="E7" s="80">
        <v>87046</v>
      </c>
      <c r="F7" s="81">
        <v>28.6791184678288</v>
      </c>
      <c r="G7" s="80">
        <v>2983</v>
      </c>
      <c r="H7" s="81">
        <v>10.093046861783099</v>
      </c>
      <c r="I7" s="80">
        <v>1317984295</v>
      </c>
      <c r="J7" s="81">
        <v>0.67480522367977702</v>
      </c>
      <c r="K7" s="80">
        <v>1270326113</v>
      </c>
      <c r="L7" s="81">
        <v>0.67892998230864698</v>
      </c>
      <c r="M7" s="80">
        <v>47658182</v>
      </c>
      <c r="N7" s="81">
        <v>0.58075790171911701</v>
      </c>
    </row>
    <row r="8" spans="1:14" ht="20.149999999999999" customHeight="1" x14ac:dyDescent="0.35">
      <c r="B8" s="55" t="s">
        <v>33</v>
      </c>
      <c r="C8" s="78">
        <v>23176</v>
      </c>
      <c r="D8" s="79">
        <v>6.9582552721333499</v>
      </c>
      <c r="E8" s="78">
        <v>22368</v>
      </c>
      <c r="F8" s="79">
        <v>7.3696036795303099</v>
      </c>
      <c r="G8" s="78">
        <v>808</v>
      </c>
      <c r="H8" s="79">
        <v>2.7338859753002902</v>
      </c>
      <c r="I8" s="78">
        <v>1678947776</v>
      </c>
      <c r="J8" s="79">
        <v>0.85961777680389095</v>
      </c>
      <c r="K8" s="78">
        <v>1619699999</v>
      </c>
      <c r="L8" s="79">
        <v>0.865654008378544</v>
      </c>
      <c r="M8" s="78">
        <v>59247777</v>
      </c>
      <c r="N8" s="79">
        <v>0.721987562430354</v>
      </c>
    </row>
    <row r="9" spans="1:14" ht="20.149999999999999" customHeight="1" x14ac:dyDescent="0.35">
      <c r="B9" s="56" t="s">
        <v>34</v>
      </c>
      <c r="C9" s="80">
        <v>23525</v>
      </c>
      <c r="D9" s="81">
        <v>7.06303742133833</v>
      </c>
      <c r="E9" s="80">
        <v>22597</v>
      </c>
      <c r="F9" s="81">
        <v>7.4450525011778597</v>
      </c>
      <c r="G9" s="80">
        <v>928</v>
      </c>
      <c r="H9" s="81">
        <v>3.1399086448993399</v>
      </c>
      <c r="I9" s="80">
        <v>3400502286</v>
      </c>
      <c r="J9" s="81">
        <v>1.7410501129892599</v>
      </c>
      <c r="K9" s="80">
        <v>3263896045</v>
      </c>
      <c r="L9" s="81">
        <v>1.7444000098965999</v>
      </c>
      <c r="M9" s="80">
        <v>136606241</v>
      </c>
      <c r="N9" s="81">
        <v>1.6646701690151799</v>
      </c>
    </row>
    <row r="10" spans="1:14" ht="20.149999999999999" customHeight="1" x14ac:dyDescent="0.35">
      <c r="B10" s="55" t="s">
        <v>35</v>
      </c>
      <c r="C10" s="78">
        <v>30465</v>
      </c>
      <c r="D10" s="79">
        <v>9.1466709900562009</v>
      </c>
      <c r="E10" s="78">
        <v>28760</v>
      </c>
      <c r="F10" s="79">
        <v>9.47558126892398</v>
      </c>
      <c r="G10" s="78">
        <v>1705</v>
      </c>
      <c r="H10" s="79">
        <v>5.7689054305532101</v>
      </c>
      <c r="I10" s="78">
        <v>9913315054</v>
      </c>
      <c r="J10" s="79">
        <v>5.0755967334364698</v>
      </c>
      <c r="K10" s="78">
        <v>9347292307</v>
      </c>
      <c r="L10" s="79">
        <v>4.9956912132099598</v>
      </c>
      <c r="M10" s="78">
        <v>566022747</v>
      </c>
      <c r="N10" s="79">
        <v>6.8974973252863601</v>
      </c>
    </row>
    <row r="11" spans="1:14" ht="20.149999999999999" customHeight="1" x14ac:dyDescent="0.35">
      <c r="B11" s="56" t="s">
        <v>36</v>
      </c>
      <c r="C11" s="80">
        <v>18254</v>
      </c>
      <c r="D11" s="81">
        <v>5.4804967094201897</v>
      </c>
      <c r="E11" s="80">
        <v>17114</v>
      </c>
      <c r="F11" s="81">
        <v>5.6385639025161698</v>
      </c>
      <c r="G11" s="80">
        <v>1140</v>
      </c>
      <c r="H11" s="81">
        <v>3.8572153611909998</v>
      </c>
      <c r="I11" s="80">
        <v>12880266025</v>
      </c>
      <c r="J11" s="81">
        <v>6.59466947294327</v>
      </c>
      <c r="K11" s="80">
        <v>12063676816</v>
      </c>
      <c r="L11" s="81">
        <v>6.4474718762741103</v>
      </c>
      <c r="M11" s="80">
        <v>816589209</v>
      </c>
      <c r="N11" s="81">
        <v>9.9508754988873402</v>
      </c>
    </row>
    <row r="12" spans="1:14" ht="20.149999999999999" customHeight="1" x14ac:dyDescent="0.35">
      <c r="B12" s="55" t="s">
        <v>37</v>
      </c>
      <c r="C12" s="78">
        <v>11084</v>
      </c>
      <c r="D12" s="79">
        <v>3.3278090022577702</v>
      </c>
      <c r="E12" s="78">
        <v>10426</v>
      </c>
      <c r="F12" s="79">
        <v>3.4350629454033901</v>
      </c>
      <c r="G12" s="78">
        <v>658</v>
      </c>
      <c r="H12" s="79">
        <v>2.22635763830147</v>
      </c>
      <c r="I12" s="78">
        <v>15414787823</v>
      </c>
      <c r="J12" s="79">
        <v>7.8923393733426899</v>
      </c>
      <c r="K12" s="78">
        <v>14501932958</v>
      </c>
      <c r="L12" s="79">
        <v>7.7506059159598797</v>
      </c>
      <c r="M12" s="78">
        <v>912854865</v>
      </c>
      <c r="N12" s="79">
        <v>11.1239592809371</v>
      </c>
    </row>
    <row r="13" spans="1:14" ht="20.149999999999999" customHeight="1" x14ac:dyDescent="0.35">
      <c r="B13" s="56" t="s">
        <v>38</v>
      </c>
      <c r="C13" s="80">
        <v>3637</v>
      </c>
      <c r="D13" s="81">
        <v>1.09195609357736</v>
      </c>
      <c r="E13" s="80">
        <v>3386</v>
      </c>
      <c r="F13" s="81">
        <v>1.11558825370572</v>
      </c>
      <c r="G13" s="80">
        <v>251</v>
      </c>
      <c r="H13" s="81">
        <v>0.849264083911352</v>
      </c>
      <c r="I13" s="80">
        <v>8837822066</v>
      </c>
      <c r="J13" s="81">
        <v>4.5249465556713604</v>
      </c>
      <c r="K13" s="80">
        <v>8229359464</v>
      </c>
      <c r="L13" s="81">
        <v>4.3982083168473904</v>
      </c>
      <c r="M13" s="80">
        <v>608462602</v>
      </c>
      <c r="N13" s="81">
        <v>7.41466520926196</v>
      </c>
    </row>
    <row r="14" spans="1:14" ht="20.149999999999999" customHeight="1" x14ac:dyDescent="0.35">
      <c r="B14" s="55" t="s">
        <v>39</v>
      </c>
      <c r="C14" s="78">
        <v>3004</v>
      </c>
      <c r="D14" s="79">
        <v>0.90190709516260703</v>
      </c>
      <c r="E14" s="78">
        <v>2796</v>
      </c>
      <c r="F14" s="79">
        <v>0.92120045994128796</v>
      </c>
      <c r="G14" s="78">
        <v>208</v>
      </c>
      <c r="H14" s="79">
        <v>0.70377262730502499</v>
      </c>
      <c r="I14" s="78">
        <v>11549120909</v>
      </c>
      <c r="J14" s="79">
        <v>5.9131259362256099</v>
      </c>
      <c r="K14" s="78">
        <v>10736276014</v>
      </c>
      <c r="L14" s="79">
        <v>5.7380381381215999</v>
      </c>
      <c r="M14" s="78">
        <v>812844895</v>
      </c>
      <c r="N14" s="79">
        <v>9.9052476580683706</v>
      </c>
    </row>
    <row r="15" spans="1:14" ht="20.149999999999999" customHeight="1" x14ac:dyDescent="0.35">
      <c r="B15" s="56" t="s">
        <v>40</v>
      </c>
      <c r="C15" s="80">
        <v>2344</v>
      </c>
      <c r="D15" s="81">
        <v>0.70375174136523</v>
      </c>
      <c r="E15" s="80">
        <v>2179</v>
      </c>
      <c r="F15" s="81">
        <v>0.71791695358085394</v>
      </c>
      <c r="G15" s="80">
        <v>165</v>
      </c>
      <c r="H15" s="81">
        <v>0.55828117069869698</v>
      </c>
      <c r="I15" s="80">
        <v>16219681365</v>
      </c>
      <c r="J15" s="81">
        <v>8.3044431963611007</v>
      </c>
      <c r="K15" s="80">
        <v>15068424714</v>
      </c>
      <c r="L15" s="81">
        <v>8.0533693039932004</v>
      </c>
      <c r="M15" s="80">
        <v>1151256651</v>
      </c>
      <c r="N15" s="81">
        <v>14.0290999135246</v>
      </c>
    </row>
    <row r="16" spans="1:14" ht="20.149999999999999" customHeight="1" x14ac:dyDescent="0.35">
      <c r="B16" s="55" t="s">
        <v>41</v>
      </c>
      <c r="C16" s="78">
        <v>2225</v>
      </c>
      <c r="D16" s="79">
        <v>0.66802373060479403</v>
      </c>
      <c r="E16" s="78">
        <v>2093</v>
      </c>
      <c r="F16" s="79">
        <v>0.68958246160841097</v>
      </c>
      <c r="G16" s="78">
        <v>132</v>
      </c>
      <c r="H16" s="79">
        <v>0.44662493655895802</v>
      </c>
      <c r="I16" s="78">
        <v>114100864111</v>
      </c>
      <c r="J16" s="79">
        <v>58.419405618546598</v>
      </c>
      <c r="K16" s="78">
        <v>111006202619</v>
      </c>
      <c r="L16" s="79">
        <v>59.327631235010102</v>
      </c>
      <c r="M16" s="78">
        <v>3094661492</v>
      </c>
      <c r="N16" s="79">
        <v>37.7112394808697</v>
      </c>
    </row>
    <row r="17" spans="2:14" ht="20.149999999999999" customHeight="1" x14ac:dyDescent="0.35">
      <c r="B17" s="56" t="s">
        <v>30</v>
      </c>
      <c r="C17" s="80">
        <v>333072</v>
      </c>
      <c r="D17" s="81">
        <v>100</v>
      </c>
      <c r="E17" s="80">
        <v>303517</v>
      </c>
      <c r="F17" s="81">
        <v>100</v>
      </c>
      <c r="G17" s="80">
        <v>29555</v>
      </c>
      <c r="H17" s="81">
        <v>100</v>
      </c>
      <c r="I17" s="80">
        <v>195313291710</v>
      </c>
      <c r="J17" s="81">
        <v>100</v>
      </c>
      <c r="K17" s="80">
        <v>187107087049</v>
      </c>
      <c r="L17" s="81">
        <v>100</v>
      </c>
      <c r="M17" s="80">
        <v>8206204661</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17"/>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baseColWidth="10" defaultRowHeight="14.5" x14ac:dyDescent="0.35"/>
  <cols>
    <col min="1" max="1" width="35.1796875" style="28" customWidth="1"/>
    <col min="2" max="2" width="37.54296875" customWidth="1"/>
    <col min="3" max="14" width="18.7265625" customWidth="1"/>
  </cols>
  <sheetData>
    <row r="1" spans="1:14" x14ac:dyDescent="0.35">
      <c r="A1" s="31" t="s">
        <v>254</v>
      </c>
      <c r="B1" s="61"/>
      <c r="C1" s="32" t="s">
        <v>258</v>
      </c>
      <c r="D1" s="65"/>
      <c r="E1" s="65"/>
      <c r="F1" s="65"/>
      <c r="G1" s="65"/>
      <c r="H1" s="65"/>
      <c r="I1" s="65" t="s">
        <v>260</v>
      </c>
      <c r="J1" s="65"/>
      <c r="K1" s="65"/>
      <c r="L1" s="65"/>
      <c r="M1" s="65"/>
      <c r="N1" s="66"/>
    </row>
    <row r="2" spans="1:14" x14ac:dyDescent="0.35">
      <c r="A2" s="24" t="s">
        <v>255</v>
      </c>
      <c r="B2" s="62"/>
      <c r="C2" s="33" t="s">
        <v>259</v>
      </c>
      <c r="D2" s="67"/>
      <c r="E2" s="67"/>
      <c r="F2" s="67"/>
      <c r="G2" s="67"/>
      <c r="H2" s="67"/>
      <c r="I2" s="67" t="s">
        <v>261</v>
      </c>
      <c r="J2" s="67"/>
      <c r="K2" s="67"/>
      <c r="L2" s="67"/>
      <c r="M2" s="67"/>
      <c r="N2" s="68"/>
    </row>
    <row r="3" spans="1:14" x14ac:dyDescent="0.35">
      <c r="A3" s="34">
        <v>2022</v>
      </c>
      <c r="B3" s="63"/>
      <c r="C3" s="64"/>
      <c r="D3" s="64"/>
      <c r="E3" s="64"/>
      <c r="F3" s="64"/>
      <c r="G3" s="64"/>
      <c r="H3" s="64"/>
      <c r="I3" s="64"/>
      <c r="J3" s="64"/>
      <c r="K3" s="64"/>
      <c r="L3" s="64"/>
      <c r="M3" s="64"/>
      <c r="N3" s="64"/>
    </row>
    <row r="4" spans="1:14" ht="43.5" x14ac:dyDescent="0.35">
      <c r="A4" s="59" t="s">
        <v>232</v>
      </c>
      <c r="B4" s="60" t="s">
        <v>238</v>
      </c>
      <c r="C4" s="60" t="s">
        <v>0</v>
      </c>
      <c r="D4" s="60" t="s">
        <v>1</v>
      </c>
      <c r="E4" s="59" t="s">
        <v>249</v>
      </c>
      <c r="F4" s="59" t="s">
        <v>244</v>
      </c>
      <c r="G4" s="59" t="s">
        <v>251</v>
      </c>
      <c r="H4" s="59" t="s">
        <v>246</v>
      </c>
      <c r="I4" s="60" t="s">
        <v>2</v>
      </c>
      <c r="J4" s="60" t="s">
        <v>1</v>
      </c>
      <c r="K4" s="59" t="s">
        <v>234</v>
      </c>
      <c r="L4" s="59" t="s">
        <v>244</v>
      </c>
      <c r="M4" s="59" t="s">
        <v>235</v>
      </c>
      <c r="N4" s="59" t="s">
        <v>246</v>
      </c>
    </row>
    <row r="5" spans="1:14" ht="43.5" x14ac:dyDescent="0.35">
      <c r="A5" s="57" t="s">
        <v>231</v>
      </c>
      <c r="B5" s="58" t="s">
        <v>239</v>
      </c>
      <c r="C5" s="57" t="s">
        <v>256</v>
      </c>
      <c r="D5" s="57" t="s">
        <v>257</v>
      </c>
      <c r="E5" s="57" t="s">
        <v>250</v>
      </c>
      <c r="F5" s="57" t="s">
        <v>245</v>
      </c>
      <c r="G5" s="57" t="s">
        <v>252</v>
      </c>
      <c r="H5" s="57" t="s">
        <v>247</v>
      </c>
      <c r="I5" s="57" t="s">
        <v>233</v>
      </c>
      <c r="J5" s="57" t="s">
        <v>257</v>
      </c>
      <c r="K5" s="57" t="s">
        <v>248</v>
      </c>
      <c r="L5" s="57" t="s">
        <v>245</v>
      </c>
      <c r="M5" s="57" t="s">
        <v>248</v>
      </c>
      <c r="N5" s="57" t="s">
        <v>247</v>
      </c>
    </row>
    <row r="6" spans="1:14" ht="20.149999999999999" customHeight="1" x14ac:dyDescent="0.35">
      <c r="A6" s="35" t="s">
        <v>28</v>
      </c>
      <c r="B6" s="55" t="s">
        <v>31</v>
      </c>
      <c r="C6" s="78">
        <v>18480</v>
      </c>
      <c r="D6" s="79">
        <v>37.279109174534</v>
      </c>
      <c r="E6" s="78">
        <v>17342</v>
      </c>
      <c r="F6" s="79">
        <v>37.3741945216698</v>
      </c>
      <c r="G6" s="78">
        <v>1138</v>
      </c>
      <c r="H6" s="79">
        <v>35.887732576474299</v>
      </c>
      <c r="I6" s="78">
        <v>0</v>
      </c>
      <c r="J6" s="79">
        <v>0</v>
      </c>
      <c r="K6" s="78">
        <v>0</v>
      </c>
      <c r="L6" s="79">
        <v>0</v>
      </c>
      <c r="M6" s="78">
        <v>0</v>
      </c>
      <c r="N6" s="79">
        <v>0</v>
      </c>
    </row>
    <row r="7" spans="1:14" ht="20.149999999999999" customHeight="1" x14ac:dyDescent="0.35">
      <c r="B7" s="56" t="s">
        <v>32</v>
      </c>
      <c r="C7" s="80">
        <v>13340</v>
      </c>
      <c r="D7" s="81">
        <v>26.910352618413601</v>
      </c>
      <c r="E7" s="80">
        <v>12480</v>
      </c>
      <c r="F7" s="81">
        <v>26.895972069567499</v>
      </c>
      <c r="G7" s="80">
        <v>860</v>
      </c>
      <c r="H7" s="81">
        <v>27.1207820876695</v>
      </c>
      <c r="I7" s="80">
        <v>244260000</v>
      </c>
      <c r="J7" s="81">
        <v>2.8633840167700102</v>
      </c>
      <c r="K7" s="80">
        <v>226142000</v>
      </c>
      <c r="L7" s="81">
        <v>2.7227942118438899</v>
      </c>
      <c r="M7" s="80">
        <v>18118000</v>
      </c>
      <c r="N7" s="81">
        <v>8.0540910586164305</v>
      </c>
    </row>
    <row r="8" spans="1:14" ht="20.149999999999999" customHeight="1" x14ac:dyDescent="0.35">
      <c r="B8" s="55" t="s">
        <v>33</v>
      </c>
      <c r="C8" s="78">
        <v>4658</v>
      </c>
      <c r="D8" s="79">
        <v>9.3964334705075405</v>
      </c>
      <c r="E8" s="78">
        <v>4173</v>
      </c>
      <c r="F8" s="79">
        <v>8.9933406607616195</v>
      </c>
      <c r="G8" s="78">
        <v>485</v>
      </c>
      <c r="H8" s="79">
        <v>15.294859665720599</v>
      </c>
      <c r="I8" s="78">
        <v>339832000</v>
      </c>
      <c r="J8" s="79">
        <v>3.98374485051579</v>
      </c>
      <c r="K8" s="78">
        <v>304268000</v>
      </c>
      <c r="L8" s="79">
        <v>3.6634466364024298</v>
      </c>
      <c r="M8" s="78">
        <v>35564000</v>
      </c>
      <c r="N8" s="79">
        <v>15.809454377339399</v>
      </c>
    </row>
    <row r="9" spans="1:14" ht="20.149999999999999" customHeight="1" x14ac:dyDescent="0.35">
      <c r="B9" s="56" t="s">
        <v>34</v>
      </c>
      <c r="C9" s="80">
        <v>4686</v>
      </c>
      <c r="D9" s="81">
        <v>9.4529169692568402</v>
      </c>
      <c r="E9" s="80">
        <v>4281</v>
      </c>
      <c r="F9" s="81">
        <v>9.2260942652098006</v>
      </c>
      <c r="G9" s="80">
        <v>405</v>
      </c>
      <c r="H9" s="81">
        <v>12.771996215704799</v>
      </c>
      <c r="I9" s="80">
        <v>679528000</v>
      </c>
      <c r="J9" s="81">
        <v>7.9658954153266697</v>
      </c>
      <c r="K9" s="80">
        <v>622723000</v>
      </c>
      <c r="L9" s="81">
        <v>7.4977075465064598</v>
      </c>
      <c r="M9" s="80">
        <v>56805000</v>
      </c>
      <c r="N9" s="81">
        <v>25.2518292628715</v>
      </c>
    </row>
    <row r="10" spans="1:14" ht="20.149999999999999" customHeight="1" x14ac:dyDescent="0.35">
      <c r="B10" s="55" t="s">
        <v>35</v>
      </c>
      <c r="C10" s="78">
        <v>5224</v>
      </c>
      <c r="D10" s="79">
        <v>10.5382070523683</v>
      </c>
      <c r="E10" s="78">
        <v>4998</v>
      </c>
      <c r="F10" s="79">
        <v>10.771319583629699</v>
      </c>
      <c r="G10" s="78">
        <v>226</v>
      </c>
      <c r="H10" s="79">
        <v>7.1270892462945401</v>
      </c>
      <c r="I10" s="78">
        <v>1653095000</v>
      </c>
      <c r="J10" s="79">
        <v>19.378718583486499</v>
      </c>
      <c r="K10" s="78">
        <v>1587441000</v>
      </c>
      <c r="L10" s="79">
        <v>19.113102238609699</v>
      </c>
      <c r="M10" s="78">
        <v>65654000</v>
      </c>
      <c r="N10" s="79">
        <v>29.185522373463002</v>
      </c>
    </row>
    <row r="11" spans="1:14" ht="20.149999999999999" customHeight="1" x14ac:dyDescent="0.35">
      <c r="B11" s="56" t="s">
        <v>36</v>
      </c>
      <c r="C11" s="80">
        <v>2002</v>
      </c>
      <c r="D11" s="81">
        <v>4.0385701605745199</v>
      </c>
      <c r="E11" s="80">
        <v>1958</v>
      </c>
      <c r="F11" s="81">
        <v>4.2197366436068204</v>
      </c>
      <c r="G11" s="80">
        <v>44</v>
      </c>
      <c r="H11" s="81">
        <v>1.3875748975086699</v>
      </c>
      <c r="I11" s="80">
        <v>1371609000</v>
      </c>
      <c r="J11" s="81">
        <v>16.078945745754101</v>
      </c>
      <c r="K11" s="80">
        <v>1343677000</v>
      </c>
      <c r="L11" s="81">
        <v>16.178135676644601</v>
      </c>
      <c r="M11" s="80">
        <v>27932000</v>
      </c>
      <c r="N11" s="81">
        <v>12.416760759977601</v>
      </c>
    </row>
    <row r="12" spans="1:14" ht="20.149999999999999" customHeight="1" x14ac:dyDescent="0.35">
      <c r="B12" s="55" t="s">
        <v>37</v>
      </c>
      <c r="C12" s="78">
        <v>742</v>
      </c>
      <c r="D12" s="79">
        <v>1.4968127168562899</v>
      </c>
      <c r="E12" s="78">
        <v>732</v>
      </c>
      <c r="F12" s="79">
        <v>1.57755220792655</v>
      </c>
      <c r="G12" s="78">
        <v>10</v>
      </c>
      <c r="H12" s="79">
        <v>0.31535793125197098</v>
      </c>
      <c r="I12" s="78">
        <v>1012154000</v>
      </c>
      <c r="J12" s="79">
        <v>11.865166568860401</v>
      </c>
      <c r="K12" s="78">
        <v>998576000</v>
      </c>
      <c r="L12" s="79">
        <v>12.023051679414801</v>
      </c>
      <c r="M12" s="78">
        <v>13578000</v>
      </c>
      <c r="N12" s="79">
        <v>6.0359006730264904</v>
      </c>
    </row>
    <row r="13" spans="1:14" ht="20.149999999999999" customHeight="1" x14ac:dyDescent="0.35">
      <c r="B13" s="56" t="s">
        <v>38</v>
      </c>
      <c r="C13" s="80">
        <v>182</v>
      </c>
      <c r="D13" s="81">
        <v>0.36714274187041102</v>
      </c>
      <c r="E13" s="80" t="s">
        <v>43</v>
      </c>
      <c r="F13" s="81" t="s">
        <v>43</v>
      </c>
      <c r="G13" s="80" t="s">
        <v>43</v>
      </c>
      <c r="H13" s="81" t="s">
        <v>43</v>
      </c>
      <c r="I13" s="80">
        <v>436857000</v>
      </c>
      <c r="J13" s="81">
        <v>5.1211387513882602</v>
      </c>
      <c r="K13" s="80">
        <v>432750000</v>
      </c>
      <c r="L13" s="81">
        <v>5.2103952170558498</v>
      </c>
      <c r="M13" s="80">
        <v>4107000</v>
      </c>
      <c r="N13" s="81">
        <v>1.8257065889026201</v>
      </c>
    </row>
    <row r="14" spans="1:14" ht="20.149999999999999" customHeight="1" x14ac:dyDescent="0.35">
      <c r="B14" s="55" t="s">
        <v>39</v>
      </c>
      <c r="C14" s="78">
        <v>120</v>
      </c>
      <c r="D14" s="79">
        <v>0.24207213749697401</v>
      </c>
      <c r="E14" s="78" t="s">
        <v>43</v>
      </c>
      <c r="F14" s="79" t="s">
        <v>43</v>
      </c>
      <c r="G14" s="78" t="s">
        <v>43</v>
      </c>
      <c r="H14" s="79" t="s">
        <v>43</v>
      </c>
      <c r="I14" s="78">
        <v>458479000</v>
      </c>
      <c r="J14" s="79">
        <v>5.37460673309055</v>
      </c>
      <c r="K14" s="78">
        <v>455283000</v>
      </c>
      <c r="L14" s="79">
        <v>5.4816969742503501</v>
      </c>
      <c r="M14" s="78">
        <v>3196000</v>
      </c>
      <c r="N14" s="79">
        <v>1.4207349058029599</v>
      </c>
    </row>
    <row r="15" spans="1:14" ht="20.149999999999999" customHeight="1" x14ac:dyDescent="0.35">
      <c r="B15" s="56" t="s">
        <v>40</v>
      </c>
      <c r="C15" s="80">
        <v>77</v>
      </c>
      <c r="D15" s="81">
        <v>0.15532962156055799</v>
      </c>
      <c r="E15" s="80">
        <v>77</v>
      </c>
      <c r="F15" s="81">
        <v>0.165944699467684</v>
      </c>
      <c r="G15" s="80">
        <v>0</v>
      </c>
      <c r="H15" s="81">
        <v>0</v>
      </c>
      <c r="I15" s="80">
        <v>509377000</v>
      </c>
      <c r="J15" s="81">
        <v>5.9712681581522</v>
      </c>
      <c r="K15" s="80">
        <v>509377000</v>
      </c>
      <c r="L15" s="81">
        <v>6.1329993864315604</v>
      </c>
      <c r="M15" s="80">
        <v>0</v>
      </c>
      <c r="N15" s="81">
        <v>0</v>
      </c>
    </row>
    <row r="16" spans="1:14" ht="20.149999999999999" customHeight="1" x14ac:dyDescent="0.35">
      <c r="B16" s="55" t="s">
        <v>41</v>
      </c>
      <c r="C16" s="78">
        <v>61</v>
      </c>
      <c r="D16" s="79">
        <v>0.123053336560962</v>
      </c>
      <c r="E16" s="78">
        <v>61</v>
      </c>
      <c r="F16" s="79">
        <v>0.131462683993879</v>
      </c>
      <c r="G16" s="78">
        <v>0</v>
      </c>
      <c r="H16" s="79">
        <v>0</v>
      </c>
      <c r="I16" s="78">
        <v>1825275000</v>
      </c>
      <c r="J16" s="79">
        <v>21.397131176655499</v>
      </c>
      <c r="K16" s="78">
        <v>1825275000</v>
      </c>
      <c r="L16" s="79">
        <v>21.976670432840301</v>
      </c>
      <c r="M16" s="78">
        <v>0</v>
      </c>
      <c r="N16" s="79">
        <v>0</v>
      </c>
    </row>
    <row r="17" spans="2:14" ht="20.149999999999999" customHeight="1" x14ac:dyDescent="0.35">
      <c r="B17" s="56" t="s">
        <v>30</v>
      </c>
      <c r="C17" s="80">
        <v>49572</v>
      </c>
      <c r="D17" s="81">
        <v>100</v>
      </c>
      <c r="E17" s="80">
        <v>46102</v>
      </c>
      <c r="F17" s="81">
        <v>99.355617335833301</v>
      </c>
      <c r="G17" s="80">
        <v>3168</v>
      </c>
      <c r="H17" s="81">
        <v>99.905392620624397</v>
      </c>
      <c r="I17" s="80">
        <v>8530466000</v>
      </c>
      <c r="J17" s="81">
        <v>100</v>
      </c>
      <c r="K17" s="80">
        <v>8305512000</v>
      </c>
      <c r="L17" s="81">
        <v>100</v>
      </c>
      <c r="M17" s="80">
        <v>224954000</v>
      </c>
      <c r="N17" s="81">
        <v>100</v>
      </c>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Feuilles de calcul</vt:lpstr>
      </vt:variant>
      <vt:variant>
        <vt:i4>35</vt:i4>
      </vt:variant>
      <vt:variant>
        <vt:lpstr>Plages nommées</vt:lpstr>
      </vt:variant>
      <vt:variant>
        <vt:i4>1</vt:i4>
      </vt:variant>
    </vt:vector>
  </HeadingPairs>
  <TitlesOfParts>
    <vt:vector size="36" baseType="lpstr">
      <vt:lpstr>Einleitung</vt:lpstr>
      <vt:lpstr>Introduction</vt:lpstr>
      <vt:lpstr>1.1</vt:lpstr>
      <vt:lpstr>1.2</vt:lpstr>
      <vt:lpstr>1.3</vt:lpstr>
      <vt:lpstr>1.4</vt:lpstr>
      <vt:lpstr>1.5</vt:lpstr>
      <vt:lpstr>CH</vt:lpstr>
      <vt:lpstr>gini ch</vt:lpstr>
      <vt:lpstr>ZH</vt:lpstr>
      <vt:lpstr>BE</vt:lpstr>
      <vt:lpstr>LU</vt:lpstr>
      <vt:lpstr>UR</vt:lpstr>
      <vt:lpstr>SZ</vt:lpstr>
      <vt:lpstr>OW</vt:lpstr>
      <vt:lpstr>NW</vt:lpstr>
      <vt:lpstr>GL</vt:lpstr>
      <vt:lpstr>ZG</vt:lpstr>
      <vt:lpstr>FR</vt:lpstr>
      <vt:lpstr>SO</vt:lpstr>
      <vt:lpstr>BS</vt:lpstr>
      <vt:lpstr>BL</vt:lpstr>
      <vt:lpstr>SH</vt:lpstr>
      <vt:lpstr>AR</vt:lpstr>
      <vt:lpstr>AI</vt:lpstr>
      <vt:lpstr>SG</vt:lpstr>
      <vt:lpstr>GR</vt:lpstr>
      <vt:lpstr>AG</vt:lpstr>
      <vt:lpstr>TG</vt:lpstr>
      <vt:lpstr>TI</vt:lpstr>
      <vt:lpstr>VD</vt:lpstr>
      <vt:lpstr>VS</vt:lpstr>
      <vt:lpstr>NE</vt:lpstr>
      <vt:lpstr>GE</vt:lpstr>
      <vt:lpstr>JU</vt:lpstr>
      <vt:lpstr>Einleitung!_Ref13247244</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Schneeberger Bruno ESTV</dc:creator>
  <cp:lastModifiedBy>Celal Güney</cp:lastModifiedBy>
  <dcterms:created xsi:type="dcterms:W3CDTF">2024-06-28T07:08:45Z</dcterms:created>
  <dcterms:modified xsi:type="dcterms:W3CDTF">2026-04-27T14:28:32Z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2025-04-29T08:46:15Z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44077637-45eb-43a5-944c-30c0436b6f96</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
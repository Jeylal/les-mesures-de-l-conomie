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DieseArbeitsmappe"/>
  <mc:AlternateContent xmlns:mc="http://schemas.openxmlformats.org/markup-compatibility/2006">
    <mc:Choice Requires="x15">
      <x15ac:absPath xmlns:x15ac="http://schemas.microsoft.com/office/spreadsheetml/2010/11/ac" url="C:\Users\gueney\Documents\GitHub\les-mesures-de-l-conomie\exercices\"/>
    </mc:Choice>
  </mc:AlternateContent>
  <xr:revisionPtr revIDLastSave="0" documentId="13_ncr:1_{9FB0EFEF-629C-4C93-B05C-AC1945275D49}" xr6:coauthVersionLast="47" xr6:coauthVersionMax="47" xr10:uidLastSave="{00000000-0000-0000-0000-000000000000}"/>
  <bookViews>
    <workbookView xWindow="28680" yWindow="-120" windowWidth="25440" windowHeight="15270" activeTab="7" xr2:uid="{00000000-000D-0000-FFFF-FFFF00000000}"/>
  </bookViews>
  <sheets>
    <sheet name="swiss_qna" sheetId="22080" r:id="rId1"/>
    <sheet name="nom_q" sheetId="22072" r:id="rId2"/>
    <sheet name="real_q" sheetId="22071" r:id="rId3"/>
    <sheet name="defl_q" sheetId="22073" r:id="rId4"/>
    <sheet name="gc_q" sheetId="22074" r:id="rId5"/>
    <sheet name="nom_y" sheetId="22075" r:id="rId6"/>
    <sheet name="tableauR" sheetId="22082" r:id="rId7"/>
    <sheet name="exercice" sheetId="22081" r:id="rId8"/>
    <sheet name="real_y" sheetId="22076" r:id="rId9"/>
    <sheet name="defl_y" sheetId="22077" r:id="rId10"/>
    <sheet name="gc_y" sheetId="22078" r:id="rId11"/>
    <sheet name="beschriftung" sheetId="22045" state="veryHidden"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8" i="22081" l="1"/>
  <c r="J9" i="22081"/>
  <c r="X14" i="22081"/>
  <c r="X8" i="22081"/>
  <c r="Z9" i="22081"/>
  <c r="Z10" i="22081"/>
  <c r="Z11" i="22081"/>
  <c r="Z12" i="22081"/>
  <c r="Z13" i="22081"/>
  <c r="Z14" i="22081"/>
  <c r="Z15" i="22081"/>
  <c r="Z16" i="22081"/>
  <c r="Z17" i="22081"/>
  <c r="Z18" i="22081"/>
  <c r="Z19" i="22081"/>
  <c r="Z20" i="22081"/>
  <c r="Z21" i="22081"/>
  <c r="Z22" i="22081"/>
  <c r="Z23" i="22081"/>
  <c r="Z24" i="22081"/>
  <c r="Z25" i="22081"/>
  <c r="Z26" i="22081"/>
  <c r="Z27" i="22081"/>
  <c r="Z28" i="22081"/>
  <c r="Z29" i="22081"/>
  <c r="Z30" i="22081"/>
  <c r="Z31" i="22081"/>
  <c r="Z32" i="22081"/>
  <c r="Z33" i="22081"/>
  <c r="Z34" i="22081"/>
  <c r="Z35" i="22081"/>
  <c r="Z36" i="22081"/>
  <c r="Z37" i="22081"/>
  <c r="Z38" i="22081"/>
  <c r="Z39" i="22081"/>
  <c r="Z40" i="22081"/>
  <c r="Z41" i="22081"/>
  <c r="Z42" i="22081"/>
  <c r="Z43" i="22081"/>
  <c r="Z44" i="22081"/>
  <c r="Z45" i="22081"/>
  <c r="Z46" i="22081"/>
  <c r="Z47" i="22081"/>
  <c r="Z48" i="22081"/>
  <c r="Z49" i="22081"/>
  <c r="Z50" i="22081"/>
  <c r="Z51" i="22081"/>
  <c r="Z52" i="22081"/>
  <c r="Y9" i="22081"/>
  <c r="Y10" i="22081"/>
  <c r="Y11" i="22081"/>
  <c r="Y12" i="22081"/>
  <c r="Y13" i="22081"/>
  <c r="Y14" i="22081"/>
  <c r="Y15" i="22081"/>
  <c r="Y16" i="22081"/>
  <c r="Y17" i="22081"/>
  <c r="Y18" i="22081"/>
  <c r="Y19" i="22081"/>
  <c r="Y20" i="22081"/>
  <c r="Y21" i="22081"/>
  <c r="Y22" i="22081"/>
  <c r="Y23" i="22081"/>
  <c r="Y24" i="22081"/>
  <c r="Y25" i="22081"/>
  <c r="Y26" i="22081"/>
  <c r="Y27" i="22081"/>
  <c r="Y28" i="22081"/>
  <c r="Y29" i="22081"/>
  <c r="Y30" i="22081"/>
  <c r="Y31" i="22081"/>
  <c r="Y32" i="22081"/>
  <c r="Y33" i="22081"/>
  <c r="Y34" i="22081"/>
  <c r="Y35" i="22081"/>
  <c r="Y36" i="22081"/>
  <c r="Y37" i="22081"/>
  <c r="Y38" i="22081"/>
  <c r="Y39" i="22081"/>
  <c r="Y40" i="22081"/>
  <c r="Y41" i="22081"/>
  <c r="Y42" i="22081"/>
  <c r="Y43" i="22081"/>
  <c r="Y44" i="22081"/>
  <c r="Y45" i="22081"/>
  <c r="Y46" i="22081"/>
  <c r="Y47" i="22081"/>
  <c r="Y48" i="22081"/>
  <c r="Y49" i="22081"/>
  <c r="Y50" i="22081"/>
  <c r="Y51" i="22081"/>
  <c r="Y52" i="22081"/>
  <c r="X9" i="22081"/>
  <c r="X10" i="22081"/>
  <c r="X11" i="22081"/>
  <c r="X12" i="22081"/>
  <c r="X13" i="22081"/>
  <c r="X15" i="22081"/>
  <c r="X16" i="22081"/>
  <c r="X17" i="22081"/>
  <c r="X18" i="22081"/>
  <c r="X19" i="22081"/>
  <c r="X20" i="22081"/>
  <c r="X21" i="22081"/>
  <c r="X22" i="22081"/>
  <c r="X23" i="22081"/>
  <c r="X24" i="22081"/>
  <c r="X25" i="22081"/>
  <c r="X26" i="22081"/>
  <c r="X27" i="22081"/>
  <c r="X28" i="22081"/>
  <c r="X29" i="22081"/>
  <c r="X30" i="22081"/>
  <c r="X31" i="22081"/>
  <c r="X32" i="22081"/>
  <c r="X33" i="22081"/>
  <c r="X34" i="22081"/>
  <c r="X35" i="22081"/>
  <c r="X36" i="22081"/>
  <c r="X37" i="22081"/>
  <c r="X38" i="22081"/>
  <c r="X39" i="22081"/>
  <c r="X40" i="22081"/>
  <c r="X41" i="22081"/>
  <c r="X42" i="22081"/>
  <c r="X43" i="22081"/>
  <c r="X44" i="22081"/>
  <c r="X45" i="22081"/>
  <c r="X46" i="22081"/>
  <c r="X47" i="22081"/>
  <c r="X48" i="22081"/>
  <c r="X49" i="22081"/>
  <c r="X50" i="22081"/>
  <c r="X51" i="22081"/>
  <c r="X52" i="22081"/>
  <c r="W9" i="22081"/>
  <c r="W10" i="22081"/>
  <c r="W11" i="22081"/>
  <c r="W12" i="22081"/>
  <c r="W13" i="22081"/>
  <c r="W14" i="22081"/>
  <c r="W15" i="22081"/>
  <c r="W16" i="22081"/>
  <c r="W17" i="22081"/>
  <c r="W18" i="22081"/>
  <c r="W19" i="22081"/>
  <c r="W20" i="22081"/>
  <c r="W21" i="22081"/>
  <c r="W22" i="22081"/>
  <c r="W23" i="22081"/>
  <c r="W24" i="22081"/>
  <c r="W25" i="22081"/>
  <c r="W26" i="22081"/>
  <c r="W27" i="22081"/>
  <c r="W28" i="22081"/>
  <c r="W29" i="22081"/>
  <c r="W30" i="22081"/>
  <c r="W31" i="22081"/>
  <c r="W32" i="22081"/>
  <c r="W33" i="22081"/>
  <c r="W34" i="22081"/>
  <c r="W35" i="22081"/>
  <c r="W36" i="22081"/>
  <c r="W37" i="22081"/>
  <c r="W38" i="22081"/>
  <c r="W39" i="22081"/>
  <c r="W40" i="22081"/>
  <c r="W41" i="22081"/>
  <c r="W42" i="22081"/>
  <c r="W43" i="22081"/>
  <c r="W44" i="22081"/>
  <c r="W45" i="22081"/>
  <c r="W46" i="22081"/>
  <c r="W47" i="22081"/>
  <c r="W48" i="22081"/>
  <c r="W49" i="22081"/>
  <c r="W50" i="22081"/>
  <c r="W51" i="22081"/>
  <c r="W52" i="22081"/>
  <c r="Z8" i="22081"/>
  <c r="Y8" i="22081"/>
  <c r="V8" i="22081"/>
  <c r="V9" i="22081"/>
  <c r="V10" i="22081"/>
  <c r="V11" i="22081"/>
  <c r="V12" i="22081"/>
  <c r="V13" i="22081"/>
  <c r="V14" i="22081"/>
  <c r="V15" i="22081"/>
  <c r="V16" i="22081"/>
  <c r="V17" i="22081"/>
  <c r="V18" i="22081"/>
  <c r="V19" i="22081"/>
  <c r="V20" i="22081"/>
  <c r="V21" i="22081"/>
  <c r="V22" i="22081"/>
  <c r="V23" i="22081"/>
  <c r="V24" i="22081"/>
  <c r="V25" i="22081"/>
  <c r="V26" i="22081"/>
  <c r="V27" i="22081"/>
  <c r="V28" i="22081"/>
  <c r="V29" i="22081"/>
  <c r="V30" i="22081"/>
  <c r="V31" i="22081"/>
  <c r="V32" i="22081"/>
  <c r="V33" i="22081"/>
  <c r="V34" i="22081"/>
  <c r="V35" i="22081"/>
  <c r="V36" i="22081"/>
  <c r="V37" i="22081"/>
  <c r="V38" i="22081"/>
  <c r="V39" i="22081"/>
  <c r="V40" i="22081"/>
  <c r="V41" i="22081"/>
  <c r="V42" i="22081"/>
  <c r="V43" i="22081"/>
  <c r="V44" i="22081"/>
  <c r="V45" i="22081"/>
  <c r="V46" i="22081"/>
  <c r="V47" i="22081"/>
  <c r="V48" i="22081"/>
  <c r="V49" i="22081"/>
  <c r="V50" i="22081"/>
  <c r="V51" i="22081"/>
  <c r="V52" i="22081"/>
  <c r="AA20" i="22081"/>
  <c r="AA21" i="22081"/>
  <c r="AA22" i="22081"/>
  <c r="AA23" i="22081"/>
  <c r="AA24" i="22081"/>
  <c r="AA25" i="22081"/>
  <c r="AA26" i="22081"/>
  <c r="AA27" i="22081"/>
  <c r="AA28" i="22081"/>
  <c r="AA29" i="22081"/>
  <c r="AA30" i="22081"/>
  <c r="AA31" i="22081"/>
  <c r="AA32" i="22081"/>
  <c r="AA33" i="22081"/>
  <c r="AA34" i="22081"/>
  <c r="AA35" i="22081"/>
  <c r="AA36" i="22081"/>
  <c r="AA37" i="22081"/>
  <c r="AA38" i="22081"/>
  <c r="AA39" i="22081"/>
  <c r="AA40" i="22081"/>
  <c r="AA41" i="22081"/>
  <c r="AA42" i="22081"/>
  <c r="AA43" i="22081"/>
  <c r="AA44" i="22081"/>
  <c r="AA45" i="22081"/>
  <c r="AA46" i="22081"/>
  <c r="AA47" i="22081"/>
  <c r="AA48" i="22081"/>
  <c r="AA49" i="22081"/>
  <c r="AA50" i="22081"/>
  <c r="AA51" i="22081"/>
  <c r="AA52" i="22081"/>
  <c r="AA9" i="22081"/>
  <c r="AA10" i="22081"/>
  <c r="AA11" i="22081"/>
  <c r="AA12" i="22081"/>
  <c r="AA13" i="22081"/>
  <c r="AA14" i="22081"/>
  <c r="AA15" i="22081"/>
  <c r="AA16" i="22081"/>
  <c r="AA17" i="22081"/>
  <c r="AA18" i="22081"/>
  <c r="AA19" i="22081"/>
  <c r="AA8" i="22081"/>
  <c r="N9" i="22081"/>
  <c r="N10" i="22081"/>
  <c r="T9" i="22081" s="1"/>
  <c r="N11" i="22081"/>
  <c r="N12" i="22081"/>
  <c r="N13" i="22081"/>
  <c r="N14" i="22081"/>
  <c r="N15" i="22081"/>
  <c r="N16" i="22081"/>
  <c r="N17" i="22081"/>
  <c r="N18" i="22081"/>
  <c r="N19" i="22081"/>
  <c r="N20" i="22081"/>
  <c r="N21" i="22081"/>
  <c r="N22" i="22081"/>
  <c r="N23" i="22081"/>
  <c r="N24" i="22081"/>
  <c r="N25" i="22081"/>
  <c r="N26" i="22081"/>
  <c r="N27" i="22081"/>
  <c r="N28" i="22081"/>
  <c r="N29" i="22081"/>
  <c r="N30" i="22081"/>
  <c r="N31" i="22081"/>
  <c r="N32" i="22081"/>
  <c r="N33" i="22081"/>
  <c r="N34" i="22081"/>
  <c r="N35" i="22081"/>
  <c r="T10" i="22081" s="1"/>
  <c r="N36" i="22081"/>
  <c r="N37" i="22081"/>
  <c r="N38" i="22081"/>
  <c r="N39" i="22081"/>
  <c r="N40" i="22081"/>
  <c r="N41" i="22081"/>
  <c r="N42" i="22081"/>
  <c r="N43" i="22081"/>
  <c r="N44" i="22081"/>
  <c r="N45" i="22081"/>
  <c r="N46" i="22081"/>
  <c r="N47" i="22081"/>
  <c r="N48" i="22081"/>
  <c r="N49" i="22081"/>
  <c r="N50" i="22081"/>
  <c r="N51" i="22081"/>
  <c r="N52" i="22081"/>
  <c r="N8" i="22081"/>
  <c r="T8" i="22081" s="1"/>
  <c r="M8" i="22081"/>
  <c r="S9" i="22081" s="1"/>
  <c r="J8" i="22081"/>
  <c r="K8" i="22081"/>
  <c r="L8" i="22081"/>
  <c r="R8" i="22081" s="1"/>
  <c r="P8" i="22081"/>
  <c r="K9" i="22081"/>
  <c r="Q9" i="22081" s="1"/>
  <c r="L9" i="22081"/>
  <c r="R9" i="22081" s="1"/>
  <c r="M9" i="22081"/>
  <c r="J10" i="22081"/>
  <c r="K10" i="22081"/>
  <c r="L10" i="22081"/>
  <c r="M10" i="22081"/>
  <c r="J11" i="22081"/>
  <c r="P9" i="22081" s="1"/>
  <c r="K11" i="22081"/>
  <c r="Q8" i="22081" s="1"/>
  <c r="L11" i="22081"/>
  <c r="M11" i="22081"/>
  <c r="J12" i="22081"/>
  <c r="K12" i="22081"/>
  <c r="L12" i="22081"/>
  <c r="M12" i="22081"/>
  <c r="J13" i="22081"/>
  <c r="K13" i="22081"/>
  <c r="L13" i="22081"/>
  <c r="M13" i="22081"/>
  <c r="J14" i="22081"/>
  <c r="K14" i="22081"/>
  <c r="L14" i="22081"/>
  <c r="M14" i="22081"/>
  <c r="J15" i="22081"/>
  <c r="K15" i="22081"/>
  <c r="L15" i="22081"/>
  <c r="M15" i="22081"/>
  <c r="J16" i="22081"/>
  <c r="K16" i="22081"/>
  <c r="L16" i="22081"/>
  <c r="M16" i="22081"/>
  <c r="J17" i="22081"/>
  <c r="K17" i="22081"/>
  <c r="L17" i="22081"/>
  <c r="M17" i="22081"/>
  <c r="J18" i="22081"/>
  <c r="K18" i="22081"/>
  <c r="L18" i="22081"/>
  <c r="M18" i="22081"/>
  <c r="J19" i="22081"/>
  <c r="K19" i="22081"/>
  <c r="L19" i="22081"/>
  <c r="M19" i="22081"/>
  <c r="J20" i="22081"/>
  <c r="K20" i="22081"/>
  <c r="L20" i="22081"/>
  <c r="M20" i="22081"/>
  <c r="J21" i="22081"/>
  <c r="K21" i="22081"/>
  <c r="L21" i="22081"/>
  <c r="M21" i="22081"/>
  <c r="J22" i="22081"/>
  <c r="K22" i="22081"/>
  <c r="L22" i="22081"/>
  <c r="M22" i="22081"/>
  <c r="J23" i="22081"/>
  <c r="K23" i="22081"/>
  <c r="L23" i="22081"/>
  <c r="M23" i="22081"/>
  <c r="J24" i="22081"/>
  <c r="K24" i="22081"/>
  <c r="L24" i="22081"/>
  <c r="M24" i="22081"/>
  <c r="J25" i="22081"/>
  <c r="K25" i="22081"/>
  <c r="L25" i="22081"/>
  <c r="M25" i="22081"/>
  <c r="J26" i="22081"/>
  <c r="K26" i="22081"/>
  <c r="L26" i="22081"/>
  <c r="M26" i="22081"/>
  <c r="J27" i="22081"/>
  <c r="K27" i="22081"/>
  <c r="L27" i="22081"/>
  <c r="M27" i="22081"/>
  <c r="J28" i="22081"/>
  <c r="K28" i="22081"/>
  <c r="L28" i="22081"/>
  <c r="M28" i="22081"/>
  <c r="J29" i="22081"/>
  <c r="K29" i="22081"/>
  <c r="L29" i="22081"/>
  <c r="M29" i="22081"/>
  <c r="M30" i="22081"/>
  <c r="M31" i="22081"/>
  <c r="M32" i="22081"/>
  <c r="M33" i="22081"/>
  <c r="M34" i="22081"/>
  <c r="M35" i="22081"/>
  <c r="S10" i="22081" s="1"/>
  <c r="M36" i="22081"/>
  <c r="M37" i="22081"/>
  <c r="M38" i="22081"/>
  <c r="M39" i="22081"/>
  <c r="M40" i="22081"/>
  <c r="M41" i="22081"/>
  <c r="M42" i="22081"/>
  <c r="M43" i="22081"/>
  <c r="M44" i="22081"/>
  <c r="M45" i="22081"/>
  <c r="M46" i="22081"/>
  <c r="M47" i="22081"/>
  <c r="M48" i="22081"/>
  <c r="M49" i="22081"/>
  <c r="M50" i="22081"/>
  <c r="M51" i="22081"/>
  <c r="M52" i="22081"/>
  <c r="L30" i="22081"/>
  <c r="L31" i="22081"/>
  <c r="L32" i="22081"/>
  <c r="L33" i="22081"/>
  <c r="L34" i="22081"/>
  <c r="L35" i="22081"/>
  <c r="R10" i="22081" s="1"/>
  <c r="L36" i="22081"/>
  <c r="L37" i="22081"/>
  <c r="L38" i="22081"/>
  <c r="L39" i="22081"/>
  <c r="L40" i="22081"/>
  <c r="L41" i="22081"/>
  <c r="L42" i="22081"/>
  <c r="L43" i="22081"/>
  <c r="L44" i="22081"/>
  <c r="L45" i="22081"/>
  <c r="L46" i="22081"/>
  <c r="L47" i="22081"/>
  <c r="L48" i="22081"/>
  <c r="L49" i="22081"/>
  <c r="L50" i="22081"/>
  <c r="L51" i="22081"/>
  <c r="L52" i="22081"/>
  <c r="K30" i="22081"/>
  <c r="K31" i="22081"/>
  <c r="K32" i="22081"/>
  <c r="K33" i="22081"/>
  <c r="K34" i="22081"/>
  <c r="K35" i="22081"/>
  <c r="Q10" i="22081" s="1"/>
  <c r="K36" i="22081"/>
  <c r="K37" i="22081"/>
  <c r="K38" i="22081"/>
  <c r="K39" i="22081"/>
  <c r="K40" i="22081"/>
  <c r="K41" i="22081"/>
  <c r="K42" i="22081"/>
  <c r="K43" i="22081"/>
  <c r="K44" i="22081"/>
  <c r="K45" i="22081"/>
  <c r="K46" i="22081"/>
  <c r="K47" i="22081"/>
  <c r="K48" i="22081"/>
  <c r="K49" i="22081"/>
  <c r="K50" i="22081"/>
  <c r="K51" i="22081"/>
  <c r="K52" i="22081"/>
  <c r="J30" i="22081"/>
  <c r="J31" i="22081"/>
  <c r="J32" i="22081"/>
  <c r="J33" i="22081"/>
  <c r="J34" i="22081"/>
  <c r="J35" i="22081"/>
  <c r="P10" i="22081" s="1"/>
  <c r="J36" i="22081"/>
  <c r="J37" i="22081"/>
  <c r="J38" i="22081"/>
  <c r="J39" i="22081"/>
  <c r="J40" i="22081"/>
  <c r="J41" i="22081"/>
  <c r="J42" i="22081"/>
  <c r="J43" i="22081"/>
  <c r="J44" i="22081"/>
  <c r="J45" i="22081"/>
  <c r="J46" i="22081"/>
  <c r="J47" i="22081"/>
  <c r="J48" i="22081"/>
  <c r="J49" i="22081"/>
  <c r="J50" i="22081"/>
  <c r="J51" i="22081"/>
  <c r="J52" i="22081"/>
  <c r="G6" i="22072"/>
  <c r="BA7" i="22073"/>
  <c r="AM7" i="22076"/>
  <c r="AY6" i="22071"/>
  <c r="U7" i="22072"/>
  <c r="AS7" i="22072"/>
  <c r="AW6" i="22074"/>
  <c r="Q8" i="22077"/>
  <c r="AY6" i="22077"/>
  <c r="AS7" i="22076"/>
  <c r="Y5" i="22071"/>
  <c r="AK6" i="22072"/>
  <c r="A3" i="22072"/>
  <c r="W7" i="22078"/>
  <c r="A3" i="22076"/>
  <c r="S8" i="22074"/>
  <c r="AG8" i="22075"/>
  <c r="AE8" i="22071"/>
  <c r="BA7" i="22074"/>
  <c r="W7" i="22076"/>
  <c r="AO8" i="22073"/>
  <c r="C4" i="22071"/>
  <c r="BA7" i="22078"/>
  <c r="A2" i="22073"/>
  <c r="BC6" i="22075"/>
  <c r="AK6" i="22077"/>
  <c r="E5" i="22075"/>
  <c r="AQ8" i="22078"/>
  <c r="AO8" i="22078"/>
  <c r="AQ8" i="22073"/>
  <c r="AK6" i="22071"/>
  <c r="AK6" i="22078"/>
  <c r="G6" i="22071"/>
  <c r="M6" i="22075"/>
  <c r="BC6" i="22073"/>
  <c r="W7" i="22077"/>
  <c r="A1" i="22078"/>
  <c r="Q8" i="22075"/>
  <c r="AC7" i="22075"/>
  <c r="AI7" i="22077"/>
  <c r="C4" i="22075"/>
  <c r="AW6" i="22073"/>
  <c r="C4" i="22073"/>
  <c r="AK6" i="22076"/>
  <c r="AG8" i="22074"/>
  <c r="AK6" i="22075"/>
  <c r="U7" i="22078"/>
  <c r="AI7" i="22072"/>
  <c r="AK6" i="22074"/>
  <c r="AW6" i="22077"/>
  <c r="K7" i="22075"/>
  <c r="U7" i="22073"/>
  <c r="M6" i="22078"/>
  <c r="AU5" i="22075"/>
  <c r="AE8" i="22077"/>
  <c r="U7" i="22074"/>
  <c r="AI7" i="22073"/>
  <c r="O7" i="22073"/>
  <c r="AO8" i="22074"/>
  <c r="AU5" i="22077"/>
  <c r="AS7" i="22075"/>
  <c r="AQ8" i="22072"/>
  <c r="AQ8" i="22076"/>
  <c r="G6" i="22074"/>
  <c r="S8" i="22071"/>
  <c r="AE8" i="22074"/>
  <c r="S8" i="22078"/>
  <c r="AG8" i="22076"/>
  <c r="E5" i="22077"/>
  <c r="BC6" i="22072"/>
  <c r="AE8" i="22075"/>
  <c r="AQ8" i="22075"/>
  <c r="O7" i="22075"/>
  <c r="AA6" i="22073"/>
  <c r="O7" i="22076"/>
  <c r="C4" i="22078"/>
  <c r="Q8" i="22073"/>
  <c r="I7" i="22076"/>
  <c r="A3" i="22073"/>
  <c r="S8" i="22072"/>
  <c r="E5" i="22073"/>
  <c r="AM7" i="22072"/>
  <c r="AM7" i="22075"/>
  <c r="AK6" i="22073"/>
  <c r="G6" i="22078"/>
  <c r="AM7" i="22074"/>
  <c r="A2" i="22076"/>
  <c r="W7" i="22075"/>
  <c r="M6" i="22077"/>
  <c r="AO8" i="22071"/>
  <c r="AU5" i="22071"/>
  <c r="A3" i="22074"/>
  <c r="K7" i="22076"/>
  <c r="BA7" i="22071"/>
  <c r="AI7" i="22078"/>
  <c r="U7" i="22076"/>
  <c r="K7" i="22071"/>
  <c r="AU5" i="22072"/>
  <c r="Q8" i="22072"/>
  <c r="Y5" i="22074"/>
  <c r="A1" i="22077"/>
  <c r="AO8" i="22077"/>
  <c r="U7" i="22077"/>
  <c r="A2" i="22078"/>
  <c r="O7" i="22072"/>
  <c r="C4" i="22072"/>
  <c r="AM7" i="22077"/>
  <c r="AS7" i="22073"/>
  <c r="A3" i="22078"/>
  <c r="E5" i="22072"/>
  <c r="K7" i="22078"/>
  <c r="AA6" i="22077"/>
  <c r="G6" i="22073"/>
  <c r="A3" i="22071"/>
  <c r="I7" i="22075"/>
  <c r="G6" i="22075"/>
  <c r="O7" i="22077"/>
  <c r="BC6" i="22077"/>
  <c r="S8" i="22075"/>
  <c r="Y5" i="22073"/>
  <c r="AO8" i="22075"/>
  <c r="Y5" i="22076"/>
  <c r="BC6" i="22076"/>
  <c r="W7" i="22071"/>
  <c r="AW6" i="22076"/>
  <c r="K7" i="22077"/>
  <c r="AY6" i="22076"/>
  <c r="E5" i="22071"/>
  <c r="AY6" i="22074"/>
  <c r="M6" i="22076"/>
  <c r="Y5" i="22072"/>
  <c r="AA6" i="22076"/>
  <c r="AC7" i="22077"/>
  <c r="C4" i="22077"/>
  <c r="AY6" i="22072"/>
  <c r="O7" i="22071"/>
  <c r="AM7" i="22078"/>
  <c r="BA7" i="22076"/>
  <c r="AC7" i="22074"/>
  <c r="O7" i="22078"/>
  <c r="S8" i="22077"/>
  <c r="AI7" i="22076"/>
  <c r="AU5" i="22078"/>
  <c r="AS7" i="22071"/>
  <c r="BC6" i="22078"/>
  <c r="S8" i="22073"/>
  <c r="C4" i="22074"/>
  <c r="A1" i="22071"/>
  <c r="AG8" i="22073"/>
  <c r="I7" i="22078"/>
  <c r="AQ8" i="22074"/>
  <c r="AS7" i="22074"/>
  <c r="AY6" i="22075"/>
  <c r="M6" i="22072"/>
  <c r="AO8" i="22072"/>
  <c r="AU5" i="22076"/>
  <c r="AA6" i="22072"/>
  <c r="I7" i="22077"/>
  <c r="AA6" i="22075"/>
  <c r="I7" i="22071"/>
  <c r="AQ8" i="22077"/>
  <c r="K7" i="22074"/>
  <c r="AS7" i="22078"/>
  <c r="BC6" i="22074"/>
  <c r="AO8" i="22076"/>
  <c r="I7" i="22074"/>
  <c r="Y5" i="22077"/>
  <c r="A2" i="22075"/>
  <c r="AC7" i="22071"/>
  <c r="A1" i="22076"/>
  <c r="AM7" i="22073"/>
  <c r="U7" i="22075"/>
  <c r="AE8" i="22076"/>
  <c r="AW6" i="22072"/>
  <c r="AU5" i="22074"/>
  <c r="E5" i="22074"/>
  <c r="Q8" i="22071"/>
  <c r="AI7" i="22071"/>
  <c r="AE8" i="22078"/>
  <c r="AQ8" i="22071"/>
  <c r="AG8" i="22078"/>
  <c r="K7" i="22073"/>
  <c r="U7" i="22071"/>
  <c r="A2" i="22077"/>
  <c r="AY6" i="22073"/>
  <c r="AA6" i="22074"/>
  <c r="Q8" i="22078"/>
  <c r="Q8" i="22074"/>
  <c r="AW6" i="22075"/>
  <c r="BA7" i="22075"/>
  <c r="A3" i="22077"/>
  <c r="AG8" i="22071"/>
  <c r="A2" i="22072"/>
  <c r="A1" i="22073"/>
  <c r="AW6" i="22071"/>
  <c r="G6" i="22077"/>
  <c r="AC7" i="22072"/>
  <c r="W7" i="22072"/>
  <c r="K7" i="22072"/>
  <c r="W7" i="22074"/>
  <c r="AS7" i="22077"/>
  <c r="AI7" i="22075"/>
  <c r="M6" i="22074"/>
  <c r="AM7" i="22071"/>
  <c r="BA7" i="22072"/>
  <c r="I7" i="22073"/>
  <c r="M6" i="22073"/>
  <c r="AG8" i="22072"/>
  <c r="AE8" i="22072"/>
  <c r="C4" i="22076"/>
  <c r="E5" i="22078"/>
  <c r="I7" i="22072"/>
  <c r="Q8" i="22076"/>
  <c r="O7" i="22074"/>
  <c r="AI7" i="22074"/>
  <c r="AW6" i="22078"/>
  <c r="A1" i="22074"/>
  <c r="A2" i="22071"/>
  <c r="A1" i="22075"/>
  <c r="AC7" i="22076"/>
  <c r="AE8" i="22073"/>
  <c r="AY6" i="22078"/>
  <c r="AA6" i="22078"/>
  <c r="E5" i="22076"/>
  <c r="A3" i="22075"/>
  <c r="G6" i="22076"/>
  <c r="BA7" i="22077"/>
  <c r="S8" i="22076"/>
  <c r="M6" i="22071"/>
  <c r="A1" i="22072"/>
  <c r="AU5" i="22073"/>
  <c r="AC7" i="22078"/>
  <c r="AG8" i="22077"/>
  <c r="BC6" i="22071"/>
  <c r="W7" i="22073"/>
  <c r="Y5" i="22078"/>
  <c r="A2" i="22074"/>
  <c r="AC7" i="22073"/>
  <c r="Y5" i="22075"/>
  <c r="AA6" i="22071"/>
  <c r="S8" i="22081" l="1"/>
</calcChain>
</file>

<file path=xl/sharedStrings.xml><?xml version="1.0" encoding="utf-8"?>
<sst xmlns="http://schemas.openxmlformats.org/spreadsheetml/2006/main" count="501" uniqueCount="214">
  <si>
    <t>Ménages et ISBLSM</t>
  </si>
  <si>
    <t>Administrations publiques</t>
  </si>
  <si>
    <t>Formation brute de capital</t>
  </si>
  <si>
    <t>Formation brute de capital fixe</t>
  </si>
  <si>
    <t>Biens d'équipement</t>
  </si>
  <si>
    <t>Construction</t>
  </si>
  <si>
    <t>Importations de services</t>
  </si>
  <si>
    <t>Produit intérieur brut</t>
  </si>
  <si>
    <t>Demande intérieure finale</t>
  </si>
  <si>
    <t>Demande intérieure</t>
  </si>
  <si>
    <t xml:space="preserve"> </t>
  </si>
  <si>
    <t>Bruttoinlandprodukt</t>
  </si>
  <si>
    <t>Bruttoinvestitionen</t>
  </si>
  <si>
    <t>Inländische Endnachfrage</t>
  </si>
  <si>
    <t>Inlandnachfrage</t>
  </si>
  <si>
    <t>Bruttoanlageinvestitionen</t>
  </si>
  <si>
    <t>Final domestic demand</t>
  </si>
  <si>
    <t>Exports of services</t>
  </si>
  <si>
    <t>Imports of services</t>
  </si>
  <si>
    <t>Implicit chain price indexes, year-on-year growth rates</t>
  </si>
  <si>
    <t>Exportations de services</t>
  </si>
  <si>
    <t>deutsch</t>
  </si>
  <si>
    <t>français</t>
  </si>
  <si>
    <t>italiano</t>
  </si>
  <si>
    <t>english</t>
  </si>
  <si>
    <t>Jahr</t>
  </si>
  <si>
    <t>Quartal</t>
  </si>
  <si>
    <t>Année</t>
  </si>
  <si>
    <t>Trimestre</t>
  </si>
  <si>
    <t>Prodotto interno lordo</t>
  </si>
  <si>
    <t>Anno</t>
  </si>
  <si>
    <t>In Mio. Swiss Francs, at current prices, percentage change to previous year</t>
  </si>
  <si>
    <t>Year</t>
  </si>
  <si>
    <t>Quarter</t>
  </si>
  <si>
    <t>Spesa per consumi finali</t>
  </si>
  <si>
    <t>Amministrazioni pubbliche</t>
  </si>
  <si>
    <t>Investimenti lordi</t>
  </si>
  <si>
    <t>Esportazioni di beni e servizi</t>
  </si>
  <si>
    <t>Investimenti fissi lordi</t>
  </si>
  <si>
    <t>Esportazioni di servizi</t>
  </si>
  <si>
    <t>Importazioni di servizi</t>
  </si>
  <si>
    <t>Beni di equipaggiamento</t>
  </si>
  <si>
    <t>Costruzione</t>
  </si>
  <si>
    <t>Domanda interna finale</t>
  </si>
  <si>
    <t>Domanda interna</t>
  </si>
  <si>
    <t>Indices des prix, variations en % par rapport de l'année précédente</t>
  </si>
  <si>
    <t>Contributions to real GDP-growth</t>
  </si>
  <si>
    <t>contributions à la croissance réelle du PIB</t>
  </si>
  <si>
    <t>Contributi alla crescita reale del PIL</t>
  </si>
  <si>
    <t>NA</t>
  </si>
  <si>
    <t>Dépenses de consommation finale</t>
  </si>
  <si>
    <t>Economie domestiche e ISLED</t>
  </si>
  <si>
    <t>Importazioni di beni e servizi</t>
  </si>
  <si>
    <t>Variazione delle scorte e divergenze statistiche</t>
  </si>
  <si>
    <t>Gross domestic product</t>
  </si>
  <si>
    <t>Internal demand</t>
  </si>
  <si>
    <t xml:space="preserve">Gross capital formation </t>
  </si>
  <si>
    <t>Changes in inventories and statistical discrepancies</t>
  </si>
  <si>
    <t>Exports of goods and services</t>
  </si>
  <si>
    <t>Imports of goods and services</t>
  </si>
  <si>
    <t xml:space="preserve">                                                                                           Staatssekretariat für Wirtschaft SECO</t>
  </si>
  <si>
    <t xml:space="preserve">                                                                                           Secrétariat d'Etat à l'économie SECO</t>
  </si>
  <si>
    <t xml:space="preserve">                                                                                           Secretariat da stadi per l'economia SECO</t>
  </si>
  <si>
    <t xml:space="preserve">                                                                                           State Secretariat for Economic Affairs SECO</t>
  </si>
  <si>
    <r>
      <t xml:space="preserve">You may </t>
    </r>
    <r>
      <rPr>
        <b/>
        <sz val="10"/>
        <color indexed="10"/>
        <rFont val="Arial"/>
        <family val="2"/>
      </rPr>
      <t>choose the language</t>
    </r>
    <r>
      <rPr>
        <sz val="10"/>
        <rFont val="Arial"/>
        <family val="2"/>
      </rPr>
      <t xml:space="preserve"> to label the Swiss GDP and its expenditure components in the dropdown-menu below.</t>
    </r>
  </si>
  <si>
    <t>Pages labelled at the end with "_q" contain quarterly data, pages with "_y" contain yearly figures.</t>
  </si>
  <si>
    <r>
      <t xml:space="preserve">Sie können im Dropdown-Menu die </t>
    </r>
    <r>
      <rPr>
        <b/>
        <sz val="10"/>
        <color indexed="10"/>
        <rFont val="Arial"/>
        <family val="2"/>
      </rPr>
      <t>Sprache wählen</t>
    </r>
    <r>
      <rPr>
        <sz val="10"/>
        <rFont val="Arial"/>
        <family val="2"/>
      </rPr>
      <t>, im welcher Sie das BIP der Schweiz gemäss Verwendungsseite beschriftet haben möchten.</t>
    </r>
  </si>
  <si>
    <t>Seiten mit der Endbezeichnung "_q" enthalten Quartalszahlen, diejenigen mit "_y" Jahreszahlen.</t>
  </si>
  <si>
    <r>
      <t xml:space="preserve">Vous pouvez </t>
    </r>
    <r>
      <rPr>
        <b/>
        <sz val="10"/>
        <color indexed="10"/>
        <rFont val="Arial"/>
        <family val="2"/>
      </rPr>
      <t>choisir</t>
    </r>
    <r>
      <rPr>
        <sz val="10"/>
        <rFont val="Arial"/>
        <family val="2"/>
      </rPr>
      <t xml:space="preserve"> ci-dessous </t>
    </r>
    <r>
      <rPr>
        <b/>
        <sz val="10"/>
        <color indexed="10"/>
        <rFont val="Arial"/>
        <family val="2"/>
      </rPr>
      <t>la langue</t>
    </r>
    <r>
      <rPr>
        <sz val="10"/>
        <rFont val="Arial"/>
        <family val="2"/>
      </rPr>
      <t xml:space="preserve"> avec laquelle vous souhaitez visualiser le PIB de la Suisse selon l'approche par la dépense.</t>
    </r>
  </si>
  <si>
    <t>Les feuilles du présent fichier excel avec l'extension "_q" contiennent les résultats trimestriels, celles avec l'extension "_y" les résultats annuels.</t>
  </si>
  <si>
    <r>
      <t xml:space="preserve">Potete </t>
    </r>
    <r>
      <rPr>
        <b/>
        <sz val="10"/>
        <color indexed="10"/>
        <rFont val="Arial"/>
        <family val="2"/>
      </rPr>
      <t>scegliere</t>
    </r>
    <r>
      <rPr>
        <sz val="10"/>
        <rFont val="Arial"/>
        <family val="2"/>
      </rPr>
      <t xml:space="preserve"> qui sotto in quale </t>
    </r>
    <r>
      <rPr>
        <b/>
        <sz val="10"/>
        <color indexed="10"/>
        <rFont val="Arial"/>
        <family val="2"/>
      </rPr>
      <t>lingua</t>
    </r>
    <r>
      <rPr>
        <sz val="10"/>
        <rFont val="Arial"/>
        <family val="2"/>
      </rPr>
      <t xml:space="preserve"> visualizzare il PIL della Svizzera secondo l'ottica della spesa.</t>
    </r>
  </si>
  <si>
    <t>Le pagine contrassegnate alla fine con "_q" contengono dati trimestrali, le pagine con "_y" contengono dati annuali.</t>
  </si>
  <si>
    <t>Variation des stocks et divergence statistique</t>
  </si>
  <si>
    <t>indices des prix, variations en % par rapport au même trimestre de l'année précédente</t>
  </si>
  <si>
    <t>ESVG 2010, Quartalsaggregate des Bruttoinlandprodukts, Verwendungsansatz, unbereinigte Daten</t>
  </si>
  <si>
    <t>ESVG 2010, Jahresaggregate des Bruttoinlandproduktes, Verwendungsansatz (BFS, SECO), unbereinigte Daten</t>
  </si>
  <si>
    <t>SEC 2010, PIB annuel et ses composantes, approche par la dépense (OFS, SECO), données brutes</t>
  </si>
  <si>
    <t>SEC 2010, PIB trimestriel et ses composantes, approche par la dépense, données brutes</t>
  </si>
  <si>
    <t>SEC 2010, Prodotto Interno Lordo e aggregati annuali, ottica della spesa (UST, SECO), dati grezzi</t>
  </si>
  <si>
    <t>SEC 2010, Prodotto Interno Lordo e aggregati trimestrali, ottica della spesa, dati grezzi</t>
  </si>
  <si>
    <t>ESA 2010, Quarterly aggregates of Gross Domestic Product, expenditure approach, raw data</t>
  </si>
  <si>
    <t>ESA 2010, Annual aggregates of Gross Domestic Product, expenditure approach (SFSO, SECO), raw data</t>
  </si>
  <si>
    <t>Konsumausgaben</t>
  </si>
  <si>
    <t>Waren- und Dienstleistungsexporte</t>
  </si>
  <si>
    <t>Waren- und Dienstleistungsimporte</t>
  </si>
  <si>
    <t>Private Haushalte und POoE</t>
  </si>
  <si>
    <t>Staat</t>
  </si>
  <si>
    <t>Warenexporte</t>
  </si>
  <si>
    <t>Warenimporte</t>
  </si>
  <si>
    <t>Bau</t>
  </si>
  <si>
    <t>Ausrüstungen</t>
  </si>
  <si>
    <t>Exportations de biens et de services</t>
  </si>
  <si>
    <t>Importations de biens et de services</t>
  </si>
  <si>
    <t>Final consumption expenditure</t>
  </si>
  <si>
    <t>Households and NPISH</t>
  </si>
  <si>
    <t>General government</t>
  </si>
  <si>
    <t>Gross fixed capital formation</t>
  </si>
  <si>
    <t>Fixed assets and software</t>
  </si>
  <si>
    <t>Reale Wachstumsbeiträge zum Bruttoinlandprodukt</t>
  </si>
  <si>
    <t>In milioni di franchi, a prezzi correnti, variazione in % rispetto all'anno precedente</t>
  </si>
  <si>
    <t>Indici dei prezzi, variazione in % rispetto all'anno precedente</t>
  </si>
  <si>
    <t>En mio. de francs, aux prix courants, variations en % par rapport au même trimestre de l'année précédente</t>
  </si>
  <si>
    <t>En mio. de francs, aux prix courants, variations en % par rapport de l'année précédente</t>
  </si>
  <si>
    <t>Implizite Preisindizes und Veränderungsraten in % gegenüber dem gleichen Quartal des Vorjahres</t>
  </si>
  <si>
    <t>Implizite Preisindizes und Veränderungsraten in % gegenüber dem Vorjahr</t>
  </si>
  <si>
    <t>In Mio. Franken, zu laufenden Preisen und Veränderungsraten in % gegenüber dem gleichen Quartal des Vorjahres</t>
  </si>
  <si>
    <t>In Mio. Franken, zu laufenden Preisen und Veränderungsraten in % gegenüber dem Vorjahr</t>
  </si>
  <si>
    <t>Balance commerciale (biens et services)</t>
  </si>
  <si>
    <t>Bilancia commerciale (beni e servizi)</t>
  </si>
  <si>
    <t>Trade balance (goods and services)</t>
  </si>
  <si>
    <t>Acquisitions moins cessions d'objets de valeur (y compris or non monétaire)</t>
  </si>
  <si>
    <t>Acquisizioni meno cessioni di oggetti di valore (inclusivo oro non monetario)</t>
  </si>
  <si>
    <t>Acquisitions less disposals of valuables (including non-monetary gold)</t>
  </si>
  <si>
    <t>Handelsbilanz (Waren und Dienstleistungen)</t>
  </si>
  <si>
    <t>Nettozugang an Wertsachen (inkl. Nichtwährungsgold)</t>
  </si>
  <si>
    <t>Exportations (exp.) de biens</t>
  </si>
  <si>
    <t>Esportazioni (esp.) di beni</t>
  </si>
  <si>
    <t>Exports (exp.) of goods</t>
  </si>
  <si>
    <t>davon Warenexporte ohne Nichtwährungsgold</t>
  </si>
  <si>
    <t>dont exp. de biens sans or non monétaire</t>
  </si>
  <si>
    <t>di cui esp. di beni senza oro non monetario</t>
  </si>
  <si>
    <t xml:space="preserve">thereof exp. of goods excluding non-monetary gold </t>
  </si>
  <si>
    <t>davon Warenexp. ohne Wertsachen u. Transithandel</t>
  </si>
  <si>
    <t>dont exp. de biens sans objets de valeur et commerce de transit</t>
  </si>
  <si>
    <t>di cui esp. di beni senza oggetti di valore e commercio di transito</t>
  </si>
  <si>
    <t>thereof exp. of goods excluding valuables and merchanting</t>
  </si>
  <si>
    <t>Importations (imp.) de biens</t>
  </si>
  <si>
    <t>Importazioni (imp.) di beni</t>
  </si>
  <si>
    <t>Imports (imp.) of goods</t>
  </si>
  <si>
    <t>davon Warenimporte ohne Nichtwährungsgold</t>
  </si>
  <si>
    <t>dont imp. de biens sans or non monétaire</t>
  </si>
  <si>
    <t>di cui imp. di beni senza oro non monetario</t>
  </si>
  <si>
    <t>thereof imp. of goods excluding non-monetary gold</t>
  </si>
  <si>
    <t>davon Warenimporte ohne Wertsachen</t>
  </si>
  <si>
    <t>dont imp. de biens sans objets de valeur</t>
  </si>
  <si>
    <t>di cui imp. di beni senza oggetti di valore</t>
  </si>
  <si>
    <t>thereof imp. of goods excluding valuables</t>
  </si>
  <si>
    <t>Gesamtnachfrage ohne Vorratsveränderung, statistische Abw. u. Wertsachen</t>
  </si>
  <si>
    <t>Demande globale sans variations des stocks, diff. statistique et objets de valeur</t>
  </si>
  <si>
    <t>Domanda globale senza variaz. scorte, divergenze statistiche e ogg. di valore</t>
  </si>
  <si>
    <t>Global demand excluding inventories change, stat. discrepancies and valuables</t>
  </si>
  <si>
    <t>Exportations de biens et de services (sans objets de valeur)</t>
  </si>
  <si>
    <t>Esportazioni di beni e servizi (senza oggetti di valore)</t>
  </si>
  <si>
    <t>Exports of goods and services (excluding valuables)</t>
  </si>
  <si>
    <t>Importations de biens et de services (sans objets de valeur)</t>
  </si>
  <si>
    <t>Importazioni di beni e servizi (senza oggetti di valore)</t>
  </si>
  <si>
    <t>Imports of goods and services (excluding valuables)</t>
  </si>
  <si>
    <t>davon Warenexporte ohne Wertsachen</t>
  </si>
  <si>
    <t>dont exportations de biens sans objets de valeur</t>
  </si>
  <si>
    <t>di cui esportazioni di beni senza oggetti di valore</t>
  </si>
  <si>
    <t>thereof exports of goods excluding valuables</t>
  </si>
  <si>
    <t xml:space="preserve">                                                                                           Segreteria di Stato dell’economia SECO</t>
  </si>
  <si>
    <t>Le pagine contrassegnate all'inizio con "nom" contengono dati ai prezzi correnti, pagine con "real" contengono valori ai prezzi dell'anno precedente (serie concatenate, anno di riferimento 2020), pagine con "defl" contengono i deflatori impliciti, pagine con "gc" contengono i contributi alla crescita reale del PIL.</t>
  </si>
  <si>
    <t>Les feuilles dénommées "nom" contiennent les résultats aux prix courants, celles dénommées "real" les résultats aux prix de l'année précédente (séries chaînées, année de référence 2020), celles dénommées "defl" les indices de prix implicites et celles dénommées "gc" les contributions à la croissance réelle du PIB.</t>
  </si>
  <si>
    <t>Seiten mit der Anfangsbezeichnung "nom" enthalten Werte zu laufenden Preisen, diejenigen mit "real" Werte zu Preisen des Vorjahres (verkettet, Referenzjahr 2020), diejenigen mit "defl" implizite Deflatoren und diejenigen mit "gc" Beiträge zum realen BIP-Wachstum.</t>
  </si>
  <si>
    <t>Pages labelled at the beginning with "nom" contain figures at current prices, pages with "real" contain values at prices of the preceding year (chained values, reference year 2020), pages with "defl" contain implicit price deflators and those with "gc" contain contributions to real GDP-growth.</t>
  </si>
  <si>
    <t>In Mio. Franken, reale nicht additive Volumen (annual overlap, Referenzjahr 2020) und Veränderungsraten in % gegenüber dem gleichen Quartal des Vorjahres</t>
  </si>
  <si>
    <t>In Mio. Franken, reale nicht additive Volumen (annual overlap, Referenzjahr 2020) und Veränderungsraten in % gegenüber dem Vorjahr</t>
  </si>
  <si>
    <t>En mio. de francs, aux prix de l'année précédente - séries chaînées ("annual overlap"), année de référence 2020, volumes non-additifs, variations en % par rapport au même trimestre de l'année précédente</t>
  </si>
  <si>
    <t>En mio. de francs, aux prix de l'année précédente - séries chaînées ("annual overlap"), année de référence 2020, volumes non-additifs, variations en % par rapport de l'année précédente</t>
  </si>
  <si>
    <t>In milioni di franchi, ai prezzi dell'anno precedente, indici a catena, anno di referenza 2020, variazione in % rispetto all'anno precedente</t>
  </si>
  <si>
    <t>In Mio. Swiss Francs, at prices of preceding year, chained values, reference year 2020, percentage change to previous year</t>
  </si>
  <si>
    <t>Vorratsveränderungen und statistische Abweichungen</t>
  </si>
  <si>
    <t>Dienstleistungsexporte</t>
  </si>
  <si>
    <t>Dienstleistungsimporte</t>
  </si>
  <si>
    <t>Waren- und Dienstleistungsexporte (ohne Wertsachen)</t>
  </si>
  <si>
    <t>Waren- und Dienstleistungsimporte (ohne Wertsachen)</t>
  </si>
  <si>
    <t>B1GQ</t>
  </si>
  <si>
    <t>P3</t>
  </si>
  <si>
    <t>P5</t>
  </si>
  <si>
    <t>P51G</t>
  </si>
  <si>
    <t>P5111_N111_112G</t>
  </si>
  <si>
    <t>P5111_N113T117G</t>
  </si>
  <si>
    <t>P53</t>
  </si>
  <si>
    <t>P6</t>
  </si>
  <si>
    <t>P61</t>
  </si>
  <si>
    <t>P61XF11</t>
  </si>
  <si>
    <t>P62</t>
  </si>
  <si>
    <t>P7</t>
  </si>
  <si>
    <t>P71</t>
  </si>
  <si>
    <t>P71XF11</t>
  </si>
  <si>
    <t>P72</t>
  </si>
  <si>
    <t>P3_P5</t>
  </si>
  <si>
    <t>P3_P51G</t>
  </si>
  <si>
    <t>P31_S14_S15</t>
  </si>
  <si>
    <t>P3_S13</t>
  </si>
  <si>
    <t>P52_YA0</t>
  </si>
  <si>
    <t>B11</t>
  </si>
  <si>
    <t>P3_P51G_P6</t>
  </si>
  <si>
    <t/>
  </si>
  <si>
    <t>C</t>
  </si>
  <si>
    <t>I</t>
  </si>
  <si>
    <t>G</t>
  </si>
  <si>
    <t>NX</t>
  </si>
  <si>
    <t>Contribution à la croissance</t>
  </si>
  <si>
    <t xml:space="preserve">C </t>
  </si>
  <si>
    <t>Y</t>
  </si>
  <si>
    <t xml:space="preserve">G </t>
  </si>
  <si>
    <t>Moyenne des contributions</t>
  </si>
  <si>
    <t>Période</t>
  </si>
  <si>
    <t>1980 à 2025</t>
  </si>
  <si>
    <t>1980 à 2007</t>
  </si>
  <si>
    <t>2008 à 2025</t>
  </si>
  <si>
    <t>X</t>
  </si>
  <si>
    <t>PIB</t>
  </si>
  <si>
    <t>Households and NPISH expenditures</t>
  </si>
  <si>
    <t>General government expenditure</t>
  </si>
  <si>
    <t>Net Export</t>
  </si>
  <si>
    <t>Export of goods and services</t>
  </si>
  <si>
    <t>Calcul des contribution à la croissance des principaux aggrégats de la demande</t>
  </si>
  <si>
    <t>annees</t>
  </si>
  <si>
    <t>M</t>
  </si>
  <si>
    <t>Contributions relatives à la croissance</t>
  </si>
  <si>
    <t>Taux_croissance_pib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</si>
</sst>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0.0000000000000000"/>
  </numFmts>
  <fonts count="10" x14ac:knownFonts="1">
    <font>
      <sz val="8"/>
      <color rgb="FF000000"/>
      <name val="Arial"/>
    </font>
    <font>
      <b/>
      <sz val="12"/>
      <color rgb="FF000000"/>
      <name val="Arial"/>
      <family val="2"/>
    </font>
    <font>
      <sz val="10"/>
      <color rgb="FF000000"/>
      <name val="Arial"/>
      <family val="2"/>
    </font>
    <font>
      <sz val="8"/>
      <color rgb="FF000000"/>
      <name val="Arial"/>
      <family val="2"/>
    </font>
    <font>
      <b/>
      <sz val="8"/>
      <color rgb="FF000000"/>
      <name val="Arial"/>
      <family val="2"/>
    </font>
    <font>
      <sz val="8"/>
      <color rgb="FF0000FF"/>
      <name val="Arial"/>
    </font>
    <font>
      <b/>
      <sz val="10"/>
      <color indexed="10"/>
      <name val="Arial"/>
      <family val="2"/>
    </font>
    <font>
      <sz val="10"/>
      <name val="Arial"/>
      <family val="2"/>
    </font>
    <font>
      <sz val="8"/>
      <name val="Arial"/>
      <family val="2"/>
    </font>
    <font>
      <b/>
      <sz val="18"/>
      <color rgb="FF000000"/>
      <name val="Arial"/>
      <family val="2"/>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17">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theme="1"/>
      </left>
      <right/>
      <top/>
      <bottom style="thin">
        <color theme="1"/>
      </bottom>
      <diagonal/>
    </border>
    <border>
      <left/>
      <right/>
      <top/>
      <bottom style="thin">
        <color theme="1"/>
      </bottom>
      <diagonal/>
    </border>
    <border>
      <left style="thin">
        <color theme="1"/>
      </left>
      <right/>
      <top style="thin">
        <color theme="1"/>
      </top>
      <bottom/>
      <diagonal/>
    </border>
    <border>
      <left/>
      <right/>
      <top style="thin">
        <color theme="1"/>
      </top>
      <bottom/>
      <diagonal/>
    </border>
    <border>
      <left style="thin">
        <color theme="1"/>
      </left>
      <right/>
      <top/>
      <bottom/>
      <diagonal/>
    </border>
    <border>
      <left/>
      <right style="thin">
        <color indexed="64"/>
      </right>
      <top/>
      <bottom style="thin">
        <color indexed="64"/>
      </bottom>
      <diagonal/>
    </border>
    <border>
      <left/>
      <right style="thin">
        <color theme="1"/>
      </right>
      <top/>
      <bottom style="thin">
        <color theme="1"/>
      </bottom>
      <diagonal/>
    </border>
    <border>
      <left/>
      <right style="thin">
        <color theme="1"/>
      </right>
      <top/>
      <bottom/>
      <diagonal/>
    </border>
    <border>
      <left/>
      <right style="thin">
        <color theme="1"/>
      </right>
      <top style="thin">
        <color theme="1"/>
      </top>
      <bottom/>
      <diagonal/>
    </border>
  </borders>
  <cellStyleXfs count="1">
    <xf numFmtId="0" fontId="0" fillId="0" borderId="0"/>
  </cellStyleXfs>
  <cellXfs count="70">
    <xf numFmtId="0" fontId="0" fillId="0" borderId="0" xfId="0"/>
    <xf numFmtId="0" fontId="1" fillId="0" borderId="0" xfId="0" applyFont="1" applyProtection="1">
      <protection hidden="1"/>
    </xf>
    <xf numFmtId="0" fontId="2" fillId="0" borderId="0" xfId="0" applyFont="1" applyAlignment="1" applyProtection="1">
      <alignment vertical="top" wrapText="1"/>
      <protection hidden="1"/>
    </xf>
    <xf numFmtId="0" fontId="3" fillId="0" borderId="0" xfId="0" applyFont="1" applyAlignment="1" applyProtection="1">
      <alignment vertical="top"/>
      <protection hidden="1"/>
    </xf>
    <xf numFmtId="0" fontId="3" fillId="0" borderId="0" xfId="0" applyFont="1" applyProtection="1">
      <protection hidden="1"/>
    </xf>
    <xf numFmtId="164" fontId="3" fillId="0" borderId="0" xfId="0" applyNumberFormat="1" applyFont="1" applyProtection="1">
      <protection locked="0"/>
    </xf>
    <xf numFmtId="0" fontId="4" fillId="0" borderId="0" xfId="0" applyFont="1" applyProtection="1">
      <protection hidden="1"/>
    </xf>
    <xf numFmtId="3" fontId="3" fillId="0" borderId="0" xfId="0" applyNumberFormat="1" applyFont="1" applyProtection="1">
      <protection hidden="1"/>
    </xf>
    <xf numFmtId="164" fontId="3" fillId="0" borderId="0" xfId="0" applyNumberFormat="1" applyFont="1" applyAlignment="1" applyProtection="1">
      <alignment vertical="top"/>
      <protection hidden="1"/>
    </xf>
    <xf numFmtId="1" fontId="3" fillId="0" borderId="0" xfId="0" applyNumberFormat="1" applyFont="1" applyAlignment="1" applyProtection="1">
      <alignment vertical="top" wrapText="1"/>
      <protection hidden="1"/>
    </xf>
    <xf numFmtId="164" fontId="3" fillId="0" borderId="0" xfId="0" applyNumberFormat="1" applyFont="1" applyAlignment="1" applyProtection="1">
      <alignment vertical="top" wrapText="1"/>
      <protection hidden="1"/>
    </xf>
    <xf numFmtId="0" fontId="3" fillId="0" borderId="0" xfId="0" applyFont="1" applyAlignment="1" applyProtection="1">
      <alignment vertical="top" wrapText="1"/>
      <protection hidden="1"/>
    </xf>
    <xf numFmtId="164" fontId="3" fillId="0" borderId="1" xfId="0" applyNumberFormat="1" applyFont="1" applyBorder="1" applyProtection="1">
      <protection locked="0"/>
    </xf>
    <xf numFmtId="164" fontId="3" fillId="0" borderId="1" xfId="0" applyNumberFormat="1" applyFont="1" applyBorder="1" applyAlignment="1" applyProtection="1">
      <alignment vertical="top" wrapText="1"/>
      <protection locked="0"/>
    </xf>
    <xf numFmtId="164" fontId="3" fillId="0" borderId="0" xfId="0" applyNumberFormat="1" applyFont="1" applyAlignment="1" applyProtection="1">
      <alignment vertical="top" wrapText="1"/>
      <protection locked="0"/>
    </xf>
    <xf numFmtId="0" fontId="3" fillId="0" borderId="2" xfId="0" applyFont="1" applyBorder="1" applyAlignment="1" applyProtection="1">
      <alignment vertical="top" wrapText="1"/>
      <protection hidden="1"/>
    </xf>
    <xf numFmtId="3" fontId="3" fillId="0" borderId="1" xfId="0" applyNumberFormat="1" applyFont="1" applyBorder="1" applyProtection="1">
      <protection locked="0"/>
    </xf>
    <xf numFmtId="3" fontId="3" fillId="0" borderId="3" xfId="0" applyNumberFormat="1" applyFont="1" applyBorder="1" applyAlignment="1" applyProtection="1">
      <alignment vertical="top" wrapText="1"/>
      <protection locked="0"/>
    </xf>
    <xf numFmtId="3" fontId="3" fillId="0" borderId="4" xfId="0" applyNumberFormat="1" applyFont="1" applyBorder="1" applyAlignment="1" applyProtection="1">
      <alignment vertical="top" wrapText="1"/>
      <protection hidden="1"/>
    </xf>
    <xf numFmtId="165" fontId="3" fillId="0" borderId="0" xfId="0" applyNumberFormat="1" applyFont="1" applyProtection="1">
      <protection hidden="1"/>
    </xf>
    <xf numFmtId="3" fontId="3" fillId="0" borderId="0" xfId="0" applyNumberFormat="1" applyFont="1" applyProtection="1">
      <protection locked="0"/>
    </xf>
    <xf numFmtId="164" fontId="3" fillId="0" borderId="0" xfId="0" applyNumberFormat="1" applyFont="1" applyProtection="1">
      <protection hidden="1"/>
    </xf>
    <xf numFmtId="164" fontId="3" fillId="0" borderId="3" xfId="0" applyNumberFormat="1" applyFont="1" applyBorder="1" applyAlignment="1" applyProtection="1">
      <alignment vertical="top" wrapText="1"/>
      <protection locked="0"/>
    </xf>
    <xf numFmtId="0" fontId="3" fillId="0" borderId="4" xfId="0" applyFont="1" applyBorder="1" applyAlignment="1" applyProtection="1">
      <alignment vertical="top" wrapText="1"/>
      <protection hidden="1"/>
    </xf>
    <xf numFmtId="0" fontId="3" fillId="0" borderId="0" xfId="0" applyFont="1" applyProtection="1">
      <protection locked="0"/>
    </xf>
    <xf numFmtId="0" fontId="4" fillId="0" borderId="0" xfId="0" applyFont="1"/>
    <xf numFmtId="0" fontId="3" fillId="0" borderId="0" xfId="0" applyFont="1"/>
    <xf numFmtId="0" fontId="3" fillId="0" borderId="0" xfId="0" applyFont="1" applyAlignment="1" applyProtection="1">
      <alignment wrapText="1"/>
      <protection locked="0"/>
    </xf>
    <xf numFmtId="1" fontId="5" fillId="0" borderId="0" xfId="0" applyNumberFormat="1" applyFont="1"/>
    <xf numFmtId="3" fontId="0" fillId="0" borderId="0" xfId="0" applyNumberFormat="1"/>
    <xf numFmtId="165" fontId="5" fillId="0" borderId="0" xfId="0" applyNumberFormat="1" applyFont="1"/>
    <xf numFmtId="166" fontId="0" fillId="0" borderId="0" xfId="0" applyNumberFormat="1"/>
    <xf numFmtId="10" fontId="0" fillId="0" borderId="0" xfId="0" applyNumberFormat="1"/>
    <xf numFmtId="3" fontId="3" fillId="2" borderId="0" xfId="0" applyNumberFormat="1" applyFont="1" applyFill="1"/>
    <xf numFmtId="0" fontId="3" fillId="2" borderId="0" xfId="0" applyFont="1" applyFill="1"/>
    <xf numFmtId="3" fontId="0" fillId="2" borderId="0" xfId="0" applyNumberFormat="1" applyFill="1"/>
    <xf numFmtId="0" fontId="0" fillId="3" borderId="0" xfId="0" applyFill="1"/>
    <xf numFmtId="0" fontId="3" fillId="3" borderId="0" xfId="0" applyFont="1" applyFill="1"/>
    <xf numFmtId="165" fontId="0" fillId="3" borderId="0" xfId="0" applyNumberFormat="1" applyFill="1"/>
    <xf numFmtId="165" fontId="8" fillId="2" borderId="0" xfId="0" applyNumberFormat="1" applyFont="1" applyFill="1"/>
    <xf numFmtId="10" fontId="8" fillId="2" borderId="0" xfId="0" applyNumberFormat="1" applyFont="1" applyFill="1"/>
    <xf numFmtId="10" fontId="0" fillId="2" borderId="0" xfId="0" applyNumberFormat="1" applyFill="1"/>
    <xf numFmtId="0" fontId="9" fillId="0" borderId="0" xfId="0" applyFont="1" applyProtection="1">
      <protection hidden="1"/>
    </xf>
    <xf numFmtId="0" fontId="3" fillId="0" borderId="10" xfId="0" applyFont="1" applyBorder="1" applyAlignment="1" applyProtection="1">
      <alignment vertical="top" wrapText="1"/>
      <protection hidden="1"/>
    </xf>
    <xf numFmtId="0" fontId="3" fillId="0" borderId="16" xfId="0" applyFont="1" applyBorder="1" applyAlignment="1" applyProtection="1">
      <alignment vertical="top" wrapText="1"/>
      <protection hidden="1"/>
    </xf>
    <xf numFmtId="0" fontId="3" fillId="0" borderId="12" xfId="0" applyFont="1" applyBorder="1" applyAlignment="1" applyProtection="1">
      <alignment vertical="top" wrapText="1"/>
      <protection hidden="1"/>
    </xf>
    <xf numFmtId="0" fontId="3" fillId="0" borderId="15" xfId="0" applyFont="1" applyBorder="1" applyAlignment="1" applyProtection="1">
      <alignment vertical="top" wrapText="1"/>
      <protection hidden="1"/>
    </xf>
    <xf numFmtId="0" fontId="3" fillId="0" borderId="11" xfId="0" applyFont="1" applyBorder="1" applyAlignment="1" applyProtection="1">
      <alignment vertical="top" wrapText="1"/>
      <protection hidden="1"/>
    </xf>
    <xf numFmtId="0" fontId="3" fillId="0" borderId="8" xfId="0" applyFont="1" applyBorder="1" applyAlignment="1" applyProtection="1">
      <alignment vertical="top"/>
      <protection hidden="1"/>
    </xf>
    <xf numFmtId="0" fontId="3" fillId="0" borderId="14" xfId="0" applyFont="1" applyBorder="1" applyAlignment="1" applyProtection="1">
      <alignment vertical="top"/>
      <protection hidden="1"/>
    </xf>
    <xf numFmtId="164" fontId="3" fillId="0" borderId="5" xfId="0" applyNumberFormat="1" applyFont="1" applyBorder="1" applyAlignment="1" applyProtection="1">
      <alignment horizontal="left" vertical="top" wrapText="1"/>
      <protection hidden="1"/>
    </xf>
    <xf numFmtId="164" fontId="3" fillId="0" borderId="4" xfId="0" applyNumberFormat="1" applyFont="1" applyBorder="1" applyAlignment="1" applyProtection="1">
      <alignment horizontal="left" vertical="top" wrapText="1"/>
      <protection hidden="1"/>
    </xf>
    <xf numFmtId="0" fontId="3" fillId="0" borderId="5" xfId="0" applyFont="1" applyBorder="1" applyAlignment="1" applyProtection="1">
      <alignment horizontal="left" vertical="top" wrapText="1"/>
      <protection hidden="1"/>
    </xf>
    <xf numFmtId="0" fontId="3" fillId="0" borderId="2" xfId="0" applyFont="1" applyBorder="1" applyAlignment="1" applyProtection="1">
      <alignment horizontal="left" vertical="top" wrapText="1"/>
      <protection hidden="1"/>
    </xf>
    <xf numFmtId="0" fontId="3" fillId="0" borderId="6" xfId="0" applyFont="1" applyBorder="1" applyAlignment="1" applyProtection="1">
      <alignment horizontal="left" vertical="top" wrapText="1"/>
      <protection hidden="1"/>
    </xf>
    <xf numFmtId="0" fontId="3" fillId="0" borderId="7" xfId="0" applyFont="1" applyBorder="1" applyAlignment="1" applyProtection="1">
      <alignment horizontal="left" vertical="top" wrapText="1"/>
      <protection hidden="1"/>
    </xf>
    <xf numFmtId="0" fontId="3" fillId="0" borderId="4" xfId="0" applyFont="1" applyBorder="1" applyAlignment="1" applyProtection="1">
      <alignment horizontal="left" vertical="top" wrapText="1"/>
      <protection hidden="1"/>
    </xf>
    <xf numFmtId="0" fontId="3" fillId="0" borderId="0" xfId="0" applyFont="1" applyAlignment="1" applyProtection="1">
      <alignment horizontal="left" vertical="top" wrapText="1"/>
      <protection hidden="1"/>
    </xf>
    <xf numFmtId="164" fontId="3" fillId="0" borderId="6" xfId="0" applyNumberFormat="1" applyFont="1" applyBorder="1" applyAlignment="1" applyProtection="1">
      <alignment horizontal="center" vertical="top" wrapText="1"/>
      <protection locked="0"/>
    </xf>
    <xf numFmtId="164" fontId="3" fillId="0" borderId="7" xfId="0" applyNumberFormat="1" applyFont="1" applyBorder="1" applyAlignment="1" applyProtection="1">
      <alignment horizontal="center" vertical="top" wrapText="1"/>
      <protection locked="0"/>
    </xf>
    <xf numFmtId="0" fontId="3" fillId="0" borderId="9" xfId="0" applyFont="1" applyBorder="1" applyAlignment="1" applyProtection="1">
      <alignment vertical="top"/>
      <protection hidden="1"/>
    </xf>
    <xf numFmtId="0" fontId="3" fillId="0" borderId="0" xfId="0" applyFont="1" applyAlignment="1" applyProtection="1">
      <alignment vertical="top" wrapText="1"/>
      <protection hidden="1"/>
    </xf>
    <xf numFmtId="164" fontId="3" fillId="0" borderId="3" xfId="0" applyNumberFormat="1" applyFont="1" applyBorder="1" applyAlignment="1" applyProtection="1">
      <alignment horizontal="left"/>
      <protection locked="0"/>
    </xf>
    <xf numFmtId="164" fontId="3" fillId="0" borderId="13" xfId="0" applyNumberFormat="1" applyFont="1" applyBorder="1" applyAlignment="1" applyProtection="1">
      <alignment horizontal="left"/>
      <protection locked="0"/>
    </xf>
    <xf numFmtId="0" fontId="3" fillId="3" borderId="0" xfId="0" applyFont="1" applyFill="1" applyAlignment="1">
      <alignment horizontal="center"/>
    </xf>
    <xf numFmtId="0" fontId="3" fillId="2" borderId="0" xfId="0" applyFont="1" applyFill="1" applyAlignment="1">
      <alignment horizontal="center"/>
    </xf>
    <xf numFmtId="0" fontId="0" fillId="0" borderId="0" xfId="0" applyAlignment="1">
      <alignment horizontal="center"/>
    </xf>
    <xf numFmtId="167" fontId="0" fillId="0" borderId="0" xfId="0" applyNumberFormat="1"/>
    <xf numFmtId="0" fontId="0" fillId="3" borderId="0" xfId="0" applyNumberFormat="1" applyFill="1"/>
    <xf numFmtId="0" fontId="0" fillId="0" borderId="0" xfId="0" applyNumberForma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H"/>
              <a:t>Contributions à la croissance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exercice!$J$7</c:f>
              <c:strCache>
                <c:ptCount val="1"/>
                <c:pt idx="0">
                  <c:v>C </c:v>
                </c:pt>
              </c:strCache>
            </c:strRef>
          </c:tx>
          <c:spPr>
            <a:solidFill>
              <a:schemeClr val="accent1"/>
            </a:solidFill>
            <a:ln>
              <a:noFill/>
            </a:ln>
            <a:effectLst/>
          </c:spPr>
          <c:invertIfNegative val="0"/>
          <c:cat>
            <c:numRef>
              <c:f>exercice!$I$8:$I$52</c:f>
              <c:numCache>
                <c:formatCode>#,##0</c:formatCode>
                <c:ptCount val="45"/>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pt idx="24">
                  <c:v>2005</c:v>
                </c:pt>
                <c:pt idx="25">
                  <c:v>2006</c:v>
                </c:pt>
                <c:pt idx="26">
                  <c:v>2007</c:v>
                </c:pt>
                <c:pt idx="27">
                  <c:v>2008</c:v>
                </c:pt>
                <c:pt idx="28">
                  <c:v>2009</c:v>
                </c:pt>
                <c:pt idx="29">
                  <c:v>2010</c:v>
                </c:pt>
                <c:pt idx="30">
                  <c:v>2011</c:v>
                </c:pt>
                <c:pt idx="31">
                  <c:v>2012</c:v>
                </c:pt>
                <c:pt idx="32">
                  <c:v>2013</c:v>
                </c:pt>
                <c:pt idx="33">
                  <c:v>2014</c:v>
                </c:pt>
                <c:pt idx="34">
                  <c:v>2015</c:v>
                </c:pt>
                <c:pt idx="35">
                  <c:v>2016</c:v>
                </c:pt>
                <c:pt idx="36">
                  <c:v>2017</c:v>
                </c:pt>
                <c:pt idx="37">
                  <c:v>2018</c:v>
                </c:pt>
                <c:pt idx="38">
                  <c:v>2019</c:v>
                </c:pt>
                <c:pt idx="39">
                  <c:v>2020</c:v>
                </c:pt>
                <c:pt idx="40">
                  <c:v>2021</c:v>
                </c:pt>
                <c:pt idx="41">
                  <c:v>2022</c:v>
                </c:pt>
                <c:pt idx="42">
                  <c:v>2023</c:v>
                </c:pt>
                <c:pt idx="43">
                  <c:v>2024</c:v>
                </c:pt>
                <c:pt idx="44">
                  <c:v>2025</c:v>
                </c:pt>
              </c:numCache>
            </c:numRef>
          </c:cat>
          <c:val>
            <c:numRef>
              <c:f>exercice!$J$8:$J$52</c:f>
              <c:numCache>
                <c:formatCode>0.00%</c:formatCode>
                <c:ptCount val="45"/>
                <c:pt idx="0">
                  <c:v>4.0226674494335812E-2</c:v>
                </c:pt>
                <c:pt idx="1">
                  <c:v>3.4843719494607336E-2</c:v>
                </c:pt>
                <c:pt idx="2">
                  <c:v>2.6171900676501915E-2</c:v>
                </c:pt>
                <c:pt idx="3">
                  <c:v>2.7821792154844434E-2</c:v>
                </c:pt>
                <c:pt idx="4">
                  <c:v>2.7781416263629292E-2</c:v>
                </c:pt>
                <c:pt idx="5">
                  <c:v>2.3218656453403069E-2</c:v>
                </c:pt>
                <c:pt idx="6">
                  <c:v>2.1178674291958455E-2</c:v>
                </c:pt>
                <c:pt idx="7">
                  <c:v>2.2027707934305717E-2</c:v>
                </c:pt>
                <c:pt idx="8">
                  <c:v>3.1566706338639672E-2</c:v>
                </c:pt>
                <c:pt idx="9">
                  <c:v>3.738119719436632E-2</c:v>
                </c:pt>
                <c:pt idx="10">
                  <c:v>3.8149348085415681E-2</c:v>
                </c:pt>
                <c:pt idx="11">
                  <c:v>2.3427283919727888E-2</c:v>
                </c:pt>
                <c:pt idx="12">
                  <c:v>1.2160324869838125E-2</c:v>
                </c:pt>
                <c:pt idx="13">
                  <c:v>5.9802384660793189E-3</c:v>
                </c:pt>
                <c:pt idx="14">
                  <c:v>1.1582095653428938E-2</c:v>
                </c:pt>
                <c:pt idx="15">
                  <c:v>1.2253568042170555E-2</c:v>
                </c:pt>
                <c:pt idx="16">
                  <c:v>1.5630814477490262E-2</c:v>
                </c:pt>
                <c:pt idx="17">
                  <c:v>1.2343076069187832E-2</c:v>
                </c:pt>
                <c:pt idx="18">
                  <c:v>1.6451014559190041E-2</c:v>
                </c:pt>
                <c:pt idx="19">
                  <c:v>2.0164993001651369E-2</c:v>
                </c:pt>
                <c:pt idx="20">
                  <c:v>1.5607830714263559E-2</c:v>
                </c:pt>
                <c:pt idx="21">
                  <c:v>-2.1178066458112923E-3</c:v>
                </c:pt>
                <c:pt idx="22">
                  <c:v>9.0693748034829918E-3</c:v>
                </c:pt>
                <c:pt idx="23">
                  <c:v>1.5506674119446281E-2</c:v>
                </c:pt>
                <c:pt idx="24">
                  <c:v>1.6133863808170296E-2</c:v>
                </c:pt>
                <c:pt idx="25">
                  <c:v>1.7265658759867734E-2</c:v>
                </c:pt>
                <c:pt idx="26">
                  <c:v>2.0078740853814073E-2</c:v>
                </c:pt>
                <c:pt idx="27">
                  <c:v>1.6987987050235652E-2</c:v>
                </c:pt>
                <c:pt idx="28">
                  <c:v>3.5957999522821761E-3</c:v>
                </c:pt>
                <c:pt idx="29">
                  <c:v>1.2447161617055188E-2</c:v>
                </c:pt>
                <c:pt idx="30">
                  <c:v>4.9045682978974417E-3</c:v>
                </c:pt>
                <c:pt idx="31">
                  <c:v>7.0052613176181605E-3</c:v>
                </c:pt>
                <c:pt idx="32">
                  <c:v>9.7479116318068357E-3</c:v>
                </c:pt>
                <c:pt idx="33">
                  <c:v>3.9750423182260824E-3</c:v>
                </c:pt>
                <c:pt idx="34">
                  <c:v>4.4372224432765207E-3</c:v>
                </c:pt>
                <c:pt idx="35">
                  <c:v>5.8280781843024244E-3</c:v>
                </c:pt>
                <c:pt idx="36">
                  <c:v>1.1418286185922886E-2</c:v>
                </c:pt>
                <c:pt idx="37">
                  <c:v>6.3947516614053087E-3</c:v>
                </c:pt>
                <c:pt idx="38">
                  <c:v>5.2101612764444034E-3</c:v>
                </c:pt>
                <c:pt idx="39">
                  <c:v>-2.1196210075694596E-2</c:v>
                </c:pt>
                <c:pt idx="40">
                  <c:v>1.2639161300861158E-2</c:v>
                </c:pt>
                <c:pt idx="41">
                  <c:v>3.5007055289234347E-2</c:v>
                </c:pt>
                <c:pt idx="42">
                  <c:v>1.4344290670722872E-2</c:v>
                </c:pt>
                <c:pt idx="43">
                  <c:v>1.6745257963762195E-2</c:v>
                </c:pt>
                <c:pt idx="44">
                  <c:v>1.0045729786695186E-2</c:v>
                </c:pt>
              </c:numCache>
            </c:numRef>
          </c:val>
          <c:extLst>
            <c:ext xmlns:c16="http://schemas.microsoft.com/office/drawing/2014/chart" uri="{C3380CC4-5D6E-409C-BE32-E72D297353CC}">
              <c16:uniqueId val="{00000000-DF77-4E5C-A0F4-8A4142BA7D4B}"/>
            </c:ext>
          </c:extLst>
        </c:ser>
        <c:ser>
          <c:idx val="1"/>
          <c:order val="1"/>
          <c:tx>
            <c:strRef>
              <c:f>exercice!$K$7</c:f>
              <c:strCache>
                <c:ptCount val="1"/>
                <c:pt idx="0">
                  <c:v>I</c:v>
                </c:pt>
              </c:strCache>
            </c:strRef>
          </c:tx>
          <c:spPr>
            <a:solidFill>
              <a:schemeClr val="accent2"/>
            </a:solidFill>
            <a:ln>
              <a:noFill/>
            </a:ln>
            <a:effectLst/>
          </c:spPr>
          <c:invertIfNegative val="0"/>
          <c:cat>
            <c:numRef>
              <c:f>exercice!$I$8:$I$52</c:f>
              <c:numCache>
                <c:formatCode>#,##0</c:formatCode>
                <c:ptCount val="45"/>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pt idx="24">
                  <c:v>2005</c:v>
                </c:pt>
                <c:pt idx="25">
                  <c:v>2006</c:v>
                </c:pt>
                <c:pt idx="26">
                  <c:v>2007</c:v>
                </c:pt>
                <c:pt idx="27">
                  <c:v>2008</c:v>
                </c:pt>
                <c:pt idx="28">
                  <c:v>2009</c:v>
                </c:pt>
                <c:pt idx="29">
                  <c:v>2010</c:v>
                </c:pt>
                <c:pt idx="30">
                  <c:v>2011</c:v>
                </c:pt>
                <c:pt idx="31">
                  <c:v>2012</c:v>
                </c:pt>
                <c:pt idx="32">
                  <c:v>2013</c:v>
                </c:pt>
                <c:pt idx="33">
                  <c:v>2014</c:v>
                </c:pt>
                <c:pt idx="34">
                  <c:v>2015</c:v>
                </c:pt>
                <c:pt idx="35">
                  <c:v>2016</c:v>
                </c:pt>
                <c:pt idx="36">
                  <c:v>2017</c:v>
                </c:pt>
                <c:pt idx="37">
                  <c:v>2018</c:v>
                </c:pt>
                <c:pt idx="38">
                  <c:v>2019</c:v>
                </c:pt>
                <c:pt idx="39">
                  <c:v>2020</c:v>
                </c:pt>
                <c:pt idx="40">
                  <c:v>2021</c:v>
                </c:pt>
                <c:pt idx="41">
                  <c:v>2022</c:v>
                </c:pt>
                <c:pt idx="42">
                  <c:v>2023</c:v>
                </c:pt>
                <c:pt idx="43">
                  <c:v>2024</c:v>
                </c:pt>
                <c:pt idx="44">
                  <c:v>2025</c:v>
                </c:pt>
              </c:numCache>
            </c:numRef>
          </c:cat>
          <c:val>
            <c:numRef>
              <c:f>exercice!$K$8:$K$52</c:f>
              <c:numCache>
                <c:formatCode>0.00%</c:formatCode>
                <c:ptCount val="45"/>
                <c:pt idx="0">
                  <c:v>2.5549592514916113E-2</c:v>
                </c:pt>
                <c:pt idx="1">
                  <c:v>1.6496534604626175E-3</c:v>
                </c:pt>
                <c:pt idx="2">
                  <c:v>1.5811416226721605E-2</c:v>
                </c:pt>
                <c:pt idx="3">
                  <c:v>1.7957222474895194E-2</c:v>
                </c:pt>
                <c:pt idx="4">
                  <c:v>2.188778022494622E-2</c:v>
                </c:pt>
                <c:pt idx="5">
                  <c:v>2.2879696435152596E-2</c:v>
                </c:pt>
                <c:pt idx="6">
                  <c:v>1.4996653196803111E-2</c:v>
                </c:pt>
                <c:pt idx="7">
                  <c:v>3.7702919061834886E-2</c:v>
                </c:pt>
                <c:pt idx="8">
                  <c:v>3.1741633098530023E-2</c:v>
                </c:pt>
                <c:pt idx="9">
                  <c:v>2.2203190816566104E-2</c:v>
                </c:pt>
                <c:pt idx="10">
                  <c:v>3.6493537666460845E-4</c:v>
                </c:pt>
                <c:pt idx="11">
                  <c:v>-2.6515468723064886E-2</c:v>
                </c:pt>
                <c:pt idx="12">
                  <c:v>-1.2069947621306259E-2</c:v>
                </c:pt>
                <c:pt idx="13">
                  <c:v>8.9409387988887475E-3</c:v>
                </c:pt>
                <c:pt idx="14">
                  <c:v>2.7254258199172344E-3</c:v>
                </c:pt>
                <c:pt idx="15">
                  <c:v>-9.2280733168081785E-3</c:v>
                </c:pt>
                <c:pt idx="16">
                  <c:v>5.7962926947820051E-3</c:v>
                </c:pt>
                <c:pt idx="17">
                  <c:v>1.9343244585579764E-2</c:v>
                </c:pt>
                <c:pt idx="18">
                  <c:v>8.3517456659586344E-3</c:v>
                </c:pt>
                <c:pt idx="19">
                  <c:v>1.7404269733775846E-2</c:v>
                </c:pt>
                <c:pt idx="20">
                  <c:v>1.1294029329404361E-3</c:v>
                </c:pt>
                <c:pt idx="21">
                  <c:v>1.6452765997970182E-3</c:v>
                </c:pt>
                <c:pt idx="22">
                  <c:v>-2.9440255118943761E-3</c:v>
                </c:pt>
                <c:pt idx="23">
                  <c:v>1.6305774948859254E-2</c:v>
                </c:pt>
                <c:pt idx="24">
                  <c:v>9.6536459597991679E-3</c:v>
                </c:pt>
                <c:pt idx="25">
                  <c:v>1.521885517676806E-2</c:v>
                </c:pt>
                <c:pt idx="26">
                  <c:v>1.9474681907405655E-2</c:v>
                </c:pt>
                <c:pt idx="27">
                  <c:v>7.2048574275012491E-3</c:v>
                </c:pt>
                <c:pt idx="28">
                  <c:v>-1.8984307296377904E-2</c:v>
                </c:pt>
                <c:pt idx="29">
                  <c:v>9.4143729652882823E-3</c:v>
                </c:pt>
                <c:pt idx="30">
                  <c:v>6.3225370073064432E-3</c:v>
                </c:pt>
                <c:pt idx="31">
                  <c:v>8.8914208415742952E-3</c:v>
                </c:pt>
                <c:pt idx="32">
                  <c:v>4.7059204250031418E-3</c:v>
                </c:pt>
                <c:pt idx="33">
                  <c:v>6.7741009064304532E-3</c:v>
                </c:pt>
                <c:pt idx="34">
                  <c:v>1.9424326184875433E-3</c:v>
                </c:pt>
                <c:pt idx="35">
                  <c:v>5.8517297567567475E-3</c:v>
                </c:pt>
                <c:pt idx="36">
                  <c:v>1.0786339090569114E-2</c:v>
                </c:pt>
                <c:pt idx="37">
                  <c:v>5.9192486223941417E-3</c:v>
                </c:pt>
                <c:pt idx="38">
                  <c:v>2.784366657192742E-3</c:v>
                </c:pt>
                <c:pt idx="39">
                  <c:v>-1.9719304534774121E-3</c:v>
                </c:pt>
                <c:pt idx="40">
                  <c:v>1.3453532020555459E-2</c:v>
                </c:pt>
                <c:pt idx="41">
                  <c:v>1.2386155414254451E-2</c:v>
                </c:pt>
                <c:pt idx="42">
                  <c:v>1.1111429510400022E-2</c:v>
                </c:pt>
                <c:pt idx="43">
                  <c:v>1.8485922544370663E-3</c:v>
                </c:pt>
                <c:pt idx="44">
                  <c:v>-3.9912424097128112E-4</c:v>
                </c:pt>
              </c:numCache>
            </c:numRef>
          </c:val>
          <c:extLst>
            <c:ext xmlns:c16="http://schemas.microsoft.com/office/drawing/2014/chart" uri="{C3380CC4-5D6E-409C-BE32-E72D297353CC}">
              <c16:uniqueId val="{00000001-DF77-4E5C-A0F4-8A4142BA7D4B}"/>
            </c:ext>
          </c:extLst>
        </c:ser>
        <c:ser>
          <c:idx val="2"/>
          <c:order val="2"/>
          <c:tx>
            <c:strRef>
              <c:f>exercice!$L$7</c:f>
              <c:strCache>
                <c:ptCount val="1"/>
                <c:pt idx="0">
                  <c:v>G</c:v>
                </c:pt>
              </c:strCache>
            </c:strRef>
          </c:tx>
          <c:spPr>
            <a:solidFill>
              <a:schemeClr val="accent3"/>
            </a:solidFill>
            <a:ln>
              <a:noFill/>
            </a:ln>
            <a:effectLst/>
          </c:spPr>
          <c:invertIfNegative val="0"/>
          <c:cat>
            <c:numRef>
              <c:f>exercice!$I$8:$I$52</c:f>
              <c:numCache>
                <c:formatCode>#,##0</c:formatCode>
                <c:ptCount val="45"/>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pt idx="24">
                  <c:v>2005</c:v>
                </c:pt>
                <c:pt idx="25">
                  <c:v>2006</c:v>
                </c:pt>
                <c:pt idx="26">
                  <c:v>2007</c:v>
                </c:pt>
                <c:pt idx="27">
                  <c:v>2008</c:v>
                </c:pt>
                <c:pt idx="28">
                  <c:v>2009</c:v>
                </c:pt>
                <c:pt idx="29">
                  <c:v>2010</c:v>
                </c:pt>
                <c:pt idx="30">
                  <c:v>2011</c:v>
                </c:pt>
                <c:pt idx="31">
                  <c:v>2012</c:v>
                </c:pt>
                <c:pt idx="32">
                  <c:v>2013</c:v>
                </c:pt>
                <c:pt idx="33">
                  <c:v>2014</c:v>
                </c:pt>
                <c:pt idx="34">
                  <c:v>2015</c:v>
                </c:pt>
                <c:pt idx="35">
                  <c:v>2016</c:v>
                </c:pt>
                <c:pt idx="36">
                  <c:v>2017</c:v>
                </c:pt>
                <c:pt idx="37">
                  <c:v>2018</c:v>
                </c:pt>
                <c:pt idx="38">
                  <c:v>2019</c:v>
                </c:pt>
                <c:pt idx="39">
                  <c:v>2020</c:v>
                </c:pt>
                <c:pt idx="40">
                  <c:v>2021</c:v>
                </c:pt>
                <c:pt idx="41">
                  <c:v>2022</c:v>
                </c:pt>
                <c:pt idx="42">
                  <c:v>2023</c:v>
                </c:pt>
                <c:pt idx="43">
                  <c:v>2024</c:v>
                </c:pt>
                <c:pt idx="44">
                  <c:v>2025</c:v>
                </c:pt>
              </c:numCache>
            </c:numRef>
          </c:cat>
          <c:val>
            <c:numRef>
              <c:f>exercice!$L$8:$L$52</c:f>
              <c:numCache>
                <c:formatCode>0.00%</c:formatCode>
                <c:ptCount val="45"/>
                <c:pt idx="0">
                  <c:v>8.708576868196238E-3</c:v>
                </c:pt>
                <c:pt idx="1">
                  <c:v>8.3342437159093334E-3</c:v>
                </c:pt>
                <c:pt idx="2">
                  <c:v>5.9000752434588064E-3</c:v>
                </c:pt>
                <c:pt idx="3">
                  <c:v>4.855168167676731E-3</c:v>
                </c:pt>
                <c:pt idx="4">
                  <c:v>7.1730964209690854E-3</c:v>
                </c:pt>
                <c:pt idx="5">
                  <c:v>6.4831107166813213E-3</c:v>
                </c:pt>
                <c:pt idx="6">
                  <c:v>3.3732049731590771E-3</c:v>
                </c:pt>
                <c:pt idx="7">
                  <c:v>8.2992307780394448E-3</c:v>
                </c:pt>
                <c:pt idx="8">
                  <c:v>1.2857944384540996E-2</c:v>
                </c:pt>
                <c:pt idx="9">
                  <c:v>1.0760435858975122E-2</c:v>
                </c:pt>
                <c:pt idx="10">
                  <c:v>1.0744339131469301E-2</c:v>
                </c:pt>
                <c:pt idx="11">
                  <c:v>6.3626262603588193E-3</c:v>
                </c:pt>
                <c:pt idx="12">
                  <c:v>2.7917117475673345E-3</c:v>
                </c:pt>
                <c:pt idx="13">
                  <c:v>2.9519024924085022E-3</c:v>
                </c:pt>
                <c:pt idx="14">
                  <c:v>1.1064142202040709E-3</c:v>
                </c:pt>
                <c:pt idx="15">
                  <c:v>2.3456916133347888E-3</c:v>
                </c:pt>
                <c:pt idx="16">
                  <c:v>-6.2967294644097188E-4</c:v>
                </c:pt>
                <c:pt idx="17">
                  <c:v>1.2693115457878348E-3</c:v>
                </c:pt>
                <c:pt idx="18">
                  <c:v>2.3592304891701795E-3</c:v>
                </c:pt>
                <c:pt idx="19">
                  <c:v>4.6647125172165037E-3</c:v>
                </c:pt>
                <c:pt idx="20">
                  <c:v>3.7650347185926025E-3</c:v>
                </c:pt>
                <c:pt idx="21">
                  <c:v>3.7457407186486913E-3</c:v>
                </c:pt>
                <c:pt idx="22">
                  <c:v>3.2558138766885535E-3</c:v>
                </c:pt>
                <c:pt idx="23">
                  <c:v>1.3199126203267289E-3</c:v>
                </c:pt>
                <c:pt idx="24">
                  <c:v>2.2374360933893442E-3</c:v>
                </c:pt>
                <c:pt idx="25">
                  <c:v>1.3909025752071953E-3</c:v>
                </c:pt>
                <c:pt idx="26">
                  <c:v>2.926617099216764E-3</c:v>
                </c:pt>
                <c:pt idx="27">
                  <c:v>5.8434531726553225E-3</c:v>
                </c:pt>
                <c:pt idx="28">
                  <c:v>6.0233445952491164E-3</c:v>
                </c:pt>
                <c:pt idx="29">
                  <c:v>1.8528120553329666E-3</c:v>
                </c:pt>
                <c:pt idx="30">
                  <c:v>2.644860496715801E-3</c:v>
                </c:pt>
                <c:pt idx="31">
                  <c:v>1.538196393256474E-3</c:v>
                </c:pt>
                <c:pt idx="32">
                  <c:v>2.6403294477048557E-3</c:v>
                </c:pt>
                <c:pt idx="33">
                  <c:v>2.7022251497740811E-3</c:v>
                </c:pt>
                <c:pt idx="34">
                  <c:v>9.7657295303892142E-4</c:v>
                </c:pt>
                <c:pt idx="35">
                  <c:v>1.6747136044770923E-3</c:v>
                </c:pt>
                <c:pt idx="36">
                  <c:v>1.8878538791431245E-3</c:v>
                </c:pt>
                <c:pt idx="37">
                  <c:v>1.7153920055407816E-3</c:v>
                </c:pt>
                <c:pt idx="38">
                  <c:v>2.3838375820929947E-3</c:v>
                </c:pt>
                <c:pt idx="39">
                  <c:v>4.0837048726305013E-3</c:v>
                </c:pt>
                <c:pt idx="40">
                  <c:v>6.2474144958137925E-3</c:v>
                </c:pt>
                <c:pt idx="41">
                  <c:v>1.7222873434769791E-3</c:v>
                </c:pt>
                <c:pt idx="42">
                  <c:v>5.343888119425798E-3</c:v>
                </c:pt>
                <c:pt idx="43">
                  <c:v>4.5537880662562388E-3</c:v>
                </c:pt>
                <c:pt idx="44">
                  <c:v>3.1951095604661889E-3</c:v>
                </c:pt>
              </c:numCache>
            </c:numRef>
          </c:val>
          <c:extLst>
            <c:ext xmlns:c16="http://schemas.microsoft.com/office/drawing/2014/chart" uri="{C3380CC4-5D6E-409C-BE32-E72D297353CC}">
              <c16:uniqueId val="{00000002-DF77-4E5C-A0F4-8A4142BA7D4B}"/>
            </c:ext>
          </c:extLst>
        </c:ser>
        <c:ser>
          <c:idx val="3"/>
          <c:order val="3"/>
          <c:tx>
            <c:strRef>
              <c:f>exercice!$M$7</c:f>
              <c:strCache>
                <c:ptCount val="1"/>
                <c:pt idx="0">
                  <c:v>NX</c:v>
                </c:pt>
              </c:strCache>
            </c:strRef>
          </c:tx>
          <c:spPr>
            <a:solidFill>
              <a:schemeClr val="accent4"/>
            </a:solidFill>
            <a:ln>
              <a:noFill/>
            </a:ln>
            <a:effectLst/>
          </c:spPr>
          <c:invertIfNegative val="0"/>
          <c:cat>
            <c:numRef>
              <c:f>exercice!$I$8:$I$52</c:f>
              <c:numCache>
                <c:formatCode>#,##0</c:formatCode>
                <c:ptCount val="45"/>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pt idx="24">
                  <c:v>2005</c:v>
                </c:pt>
                <c:pt idx="25">
                  <c:v>2006</c:v>
                </c:pt>
                <c:pt idx="26">
                  <c:v>2007</c:v>
                </c:pt>
                <c:pt idx="27">
                  <c:v>2008</c:v>
                </c:pt>
                <c:pt idx="28">
                  <c:v>2009</c:v>
                </c:pt>
                <c:pt idx="29">
                  <c:v>2010</c:v>
                </c:pt>
                <c:pt idx="30">
                  <c:v>2011</c:v>
                </c:pt>
                <c:pt idx="31">
                  <c:v>2012</c:v>
                </c:pt>
                <c:pt idx="32">
                  <c:v>2013</c:v>
                </c:pt>
                <c:pt idx="33">
                  <c:v>2014</c:v>
                </c:pt>
                <c:pt idx="34">
                  <c:v>2015</c:v>
                </c:pt>
                <c:pt idx="35">
                  <c:v>2016</c:v>
                </c:pt>
                <c:pt idx="36">
                  <c:v>2017</c:v>
                </c:pt>
                <c:pt idx="37">
                  <c:v>2018</c:v>
                </c:pt>
                <c:pt idx="38">
                  <c:v>2019</c:v>
                </c:pt>
                <c:pt idx="39">
                  <c:v>2020</c:v>
                </c:pt>
                <c:pt idx="40">
                  <c:v>2021</c:v>
                </c:pt>
                <c:pt idx="41">
                  <c:v>2022</c:v>
                </c:pt>
                <c:pt idx="42">
                  <c:v>2023</c:v>
                </c:pt>
                <c:pt idx="43">
                  <c:v>2024</c:v>
                </c:pt>
                <c:pt idx="44">
                  <c:v>2025</c:v>
                </c:pt>
              </c:numCache>
            </c:numRef>
          </c:cat>
          <c:val>
            <c:numRef>
              <c:f>exercice!$M$8:$M$52</c:f>
              <c:numCache>
                <c:formatCode>0.00%</c:formatCode>
                <c:ptCount val="45"/>
                <c:pt idx="0">
                  <c:v>2.7010121654377269E-2</c:v>
                </c:pt>
                <c:pt idx="1">
                  <c:v>2.6513177276581081E-4</c:v>
                </c:pt>
                <c:pt idx="2">
                  <c:v>-1.5996681814807675E-2</c:v>
                </c:pt>
                <c:pt idx="3">
                  <c:v>3.9070718993537853E-2</c:v>
                </c:pt>
                <c:pt idx="4">
                  <c:v>-1.5753726270837719E-3</c:v>
                </c:pt>
                <c:pt idx="5">
                  <c:v>-1.6476628273599934E-2</c:v>
                </c:pt>
                <c:pt idx="6">
                  <c:v>4.9667442452619578E-3</c:v>
                </c:pt>
                <c:pt idx="7">
                  <c:v>1.0666612000145541E-4</c:v>
                </c:pt>
                <c:pt idx="8">
                  <c:v>-1.7979454109739092E-5</c:v>
                </c:pt>
                <c:pt idx="9">
                  <c:v>-9.6041373127871803E-3</c:v>
                </c:pt>
                <c:pt idx="10">
                  <c:v>1.2154684590668811E-2</c:v>
                </c:pt>
                <c:pt idx="11">
                  <c:v>1.1867926272392111E-2</c:v>
                </c:pt>
                <c:pt idx="12">
                  <c:v>1.3993084070232493E-2</c:v>
                </c:pt>
                <c:pt idx="13">
                  <c:v>1.1176905672684791E-3</c:v>
                </c:pt>
                <c:pt idx="14">
                  <c:v>-1.3575922949674375E-3</c:v>
                </c:pt>
                <c:pt idx="15">
                  <c:v>-4.2190340291328949E-3</c:v>
                </c:pt>
                <c:pt idx="16">
                  <c:v>1.2432923902275933E-2</c:v>
                </c:pt>
                <c:pt idx="17">
                  <c:v>-7.3766080888117147E-3</c:v>
                </c:pt>
                <c:pt idx="18">
                  <c:v>1.2894054747327544E-3</c:v>
                </c:pt>
                <c:pt idx="19">
                  <c:v>1.3350982972457966E-2</c:v>
                </c:pt>
                <c:pt idx="20">
                  <c:v>-6.0078874319856122E-3</c:v>
                </c:pt>
                <c:pt idx="21">
                  <c:v>1.0440224005079995E-2</c:v>
                </c:pt>
                <c:pt idx="22">
                  <c:v>-8.2614158219446057E-4</c:v>
                </c:pt>
                <c:pt idx="23">
                  <c:v>2.2835249842116021E-2</c:v>
                </c:pt>
                <c:pt idx="24">
                  <c:v>-1.3879017034304473E-2</c:v>
                </c:pt>
                <c:pt idx="25">
                  <c:v>1.9472044393540468E-2</c:v>
                </c:pt>
                <c:pt idx="26">
                  <c:v>3.4777455695250876E-2</c:v>
                </c:pt>
                <c:pt idx="27">
                  <c:v>1.0996348306661157E-3</c:v>
                </c:pt>
                <c:pt idx="28">
                  <c:v>-3.1416265830138138E-2</c:v>
                </c:pt>
                <c:pt idx="29">
                  <c:v>3.7280317246616082E-2</c:v>
                </c:pt>
                <c:pt idx="30">
                  <c:v>-2.0623658598444547E-2</c:v>
                </c:pt>
                <c:pt idx="31">
                  <c:v>1.7553894766578676E-2</c:v>
                </c:pt>
                <c:pt idx="32">
                  <c:v>1.47043808224624E-2</c:v>
                </c:pt>
                <c:pt idx="33">
                  <c:v>1.5260542276260846E-3</c:v>
                </c:pt>
                <c:pt idx="34">
                  <c:v>-8.4604987741390897E-4</c:v>
                </c:pt>
                <c:pt idx="35">
                  <c:v>-4.8327684943072942E-3</c:v>
                </c:pt>
                <c:pt idx="36">
                  <c:v>-1.1064476850045392E-2</c:v>
                </c:pt>
                <c:pt idx="37">
                  <c:v>2.0623809983042612E-2</c:v>
                </c:pt>
                <c:pt idx="38">
                  <c:v>-6.1963659045478417E-3</c:v>
                </c:pt>
                <c:pt idx="39">
                  <c:v>-3.7595383229064416E-2</c:v>
                </c:pt>
                <c:pt idx="40">
                  <c:v>7.1725915851603719E-2</c:v>
                </c:pt>
                <c:pt idx="41">
                  <c:v>2.7303663154103153E-2</c:v>
                </c:pt>
                <c:pt idx="42">
                  <c:v>-2.6010019259939454E-2</c:v>
                </c:pt>
                <c:pt idx="43">
                  <c:v>1.4353225642369235E-2</c:v>
                </c:pt>
                <c:pt idx="44">
                  <c:v>-2.9643244404568322E-2</c:v>
                </c:pt>
              </c:numCache>
            </c:numRef>
          </c:val>
          <c:extLst>
            <c:ext xmlns:c16="http://schemas.microsoft.com/office/drawing/2014/chart" uri="{C3380CC4-5D6E-409C-BE32-E72D297353CC}">
              <c16:uniqueId val="{00000003-DF77-4E5C-A0F4-8A4142BA7D4B}"/>
            </c:ext>
          </c:extLst>
        </c:ser>
        <c:ser>
          <c:idx val="4"/>
          <c:order val="4"/>
          <c:tx>
            <c:strRef>
              <c:f>exercice!$N$7</c:f>
              <c:strCache>
                <c:ptCount val="1"/>
                <c:pt idx="0">
                  <c:v>X</c:v>
                </c:pt>
              </c:strCache>
            </c:strRef>
          </c:tx>
          <c:spPr>
            <a:solidFill>
              <a:schemeClr val="accent5"/>
            </a:solidFill>
            <a:ln>
              <a:noFill/>
            </a:ln>
            <a:effectLst/>
          </c:spPr>
          <c:invertIfNegative val="0"/>
          <c:cat>
            <c:numRef>
              <c:f>exercice!$I$8:$I$52</c:f>
              <c:numCache>
                <c:formatCode>#,##0</c:formatCode>
                <c:ptCount val="45"/>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pt idx="24">
                  <c:v>2005</c:v>
                </c:pt>
                <c:pt idx="25">
                  <c:v>2006</c:v>
                </c:pt>
                <c:pt idx="26">
                  <c:v>2007</c:v>
                </c:pt>
                <c:pt idx="27">
                  <c:v>2008</c:v>
                </c:pt>
                <c:pt idx="28">
                  <c:v>2009</c:v>
                </c:pt>
                <c:pt idx="29">
                  <c:v>2010</c:v>
                </c:pt>
                <c:pt idx="30">
                  <c:v>2011</c:v>
                </c:pt>
                <c:pt idx="31">
                  <c:v>2012</c:v>
                </c:pt>
                <c:pt idx="32">
                  <c:v>2013</c:v>
                </c:pt>
                <c:pt idx="33">
                  <c:v>2014</c:v>
                </c:pt>
                <c:pt idx="34">
                  <c:v>2015</c:v>
                </c:pt>
                <c:pt idx="35">
                  <c:v>2016</c:v>
                </c:pt>
                <c:pt idx="36">
                  <c:v>2017</c:v>
                </c:pt>
                <c:pt idx="37">
                  <c:v>2018</c:v>
                </c:pt>
                <c:pt idx="38">
                  <c:v>2019</c:v>
                </c:pt>
                <c:pt idx="39">
                  <c:v>2020</c:v>
                </c:pt>
                <c:pt idx="40">
                  <c:v>2021</c:v>
                </c:pt>
                <c:pt idx="41">
                  <c:v>2022</c:v>
                </c:pt>
                <c:pt idx="42">
                  <c:v>2023</c:v>
                </c:pt>
                <c:pt idx="43">
                  <c:v>2024</c:v>
                </c:pt>
                <c:pt idx="44">
                  <c:v>2025</c:v>
                </c:pt>
              </c:numCache>
            </c:numRef>
          </c:cat>
          <c:val>
            <c:numRef>
              <c:f>exercice!$N$8:$N$52</c:f>
              <c:numCache>
                <c:formatCode>0.00%</c:formatCode>
                <c:ptCount val="45"/>
                <c:pt idx="0">
                  <c:v>5.3623746151765836E-2</c:v>
                </c:pt>
                <c:pt idx="1">
                  <c:v>-1.2415120121133711E-2</c:v>
                </c:pt>
                <c:pt idx="2">
                  <c:v>2.9064531235255047E-5</c:v>
                </c:pt>
                <c:pt idx="3">
                  <c:v>7.3182271742047902E-2</c:v>
                </c:pt>
                <c:pt idx="4">
                  <c:v>3.2746585949733675E-2</c:v>
                </c:pt>
                <c:pt idx="5">
                  <c:v>-1.6117633789793775E-2</c:v>
                </c:pt>
                <c:pt idx="6">
                  <c:v>-1.1716068251613832E-2</c:v>
                </c:pt>
                <c:pt idx="7">
                  <c:v>3.7221681640130511E-2</c:v>
                </c:pt>
                <c:pt idx="8">
                  <c:v>5.8903830511506258E-2</c:v>
                </c:pt>
                <c:pt idx="9">
                  <c:v>4.5028092319489581E-4</c:v>
                </c:pt>
                <c:pt idx="10">
                  <c:v>2.0514804819745215E-3</c:v>
                </c:pt>
                <c:pt idx="11">
                  <c:v>1.7318287681668088E-2</c:v>
                </c:pt>
                <c:pt idx="12">
                  <c:v>9.3327276134686516E-3</c:v>
                </c:pt>
                <c:pt idx="13">
                  <c:v>2.435411187432113E-3</c:v>
                </c:pt>
                <c:pt idx="14">
                  <c:v>4.3922590137793838E-3</c:v>
                </c:pt>
                <c:pt idx="15">
                  <c:v>1.4351289888356001E-2</c:v>
                </c:pt>
                <c:pt idx="16">
                  <c:v>6.285402904732218E-2</c:v>
                </c:pt>
                <c:pt idx="17">
                  <c:v>6.8535279837387397E-3</c:v>
                </c:pt>
                <c:pt idx="18">
                  <c:v>1.6837334406742149E-2</c:v>
                </c:pt>
                <c:pt idx="19">
                  <c:v>7.2936225698535029E-2</c:v>
                </c:pt>
                <c:pt idx="20">
                  <c:v>-8.4723984040389606E-4</c:v>
                </c:pt>
                <c:pt idx="21">
                  <c:v>-1.6698821647978045E-2</c:v>
                </c:pt>
                <c:pt idx="22">
                  <c:v>-2.1676151389044855E-3</c:v>
                </c:pt>
                <c:pt idx="23">
                  <c:v>5.2231127180113204E-2</c:v>
                </c:pt>
                <c:pt idx="24">
                  <c:v>4.622441454697912E-2</c:v>
                </c:pt>
                <c:pt idx="25">
                  <c:v>6.3772857345123016E-2</c:v>
                </c:pt>
                <c:pt idx="26">
                  <c:v>8.9052664034965215E-2</c:v>
                </c:pt>
                <c:pt idx="27">
                  <c:v>4.1505774267349707E-2</c:v>
                </c:pt>
                <c:pt idx="28">
                  <c:v>-6.0118266914751334E-2</c:v>
                </c:pt>
                <c:pt idx="29">
                  <c:v>9.1547998436346006E-2</c:v>
                </c:pt>
                <c:pt idx="30">
                  <c:v>2.8387237827331709E-2</c:v>
                </c:pt>
                <c:pt idx="31">
                  <c:v>2.1232163345141376E-2</c:v>
                </c:pt>
                <c:pt idx="32">
                  <c:v>5.4015500590908518E-2</c:v>
                </c:pt>
                <c:pt idx="33">
                  <c:v>-5.5622730447678723E-2</c:v>
                </c:pt>
                <c:pt idx="34">
                  <c:v>-1.420219566043073E-2</c:v>
                </c:pt>
                <c:pt idx="35">
                  <c:v>3.8375720380819781E-2</c:v>
                </c:pt>
                <c:pt idx="36">
                  <c:v>1.1435773227915292E-3</c:v>
                </c:pt>
                <c:pt idx="37">
                  <c:v>3.8396343247471022E-2</c:v>
                </c:pt>
                <c:pt idx="38">
                  <c:v>8.1383408711588388E-4</c:v>
                </c:pt>
                <c:pt idx="39">
                  <c:v>-4.4865887116484114E-2</c:v>
                </c:pt>
                <c:pt idx="40">
                  <c:v>0.12130510272931948</c:v>
                </c:pt>
                <c:pt idx="41">
                  <c:v>0.10040493556777594</c:v>
                </c:pt>
                <c:pt idx="42">
                  <c:v>-3.4034559961067821E-2</c:v>
                </c:pt>
                <c:pt idx="43">
                  <c:v>2.5707789372502458E-2</c:v>
                </c:pt>
                <c:pt idx="44">
                  <c:v>8.0923853400957368E-2</c:v>
                </c:pt>
              </c:numCache>
            </c:numRef>
          </c:val>
          <c:extLst>
            <c:ext xmlns:c16="http://schemas.microsoft.com/office/drawing/2014/chart" uri="{C3380CC4-5D6E-409C-BE32-E72D297353CC}">
              <c16:uniqueId val="{00000004-DF77-4E5C-A0F4-8A4142BA7D4B}"/>
            </c:ext>
          </c:extLst>
        </c:ser>
        <c:dLbls>
          <c:showLegendKey val="0"/>
          <c:showVal val="0"/>
          <c:showCatName val="0"/>
          <c:showSerName val="0"/>
          <c:showPercent val="0"/>
          <c:showBubbleSize val="0"/>
        </c:dLbls>
        <c:gapWidth val="150"/>
        <c:overlap val="100"/>
        <c:axId val="1264364528"/>
        <c:axId val="998273760"/>
      </c:barChart>
      <c:catAx>
        <c:axId val="126436452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98273760"/>
        <c:crosses val="autoZero"/>
        <c:auto val="1"/>
        <c:lblAlgn val="ctr"/>
        <c:lblOffset val="100"/>
        <c:noMultiLvlLbl val="0"/>
      </c:catAx>
      <c:valAx>
        <c:axId val="998273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64364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H"/>
              <a:t>Contributions relatives à la croissance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exercice!$V$7</c:f>
              <c:strCache>
                <c:ptCount val="1"/>
                <c:pt idx="0">
                  <c:v>C</c:v>
                </c:pt>
              </c:strCache>
            </c:strRef>
          </c:tx>
          <c:spPr>
            <a:solidFill>
              <a:schemeClr val="accent1"/>
            </a:solidFill>
            <a:ln>
              <a:noFill/>
            </a:ln>
            <a:effectLst/>
          </c:spPr>
          <c:invertIfNegative val="0"/>
          <c:cat>
            <c:numRef>
              <c:f>exercice!$U$8:$U$52</c:f>
              <c:numCache>
                <c:formatCode>General</c:formatCode>
                <c:ptCount val="45"/>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pt idx="24">
                  <c:v>2005</c:v>
                </c:pt>
                <c:pt idx="25">
                  <c:v>2006</c:v>
                </c:pt>
                <c:pt idx="26">
                  <c:v>2007</c:v>
                </c:pt>
                <c:pt idx="27">
                  <c:v>2008</c:v>
                </c:pt>
                <c:pt idx="28">
                  <c:v>2009</c:v>
                </c:pt>
                <c:pt idx="29">
                  <c:v>2010</c:v>
                </c:pt>
                <c:pt idx="30">
                  <c:v>2011</c:v>
                </c:pt>
                <c:pt idx="31">
                  <c:v>2012</c:v>
                </c:pt>
                <c:pt idx="32">
                  <c:v>2013</c:v>
                </c:pt>
                <c:pt idx="33">
                  <c:v>2014</c:v>
                </c:pt>
                <c:pt idx="34">
                  <c:v>2015</c:v>
                </c:pt>
                <c:pt idx="35">
                  <c:v>2016</c:v>
                </c:pt>
                <c:pt idx="36">
                  <c:v>2017</c:v>
                </c:pt>
                <c:pt idx="37">
                  <c:v>2018</c:v>
                </c:pt>
                <c:pt idx="38">
                  <c:v>2019</c:v>
                </c:pt>
                <c:pt idx="39">
                  <c:v>2020</c:v>
                </c:pt>
                <c:pt idx="40">
                  <c:v>2021</c:v>
                </c:pt>
                <c:pt idx="41">
                  <c:v>2022</c:v>
                </c:pt>
                <c:pt idx="42">
                  <c:v>2023</c:v>
                </c:pt>
                <c:pt idx="43">
                  <c:v>2024</c:v>
                </c:pt>
                <c:pt idx="44">
                  <c:v>2025</c:v>
                </c:pt>
              </c:numCache>
            </c:numRef>
          </c:cat>
          <c:val>
            <c:numRef>
              <c:f>exercice!$V$8:$V$52</c:f>
              <c:numCache>
                <c:formatCode>General</c:formatCode>
                <c:ptCount val="45"/>
                <c:pt idx="0">
                  <c:v>1.3054430619744941</c:v>
                </c:pt>
                <c:pt idx="1">
                  <c:v>1.3898662755349933</c:v>
                </c:pt>
                <c:pt idx="2">
                  <c:v>2.0247266998208162</c:v>
                </c:pt>
                <c:pt idx="3">
                  <c:v>0.96264757069671436</c:v>
                </c:pt>
                <c:pt idx="4">
                  <c:v>1.0929166021425858</c:v>
                </c:pt>
                <c:pt idx="5">
                  <c:v>1.1066565010100062</c:v>
                </c:pt>
                <c:pt idx="6">
                  <c:v>1.3029159316491861</c:v>
                </c:pt>
                <c:pt idx="7">
                  <c:v>0.84859050426452687</c:v>
                </c:pt>
                <c:pt idx="8">
                  <c:v>0.95141984914625577</c:v>
                </c:pt>
                <c:pt idx="9">
                  <c:v>1.0613870284652538</c:v>
                </c:pt>
                <c:pt idx="10">
                  <c:v>2.0203590251153543</c:v>
                </c:pt>
                <c:pt idx="11">
                  <c:v>2.6203415625824031</c:v>
                </c:pt>
                <c:pt idx="12">
                  <c:v>1.2906805775904096</c:v>
                </c:pt>
                <c:pt idx="13">
                  <c:v>0.56453153236474807</c:v>
                </c:pt>
                <c:pt idx="14">
                  <c:v>2.1953869331531877</c:v>
                </c:pt>
                <c:pt idx="15">
                  <c:v>3.5636310355458938</c:v>
                </c:pt>
                <c:pt idx="16">
                  <c:v>2.2557536881901417</c:v>
                </c:pt>
                <c:pt idx="17">
                  <c:v>1.1141004858893107</c:v>
                </c:pt>
                <c:pt idx="18">
                  <c:v>1.9841674565888656</c:v>
                </c:pt>
                <c:pt idx="19">
                  <c:v>0.92823168016262381</c:v>
                </c:pt>
                <c:pt idx="20">
                  <c:v>1.3482809310909813</c:v>
                </c:pt>
                <c:pt idx="21">
                  <c:v>6.2573838654423604</c:v>
                </c:pt>
                <c:pt idx="22">
                  <c:v>2.3545854508653976</c:v>
                </c:pt>
                <c:pt idx="23">
                  <c:v>1.1963004861900222</c:v>
                </c:pt>
                <c:pt idx="24">
                  <c:v>0.96348585258773634</c:v>
                </c:pt>
                <c:pt idx="25">
                  <c:v>0.64589062838397782</c:v>
                </c:pt>
                <c:pt idx="26">
                  <c:v>0.72850643621295863</c:v>
                </c:pt>
                <c:pt idx="27">
                  <c:v>1.0177591818523863</c:v>
                </c:pt>
                <c:pt idx="28">
                  <c:v>-0.55947921747674034</c:v>
                </c:pt>
                <c:pt idx="29">
                  <c:v>0.78338833720752177</c:v>
                </c:pt>
                <c:pt idx="30">
                  <c:v>0.75088466369995976</c:v>
                </c:pt>
                <c:pt idx="31">
                  <c:v>1.2219668730352258</c:v>
                </c:pt>
                <c:pt idx="32">
                  <c:v>1.2541736991634918</c:v>
                </c:pt>
                <c:pt idx="33">
                  <c:v>0.48052001570297287</c:v>
                </c:pt>
                <c:pt idx="34">
                  <c:v>11.363541478278419</c:v>
                </c:pt>
                <c:pt idx="35">
                  <c:v>1.0464815106674332</c:v>
                </c:pt>
                <c:pt idx="36">
                  <c:v>2.4463180144322809</c:v>
                </c:pt>
                <c:pt idx="37">
                  <c:v>0.36630707523808398</c:v>
                </c:pt>
                <c:pt idx="38">
                  <c:v>1.177580010741196</c:v>
                </c:pt>
                <c:pt idx="39">
                  <c:v>1.6029244724416556</c:v>
                </c:pt>
                <c:pt idx="40">
                  <c:v>0.36795484392126271</c:v>
                </c:pt>
                <c:pt idx="41">
                  <c:v>1.2441323225737839</c:v>
                </c:pt>
                <c:pt idx="42">
                  <c:v>1.8854238145648388</c:v>
                </c:pt>
                <c:pt idx="43">
                  <c:v>1.6463543685297466</c:v>
                </c:pt>
                <c:pt idx="44">
                  <c:v>1.4652784114209216</c:v>
                </c:pt>
              </c:numCache>
            </c:numRef>
          </c:val>
          <c:extLst>
            <c:ext xmlns:c16="http://schemas.microsoft.com/office/drawing/2014/chart" uri="{C3380CC4-5D6E-409C-BE32-E72D297353CC}">
              <c16:uniqueId val="{00000000-A397-4736-A1B6-1B5E9730C326}"/>
            </c:ext>
          </c:extLst>
        </c:ser>
        <c:ser>
          <c:idx val="1"/>
          <c:order val="1"/>
          <c:tx>
            <c:strRef>
              <c:f>exercice!$W$7</c:f>
              <c:strCache>
                <c:ptCount val="1"/>
                <c:pt idx="0">
                  <c:v>I</c:v>
                </c:pt>
              </c:strCache>
            </c:strRef>
          </c:tx>
          <c:spPr>
            <a:solidFill>
              <a:schemeClr val="accent2"/>
            </a:solidFill>
            <a:ln>
              <a:noFill/>
            </a:ln>
            <a:effectLst/>
          </c:spPr>
          <c:invertIfNegative val="0"/>
          <c:cat>
            <c:numRef>
              <c:f>exercice!$U$8:$U$52</c:f>
              <c:numCache>
                <c:formatCode>General</c:formatCode>
                <c:ptCount val="45"/>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pt idx="24">
                  <c:v>2005</c:v>
                </c:pt>
                <c:pt idx="25">
                  <c:v>2006</c:v>
                </c:pt>
                <c:pt idx="26">
                  <c:v>2007</c:v>
                </c:pt>
                <c:pt idx="27">
                  <c:v>2008</c:v>
                </c:pt>
                <c:pt idx="28">
                  <c:v>2009</c:v>
                </c:pt>
                <c:pt idx="29">
                  <c:v>2010</c:v>
                </c:pt>
                <c:pt idx="30">
                  <c:v>2011</c:v>
                </c:pt>
                <c:pt idx="31">
                  <c:v>2012</c:v>
                </c:pt>
                <c:pt idx="32">
                  <c:v>2013</c:v>
                </c:pt>
                <c:pt idx="33">
                  <c:v>2014</c:v>
                </c:pt>
                <c:pt idx="34">
                  <c:v>2015</c:v>
                </c:pt>
                <c:pt idx="35">
                  <c:v>2016</c:v>
                </c:pt>
                <c:pt idx="36">
                  <c:v>2017</c:v>
                </c:pt>
                <c:pt idx="37">
                  <c:v>2018</c:v>
                </c:pt>
                <c:pt idx="38">
                  <c:v>2019</c:v>
                </c:pt>
                <c:pt idx="39">
                  <c:v>2020</c:v>
                </c:pt>
                <c:pt idx="40">
                  <c:v>2021</c:v>
                </c:pt>
                <c:pt idx="41">
                  <c:v>2022</c:v>
                </c:pt>
                <c:pt idx="42">
                  <c:v>2023</c:v>
                </c:pt>
                <c:pt idx="43">
                  <c:v>2024</c:v>
                </c:pt>
                <c:pt idx="44">
                  <c:v>2025</c:v>
                </c:pt>
              </c:numCache>
            </c:numRef>
          </c:cat>
          <c:val>
            <c:numRef>
              <c:f>exercice!$W$8:$W$52</c:f>
              <c:numCache>
                <c:formatCode>General</c:formatCode>
                <c:ptCount val="45"/>
                <c:pt idx="0">
                  <c:v>0.82913983579649642</c:v>
                </c:pt>
                <c:pt idx="1">
                  <c:v>6.5802323755115799E-2</c:v>
                </c:pt>
                <c:pt idx="2">
                  <c:v>1.2232125206315829</c:v>
                </c:pt>
                <c:pt idx="3">
                  <c:v>0.62132865114184654</c:v>
                </c:pt>
                <c:pt idx="4">
                  <c:v>0.86106187549586288</c:v>
                </c:pt>
                <c:pt idx="5">
                  <c:v>1.0905008587344869</c:v>
                </c:pt>
                <c:pt idx="6">
                  <c:v>0.92259685862167362</c:v>
                </c:pt>
                <c:pt idx="7">
                  <c:v>1.4524588393102609</c:v>
                </c:pt>
                <c:pt idx="8">
                  <c:v>0.95669213792168628</c:v>
                </c:pt>
                <c:pt idx="9">
                  <c:v>0.63042867783789824</c:v>
                </c:pt>
                <c:pt idx="10">
                  <c:v>1.9326686269380302E-2</c:v>
                </c:pt>
                <c:pt idx="11">
                  <c:v>-2.9657550138747664</c:v>
                </c:pt>
                <c:pt idx="12">
                  <c:v>-1.2810880576055637</c:v>
                </c:pt>
                <c:pt idx="13">
                  <c:v>0.84402016901931809</c:v>
                </c:pt>
                <c:pt idx="14">
                  <c:v>0.51660462936629303</c:v>
                </c:pt>
                <c:pt idx="15">
                  <c:v>-2.6837447147553721</c:v>
                </c:pt>
                <c:pt idx="16">
                  <c:v>0.83648927206661161</c:v>
                </c:pt>
                <c:pt idx="17">
                  <c:v>1.7459438855170399</c:v>
                </c:pt>
                <c:pt idx="18">
                  <c:v>1.007309421341738</c:v>
                </c:pt>
                <c:pt idx="19">
                  <c:v>0.80115051543351679</c:v>
                </c:pt>
                <c:pt idx="20">
                  <c:v>9.7563361999449122E-2</c:v>
                </c:pt>
                <c:pt idx="21">
                  <c:v>-4.861221523750511</c:v>
                </c:pt>
                <c:pt idx="22">
                  <c:v>-0.76432607401128816</c:v>
                </c:pt>
                <c:pt idx="23">
                  <c:v>1.2579490836505667</c:v>
                </c:pt>
                <c:pt idx="24">
                  <c:v>0.5764986874035154</c:v>
                </c:pt>
                <c:pt idx="25">
                  <c:v>0.56932180058230097</c:v>
                </c:pt>
                <c:pt idx="26">
                  <c:v>0.70658968189482319</c:v>
                </c:pt>
                <c:pt idx="27">
                  <c:v>0.43164677363437487</c:v>
                </c:pt>
                <c:pt idx="28">
                  <c:v>2.9538143198912823</c:v>
                </c:pt>
                <c:pt idx="29">
                  <c:v>0.59251339462188757</c:v>
                </c:pt>
                <c:pt idx="30">
                  <c:v>0.96797430193745515</c:v>
                </c:pt>
                <c:pt idx="31">
                  <c:v>1.5509802175820848</c:v>
                </c:pt>
                <c:pt idx="32">
                  <c:v>0.60546728882289236</c:v>
                </c:pt>
                <c:pt idx="33">
                  <c:v>0.81888211831267077</c:v>
                </c:pt>
                <c:pt idx="34">
                  <c:v>4.9744888634983875</c:v>
                </c:pt>
                <c:pt idx="35">
                  <c:v>1.0507283537071037</c:v>
                </c:pt>
                <c:pt idx="36">
                  <c:v>2.3109261054925647</c:v>
                </c:pt>
                <c:pt idx="37">
                  <c:v>0.33906909373236849</c:v>
                </c:pt>
                <c:pt idx="38">
                  <c:v>0.62931152110554922</c:v>
                </c:pt>
                <c:pt idx="39">
                  <c:v>0.14912362023890419</c:v>
                </c:pt>
                <c:pt idx="40">
                  <c:v>0.39166303498918953</c:v>
                </c:pt>
                <c:pt idx="41">
                  <c:v>0.44019744522856946</c:v>
                </c:pt>
                <c:pt idx="42">
                  <c:v>1.4604942338156743</c:v>
                </c:pt>
                <c:pt idx="43">
                  <c:v>0.18174924150520169</c:v>
                </c:pt>
                <c:pt idx="44">
                  <c:v>-5.8216590152020693E-2</c:v>
                </c:pt>
              </c:numCache>
            </c:numRef>
          </c:val>
          <c:extLst>
            <c:ext xmlns:c16="http://schemas.microsoft.com/office/drawing/2014/chart" uri="{C3380CC4-5D6E-409C-BE32-E72D297353CC}">
              <c16:uniqueId val="{00000001-A397-4736-A1B6-1B5E9730C326}"/>
            </c:ext>
          </c:extLst>
        </c:ser>
        <c:ser>
          <c:idx val="2"/>
          <c:order val="2"/>
          <c:tx>
            <c:strRef>
              <c:f>exercice!$X$7</c:f>
              <c:strCache>
                <c:ptCount val="1"/>
                <c:pt idx="0">
                  <c:v>G</c:v>
                </c:pt>
              </c:strCache>
            </c:strRef>
          </c:tx>
          <c:spPr>
            <a:solidFill>
              <a:schemeClr val="accent3"/>
            </a:solidFill>
            <a:ln>
              <a:noFill/>
            </a:ln>
            <a:effectLst/>
          </c:spPr>
          <c:invertIfNegative val="0"/>
          <c:cat>
            <c:numRef>
              <c:f>exercice!$U$8:$U$52</c:f>
              <c:numCache>
                <c:formatCode>General</c:formatCode>
                <c:ptCount val="45"/>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pt idx="24">
                  <c:v>2005</c:v>
                </c:pt>
                <c:pt idx="25">
                  <c:v>2006</c:v>
                </c:pt>
                <c:pt idx="26">
                  <c:v>2007</c:v>
                </c:pt>
                <c:pt idx="27">
                  <c:v>2008</c:v>
                </c:pt>
                <c:pt idx="28">
                  <c:v>2009</c:v>
                </c:pt>
                <c:pt idx="29">
                  <c:v>2010</c:v>
                </c:pt>
                <c:pt idx="30">
                  <c:v>2011</c:v>
                </c:pt>
                <c:pt idx="31">
                  <c:v>2012</c:v>
                </c:pt>
                <c:pt idx="32">
                  <c:v>2013</c:v>
                </c:pt>
                <c:pt idx="33">
                  <c:v>2014</c:v>
                </c:pt>
                <c:pt idx="34">
                  <c:v>2015</c:v>
                </c:pt>
                <c:pt idx="35">
                  <c:v>2016</c:v>
                </c:pt>
                <c:pt idx="36">
                  <c:v>2017</c:v>
                </c:pt>
                <c:pt idx="37">
                  <c:v>2018</c:v>
                </c:pt>
                <c:pt idx="38">
                  <c:v>2019</c:v>
                </c:pt>
                <c:pt idx="39">
                  <c:v>2020</c:v>
                </c:pt>
                <c:pt idx="40">
                  <c:v>2021</c:v>
                </c:pt>
                <c:pt idx="41">
                  <c:v>2022</c:v>
                </c:pt>
                <c:pt idx="42">
                  <c:v>2023</c:v>
                </c:pt>
                <c:pt idx="43">
                  <c:v>2024</c:v>
                </c:pt>
                <c:pt idx="44">
                  <c:v>2025</c:v>
                </c:pt>
              </c:numCache>
            </c:numRef>
          </c:cat>
          <c:val>
            <c:numRef>
              <c:f>exercice!$X$8:$X$52</c:f>
              <c:numCache>
                <c:formatCode>General</c:formatCode>
                <c:ptCount val="45"/>
                <c:pt idx="0">
                  <c:v>0.28261225654780681</c:v>
                </c:pt>
                <c:pt idx="1">
                  <c:v>0.332441095291924</c:v>
                </c:pt>
                <c:pt idx="2">
                  <c:v>0.45644525493360277</c:v>
                </c:pt>
                <c:pt idx="3">
                  <c:v>0.16799118532427829</c:v>
                </c:pt>
                <c:pt idx="4">
                  <c:v>0.2821884994218265</c:v>
                </c:pt>
                <c:pt idx="5">
                  <c:v>0.30900050723354727</c:v>
                </c:pt>
                <c:pt idx="6">
                  <c:v>0.20752018939712433</c:v>
                </c:pt>
                <c:pt idx="7">
                  <c:v>0.31971771425096973</c:v>
                </c:pt>
                <c:pt idx="8">
                  <c:v>0.38753816680888858</c:v>
                </c:pt>
                <c:pt idx="9">
                  <c:v>0.30552758869557584</c:v>
                </c:pt>
                <c:pt idx="10">
                  <c:v>0.56901162464327182</c:v>
                </c:pt>
                <c:pt idx="11">
                  <c:v>0.71165970815579338</c:v>
                </c:pt>
                <c:pt idx="12">
                  <c:v>0.29630854186744304</c:v>
                </c:pt>
                <c:pt idx="13">
                  <c:v>0.27865812490303926</c:v>
                </c:pt>
                <c:pt idx="14">
                  <c:v>0.20972088250469345</c:v>
                </c:pt>
                <c:pt idx="15">
                  <c:v>0.68218329586382709</c:v>
                </c:pt>
                <c:pt idx="16">
                  <c:v>-9.0870957065817479E-2</c:v>
                </c:pt>
                <c:pt idx="17">
                  <c:v>0.11456954506156491</c:v>
                </c:pt>
                <c:pt idx="18">
                  <c:v>0.28454830809135051</c:v>
                </c:pt>
                <c:pt idx="19">
                  <c:v>0.21472528837361393</c:v>
                </c:pt>
                <c:pt idx="20">
                  <c:v>0.325242156255244</c:v>
                </c:pt>
                <c:pt idx="21">
                  <c:v>-11.067364239016223</c:v>
                </c:pt>
                <c:pt idx="22">
                  <c:v>0.84527237553711643</c:v>
                </c:pt>
                <c:pt idx="23">
                  <c:v>0.10182790308626127</c:v>
                </c:pt>
                <c:pt idx="24">
                  <c:v>0.13361573195864751</c:v>
                </c:pt>
                <c:pt idx="25">
                  <c:v>5.2032242199158953E-2</c:v>
                </c:pt>
                <c:pt idx="26">
                  <c:v>0.1061849151116124</c:v>
                </c:pt>
                <c:pt idx="27">
                  <c:v>0.35008433327666766</c:v>
                </c:pt>
                <c:pt idx="28">
                  <c:v>-0.93718676385317368</c:v>
                </c:pt>
                <c:pt idx="29">
                  <c:v>0.11661062978378357</c:v>
                </c:pt>
                <c:pt idx="30">
                  <c:v>0.40492558447216087</c:v>
                </c:pt>
                <c:pt idx="31">
                  <c:v>0.26831619143948821</c:v>
                </c:pt>
                <c:pt idx="32">
                  <c:v>0.33970678802968424</c:v>
                </c:pt>
                <c:pt idx="33">
                  <c:v>0.32665646487554156</c:v>
                </c:pt>
                <c:pt idx="34">
                  <c:v>2.5009625729351921</c:v>
                </c:pt>
                <c:pt idx="35">
                  <c:v>0.30070921619907148</c:v>
                </c:pt>
                <c:pt idx="36">
                  <c:v>0.40446445972403278</c:v>
                </c:pt>
                <c:pt idx="37">
                  <c:v>9.8261865621587965E-2</c:v>
                </c:pt>
                <c:pt idx="38">
                  <c:v>0.53878552631715071</c:v>
                </c:pt>
                <c:pt idx="39">
                  <c:v>-0.30882268363978543</c:v>
                </c:pt>
                <c:pt idx="40">
                  <c:v>0.18187650042586082</c:v>
                </c:pt>
                <c:pt idx="41">
                  <c:v>6.1209185836273501E-2</c:v>
                </c:pt>
                <c:pt idx="42">
                  <c:v>0.70240447255435889</c:v>
                </c:pt>
                <c:pt idx="43">
                  <c:v>0.44771772954850225</c:v>
                </c:pt>
                <c:pt idx="44">
                  <c:v>0.46604130914174985</c:v>
                </c:pt>
              </c:numCache>
            </c:numRef>
          </c:val>
          <c:extLst>
            <c:ext xmlns:c16="http://schemas.microsoft.com/office/drawing/2014/chart" uri="{C3380CC4-5D6E-409C-BE32-E72D297353CC}">
              <c16:uniqueId val="{00000002-A397-4736-A1B6-1B5E9730C326}"/>
            </c:ext>
          </c:extLst>
        </c:ser>
        <c:ser>
          <c:idx val="3"/>
          <c:order val="3"/>
          <c:tx>
            <c:strRef>
              <c:f>exercice!$Y$7</c:f>
              <c:strCache>
                <c:ptCount val="1"/>
                <c:pt idx="0">
                  <c:v>NX</c:v>
                </c:pt>
              </c:strCache>
            </c:strRef>
          </c:tx>
          <c:spPr>
            <a:solidFill>
              <a:schemeClr val="accent4"/>
            </a:solidFill>
            <a:ln>
              <a:noFill/>
            </a:ln>
            <a:effectLst/>
          </c:spPr>
          <c:invertIfNegative val="0"/>
          <c:cat>
            <c:numRef>
              <c:f>exercice!$U$8:$U$52</c:f>
              <c:numCache>
                <c:formatCode>General</c:formatCode>
                <c:ptCount val="45"/>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pt idx="24">
                  <c:v>2005</c:v>
                </c:pt>
                <c:pt idx="25">
                  <c:v>2006</c:v>
                </c:pt>
                <c:pt idx="26">
                  <c:v>2007</c:v>
                </c:pt>
                <c:pt idx="27">
                  <c:v>2008</c:v>
                </c:pt>
                <c:pt idx="28">
                  <c:v>2009</c:v>
                </c:pt>
                <c:pt idx="29">
                  <c:v>2010</c:v>
                </c:pt>
                <c:pt idx="30">
                  <c:v>2011</c:v>
                </c:pt>
                <c:pt idx="31">
                  <c:v>2012</c:v>
                </c:pt>
                <c:pt idx="32">
                  <c:v>2013</c:v>
                </c:pt>
                <c:pt idx="33">
                  <c:v>2014</c:v>
                </c:pt>
                <c:pt idx="34">
                  <c:v>2015</c:v>
                </c:pt>
                <c:pt idx="35">
                  <c:v>2016</c:v>
                </c:pt>
                <c:pt idx="36">
                  <c:v>2017</c:v>
                </c:pt>
                <c:pt idx="37">
                  <c:v>2018</c:v>
                </c:pt>
                <c:pt idx="38">
                  <c:v>2019</c:v>
                </c:pt>
                <c:pt idx="39">
                  <c:v>2020</c:v>
                </c:pt>
                <c:pt idx="40">
                  <c:v>2021</c:v>
                </c:pt>
                <c:pt idx="41">
                  <c:v>2022</c:v>
                </c:pt>
                <c:pt idx="42">
                  <c:v>2023</c:v>
                </c:pt>
                <c:pt idx="43">
                  <c:v>2024</c:v>
                </c:pt>
                <c:pt idx="44">
                  <c:v>2025</c:v>
                </c:pt>
              </c:numCache>
            </c:numRef>
          </c:cat>
          <c:val>
            <c:numRef>
              <c:f>exercice!$Y$8:$Y$52</c:f>
              <c:numCache>
                <c:formatCode>General</c:formatCode>
                <c:ptCount val="45"/>
                <c:pt idx="0">
                  <c:v>0.87653718235542255</c:v>
                </c:pt>
                <c:pt idx="1">
                  <c:v>1.0575728277144437E-2</c:v>
                </c:pt>
                <c:pt idx="2">
                  <c:v>-1.2375451511650872</c:v>
                </c:pt>
                <c:pt idx="3">
                  <c:v>1.3518659227692551</c:v>
                </c:pt>
                <c:pt idx="4">
                  <c:v>-6.1974914538640943E-2</c:v>
                </c:pt>
                <c:pt idx="5">
                  <c:v>-0.7853153704348883</c:v>
                </c:pt>
                <c:pt idx="6">
                  <c:v>0.30555501805114643</c:v>
                </c:pt>
                <c:pt idx="7">
                  <c:v>4.1091818009356823E-3</c:v>
                </c:pt>
                <c:pt idx="8">
                  <c:v>-5.4190035961658575E-4</c:v>
                </c:pt>
                <c:pt idx="9">
                  <c:v>-0.27269610201055133</c:v>
                </c:pt>
                <c:pt idx="10">
                  <c:v>0.64370239447358268</c:v>
                </c:pt>
                <c:pt idx="11">
                  <c:v>1.3274274807002</c:v>
                </c:pt>
                <c:pt idx="12">
                  <c:v>1.4852071818274744</c:v>
                </c:pt>
                <c:pt idx="13">
                  <c:v>0.10550943281420144</c:v>
                </c:pt>
                <c:pt idx="14">
                  <c:v>-0.25733170180118364</c:v>
                </c:pt>
                <c:pt idx="15">
                  <c:v>-1.2269961332486272</c:v>
                </c:pt>
                <c:pt idx="16">
                  <c:v>1.794251603966923</c:v>
                </c:pt>
                <c:pt idx="17">
                  <c:v>-0.66582127582244655</c:v>
                </c:pt>
                <c:pt idx="18">
                  <c:v>0.15551602438300982</c:v>
                </c:pt>
                <c:pt idx="19">
                  <c:v>0.61457027807212017</c:v>
                </c:pt>
                <c:pt idx="20">
                  <c:v>-0.51899076873538297</c:v>
                </c:pt>
                <c:pt idx="21">
                  <c:v>-30.847239699715576</c:v>
                </c:pt>
                <c:pt idx="22">
                  <c:v>-0.21448236421356814</c:v>
                </c:pt>
                <c:pt idx="23">
                  <c:v>1.7616814719886238</c:v>
                </c:pt>
                <c:pt idx="24">
                  <c:v>-0.82883038554005717</c:v>
                </c:pt>
                <c:pt idx="25">
                  <c:v>0.72842925741692999</c:v>
                </c:pt>
                <c:pt idx="26">
                  <c:v>1.2618122069287343</c:v>
                </c:pt>
                <c:pt idx="27">
                  <c:v>6.5879697358234596E-2</c:v>
                </c:pt>
                <c:pt idx="28">
                  <c:v>4.888132837181713</c:v>
                </c:pt>
                <c:pt idx="29">
                  <c:v>2.3463152995762999</c:v>
                </c:pt>
                <c:pt idx="30">
                  <c:v>-3.1574621883835459</c:v>
                </c:pt>
                <c:pt idx="31">
                  <c:v>3.0620239452821454</c:v>
                </c:pt>
                <c:pt idx="32">
                  <c:v>1.8918767820834324</c:v>
                </c:pt>
                <c:pt idx="33">
                  <c:v>0.18447592320217598</c:v>
                </c:pt>
                <c:pt idx="34">
                  <c:v>-2.1666984239776119</c:v>
                </c:pt>
                <c:pt idx="35">
                  <c:v>-0.86776510449885214</c:v>
                </c:pt>
                <c:pt idx="36">
                  <c:v>-2.3705159073613866</c:v>
                </c:pt>
                <c:pt idx="37">
                  <c:v>1.1813824703701052</c:v>
                </c:pt>
                <c:pt idx="38">
                  <c:v>-1.4004780737638438</c:v>
                </c:pt>
                <c:pt idx="39">
                  <c:v>2.8430818346055267</c:v>
                </c:pt>
                <c:pt idx="40">
                  <c:v>2.088105179137818</c:v>
                </c:pt>
                <c:pt idx="41">
                  <c:v>0.97035781998873627</c:v>
                </c:pt>
                <c:pt idx="42">
                  <c:v>-3.4187755153394859</c:v>
                </c:pt>
                <c:pt idx="43">
                  <c:v>1.4111753781247005</c:v>
                </c:pt>
                <c:pt idx="44">
                  <c:v>-4.3237880166770148</c:v>
                </c:pt>
              </c:numCache>
            </c:numRef>
          </c:val>
          <c:extLst>
            <c:ext xmlns:c16="http://schemas.microsoft.com/office/drawing/2014/chart" uri="{C3380CC4-5D6E-409C-BE32-E72D297353CC}">
              <c16:uniqueId val="{00000003-A397-4736-A1B6-1B5E9730C326}"/>
            </c:ext>
          </c:extLst>
        </c:ser>
        <c:ser>
          <c:idx val="4"/>
          <c:order val="4"/>
          <c:tx>
            <c:strRef>
              <c:f>exercice!$Z$7</c:f>
              <c:strCache>
                <c:ptCount val="1"/>
                <c:pt idx="0">
                  <c:v>X</c:v>
                </c:pt>
              </c:strCache>
            </c:strRef>
          </c:tx>
          <c:spPr>
            <a:solidFill>
              <a:schemeClr val="accent5"/>
            </a:solidFill>
            <a:ln>
              <a:noFill/>
            </a:ln>
            <a:effectLst/>
          </c:spPr>
          <c:invertIfNegative val="0"/>
          <c:cat>
            <c:numRef>
              <c:f>exercice!$U$8:$U$52</c:f>
              <c:numCache>
                <c:formatCode>General</c:formatCode>
                <c:ptCount val="45"/>
                <c:pt idx="0">
                  <c:v>1981</c:v>
                </c:pt>
                <c:pt idx="1">
                  <c:v>1982</c:v>
                </c:pt>
                <c:pt idx="2">
                  <c:v>1983</c:v>
                </c:pt>
                <c:pt idx="3">
                  <c:v>1984</c:v>
                </c:pt>
                <c:pt idx="4">
                  <c:v>1985</c:v>
                </c:pt>
                <c:pt idx="5">
                  <c:v>1986</c:v>
                </c:pt>
                <c:pt idx="6">
                  <c:v>1987</c:v>
                </c:pt>
                <c:pt idx="7">
                  <c:v>1988</c:v>
                </c:pt>
                <c:pt idx="8">
                  <c:v>1989</c:v>
                </c:pt>
                <c:pt idx="9">
                  <c:v>1990</c:v>
                </c:pt>
                <c:pt idx="10">
                  <c:v>1991</c:v>
                </c:pt>
                <c:pt idx="11">
                  <c:v>1992</c:v>
                </c:pt>
                <c:pt idx="12">
                  <c:v>1993</c:v>
                </c:pt>
                <c:pt idx="13">
                  <c:v>1994</c:v>
                </c:pt>
                <c:pt idx="14">
                  <c:v>1995</c:v>
                </c:pt>
                <c:pt idx="15">
                  <c:v>1996</c:v>
                </c:pt>
                <c:pt idx="16">
                  <c:v>1997</c:v>
                </c:pt>
                <c:pt idx="17">
                  <c:v>1998</c:v>
                </c:pt>
                <c:pt idx="18">
                  <c:v>1999</c:v>
                </c:pt>
                <c:pt idx="19">
                  <c:v>2000</c:v>
                </c:pt>
                <c:pt idx="20">
                  <c:v>2001</c:v>
                </c:pt>
                <c:pt idx="21">
                  <c:v>2002</c:v>
                </c:pt>
                <c:pt idx="22">
                  <c:v>2003</c:v>
                </c:pt>
                <c:pt idx="23">
                  <c:v>2004</c:v>
                </c:pt>
                <c:pt idx="24">
                  <c:v>2005</c:v>
                </c:pt>
                <c:pt idx="25">
                  <c:v>2006</c:v>
                </c:pt>
                <c:pt idx="26">
                  <c:v>2007</c:v>
                </c:pt>
                <c:pt idx="27">
                  <c:v>2008</c:v>
                </c:pt>
                <c:pt idx="28">
                  <c:v>2009</c:v>
                </c:pt>
                <c:pt idx="29">
                  <c:v>2010</c:v>
                </c:pt>
                <c:pt idx="30">
                  <c:v>2011</c:v>
                </c:pt>
                <c:pt idx="31">
                  <c:v>2012</c:v>
                </c:pt>
                <c:pt idx="32">
                  <c:v>2013</c:v>
                </c:pt>
                <c:pt idx="33">
                  <c:v>2014</c:v>
                </c:pt>
                <c:pt idx="34">
                  <c:v>2015</c:v>
                </c:pt>
                <c:pt idx="35">
                  <c:v>2016</c:v>
                </c:pt>
                <c:pt idx="36">
                  <c:v>2017</c:v>
                </c:pt>
                <c:pt idx="37">
                  <c:v>2018</c:v>
                </c:pt>
                <c:pt idx="38">
                  <c:v>2019</c:v>
                </c:pt>
                <c:pt idx="39">
                  <c:v>2020</c:v>
                </c:pt>
                <c:pt idx="40">
                  <c:v>2021</c:v>
                </c:pt>
                <c:pt idx="41">
                  <c:v>2022</c:v>
                </c:pt>
                <c:pt idx="42">
                  <c:v>2023</c:v>
                </c:pt>
                <c:pt idx="43">
                  <c:v>2024</c:v>
                </c:pt>
                <c:pt idx="44">
                  <c:v>2025</c:v>
                </c:pt>
              </c:numCache>
            </c:numRef>
          </c:cat>
          <c:val>
            <c:numRef>
              <c:f>exercice!$Z$8:$Z$52</c:f>
              <c:numCache>
                <c:formatCode>General</c:formatCode>
                <c:ptCount val="45"/>
                <c:pt idx="0">
                  <c:v>1.7402071697664456</c:v>
                </c:pt>
                <c:pt idx="1">
                  <c:v>-0.49522143483419528</c:v>
                </c:pt>
                <c:pt idx="2">
                  <c:v>2.2485081667237344E-3</c:v>
                </c:pt>
                <c:pt idx="3">
                  <c:v>2.5321422760425025</c:v>
                </c:pt>
                <c:pt idx="4">
                  <c:v>1.2882456066434409</c:v>
                </c:pt>
                <c:pt idx="5">
                  <c:v>-0.76820483778507209</c:v>
                </c:pt>
                <c:pt idx="6">
                  <c:v>-0.72077467035380149</c:v>
                </c:pt>
                <c:pt idx="7">
                  <c:v>1.433919756280243</c:v>
                </c:pt>
                <c:pt idx="8">
                  <c:v>1.7753601829150787</c:v>
                </c:pt>
                <c:pt idx="9">
                  <c:v>1.2785099646740282E-2</c:v>
                </c:pt>
                <c:pt idx="10">
                  <c:v>0.10864476890470721</c:v>
                </c:pt>
                <c:pt idx="11">
                  <c:v>1.9370503708635138</c:v>
                </c:pt>
                <c:pt idx="12">
                  <c:v>0.99056319593261244</c:v>
                </c:pt>
                <c:pt idx="13">
                  <c:v>0.22990160298418205</c:v>
                </c:pt>
                <c:pt idx="14">
                  <c:v>0.8325529622975264</c:v>
                </c:pt>
                <c:pt idx="15">
                  <c:v>4.1736987847339009</c:v>
                </c:pt>
                <c:pt idx="16">
                  <c:v>9.0707498349038378</c:v>
                </c:pt>
                <c:pt idx="17">
                  <c:v>0.61860745359902258</c:v>
                </c:pt>
                <c:pt idx="18">
                  <c:v>2.0307617421017348</c:v>
                </c:pt>
                <c:pt idx="19">
                  <c:v>3.3573884860424807</c:v>
                </c:pt>
                <c:pt idx="20">
                  <c:v>-7.3188730822996914E-2</c:v>
                </c:pt>
                <c:pt idx="21">
                  <c:v>49.339224314280536</c:v>
                </c:pt>
                <c:pt idx="22">
                  <c:v>-0.56275489542895607</c:v>
                </c:pt>
                <c:pt idx="23">
                  <c:v>4.0294986764095038</c:v>
                </c:pt>
                <c:pt idx="24">
                  <c:v>2.7604403997517024</c:v>
                </c:pt>
                <c:pt idx="25">
                  <c:v>2.3856773423685356</c:v>
                </c:pt>
                <c:pt idx="26">
                  <c:v>3.2310511592194264</c:v>
                </c:pt>
                <c:pt idx="27">
                  <c:v>2.4866326266655405</c:v>
                </c:pt>
                <c:pt idx="28">
                  <c:v>9.3539466532824029</c:v>
                </c:pt>
                <c:pt idx="29">
                  <c:v>5.7617661340122632</c:v>
                </c:pt>
                <c:pt idx="30">
                  <c:v>4.3460586609599439</c:v>
                </c:pt>
                <c:pt idx="31">
                  <c:v>3.70364488550686</c:v>
                </c:pt>
                <c:pt idx="32">
                  <c:v>6.949675248103433</c:v>
                </c:pt>
                <c:pt idx="33">
                  <c:v>-6.7239121419186478</c:v>
                </c:pt>
                <c:pt idx="34">
                  <c:v>-36.37123032100218</c:v>
                </c:pt>
                <c:pt idx="35">
                  <c:v>6.8906903042650356</c:v>
                </c:pt>
                <c:pt idx="36">
                  <c:v>0.24500645369093488</c:v>
                </c:pt>
                <c:pt idx="37">
                  <c:v>2.199436809986735</c:v>
                </c:pt>
                <c:pt idx="38">
                  <c:v>0.18393955622454145</c:v>
                </c:pt>
                <c:pt idx="39">
                  <c:v>3.3929003430326907</c:v>
                </c:pt>
                <c:pt idx="40">
                  <c:v>3.5314685111723616</c:v>
                </c:pt>
                <c:pt idx="41">
                  <c:v>3.5683385721455898</c:v>
                </c:pt>
                <c:pt idx="42">
                  <c:v>-4.4735268785234696</c:v>
                </c:pt>
                <c:pt idx="43">
                  <c:v>2.5275293716139893</c:v>
                </c:pt>
                <c:pt idx="44">
                  <c:v>11.803619834017367</c:v>
                </c:pt>
              </c:numCache>
            </c:numRef>
          </c:val>
          <c:extLst>
            <c:ext xmlns:c16="http://schemas.microsoft.com/office/drawing/2014/chart" uri="{C3380CC4-5D6E-409C-BE32-E72D297353CC}">
              <c16:uniqueId val="{00000004-A397-4736-A1B6-1B5E9730C326}"/>
            </c:ext>
          </c:extLst>
        </c:ser>
        <c:dLbls>
          <c:showLegendKey val="0"/>
          <c:showVal val="0"/>
          <c:showCatName val="0"/>
          <c:showSerName val="0"/>
          <c:showPercent val="0"/>
          <c:showBubbleSize val="0"/>
        </c:dLbls>
        <c:gapWidth val="150"/>
        <c:overlap val="100"/>
        <c:axId val="1712436832"/>
        <c:axId val="1712438272"/>
      </c:barChart>
      <c:catAx>
        <c:axId val="171243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12438272"/>
        <c:crosses val="autoZero"/>
        <c:auto val="1"/>
        <c:lblAlgn val="ctr"/>
        <c:lblOffset val="100"/>
        <c:noMultiLvlLbl val="0"/>
      </c:catAx>
      <c:valAx>
        <c:axId val="171243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12436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4" dropStyle="combo" dx="31" fmlaLink="beschriftung!$C$1" fmlaRange="beschriftung!$A$1:$A$4" noThreeD="1" sel="4"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3400425</xdr:colOff>
      <xdr:row>4</xdr:row>
      <xdr:rowOff>161925</xdr:rowOff>
    </xdr:to>
    <xdr:pic>
      <xdr:nvPicPr>
        <xdr:cNvPr id="4310" name="Picture 3">
          <a:extLst>
            <a:ext uri="{FF2B5EF4-FFF2-40B4-BE49-F238E27FC236}">
              <a16:creationId xmlns:a16="http://schemas.microsoft.com/office/drawing/2014/main" id="{00000000-0008-0000-0000-0000D61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3400425</xdr:colOff>
      <xdr:row>4</xdr:row>
      <xdr:rowOff>161925</xdr:rowOff>
    </xdr:to>
    <xdr:pic>
      <xdr:nvPicPr>
        <xdr:cNvPr id="4311" name="Picture 4">
          <a:extLst>
            <a:ext uri="{FF2B5EF4-FFF2-40B4-BE49-F238E27FC236}">
              <a16:creationId xmlns:a16="http://schemas.microsoft.com/office/drawing/2014/main" id="{00000000-0008-0000-0000-0000D71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24</xdr:row>
      <xdr:rowOff>0</xdr:rowOff>
    </xdr:from>
    <xdr:to>
      <xdr:col>0</xdr:col>
      <xdr:colOff>1076325</xdr:colOff>
      <xdr:row>25</xdr:row>
      <xdr:rowOff>57150</xdr:rowOff>
    </xdr:to>
    <xdr:sp macro="" textlink="">
      <xdr:nvSpPr>
        <xdr:cNvPr id="4097" name="Drop Down 1" hidden="1">
          <a:extLst>
            <a:ext uri="{63B3BB69-23CF-44E3-9099-C40C66FF867C}">
              <a14:compatExt xmlns:a14="http://schemas.microsoft.com/office/drawing/2010/main"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0</xdr:col>
          <xdr:colOff>717550</xdr:colOff>
          <xdr:row>25</xdr:row>
          <xdr:rowOff>38100</xdr:rowOff>
        </xdr:to>
        <xdr:sp macro="" textlink="">
          <xdr:nvSpPr>
            <xdr:cNvPr id="2" name="Drop Down 1025" hidden="1">
              <a:extLst>
                <a:ext uri="{63B3BB69-23CF-44E3-9099-C40C66FF867C}">
                  <a14:compatExt spid="_x0000_s4097"/>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6</xdr:col>
      <xdr:colOff>469349</xdr:colOff>
      <xdr:row>52</xdr:row>
      <xdr:rowOff>121261</xdr:rowOff>
    </xdr:from>
    <xdr:to>
      <xdr:col>15</xdr:col>
      <xdr:colOff>509708</xdr:colOff>
      <xdr:row>83</xdr:row>
      <xdr:rowOff>18318</xdr:rowOff>
    </xdr:to>
    <xdr:graphicFrame macro="">
      <xdr:nvGraphicFramePr>
        <xdr:cNvPr id="2" name="Graphique 1">
          <a:extLst>
            <a:ext uri="{FF2B5EF4-FFF2-40B4-BE49-F238E27FC236}">
              <a16:creationId xmlns:a16="http://schemas.microsoft.com/office/drawing/2014/main" id="{0D79DEEC-BAAB-5F32-C5AC-8455B47B6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347113</xdr:colOff>
      <xdr:row>52</xdr:row>
      <xdr:rowOff>102942</xdr:rowOff>
    </xdr:from>
    <xdr:to>
      <xdr:col>26</xdr:col>
      <xdr:colOff>567837</xdr:colOff>
      <xdr:row>88</xdr:row>
      <xdr:rowOff>33459</xdr:rowOff>
    </xdr:to>
    <xdr:graphicFrame macro="">
      <xdr:nvGraphicFramePr>
        <xdr:cNvPr id="4" name="Graphique 3">
          <a:extLst>
            <a:ext uri="{FF2B5EF4-FFF2-40B4-BE49-F238E27FC236}">
              <a16:creationId xmlns:a16="http://schemas.microsoft.com/office/drawing/2014/main" id="{ED8EF15B-E0F6-D3F4-DA0B-DA0017402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le02">
    <pageSetUpPr fitToPage="1"/>
  </sheetPr>
  <dimension ref="A1:A26"/>
  <sheetViews>
    <sheetView showGridLines="0" showRowColHeaders="0" workbookViewId="0">
      <selection activeCell="A24" sqref="A24"/>
    </sheetView>
  </sheetViews>
  <sheetFormatPr baseColWidth="10" defaultRowHeight="10" x14ac:dyDescent="0.2"/>
  <cols>
    <col min="1" max="1" width="150.77734375" customWidth="1"/>
  </cols>
  <sheetData>
    <row r="1" spans="1:1" ht="15.75" customHeight="1" x14ac:dyDescent="0.35">
      <c r="A1" s="1"/>
    </row>
    <row r="2" spans="1:1" ht="15.75" customHeight="1" x14ac:dyDescent="0.35">
      <c r="A2" s="1" t="s">
        <v>60</v>
      </c>
    </row>
    <row r="3" spans="1:1" ht="15.75" customHeight="1" x14ac:dyDescent="0.35">
      <c r="A3" s="1" t="s">
        <v>61</v>
      </c>
    </row>
    <row r="4" spans="1:1" ht="15.75" customHeight="1" x14ac:dyDescent="0.35">
      <c r="A4" s="1" t="s">
        <v>151</v>
      </c>
    </row>
    <row r="5" spans="1:1" ht="15.75" customHeight="1" x14ac:dyDescent="0.35">
      <c r="A5" s="1" t="s">
        <v>62</v>
      </c>
    </row>
    <row r="6" spans="1:1" ht="15.75" customHeight="1" x14ac:dyDescent="0.35">
      <c r="A6" s="1" t="s">
        <v>63</v>
      </c>
    </row>
    <row r="7" spans="1:1" x14ac:dyDescent="0.2">
      <c r="A7" s="4"/>
    </row>
    <row r="8" spans="1:1" ht="12.75" customHeight="1" x14ac:dyDescent="0.2">
      <c r="A8" s="2" t="s">
        <v>64</v>
      </c>
    </row>
    <row r="9" spans="1:1" ht="12.75" customHeight="1" x14ac:dyDescent="0.2">
      <c r="A9" s="2" t="s">
        <v>65</v>
      </c>
    </row>
    <row r="10" spans="1:1" ht="25.5" customHeight="1" x14ac:dyDescent="0.2">
      <c r="A10" s="2" t="s">
        <v>155</v>
      </c>
    </row>
    <row r="11" spans="1:1" x14ac:dyDescent="0.2">
      <c r="A11" s="3"/>
    </row>
    <row r="12" spans="1:1" ht="12.75" customHeight="1" x14ac:dyDescent="0.2">
      <c r="A12" s="2" t="s">
        <v>66</v>
      </c>
    </row>
    <row r="13" spans="1:1" ht="12.75" customHeight="1" x14ac:dyDescent="0.2">
      <c r="A13" s="2" t="s">
        <v>67</v>
      </c>
    </row>
    <row r="14" spans="1:1" ht="25.5" customHeight="1" x14ac:dyDescent="0.2">
      <c r="A14" s="2" t="s">
        <v>154</v>
      </c>
    </row>
    <row r="15" spans="1:1" x14ac:dyDescent="0.2">
      <c r="A15" s="3"/>
    </row>
    <row r="16" spans="1:1" ht="12.75" customHeight="1" x14ac:dyDescent="0.2">
      <c r="A16" s="2" t="s">
        <v>68</v>
      </c>
    </row>
    <row r="17" spans="1:1" ht="12.75" customHeight="1" x14ac:dyDescent="0.2">
      <c r="A17" s="2" t="s">
        <v>69</v>
      </c>
    </row>
    <row r="18" spans="1:1" ht="38.25" customHeight="1" x14ac:dyDescent="0.2">
      <c r="A18" s="2" t="s">
        <v>153</v>
      </c>
    </row>
    <row r="19" spans="1:1" x14ac:dyDescent="0.2">
      <c r="A19" s="3"/>
    </row>
    <row r="20" spans="1:1" ht="12.75" customHeight="1" x14ac:dyDescent="0.2">
      <c r="A20" s="2" t="s">
        <v>70</v>
      </c>
    </row>
    <row r="21" spans="1:1" ht="12.75" customHeight="1" x14ac:dyDescent="0.2">
      <c r="A21" s="2" t="s">
        <v>71</v>
      </c>
    </row>
    <row r="22" spans="1:1" ht="38.25" customHeight="1" x14ac:dyDescent="0.2">
      <c r="A22" s="2" t="s">
        <v>152</v>
      </c>
    </row>
    <row r="23" spans="1:1" x14ac:dyDescent="0.2">
      <c r="A23" s="4"/>
    </row>
    <row r="24" spans="1:1" x14ac:dyDescent="0.2">
      <c r="A24" s="4"/>
    </row>
    <row r="25" spans="1:1" x14ac:dyDescent="0.2">
      <c r="A25" s="4"/>
    </row>
    <row r="26" spans="1:1" x14ac:dyDescent="0.2">
      <c r="A26" s="4"/>
    </row>
  </sheetData>
  <sheetProtection formatCells="0" formatColumns="0" formatRows="0" insertColumns="0" insertRows="0" deleteRows="0"/>
  <pageMargins left="0.78740157480314965" right="0.78740157480314965" top="0.98425196850393704" bottom="0.98425196850393704" header="0.51181102362204722" footer="0.51181102362204722"/>
  <pageSetup paperSize="9" orientation="landscape"/>
  <drawing r:id="rId1"/>
  <legacyDrawing r:id="rId2"/>
  <mc:AlternateContent xmlns:mc="http://schemas.openxmlformats.org/markup-compatibility/2006">
    <mc:Choice Requires="x14">
      <controls>
        <mc:AlternateContent xmlns:mc="http://schemas.openxmlformats.org/markup-compatibility/2006">
          <mc:Choice Requires="x14">
            <control shapeId="2" r:id="rId3" name="Drop Down 1025">
              <controlPr defaultSize="0" autoLine="0" autoPict="0">
                <anchor moveWithCells="1">
                  <from>
                    <xdr:col>0</xdr:col>
                    <xdr:colOff>0</xdr:colOff>
                    <xdr:row>24</xdr:row>
                    <xdr:rowOff>0</xdr:rowOff>
                  </from>
                  <to>
                    <xdr:col>0</xdr:col>
                    <xdr:colOff>717550</xdr:colOff>
                    <xdr:row>25</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le03"/>
  <dimension ref="A1:BJ196"/>
  <sheetViews>
    <sheetView showGridLines="0" workbookViewId="0">
      <pane xSplit="2" ySplit="11" topLeftCell="C12" activePane="bottomRight" state="frozen"/>
      <selection pane="topRight"/>
      <selection pane="bottomLeft"/>
      <selection pane="bottomRight"/>
    </sheetView>
  </sheetViews>
  <sheetFormatPr baseColWidth="10" defaultRowHeight="10" x14ac:dyDescent="0.2"/>
  <cols>
    <col min="1" max="1" width="9.77734375" customWidth="1"/>
    <col min="2" max="2" width="2.6640625" customWidth="1"/>
    <col min="3" max="58" width="9.77734375" customWidth="1"/>
    <col min="59" max="256" width="10.33203125" customWidth="1"/>
  </cols>
  <sheetData>
    <row r="1" spans="1:62" ht="11.25" customHeight="1" x14ac:dyDescent="0.25">
      <c r="A1" s="6" t="str">
        <f ca="1">IF(INDIRECT("beschriftung!"&amp;ADDRESS(beschriftung!$C$1*12+ROW(beschriftung!$A1)-1,COLUMN(beschriftung!A$1)))="","",INDIRECT("beschriftung!"&amp;ADDRESS(beschriftung!$C$1*12+ROW(beschriftung!$A1)-1,COLUMN(beschriftung!A$1))))</f>
        <v>ESA 2010, Quarterly aggregates of Gross Domestic Product, expenditure approach, raw data</v>
      </c>
      <c r="C1" s="7"/>
      <c r="D1" s="19"/>
      <c r="E1" s="7"/>
      <c r="F1" s="19"/>
      <c r="G1" s="7"/>
      <c r="H1" s="19"/>
      <c r="I1" s="7"/>
      <c r="J1" s="19"/>
      <c r="K1" s="7"/>
      <c r="L1" s="19"/>
      <c r="M1" s="7"/>
      <c r="N1" s="19"/>
      <c r="O1" s="7"/>
      <c r="P1" s="19"/>
      <c r="Q1" s="7"/>
      <c r="R1" s="19"/>
      <c r="S1" s="7"/>
      <c r="T1" s="19"/>
      <c r="U1" s="7"/>
      <c r="V1" s="19"/>
      <c r="W1" s="7"/>
      <c r="X1" s="19"/>
      <c r="Y1" s="7"/>
      <c r="Z1" s="19"/>
      <c r="AA1" s="7"/>
      <c r="AB1" s="19"/>
      <c r="AC1" s="7"/>
      <c r="AD1" s="19"/>
      <c r="AE1" s="7"/>
      <c r="AF1" s="19"/>
      <c r="AG1" s="7"/>
      <c r="AH1" s="19"/>
      <c r="AI1" s="7"/>
      <c r="AJ1" s="19"/>
      <c r="AK1" s="7"/>
      <c r="AL1" s="19"/>
      <c r="AM1" s="7"/>
      <c r="AN1" s="19"/>
      <c r="AO1" s="7"/>
      <c r="AP1" s="19"/>
      <c r="AQ1" s="7"/>
      <c r="AR1" s="19"/>
      <c r="AS1" s="7"/>
      <c r="AT1" s="19"/>
      <c r="AU1" s="7"/>
      <c r="AW1" s="7"/>
      <c r="AY1" s="7"/>
      <c r="BA1" s="7"/>
      <c r="BC1" s="7"/>
    </row>
    <row r="2" spans="1:62" ht="11.25" customHeight="1" x14ac:dyDescent="0.2">
      <c r="A2" s="4" t="str">
        <f ca="1">IF(INDIRECT("beschriftung!"&amp;ADDRESS(beschriftung!$C$1*12+ROW(beschriftung!$A2)-1,COLUMN(beschriftung!A$1)))="","",INDIRECT("beschriftung!"&amp;ADDRESS(beschriftung!$C$1*12+ROW(beschriftung!$A2)-1,COLUMN(beschriftung!A$1))))</f>
        <v>In Mio. Swiss Francs, at current prices, percentage change to previous year</v>
      </c>
      <c r="C2" s="7"/>
      <c r="D2" s="19"/>
      <c r="E2" s="7"/>
      <c r="F2" s="19"/>
      <c r="G2" s="7"/>
      <c r="H2" s="19"/>
      <c r="I2" s="7"/>
      <c r="J2" s="19"/>
      <c r="K2" s="7"/>
      <c r="L2" s="19"/>
      <c r="M2" s="7"/>
      <c r="N2" s="19"/>
      <c r="O2" s="7"/>
      <c r="P2" s="19"/>
      <c r="Q2" s="7"/>
      <c r="R2" s="19"/>
      <c r="S2" s="7"/>
      <c r="T2" s="19"/>
      <c r="U2" s="7"/>
      <c r="V2" s="19"/>
      <c r="W2" s="7"/>
      <c r="X2" s="19"/>
      <c r="Y2" s="7"/>
      <c r="Z2" s="19"/>
      <c r="AA2" s="7"/>
      <c r="AB2" s="19"/>
      <c r="AC2" s="7"/>
      <c r="AD2" s="19"/>
      <c r="AE2" s="7"/>
      <c r="AF2" s="19"/>
      <c r="AG2" s="7"/>
      <c r="AH2" s="19"/>
      <c r="AI2" s="7"/>
      <c r="AJ2" s="19"/>
      <c r="AK2" s="7"/>
      <c r="AL2" s="19"/>
      <c r="AM2" s="7"/>
      <c r="AN2" s="19"/>
      <c r="AO2" s="7"/>
      <c r="AP2" s="19"/>
      <c r="AQ2" s="7"/>
      <c r="AR2" s="19"/>
      <c r="AS2" s="7"/>
      <c r="AT2" s="19"/>
      <c r="AU2" s="7"/>
      <c r="AW2" s="7"/>
      <c r="AY2" s="7"/>
      <c r="BA2" s="7"/>
      <c r="BC2" s="7"/>
    </row>
    <row r="3" spans="1:62" ht="11.25" customHeight="1" x14ac:dyDescent="0.2">
      <c r="A3" s="4" t="str">
        <f ca="1">IF(INDIRECT("beschriftung!"&amp;ADDRESS(beschriftung!$C$1*12+ROW(beschriftung!$A5)-1,COLUMN(beschriftung!A$1)))="","",INDIRECT("beschriftung!"&amp;ADDRESS(beschriftung!$C$1*12+ROW(beschriftung!$A5)-1,COLUMN(beschriftung!A$1))))</f>
        <v/>
      </c>
      <c r="C3" s="7"/>
      <c r="D3" s="19"/>
      <c r="E3" s="7"/>
      <c r="F3" s="19"/>
      <c r="G3" s="7"/>
      <c r="H3" s="19"/>
      <c r="I3" s="7"/>
      <c r="J3" s="19"/>
      <c r="K3" s="7"/>
      <c r="L3" s="19"/>
      <c r="M3" s="7"/>
      <c r="N3" s="19"/>
      <c r="O3" s="7"/>
      <c r="P3" s="19"/>
      <c r="Q3" s="7"/>
      <c r="R3" s="19"/>
      <c r="S3" s="7"/>
      <c r="T3" s="19"/>
      <c r="U3" s="7"/>
      <c r="V3" s="19"/>
      <c r="W3" s="7"/>
      <c r="X3" s="19"/>
      <c r="Y3" s="7"/>
      <c r="Z3" s="19"/>
      <c r="AA3" s="7"/>
      <c r="AB3" s="19"/>
      <c r="AC3" s="7"/>
      <c r="AD3" s="19"/>
      <c r="AE3" s="7"/>
      <c r="AF3" s="19"/>
      <c r="AG3" s="7"/>
      <c r="AH3" s="19"/>
      <c r="AI3" s="7"/>
      <c r="AJ3" s="19"/>
      <c r="AK3" s="7"/>
      <c r="AL3" s="19"/>
      <c r="AM3" s="7"/>
      <c r="AN3" s="19"/>
      <c r="AO3" s="7"/>
      <c r="AP3" s="19"/>
      <c r="AQ3" s="7"/>
      <c r="AR3" s="19"/>
      <c r="AS3" s="7"/>
      <c r="AT3" s="19"/>
      <c r="AU3" s="7"/>
      <c r="AW3" s="7"/>
      <c r="AY3" s="7"/>
      <c r="BA3" s="7"/>
      <c r="BC3" s="7"/>
    </row>
    <row r="4" spans="1:62" ht="11.25" customHeight="1" x14ac:dyDescent="0.2">
      <c r="A4" s="9"/>
      <c r="C4" s="43" t="str">
        <f ca="1">IF(INDIRECT("beschriftung!"&amp;ADDRESS(beschriftung!$C$1*12+ROW(beschriftung!$A5)-1,COLUMN(beschriftung!C$1)))="","",INDIRECT("beschriftung!"&amp;ADDRESS(beschriftung!$C$1*12+ROW(beschriftung!$A5)-1,COLUMN(beschriftung!C$1))))</f>
        <v>Gross domestic product</v>
      </c>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4"/>
      <c r="AU4" s="16"/>
      <c r="AV4" s="12"/>
      <c r="AW4" s="16"/>
      <c r="AX4" s="12"/>
      <c r="AY4" s="16"/>
      <c r="AZ4" s="12"/>
      <c r="BA4" s="16"/>
      <c r="BB4" s="12"/>
      <c r="BC4" s="20"/>
      <c r="BD4" s="5"/>
      <c r="BE4" s="5"/>
      <c r="BF4" s="5"/>
      <c r="BG4" s="5"/>
      <c r="BH4" s="5"/>
      <c r="BI4" s="5"/>
      <c r="BJ4" s="5"/>
    </row>
    <row r="5" spans="1:62" ht="11.25" customHeight="1" x14ac:dyDescent="0.2">
      <c r="A5" s="9"/>
      <c r="C5" s="45"/>
      <c r="D5" s="46"/>
      <c r="E5" s="43" t="str">
        <f ca="1">IF(INDIRECT("beschriftung!"&amp;ADDRESS(beschriftung!$C$1*12+ROW(beschriftung!$A6)-1,COLUMN(beschriftung!E$1)))="","",INDIRECT("beschriftung!"&amp;ADDRESS(beschriftung!$C$1*12+ROW(beschriftung!$A6)-1,COLUMN(beschriftung!E$1))))</f>
        <v>Internal demand</v>
      </c>
      <c r="F5" s="47"/>
      <c r="G5" s="47"/>
      <c r="H5" s="47"/>
      <c r="I5" s="47"/>
      <c r="J5" s="47"/>
      <c r="K5" s="47"/>
      <c r="L5" s="47"/>
      <c r="M5" s="47"/>
      <c r="N5" s="47"/>
      <c r="O5" s="47"/>
      <c r="P5" s="47"/>
      <c r="Q5" s="47"/>
      <c r="R5" s="47"/>
      <c r="S5" s="47"/>
      <c r="T5" s="47"/>
      <c r="U5" s="47"/>
      <c r="V5" s="47"/>
      <c r="W5" s="47"/>
      <c r="X5" s="44"/>
      <c r="Y5" s="43" t="str">
        <f ca="1">IF(INDIRECT("beschriftung!"&amp;ADDRESS(beschriftung!$C$1*12+ROW(beschriftung!$A6)-1,COLUMN(beschriftung!Y$1)))="","",INDIRECT("beschriftung!"&amp;ADDRESS(beschriftung!$C$1*12+ROW(beschriftung!$A6)-1,COLUMN(beschriftung!Y$1))))</f>
        <v>Trade balance (goods and services)</v>
      </c>
      <c r="Z5" s="47"/>
      <c r="AA5" s="47"/>
      <c r="AB5" s="47"/>
      <c r="AC5" s="47"/>
      <c r="AD5" s="47"/>
      <c r="AE5" s="47"/>
      <c r="AF5" s="47"/>
      <c r="AG5" s="47"/>
      <c r="AH5" s="47"/>
      <c r="AI5" s="47"/>
      <c r="AJ5" s="47"/>
      <c r="AK5" s="47"/>
      <c r="AL5" s="47"/>
      <c r="AM5" s="47"/>
      <c r="AN5" s="47"/>
      <c r="AO5" s="47"/>
      <c r="AP5" s="47"/>
      <c r="AQ5" s="47"/>
      <c r="AR5" s="47"/>
      <c r="AS5" s="47"/>
      <c r="AT5" s="47"/>
      <c r="AU5" s="50" t="str">
        <f ca="1">IF(INDIRECT("beschriftung!"&amp;ADDRESS(beschriftung!$C$1*12+ROW(beschriftung!$A6)-1,COLUMN(beschriftung!AU$1)))="","",INDIRECT("beschriftung!"&amp;ADDRESS(beschriftung!$C$1*12+ROW(beschriftung!$A6)-1,COLUMN(beschriftung!AU$1))))</f>
        <v>Global demand excluding inventories change, stat. discrepancies and valuables</v>
      </c>
      <c r="AV5" s="51"/>
      <c r="AW5" s="51"/>
      <c r="AX5" s="51"/>
      <c r="AY5" s="51"/>
      <c r="AZ5" s="51"/>
      <c r="BA5" s="51"/>
      <c r="BB5" s="51"/>
      <c r="BC5" s="17"/>
      <c r="BD5" s="13"/>
      <c r="BE5" s="14"/>
      <c r="BF5" s="14"/>
      <c r="BG5" s="14"/>
      <c r="BH5" s="14"/>
      <c r="BI5" s="14"/>
      <c r="BJ5" s="14"/>
    </row>
    <row r="6" spans="1:62" ht="11.25" customHeight="1" x14ac:dyDescent="0.2">
      <c r="A6" s="9"/>
      <c r="C6" s="45"/>
      <c r="D6" s="46"/>
      <c r="E6" s="45"/>
      <c r="F6" s="46"/>
      <c r="G6" s="43" t="str">
        <f ca="1">IF(INDIRECT("beschriftung!"&amp;ADDRESS(beschriftung!$C$1*12+ROW(beschriftung!$A7)-1,COLUMN(beschriftung!G$1)))="","",INDIRECT("beschriftung!"&amp;ADDRESS(beschriftung!$C$1*12+ROW(beschriftung!$A7)-1,COLUMN(beschriftung!G$1))))</f>
        <v>Final consumption expenditure</v>
      </c>
      <c r="H6" s="47"/>
      <c r="I6" s="47"/>
      <c r="J6" s="47"/>
      <c r="K6" s="47"/>
      <c r="L6" s="44"/>
      <c r="M6" s="43" t="str">
        <f ca="1">IF(INDIRECT("beschriftung!"&amp;ADDRESS(beschriftung!$C$1*12+ROW(beschriftung!$A7)-1,COLUMN(beschriftung!M$1)))="","",INDIRECT("beschriftung!"&amp;ADDRESS(beschriftung!$C$1*12+ROW(beschriftung!$A7)-1,COLUMN(beschriftung!M$1))))</f>
        <v xml:space="preserve">Gross capital formation </v>
      </c>
      <c r="N6" s="47"/>
      <c r="O6" s="47"/>
      <c r="P6" s="47"/>
      <c r="Q6" s="47"/>
      <c r="R6" s="47"/>
      <c r="S6" s="47"/>
      <c r="T6" s="47"/>
      <c r="U6" s="47"/>
      <c r="V6" s="47"/>
      <c r="W6" s="47"/>
      <c r="X6" s="44"/>
      <c r="Y6" s="45"/>
      <c r="Z6" s="46"/>
      <c r="AA6" s="43" t="str">
        <f ca="1">IF(INDIRECT("beschriftung!"&amp;ADDRESS(beschriftung!$C$1*12+ROW(beschriftung!$A7)-1,COLUMN(beschriftung!AA$1)))="","",INDIRECT("beschriftung!"&amp;ADDRESS(beschriftung!$C$1*12+ROW(beschriftung!$A7)-1,COLUMN(beschriftung!AA$1))))</f>
        <v>Exports of goods and services</v>
      </c>
      <c r="AB6" s="47"/>
      <c r="AC6" s="47"/>
      <c r="AD6" s="47"/>
      <c r="AE6" s="47"/>
      <c r="AF6" s="47"/>
      <c r="AG6" s="47"/>
      <c r="AH6" s="47"/>
      <c r="AI6" s="47"/>
      <c r="AJ6" s="44"/>
      <c r="AK6" s="43" t="str">
        <f ca="1">IF(INDIRECT("beschriftung!"&amp;ADDRESS(beschriftung!$C$1*12+ROW(beschriftung!$A7)-1,COLUMN(beschriftung!AK$1)))="","",INDIRECT("beschriftung!"&amp;ADDRESS(beschriftung!$C$1*12+ROW(beschriftung!$A7)-1,COLUMN(beschriftung!AK$1))))</f>
        <v>Imports of goods and services</v>
      </c>
      <c r="AL6" s="47"/>
      <c r="AM6" s="47"/>
      <c r="AN6" s="47"/>
      <c r="AO6" s="47"/>
      <c r="AP6" s="47"/>
      <c r="AQ6" s="47"/>
      <c r="AR6" s="47"/>
      <c r="AS6" s="47"/>
      <c r="AT6" s="47"/>
      <c r="AU6" s="58"/>
      <c r="AV6" s="59"/>
      <c r="AW6" s="52" t="str">
        <f ca="1">IF(INDIRECT("beschriftung!"&amp;ADDRESS(beschriftung!$C$1*12+ROW(beschriftung!$A7)-1,COLUMN(beschriftung!AW$1)))="","",INDIRECT("beschriftung!"&amp;ADDRESS(beschriftung!$C$1*12+ROW(beschriftung!$A7)-1,COLUMN(beschriftung!AW$1))))</f>
        <v>Final domestic demand</v>
      </c>
      <c r="AX6" s="53"/>
      <c r="AY6" s="52" t="str">
        <f ca="1">IF(INDIRECT("beschriftung!"&amp;ADDRESS(beschriftung!$C$1*12+ROW(beschriftung!$A7)-1,COLUMN(beschriftung!AY$1)))="","",INDIRECT("beschriftung!"&amp;ADDRESS(beschriftung!$C$1*12+ROW(beschriftung!$A7)-1,COLUMN(beschriftung!AY$1))))</f>
        <v>Exports of goods and services (excluding valuables)</v>
      </c>
      <c r="AZ6" s="56"/>
      <c r="BA6" s="18"/>
      <c r="BB6" s="15"/>
      <c r="BC6" s="52" t="str">
        <f ca="1">IF(INDIRECT("beschriftung!"&amp;ADDRESS(beschriftung!$C$1*12+ROW(beschriftung!$A7)-1,COLUMN(beschriftung!BC$1)))="","",INDIRECT("beschriftung!"&amp;ADDRESS(beschriftung!$C$1*12+ROW(beschriftung!$A7)-1,COLUMN(beschriftung!BC$1))))</f>
        <v>Imports of goods and services (excluding valuables)</v>
      </c>
      <c r="BD6" s="53"/>
    </row>
    <row r="7" spans="1:62" ht="11.25" customHeight="1" x14ac:dyDescent="0.2">
      <c r="A7" s="10"/>
      <c r="B7" s="10"/>
      <c r="C7" s="45"/>
      <c r="D7" s="46"/>
      <c r="E7" s="45"/>
      <c r="F7" s="46"/>
      <c r="G7" s="45"/>
      <c r="H7" s="46"/>
      <c r="I7" s="43" t="str">
        <f ca="1">IF(INDIRECT("beschriftung!"&amp;ADDRESS(beschriftung!$C$1*12+ROW(beschriftung!$A8)-1,COLUMN(beschriftung!I$1)))="","",INDIRECT("beschriftung!"&amp;ADDRESS(beschriftung!$C$1*12+ROW(beschriftung!$A8)-1,COLUMN(beschriftung!I$1))))</f>
        <v>Households and NPISH</v>
      </c>
      <c r="J7" s="44"/>
      <c r="K7" s="43" t="str">
        <f ca="1">IF(INDIRECT("beschriftung!"&amp;ADDRESS(beschriftung!$C$1*12+ROW(beschriftung!$A8)-1,COLUMN(beschriftung!K$1)))="","",INDIRECT("beschriftung!"&amp;ADDRESS(beschriftung!$C$1*12+ROW(beschriftung!$A8)-1,COLUMN(beschriftung!K$1))))</f>
        <v>General government</v>
      </c>
      <c r="L7" s="44"/>
      <c r="M7" s="45"/>
      <c r="N7" s="46"/>
      <c r="O7" s="43" t="str">
        <f ca="1">IF(INDIRECT("beschriftung!"&amp;ADDRESS(beschriftung!$C$1*12+ROW(beschriftung!$A8)-1,COLUMN(beschriftung!O$1)))="","",INDIRECT("beschriftung!"&amp;ADDRESS(beschriftung!$C$1*12+ROW(beschriftung!$A8)-1,COLUMN(beschriftung!O$1))))</f>
        <v>Gross fixed capital formation</v>
      </c>
      <c r="P7" s="47"/>
      <c r="Q7" s="47"/>
      <c r="R7" s="47"/>
      <c r="S7" s="47"/>
      <c r="T7" s="44"/>
      <c r="U7" s="43" t="str">
        <f ca="1">IF(INDIRECT("beschriftung!"&amp;ADDRESS(beschriftung!$C$1*12+ROW(beschriftung!$A8)-1,COLUMN(beschriftung!U$1)))="","",INDIRECT("beschriftung!"&amp;ADDRESS(beschriftung!$C$1*12+ROW(beschriftung!$A8)-1,COLUMN(beschriftung!U$1))))</f>
        <v>Changes in inventories and statistical discrepancies</v>
      </c>
      <c r="V7" s="44"/>
      <c r="W7" s="43" t="str">
        <f ca="1">IF(INDIRECT("beschriftung!"&amp;ADDRESS(beschriftung!$C$1*12+ROW(beschriftung!$A8)-1,COLUMN(beschriftung!W$1)))="","",INDIRECT("beschriftung!"&amp;ADDRESS(beschriftung!$C$1*12+ROW(beschriftung!$A8)-1,COLUMN(beschriftung!W$1))))</f>
        <v>Acquisitions less disposals of valuables (including non-monetary gold)</v>
      </c>
      <c r="X7" s="44"/>
      <c r="Y7" s="45"/>
      <c r="Z7" s="46"/>
      <c r="AA7" s="45"/>
      <c r="AB7" s="46"/>
      <c r="AC7" s="43" t="str">
        <f ca="1">IF(INDIRECT("beschriftung!"&amp;ADDRESS(beschriftung!$C$1*12+ROW(beschriftung!$A8)-1,COLUMN(beschriftung!AC$1)))="","",INDIRECT("beschriftung!"&amp;ADDRESS(beschriftung!$C$1*12+ROW(beschriftung!$A8)-1,COLUMN(beschriftung!AC$1))))</f>
        <v>Exports (exp.) of goods</v>
      </c>
      <c r="AD7" s="47"/>
      <c r="AE7" s="47"/>
      <c r="AF7" s="47"/>
      <c r="AG7" s="47"/>
      <c r="AH7" s="44"/>
      <c r="AI7" s="43" t="str">
        <f ca="1">IF(INDIRECT("beschriftung!"&amp;ADDRESS(beschriftung!$C$1*12+ROW(beschriftung!$A8)-1,COLUMN(beschriftung!AI$1)))="","",INDIRECT("beschriftung!"&amp;ADDRESS(beschriftung!$C$1*12+ROW(beschriftung!$A8)-1,COLUMN(beschriftung!AI$1))))</f>
        <v>Exports of services</v>
      </c>
      <c r="AJ7" s="44"/>
      <c r="AK7" s="45"/>
      <c r="AL7" s="46"/>
      <c r="AM7" s="43" t="str">
        <f ca="1">IF(INDIRECT("beschriftung!"&amp;ADDRESS(beschriftung!$C$1*12+ROW(beschriftung!$A8)-1,COLUMN(beschriftung!AM$1)))="","",INDIRECT("beschriftung!"&amp;ADDRESS(beschriftung!$C$1*12+ROW(beschriftung!$A8)-1,COLUMN(beschriftung!AM$1))))</f>
        <v>Imports (imp.) of goods</v>
      </c>
      <c r="AN7" s="47"/>
      <c r="AO7" s="47"/>
      <c r="AP7" s="47"/>
      <c r="AQ7" s="47"/>
      <c r="AR7" s="44"/>
      <c r="AS7" s="43" t="str">
        <f ca="1">IF(INDIRECT("beschriftung!"&amp;ADDRESS(beschriftung!$C$1*12+ROW(beschriftung!$A8)-1,COLUMN(beschriftung!AS$1)))="","",INDIRECT("beschriftung!"&amp;ADDRESS(beschriftung!$C$1*12+ROW(beschriftung!$A8)-1,COLUMN(beschriftung!AS$1))))</f>
        <v>Imports of services</v>
      </c>
      <c r="AT7" s="47"/>
      <c r="AU7" s="58"/>
      <c r="AV7" s="59"/>
      <c r="AW7" s="54"/>
      <c r="AX7" s="55"/>
      <c r="AY7" s="54"/>
      <c r="AZ7" s="57"/>
      <c r="BA7" s="52" t="str">
        <f ca="1">IF(INDIRECT("beschriftung!"&amp;ADDRESS(beschriftung!$C$1*12+ROW(beschriftung!$A8)-1,COLUMN(beschriftung!BA$1)))="","",INDIRECT("beschriftung!"&amp;ADDRESS(beschriftung!$C$1*12+ROW(beschriftung!$A8)-1,COLUMN(beschriftung!BA$1))))</f>
        <v>thereof exports of goods excluding valuables</v>
      </c>
      <c r="BB7" s="53"/>
      <c r="BC7" s="54"/>
      <c r="BD7" s="55"/>
    </row>
    <row r="8" spans="1:62" ht="11.25" customHeight="1" x14ac:dyDescent="0.2">
      <c r="A8" s="11"/>
      <c r="B8" s="11"/>
      <c r="C8" s="45"/>
      <c r="D8" s="46"/>
      <c r="E8" s="45"/>
      <c r="F8" s="46"/>
      <c r="G8" s="45"/>
      <c r="H8" s="46"/>
      <c r="I8" s="45"/>
      <c r="J8" s="46"/>
      <c r="K8" s="45"/>
      <c r="L8" s="46"/>
      <c r="M8" s="45"/>
      <c r="N8" s="46"/>
      <c r="O8" s="45"/>
      <c r="P8" s="46"/>
      <c r="Q8" s="43" t="str">
        <f ca="1">IF(INDIRECT("beschriftung!"&amp;ADDRESS(beschriftung!$C$1*12+ROW(beschriftung!$A9)-1,COLUMN(beschriftung!Q$1)))="","",INDIRECT("beschriftung!"&amp;ADDRESS(beschriftung!$C$1*12+ROW(beschriftung!$A9)-1,COLUMN(beschriftung!Q$1))))</f>
        <v>Construction</v>
      </c>
      <c r="R8" s="44"/>
      <c r="S8" s="43" t="str">
        <f ca="1">IF(INDIRECT("beschriftung!"&amp;ADDRESS(beschriftung!$C$1*12+ROW(beschriftung!$A9)-1,COLUMN(beschriftung!S$1)))="","",INDIRECT("beschriftung!"&amp;ADDRESS(beschriftung!$C$1*12+ROW(beschriftung!$A9)-1,COLUMN(beschriftung!S$1))))</f>
        <v>Fixed assets and software</v>
      </c>
      <c r="T8" s="44"/>
      <c r="U8" s="45"/>
      <c r="V8" s="46"/>
      <c r="W8" s="45"/>
      <c r="X8" s="46"/>
      <c r="Y8" s="45"/>
      <c r="Z8" s="46"/>
      <c r="AA8" s="45"/>
      <c r="AB8" s="46"/>
      <c r="AC8" s="45"/>
      <c r="AD8" s="46"/>
      <c r="AE8" s="43" t="str">
        <f ca="1">IF(INDIRECT("beschriftung!"&amp;ADDRESS(beschriftung!$C$1*12+ROW(beschriftung!$A9)-1,COLUMN(beschriftung!AE$1)))="","",INDIRECT("beschriftung!"&amp;ADDRESS(beschriftung!$C$1*12+ROW(beschriftung!$A9)-1,COLUMN(beschriftung!AE$1))))</f>
        <v xml:space="preserve">thereof exp. of goods excluding non-monetary gold </v>
      </c>
      <c r="AF8" s="44"/>
      <c r="AG8" s="43" t="str">
        <f ca="1">IF(INDIRECT("beschriftung!"&amp;ADDRESS(beschriftung!$C$1*12+ROW(beschriftung!$A9)-1,COLUMN(beschriftung!AG$1)))="","",INDIRECT("beschriftung!"&amp;ADDRESS(beschriftung!$C$1*12+ROW(beschriftung!$A9)-1,COLUMN(beschriftung!AG$1))))</f>
        <v>thereof exp. of goods excluding valuables and merchanting</v>
      </c>
      <c r="AH8" s="44"/>
      <c r="AI8" s="45"/>
      <c r="AJ8" s="46"/>
      <c r="AK8" s="45"/>
      <c r="AL8" s="46"/>
      <c r="AM8" s="45"/>
      <c r="AN8" s="46"/>
      <c r="AO8" s="43" t="str">
        <f ca="1">IF(INDIRECT("beschriftung!"&amp;ADDRESS(beschriftung!$C$1*12+ROW(beschriftung!$A9)-1,COLUMN(beschriftung!AO$1)))="","",INDIRECT("beschriftung!"&amp;ADDRESS(beschriftung!$C$1*12+ROW(beschriftung!$A9)-1,COLUMN(beschriftung!AO$1))))</f>
        <v>thereof imp. of goods excluding non-monetary gold</v>
      </c>
      <c r="AP8" s="44"/>
      <c r="AQ8" s="43" t="str">
        <f ca="1">IF(INDIRECT("beschriftung!"&amp;ADDRESS(beschriftung!$C$1*12+ROW(beschriftung!$A9)-1,COLUMN(beschriftung!AQ$1)))="","",INDIRECT("beschriftung!"&amp;ADDRESS(beschriftung!$C$1*12+ROW(beschriftung!$A9)-1,COLUMN(beschriftung!AQ$1))))</f>
        <v>thereof imp. of goods excluding valuables</v>
      </c>
      <c r="AR8" s="44"/>
      <c r="AS8" s="45"/>
      <c r="AT8" s="61"/>
      <c r="AU8" s="58"/>
      <c r="AV8" s="59"/>
      <c r="AW8" s="54"/>
      <c r="AX8" s="55"/>
      <c r="AY8" s="54"/>
      <c r="AZ8" s="57"/>
      <c r="BA8" s="54"/>
      <c r="BB8" s="55"/>
      <c r="BC8" s="54"/>
      <c r="BD8" s="55"/>
    </row>
    <row r="9" spans="1:62" ht="11.25" customHeight="1" x14ac:dyDescent="0.2">
      <c r="A9" s="11"/>
      <c r="B9" s="11"/>
      <c r="C9" s="45"/>
      <c r="D9" s="46"/>
      <c r="E9" s="45"/>
      <c r="F9" s="46"/>
      <c r="G9" s="45"/>
      <c r="H9" s="46"/>
      <c r="I9" s="45"/>
      <c r="J9" s="46"/>
      <c r="K9" s="45"/>
      <c r="L9" s="46"/>
      <c r="M9" s="45"/>
      <c r="N9" s="46"/>
      <c r="O9" s="45"/>
      <c r="P9" s="46"/>
      <c r="Q9" s="45"/>
      <c r="R9" s="46"/>
      <c r="S9" s="45"/>
      <c r="T9" s="46"/>
      <c r="U9" s="45"/>
      <c r="V9" s="46"/>
      <c r="W9" s="45"/>
      <c r="X9" s="46"/>
      <c r="Y9" s="45"/>
      <c r="Z9" s="46"/>
      <c r="AA9" s="45"/>
      <c r="AB9" s="46"/>
      <c r="AC9" s="45"/>
      <c r="AD9" s="46"/>
      <c r="AE9" s="45"/>
      <c r="AF9" s="46"/>
      <c r="AG9" s="45"/>
      <c r="AH9" s="46"/>
      <c r="AI9" s="45"/>
      <c r="AJ9" s="46"/>
      <c r="AK9" s="45"/>
      <c r="AL9" s="46"/>
      <c r="AM9" s="45"/>
      <c r="AN9" s="46"/>
      <c r="AO9" s="45"/>
      <c r="AP9" s="46"/>
      <c r="AQ9" s="45"/>
      <c r="AR9" s="46"/>
      <c r="AS9" s="45"/>
      <c r="AT9" s="61"/>
      <c r="AU9" s="58"/>
      <c r="AV9" s="59"/>
      <c r="AW9" s="54"/>
      <c r="AX9" s="55"/>
      <c r="AY9" s="54"/>
      <c r="AZ9" s="57"/>
      <c r="BA9" s="54"/>
      <c r="BB9" s="55"/>
      <c r="BC9" s="54"/>
      <c r="BD9" s="55"/>
    </row>
    <row r="10" spans="1:62" ht="11.25" customHeight="1" x14ac:dyDescent="0.2">
      <c r="A10" s="11"/>
      <c r="B10" s="10"/>
      <c r="C10" s="45"/>
      <c r="D10" s="46"/>
      <c r="E10" s="45"/>
      <c r="F10" s="46"/>
      <c r="G10" s="45"/>
      <c r="H10" s="46"/>
      <c r="I10" s="45"/>
      <c r="J10" s="46"/>
      <c r="K10" s="45"/>
      <c r="L10" s="46"/>
      <c r="M10" s="45"/>
      <c r="N10" s="46"/>
      <c r="O10" s="45"/>
      <c r="P10" s="46"/>
      <c r="Q10" s="45"/>
      <c r="R10" s="46"/>
      <c r="S10" s="45"/>
      <c r="T10" s="46"/>
      <c r="U10" s="45"/>
      <c r="V10" s="46"/>
      <c r="W10" s="45"/>
      <c r="X10" s="46"/>
      <c r="Y10" s="45"/>
      <c r="Z10" s="46"/>
      <c r="AA10" s="45"/>
      <c r="AB10" s="46"/>
      <c r="AC10" s="45"/>
      <c r="AD10" s="46"/>
      <c r="AE10" s="45"/>
      <c r="AF10" s="46"/>
      <c r="AG10" s="45"/>
      <c r="AH10" s="46"/>
      <c r="AI10" s="45"/>
      <c r="AJ10" s="46"/>
      <c r="AK10" s="45"/>
      <c r="AL10" s="46"/>
      <c r="AM10" s="45"/>
      <c r="AN10" s="46"/>
      <c r="AO10" s="45"/>
      <c r="AP10" s="46"/>
      <c r="AQ10" s="45"/>
      <c r="AR10" s="46"/>
      <c r="AS10" s="45"/>
      <c r="AT10" s="61"/>
      <c r="AU10" s="58"/>
      <c r="AV10" s="59"/>
      <c r="AW10" s="54"/>
      <c r="AX10" s="55"/>
      <c r="AY10" s="54"/>
      <c r="AZ10" s="57"/>
      <c r="BA10" s="54"/>
      <c r="BB10" s="55"/>
      <c r="BC10" s="54"/>
      <c r="BD10" s="55"/>
    </row>
    <row r="11" spans="1:62" ht="11.25" customHeight="1" x14ac:dyDescent="0.2">
      <c r="A11" s="3"/>
      <c r="B11" s="8"/>
      <c r="C11" s="48" t="s">
        <v>167</v>
      </c>
      <c r="D11" s="49"/>
      <c r="E11" s="48" t="s">
        <v>182</v>
      </c>
      <c r="F11" s="49"/>
      <c r="G11" s="48" t="s">
        <v>168</v>
      </c>
      <c r="H11" s="49"/>
      <c r="I11" s="48" t="s">
        <v>184</v>
      </c>
      <c r="J11" s="49"/>
      <c r="K11" s="48" t="s">
        <v>185</v>
      </c>
      <c r="L11" s="49"/>
      <c r="M11" s="48" t="s">
        <v>169</v>
      </c>
      <c r="N11" s="49"/>
      <c r="O11" s="48" t="s">
        <v>170</v>
      </c>
      <c r="P11" s="49"/>
      <c r="Q11" s="48" t="s">
        <v>171</v>
      </c>
      <c r="R11" s="49"/>
      <c r="S11" s="48" t="s">
        <v>172</v>
      </c>
      <c r="T11" s="49"/>
      <c r="U11" s="48" t="s">
        <v>186</v>
      </c>
      <c r="V11" s="49"/>
      <c r="W11" s="48" t="s">
        <v>173</v>
      </c>
      <c r="X11" s="49"/>
      <c r="Y11" s="48" t="s">
        <v>187</v>
      </c>
      <c r="Z11" s="49"/>
      <c r="AA11" s="48" t="s">
        <v>174</v>
      </c>
      <c r="AB11" s="49"/>
      <c r="AC11" s="48" t="s">
        <v>175</v>
      </c>
      <c r="AD11" s="49"/>
      <c r="AE11" s="48" t="s">
        <v>176</v>
      </c>
      <c r="AF11" s="49"/>
      <c r="AG11" s="48"/>
      <c r="AH11" s="49"/>
      <c r="AI11" s="48" t="s">
        <v>177</v>
      </c>
      <c r="AJ11" s="49"/>
      <c r="AK11" s="48" t="s">
        <v>178</v>
      </c>
      <c r="AL11" s="49"/>
      <c r="AM11" s="48" t="s">
        <v>179</v>
      </c>
      <c r="AN11" s="49"/>
      <c r="AO11" s="48" t="s">
        <v>180</v>
      </c>
      <c r="AP11" s="49"/>
      <c r="AQ11" s="48"/>
      <c r="AR11" s="49"/>
      <c r="AS11" s="48" t="s">
        <v>181</v>
      </c>
      <c r="AT11" s="60"/>
      <c r="AU11" s="62" t="s">
        <v>188</v>
      </c>
      <c r="AV11" s="63"/>
      <c r="AW11" s="62" t="s">
        <v>183</v>
      </c>
      <c r="AX11" s="63"/>
      <c r="AY11" s="62"/>
      <c r="AZ11" s="63"/>
      <c r="BA11" s="62"/>
      <c r="BB11" s="63"/>
      <c r="BC11" s="62"/>
      <c r="BD11" s="63"/>
    </row>
    <row r="12" spans="1:62" x14ac:dyDescent="0.2">
      <c r="A12" s="28">
        <v>1980</v>
      </c>
      <c r="B12" s="28">
        <v>1</v>
      </c>
      <c r="C12" s="29">
        <v>49949.521573559599</v>
      </c>
      <c r="D12" s="30"/>
      <c r="E12" s="29">
        <v>53377.882333293397</v>
      </c>
      <c r="F12" s="30"/>
      <c r="G12" s="29">
        <v>34114.171661816101</v>
      </c>
      <c r="H12" s="30"/>
      <c r="I12" s="29">
        <v>29329.144839444802</v>
      </c>
      <c r="J12" s="30"/>
      <c r="K12" s="29">
        <v>4785.0268223712701</v>
      </c>
      <c r="L12" s="30"/>
      <c r="M12" s="29">
        <v>19263.7106714773</v>
      </c>
      <c r="N12" s="30"/>
      <c r="O12" s="29">
        <v>15311.8247052632</v>
      </c>
      <c r="P12" s="30"/>
      <c r="Q12" s="29">
        <v>5993.4116386053802</v>
      </c>
      <c r="R12" s="30"/>
      <c r="S12" s="29">
        <v>9318.4130666577894</v>
      </c>
      <c r="T12" s="30"/>
      <c r="U12" s="29">
        <v>1546.7861513635</v>
      </c>
      <c r="V12" s="30"/>
      <c r="W12" s="29">
        <v>2405.0998148506601</v>
      </c>
      <c r="X12" s="30"/>
      <c r="Y12" s="29">
        <v>-3428.36075973378</v>
      </c>
      <c r="Z12" s="30"/>
      <c r="AA12" s="29">
        <v>22690.424000886502</v>
      </c>
      <c r="AB12" s="30"/>
      <c r="AC12" s="29">
        <v>17301.6939555391</v>
      </c>
      <c r="AD12" s="30"/>
      <c r="AE12" s="29">
        <v>12216.417393608201</v>
      </c>
      <c r="AF12" s="30"/>
      <c r="AG12" s="29">
        <v>10833.1435651758</v>
      </c>
      <c r="AH12" s="30"/>
      <c r="AI12" s="29">
        <v>5388.7300453473899</v>
      </c>
      <c r="AJ12" s="30"/>
      <c r="AK12" s="29">
        <v>26118.784760620299</v>
      </c>
      <c r="AL12" s="30"/>
      <c r="AM12" s="29">
        <v>22332.686451993399</v>
      </c>
      <c r="AN12" s="30"/>
      <c r="AO12" s="29">
        <v>15273.15524346</v>
      </c>
      <c r="AP12" s="30"/>
      <c r="AQ12" s="29">
        <v>13660.878550416501</v>
      </c>
      <c r="AR12" s="30"/>
      <c r="AS12" s="29">
        <v>3786.0983086268302</v>
      </c>
      <c r="AT12" s="30"/>
      <c r="AU12" s="29">
        <v>65849.712281239394</v>
      </c>
      <c r="AV12" s="30"/>
      <c r="AW12" s="29">
        <v>49425.996367079199</v>
      </c>
      <c r="AX12" s="30"/>
      <c r="AY12" s="29">
        <v>16423.715914160199</v>
      </c>
      <c r="AZ12" s="30"/>
      <c r="BA12" s="29">
        <v>11034.985868812801</v>
      </c>
      <c r="BB12" s="30"/>
      <c r="BC12" s="29">
        <v>17446.976859043301</v>
      </c>
      <c r="BD12" s="30"/>
      <c r="BE12" s="29"/>
      <c r="BF12" s="30"/>
    </row>
    <row r="13" spans="1:62" x14ac:dyDescent="0.2">
      <c r="A13" s="28">
        <v>1980</v>
      </c>
      <c r="B13" s="28">
        <v>2</v>
      </c>
      <c r="C13" s="29">
        <v>51718.735078004203</v>
      </c>
      <c r="D13" s="30"/>
      <c r="E13" s="29">
        <v>53088.696888273902</v>
      </c>
      <c r="F13" s="30"/>
      <c r="G13" s="29">
        <v>34493.289243542698</v>
      </c>
      <c r="H13" s="30"/>
      <c r="I13" s="29">
        <v>29571.490875669799</v>
      </c>
      <c r="J13" s="30"/>
      <c r="K13" s="29">
        <v>4921.7983678728997</v>
      </c>
      <c r="L13" s="30"/>
      <c r="M13" s="29">
        <v>18595.4076447312</v>
      </c>
      <c r="N13" s="30"/>
      <c r="O13" s="29">
        <v>16858.3665857325</v>
      </c>
      <c r="P13" s="30"/>
      <c r="Q13" s="29">
        <v>7541.4991485127903</v>
      </c>
      <c r="R13" s="30"/>
      <c r="S13" s="29">
        <v>9316.8674372197202</v>
      </c>
      <c r="T13" s="30"/>
      <c r="U13" s="29">
        <v>1542.64614769074</v>
      </c>
      <c r="V13" s="30"/>
      <c r="W13" s="29">
        <v>194.394911307987</v>
      </c>
      <c r="X13" s="30"/>
      <c r="Y13" s="29">
        <v>-1369.96181026972</v>
      </c>
      <c r="Z13" s="30"/>
      <c r="AA13" s="29">
        <v>23021.906865300502</v>
      </c>
      <c r="AB13" s="30"/>
      <c r="AC13" s="29">
        <v>17437.2543560058</v>
      </c>
      <c r="AD13" s="30"/>
      <c r="AE13" s="29">
        <v>12440.3828298187</v>
      </c>
      <c r="AF13" s="30"/>
      <c r="AG13" s="29">
        <v>11149.810526702</v>
      </c>
      <c r="AH13" s="30"/>
      <c r="AI13" s="29">
        <v>5584.6525092947204</v>
      </c>
      <c r="AJ13" s="30"/>
      <c r="AK13" s="29">
        <v>24391.868675570298</v>
      </c>
      <c r="AL13" s="30"/>
      <c r="AM13" s="29">
        <v>20005.745316450299</v>
      </c>
      <c r="AN13" s="30"/>
      <c r="AO13" s="29">
        <v>14981.198612841201</v>
      </c>
      <c r="AP13" s="30"/>
      <c r="AQ13" s="29">
        <v>13731.0926496928</v>
      </c>
      <c r="AR13" s="30"/>
      <c r="AS13" s="29">
        <v>4386.1233591199798</v>
      </c>
      <c r="AT13" s="30"/>
      <c r="AU13" s="29">
        <v>68293.304939126203</v>
      </c>
      <c r="AV13" s="30"/>
      <c r="AW13" s="29">
        <v>51351.655829275202</v>
      </c>
      <c r="AX13" s="30"/>
      <c r="AY13" s="29">
        <v>16941.649109851001</v>
      </c>
      <c r="AZ13" s="30"/>
      <c r="BA13" s="29">
        <v>11356.9966005563</v>
      </c>
      <c r="BB13" s="30"/>
      <c r="BC13" s="29">
        <v>18117.2160088128</v>
      </c>
      <c r="BD13" s="30"/>
      <c r="BE13" s="29"/>
      <c r="BF13" s="30"/>
    </row>
    <row r="14" spans="1:62" x14ac:dyDescent="0.2">
      <c r="A14" s="28">
        <v>1980</v>
      </c>
      <c r="B14" s="28">
        <v>3</v>
      </c>
      <c r="C14" s="29">
        <v>52002.729930867099</v>
      </c>
      <c r="D14" s="30"/>
      <c r="E14" s="29">
        <v>51918.5997000446</v>
      </c>
      <c r="F14" s="30"/>
      <c r="G14" s="29">
        <v>34865.013885353903</v>
      </c>
      <c r="H14" s="30"/>
      <c r="I14" s="29">
        <v>29856.173468552599</v>
      </c>
      <c r="J14" s="30"/>
      <c r="K14" s="29">
        <v>5008.8404168013203</v>
      </c>
      <c r="L14" s="30"/>
      <c r="M14" s="29">
        <v>17053.585814690701</v>
      </c>
      <c r="N14" s="30"/>
      <c r="O14" s="29">
        <v>16920.853948543801</v>
      </c>
      <c r="P14" s="30"/>
      <c r="Q14" s="29">
        <v>7747.79308229859</v>
      </c>
      <c r="R14" s="30"/>
      <c r="S14" s="29">
        <v>9173.0608662452305</v>
      </c>
      <c r="T14" s="30"/>
      <c r="U14" s="29">
        <v>1063.6075809005099</v>
      </c>
      <c r="V14" s="30"/>
      <c r="W14" s="29">
        <v>-930.87571475366701</v>
      </c>
      <c r="X14" s="30"/>
      <c r="Y14" s="29">
        <v>84.130230822538607</v>
      </c>
      <c r="Z14" s="30"/>
      <c r="AA14" s="29">
        <v>24407.625199820101</v>
      </c>
      <c r="AB14" s="30"/>
      <c r="AC14" s="29">
        <v>17966.4758299518</v>
      </c>
      <c r="AD14" s="30"/>
      <c r="AE14" s="29">
        <v>12085.252782244201</v>
      </c>
      <c r="AF14" s="30"/>
      <c r="AG14" s="29">
        <v>10876.1702394112</v>
      </c>
      <c r="AH14" s="30"/>
      <c r="AI14" s="29">
        <v>6441.1493698682998</v>
      </c>
      <c r="AJ14" s="30"/>
      <c r="AK14" s="29">
        <v>24323.494968997598</v>
      </c>
      <c r="AL14" s="30"/>
      <c r="AM14" s="29">
        <v>19619.424922248301</v>
      </c>
      <c r="AN14" s="30"/>
      <c r="AO14" s="29">
        <v>14770.610134014099</v>
      </c>
      <c r="AP14" s="30"/>
      <c r="AQ14" s="29">
        <v>13675.1004623142</v>
      </c>
      <c r="AR14" s="30"/>
      <c r="AS14" s="29">
        <v>4704.0700467492297</v>
      </c>
      <c r="AT14" s="30"/>
      <c r="AU14" s="29">
        <v>69318.29285903</v>
      </c>
      <c r="AV14" s="30"/>
      <c r="AW14" s="29">
        <v>51785.867833897697</v>
      </c>
      <c r="AX14" s="30"/>
      <c r="AY14" s="29">
        <v>17532.425025132299</v>
      </c>
      <c r="AZ14" s="30"/>
      <c r="BA14" s="29">
        <v>11091.275655264</v>
      </c>
      <c r="BB14" s="30"/>
      <c r="BC14" s="29">
        <v>18379.170509063399</v>
      </c>
      <c r="BD14" s="30"/>
      <c r="BE14" s="29"/>
      <c r="BF14" s="30"/>
    </row>
    <row r="15" spans="1:62" x14ac:dyDescent="0.2">
      <c r="A15" s="28">
        <v>1980</v>
      </c>
      <c r="B15" s="28">
        <v>4</v>
      </c>
      <c r="C15" s="29">
        <v>54793.817633085098</v>
      </c>
      <c r="D15" s="30"/>
      <c r="E15" s="29">
        <v>55568.639693604797</v>
      </c>
      <c r="F15" s="30"/>
      <c r="G15" s="29">
        <v>36483.275976374403</v>
      </c>
      <c r="H15" s="30"/>
      <c r="I15" s="29">
        <v>31374.4167260137</v>
      </c>
      <c r="J15" s="30"/>
      <c r="K15" s="29">
        <v>5108.8592503607097</v>
      </c>
      <c r="L15" s="30"/>
      <c r="M15" s="29">
        <v>19085.363717230299</v>
      </c>
      <c r="N15" s="30"/>
      <c r="O15" s="29">
        <v>14435.0289986277</v>
      </c>
      <c r="P15" s="30"/>
      <c r="Q15" s="29">
        <v>4808.8753128755397</v>
      </c>
      <c r="R15" s="30"/>
      <c r="S15" s="29">
        <v>9626.1536857521096</v>
      </c>
      <c r="T15" s="30"/>
      <c r="U15" s="29">
        <v>5212.99163879144</v>
      </c>
      <c r="V15" s="30"/>
      <c r="W15" s="29">
        <v>-562.65692018875404</v>
      </c>
      <c r="X15" s="30"/>
      <c r="Y15" s="29">
        <v>-774.82206051962601</v>
      </c>
      <c r="Z15" s="30"/>
      <c r="AA15" s="29">
        <v>24580.704938692401</v>
      </c>
      <c r="AB15" s="30"/>
      <c r="AC15" s="29">
        <v>19330.718110897</v>
      </c>
      <c r="AD15" s="30"/>
      <c r="AE15" s="29">
        <v>13366.4892467227</v>
      </c>
      <c r="AF15" s="30"/>
      <c r="AG15" s="29">
        <v>11885.364614665499</v>
      </c>
      <c r="AH15" s="30"/>
      <c r="AI15" s="29">
        <v>5249.9868277954602</v>
      </c>
      <c r="AJ15" s="30"/>
      <c r="AK15" s="29">
        <v>25355.526999212099</v>
      </c>
      <c r="AL15" s="30"/>
      <c r="AM15" s="29">
        <v>21020.647230022601</v>
      </c>
      <c r="AN15" s="30"/>
      <c r="AO15" s="29">
        <v>15726.5415103993</v>
      </c>
      <c r="AP15" s="30"/>
      <c r="AQ15" s="29">
        <v>14368.9911584164</v>
      </c>
      <c r="AR15" s="30"/>
      <c r="AS15" s="29">
        <v>4334.8797691894597</v>
      </c>
      <c r="AT15" s="30"/>
      <c r="AU15" s="29">
        <v>68284.696921899595</v>
      </c>
      <c r="AV15" s="30"/>
      <c r="AW15" s="29">
        <v>50918.304975002102</v>
      </c>
      <c r="AX15" s="30"/>
      <c r="AY15" s="29">
        <v>17366.3919468975</v>
      </c>
      <c r="AZ15" s="30"/>
      <c r="BA15" s="29">
        <v>12116.405119102001</v>
      </c>
      <c r="BB15" s="30"/>
      <c r="BC15" s="29">
        <v>18703.870927605902</v>
      </c>
      <c r="BD15" s="30"/>
      <c r="BE15" s="29"/>
      <c r="BF15" s="30"/>
    </row>
    <row r="16" spans="1:62" x14ac:dyDescent="0.2">
      <c r="A16" s="28">
        <v>1981</v>
      </c>
      <c r="B16" s="28">
        <v>1</v>
      </c>
      <c r="C16" s="29">
        <v>52977.658846113402</v>
      </c>
      <c r="D16" s="30">
        <v>6.0623949482566698E-2</v>
      </c>
      <c r="E16" s="29">
        <v>52852.972912227997</v>
      </c>
      <c r="F16" s="30">
        <v>-9.83383750197875E-3</v>
      </c>
      <c r="G16" s="29">
        <v>36161.2903599087</v>
      </c>
      <c r="H16" s="30">
        <v>6.0007867650614402E-2</v>
      </c>
      <c r="I16" s="29">
        <v>30931.210457731999</v>
      </c>
      <c r="J16" s="30">
        <v>5.4623673041179099E-2</v>
      </c>
      <c r="K16" s="29">
        <v>5230.0799021766497</v>
      </c>
      <c r="L16" s="30">
        <v>9.3009526660255998E-2</v>
      </c>
      <c r="M16" s="29">
        <v>16691.682552319398</v>
      </c>
      <c r="N16" s="30">
        <v>-0.13351675401594301</v>
      </c>
      <c r="O16" s="29">
        <v>16761.881204545702</v>
      </c>
      <c r="P16" s="30">
        <v>9.4701743730395596E-2</v>
      </c>
      <c r="Q16" s="29">
        <v>7135.32934598867</v>
      </c>
      <c r="R16" s="30">
        <v>0.19052883002860299</v>
      </c>
      <c r="S16" s="29">
        <v>9626.5518585570699</v>
      </c>
      <c r="T16" s="30">
        <v>3.3067732638064E-2</v>
      </c>
      <c r="U16" s="29">
        <v>777.39732237623002</v>
      </c>
      <c r="V16" s="30"/>
      <c r="W16" s="29">
        <v>-847.59597460260602</v>
      </c>
      <c r="X16" s="30"/>
      <c r="Y16" s="29">
        <v>124.685933885412</v>
      </c>
      <c r="Z16" s="30"/>
      <c r="AA16" s="29">
        <v>25071.567159490001</v>
      </c>
      <c r="AB16" s="30">
        <v>0.10494044353293901</v>
      </c>
      <c r="AC16" s="29">
        <v>19110.778464933799</v>
      </c>
      <c r="AD16" s="30">
        <v>0.104561120665038</v>
      </c>
      <c r="AE16" s="29">
        <v>12982.6847513962</v>
      </c>
      <c r="AF16" s="30">
        <v>6.2724392356547698E-2</v>
      </c>
      <c r="AG16" s="29">
        <v>11523.1171780772</v>
      </c>
      <c r="AH16" s="30">
        <v>6.3690987639029306E-2</v>
      </c>
      <c r="AI16" s="29">
        <v>5960.7886945561904</v>
      </c>
      <c r="AJ16" s="30">
        <v>0.106158342391398</v>
      </c>
      <c r="AK16" s="29">
        <v>24946.881225604498</v>
      </c>
      <c r="AL16" s="30">
        <v>-4.4868225905464701E-2</v>
      </c>
      <c r="AM16" s="29">
        <v>20716.345716239801</v>
      </c>
      <c r="AN16" s="30">
        <v>-7.2375562126308995E-2</v>
      </c>
      <c r="AO16" s="29">
        <v>14993.450343677499</v>
      </c>
      <c r="AP16" s="30">
        <v>-1.8313498116395498E-2</v>
      </c>
      <c r="AQ16" s="29">
        <v>14224.319790494799</v>
      </c>
      <c r="AR16" s="30">
        <v>4.1244875869359501E-2</v>
      </c>
      <c r="AS16" s="29">
        <v>4230.5355093647404</v>
      </c>
      <c r="AT16" s="30">
        <v>0.117386598157063</v>
      </c>
      <c r="AU16" s="29">
        <v>70655.116823596807</v>
      </c>
      <c r="AV16" s="30">
        <v>7.2975330884268899E-2</v>
      </c>
      <c r="AW16" s="29">
        <v>52923.171564454402</v>
      </c>
      <c r="AX16" s="30">
        <v>7.07557855061169E-2</v>
      </c>
      <c r="AY16" s="29">
        <v>17731.945259142401</v>
      </c>
      <c r="AZ16" s="30">
        <v>7.9654893680561403E-2</v>
      </c>
      <c r="BA16" s="29">
        <v>11771.156564586199</v>
      </c>
      <c r="BB16" s="30">
        <v>6.6712427593944398E-2</v>
      </c>
      <c r="BC16" s="29">
        <v>18454.855299859501</v>
      </c>
      <c r="BD16" s="30">
        <v>5.77680849214759E-2</v>
      </c>
      <c r="BE16" s="29"/>
      <c r="BF16" s="30"/>
    </row>
    <row r="17" spans="1:58" x14ac:dyDescent="0.2">
      <c r="A17" s="28">
        <v>1981</v>
      </c>
      <c r="B17" s="28">
        <v>2</v>
      </c>
      <c r="C17" s="29">
        <v>55522.013770157799</v>
      </c>
      <c r="D17" s="30">
        <v>7.3537736110857996E-2</v>
      </c>
      <c r="E17" s="29">
        <v>55073.2094752958</v>
      </c>
      <c r="F17" s="30">
        <v>3.7381075508376098E-2</v>
      </c>
      <c r="G17" s="29">
        <v>37131.589135853697</v>
      </c>
      <c r="H17" s="30">
        <v>7.6487338556874299E-2</v>
      </c>
      <c r="I17" s="29">
        <v>31760.2660448284</v>
      </c>
      <c r="J17" s="30">
        <v>7.4016395668418097E-2</v>
      </c>
      <c r="K17" s="29">
        <v>5371.3230910253496</v>
      </c>
      <c r="L17" s="30">
        <v>9.1333429277949907E-2</v>
      </c>
      <c r="M17" s="29">
        <v>17941.620339442099</v>
      </c>
      <c r="N17" s="30">
        <v>-3.51585357944229E-2</v>
      </c>
      <c r="O17" s="29">
        <v>18275.5342520503</v>
      </c>
      <c r="P17" s="30">
        <v>8.4063165853633701E-2</v>
      </c>
      <c r="Q17" s="29">
        <v>8381.4509959455208</v>
      </c>
      <c r="R17" s="30">
        <v>0.111377304550697</v>
      </c>
      <c r="S17" s="29">
        <v>9894.0832561047791</v>
      </c>
      <c r="T17" s="30">
        <v>6.1953851203158099E-2</v>
      </c>
      <c r="U17" s="29">
        <v>1039.44996930292</v>
      </c>
      <c r="V17" s="30"/>
      <c r="W17" s="29">
        <v>-1373.36388191117</v>
      </c>
      <c r="X17" s="30"/>
      <c r="Y17" s="29">
        <v>448.80429486207498</v>
      </c>
      <c r="Z17" s="30"/>
      <c r="AA17" s="29">
        <v>26037.8921431448</v>
      </c>
      <c r="AB17" s="30">
        <v>0.13100501602628201</v>
      </c>
      <c r="AC17" s="29">
        <v>19808.3404028324</v>
      </c>
      <c r="AD17" s="30">
        <v>0.13597817628954201</v>
      </c>
      <c r="AE17" s="29">
        <v>13665.4081080984</v>
      </c>
      <c r="AF17" s="30">
        <v>9.8471670449185894E-2</v>
      </c>
      <c r="AG17" s="29">
        <v>12055.619115388799</v>
      </c>
      <c r="AH17" s="30">
        <v>8.1239818965316096E-2</v>
      </c>
      <c r="AI17" s="29">
        <v>6229.5517403124404</v>
      </c>
      <c r="AJ17" s="30">
        <v>0.115477056082611</v>
      </c>
      <c r="AK17" s="29">
        <v>25589.087848282699</v>
      </c>
      <c r="AL17" s="30">
        <v>4.9082716401779997E-2</v>
      </c>
      <c r="AM17" s="29">
        <v>20701.1285859241</v>
      </c>
      <c r="AN17" s="30">
        <v>3.4759178349733397E-2</v>
      </c>
      <c r="AO17" s="29">
        <v>15599.046429292401</v>
      </c>
      <c r="AP17" s="30">
        <v>4.1241547650370698E-2</v>
      </c>
      <c r="AQ17" s="29">
        <v>14581.9316294975</v>
      </c>
      <c r="AR17" s="30">
        <v>6.1964404546040401E-2</v>
      </c>
      <c r="AS17" s="29">
        <v>4887.9592623586204</v>
      </c>
      <c r="AT17" s="30">
        <v>0.11441445261569901</v>
      </c>
      <c r="AU17" s="29">
        <v>73952.454692711093</v>
      </c>
      <c r="AV17" s="30">
        <v>8.2865366650935399E-2</v>
      </c>
      <c r="AW17" s="29">
        <v>55407.123387904001</v>
      </c>
      <c r="AX17" s="30">
        <v>7.8974426299158101E-2</v>
      </c>
      <c r="AY17" s="29">
        <v>18545.3313048071</v>
      </c>
      <c r="AZ17" s="30">
        <v>9.4659155348903803E-2</v>
      </c>
      <c r="BA17" s="29">
        <v>12315.7795644946</v>
      </c>
      <c r="BB17" s="30">
        <v>8.4422228663106003E-2</v>
      </c>
      <c r="BC17" s="29">
        <v>19469.890891856099</v>
      </c>
      <c r="BD17" s="30">
        <v>7.4662403008574102E-2</v>
      </c>
      <c r="BE17" s="29"/>
      <c r="BF17" s="30"/>
    </row>
    <row r="18" spans="1:58" x14ac:dyDescent="0.2">
      <c r="A18" s="28">
        <v>1981</v>
      </c>
      <c r="B18" s="28">
        <v>3</v>
      </c>
      <c r="C18" s="29">
        <v>56051.231690713801</v>
      </c>
      <c r="D18" s="30">
        <v>7.7851715962387893E-2</v>
      </c>
      <c r="E18" s="29">
        <v>56267.642663330902</v>
      </c>
      <c r="F18" s="30">
        <v>8.3766568983226999E-2</v>
      </c>
      <c r="G18" s="29">
        <v>37611.004636810998</v>
      </c>
      <c r="H18" s="30">
        <v>7.8760638400623403E-2</v>
      </c>
      <c r="I18" s="29">
        <v>32152.956195086401</v>
      </c>
      <c r="J18" s="30">
        <v>7.69282349244471E-2</v>
      </c>
      <c r="K18" s="29">
        <v>5458.0484417245398</v>
      </c>
      <c r="L18" s="30">
        <v>8.9683037897637694E-2</v>
      </c>
      <c r="M18" s="29">
        <v>18656.6380265199</v>
      </c>
      <c r="N18" s="30">
        <v>9.4000888097582905E-2</v>
      </c>
      <c r="O18" s="29">
        <v>18517.487346722599</v>
      </c>
      <c r="P18" s="30">
        <v>9.4358913742422806E-2</v>
      </c>
      <c r="Q18" s="29">
        <v>8450.9974047807009</v>
      </c>
      <c r="R18" s="30">
        <v>9.0761887290036397E-2</v>
      </c>
      <c r="S18" s="29">
        <v>10066.4899419419</v>
      </c>
      <c r="T18" s="30">
        <v>9.7397050856196099E-2</v>
      </c>
      <c r="U18" s="29">
        <v>326.09405493141099</v>
      </c>
      <c r="V18" s="30"/>
      <c r="W18" s="29">
        <v>-186.943375134077</v>
      </c>
      <c r="X18" s="30"/>
      <c r="Y18" s="29">
        <v>-216.41097261715501</v>
      </c>
      <c r="Z18" s="30"/>
      <c r="AA18" s="29">
        <v>28182.2139332599</v>
      </c>
      <c r="AB18" s="30">
        <v>0.15464793082235601</v>
      </c>
      <c r="AC18" s="29">
        <v>20973.363424778901</v>
      </c>
      <c r="AD18" s="30">
        <v>0.16736101299367301</v>
      </c>
      <c r="AE18" s="29">
        <v>13825.7955721005</v>
      </c>
      <c r="AF18" s="30">
        <v>0.14402204250237599</v>
      </c>
      <c r="AG18" s="29">
        <v>12120.607069617399</v>
      </c>
      <c r="AH18" s="30">
        <v>0.114418660503931</v>
      </c>
      <c r="AI18" s="29">
        <v>7208.8505084809904</v>
      </c>
      <c r="AJ18" s="30">
        <v>0.11918697961019099</v>
      </c>
      <c r="AK18" s="29">
        <v>28398.624905877001</v>
      </c>
      <c r="AL18" s="30">
        <v>0.167538831984201</v>
      </c>
      <c r="AM18" s="29">
        <v>23195.804624275799</v>
      </c>
      <c r="AN18" s="30">
        <v>0.18228769274332299</v>
      </c>
      <c r="AO18" s="29">
        <v>15806.3786480571</v>
      </c>
      <c r="AP18" s="30">
        <v>7.0123610646101397E-2</v>
      </c>
      <c r="AQ18" s="29">
        <v>14791.515611135799</v>
      </c>
      <c r="AR18" s="30">
        <v>8.1638533617959003E-2</v>
      </c>
      <c r="AS18" s="29">
        <v>5202.8202816011799</v>
      </c>
      <c r="AT18" s="30">
        <v>0.10602525682979901</v>
      </c>
      <c r="AU18" s="29">
        <v>75719.473528519302</v>
      </c>
      <c r="AV18" s="30">
        <v>9.2344753534353993E-2</v>
      </c>
      <c r="AW18" s="29">
        <v>56128.491983533597</v>
      </c>
      <c r="AX18" s="30">
        <v>8.3857321143381097E-2</v>
      </c>
      <c r="AY18" s="29">
        <v>19590.9815449858</v>
      </c>
      <c r="AZ18" s="30">
        <v>0.117414249135677</v>
      </c>
      <c r="BA18" s="29">
        <v>12382.131036504799</v>
      </c>
      <c r="BB18" s="30">
        <v>0.116384753328903</v>
      </c>
      <c r="BC18" s="29">
        <v>19994.335892736999</v>
      </c>
      <c r="BD18" s="30">
        <v>8.7880211072477898E-2</v>
      </c>
      <c r="BE18" s="29"/>
      <c r="BF18" s="30"/>
    </row>
    <row r="19" spans="1:58" x14ac:dyDescent="0.2">
      <c r="A19" s="28">
        <v>1981</v>
      </c>
      <c r="B19" s="28">
        <v>4</v>
      </c>
      <c r="C19" s="29">
        <v>59242.518267027001</v>
      </c>
      <c r="D19" s="30">
        <v>8.1189828088482394E-2</v>
      </c>
      <c r="E19" s="29">
        <v>59457.952200340798</v>
      </c>
      <c r="F19" s="30">
        <v>6.99911411936847E-2</v>
      </c>
      <c r="G19" s="29">
        <v>39253.1442290415</v>
      </c>
      <c r="H19" s="30">
        <v>7.5921588139749502E-2</v>
      </c>
      <c r="I19" s="29">
        <v>33672.6390347376</v>
      </c>
      <c r="J19" s="30">
        <v>7.3251475200121E-2</v>
      </c>
      <c r="K19" s="29">
        <v>5580.5051943039598</v>
      </c>
      <c r="L19" s="30">
        <v>9.2319228389382293E-2</v>
      </c>
      <c r="M19" s="29">
        <v>20204.807971299299</v>
      </c>
      <c r="N19" s="30">
        <v>5.865459367999E-2</v>
      </c>
      <c r="O19" s="29">
        <v>15297.3622362568</v>
      </c>
      <c r="P19" s="30">
        <v>5.9738933514517097E-2</v>
      </c>
      <c r="Q19" s="29">
        <v>5215.8311604582996</v>
      </c>
      <c r="R19" s="30">
        <v>8.4625992795686694E-2</v>
      </c>
      <c r="S19" s="29">
        <v>10081.531075798501</v>
      </c>
      <c r="T19" s="30">
        <v>4.7306266335680497E-2</v>
      </c>
      <c r="U19" s="29">
        <v>5325.9800958736496</v>
      </c>
      <c r="V19" s="30"/>
      <c r="W19" s="29">
        <v>-418.53436083113002</v>
      </c>
      <c r="X19" s="30"/>
      <c r="Y19" s="29">
        <v>-215.43393331387401</v>
      </c>
      <c r="Z19" s="30"/>
      <c r="AA19" s="29">
        <v>26587.651511635198</v>
      </c>
      <c r="AB19" s="30">
        <v>8.1647234200497298E-2</v>
      </c>
      <c r="AC19" s="29">
        <v>20557.598418499299</v>
      </c>
      <c r="AD19" s="30">
        <v>6.3467911567688204E-2</v>
      </c>
      <c r="AE19" s="29">
        <v>14304.6922794493</v>
      </c>
      <c r="AF19" s="30">
        <v>7.0190684734705605E-2</v>
      </c>
      <c r="AG19" s="29">
        <v>12854.5976426782</v>
      </c>
      <c r="AH19" s="30">
        <v>8.1548447139494107E-2</v>
      </c>
      <c r="AI19" s="29">
        <v>6030.0530931358799</v>
      </c>
      <c r="AJ19" s="30">
        <v>0.14858442333806501</v>
      </c>
      <c r="AK19" s="29">
        <v>26803.085444949102</v>
      </c>
      <c r="AL19" s="30">
        <v>5.7090449974949199E-2</v>
      </c>
      <c r="AM19" s="29">
        <v>22011.669460873502</v>
      </c>
      <c r="AN19" s="30">
        <v>4.7145181592479303E-2</v>
      </c>
      <c r="AO19" s="29">
        <v>15860.1596202863</v>
      </c>
      <c r="AP19" s="30">
        <v>8.4963442088414904E-3</v>
      </c>
      <c r="AQ19" s="29">
        <v>14983.6884007181</v>
      </c>
      <c r="AR19" s="30">
        <v>4.2779429364577598E-2</v>
      </c>
      <c r="AS19" s="29">
        <v>4791.4159840755901</v>
      </c>
      <c r="AT19" s="30">
        <v>0.105316926695638</v>
      </c>
      <c r="AU19" s="29">
        <v>73691.642555946994</v>
      </c>
      <c r="AV19" s="30">
        <v>7.9182391923503098E-2</v>
      </c>
      <c r="AW19" s="29">
        <v>54550.506465298298</v>
      </c>
      <c r="AX19" s="30">
        <v>7.1333904223234795E-2</v>
      </c>
      <c r="AY19" s="29">
        <v>19141.136090648699</v>
      </c>
      <c r="AZ19" s="30">
        <v>0.10219417764945</v>
      </c>
      <c r="BA19" s="29">
        <v>13111.0829975128</v>
      </c>
      <c r="BB19" s="30">
        <v>8.2093481410805594E-2</v>
      </c>
      <c r="BC19" s="29">
        <v>19775.1043847937</v>
      </c>
      <c r="BD19" s="30">
        <v>5.7273355945092898E-2</v>
      </c>
      <c r="BE19" s="29"/>
      <c r="BF19" s="30"/>
    </row>
    <row r="20" spans="1:58" x14ac:dyDescent="0.2">
      <c r="A20" s="28">
        <v>1982</v>
      </c>
      <c r="B20" s="28">
        <v>1</v>
      </c>
      <c r="C20" s="29">
        <v>57055.029093385099</v>
      </c>
      <c r="D20" s="30">
        <v>7.6963956808952003E-2</v>
      </c>
      <c r="E20" s="29">
        <v>56665.378811839502</v>
      </c>
      <c r="F20" s="30">
        <v>7.2132288678305997E-2</v>
      </c>
      <c r="G20" s="29">
        <v>38668.238467063602</v>
      </c>
      <c r="H20" s="30">
        <v>6.9326843212829295E-2</v>
      </c>
      <c r="I20" s="29">
        <v>32953.1158432999</v>
      </c>
      <c r="J20" s="30">
        <v>6.5367806679625898E-2</v>
      </c>
      <c r="K20" s="29">
        <v>5715.1226237637802</v>
      </c>
      <c r="L20" s="30">
        <v>9.2740977319537607E-2</v>
      </c>
      <c r="M20" s="29">
        <v>17997.1403447759</v>
      </c>
      <c r="N20" s="30">
        <v>7.8210077885475099E-2</v>
      </c>
      <c r="O20" s="29">
        <v>17060.52848791</v>
      </c>
      <c r="P20" s="30">
        <v>1.78170504682558E-2</v>
      </c>
      <c r="Q20" s="29">
        <v>7351.8816733061203</v>
      </c>
      <c r="R20" s="30">
        <v>3.03493107068964E-2</v>
      </c>
      <c r="S20" s="29">
        <v>9708.6468146039206</v>
      </c>
      <c r="T20" s="30">
        <v>8.5279711004595492E-3</v>
      </c>
      <c r="U20" s="29">
        <v>705.06645670202897</v>
      </c>
      <c r="V20" s="30"/>
      <c r="W20" s="29">
        <v>231.54540016382799</v>
      </c>
      <c r="X20" s="30"/>
      <c r="Y20" s="29">
        <v>389.65028154556802</v>
      </c>
      <c r="Z20" s="30"/>
      <c r="AA20" s="29">
        <v>25125.497885163899</v>
      </c>
      <c r="AB20" s="30">
        <v>2.1510711847740902E-3</v>
      </c>
      <c r="AC20" s="29">
        <v>18339.544994561598</v>
      </c>
      <c r="AD20" s="30">
        <v>-4.0355942160454197E-2</v>
      </c>
      <c r="AE20" s="29">
        <v>13400.831373245701</v>
      </c>
      <c r="AF20" s="30">
        <v>3.2208023983989899E-2</v>
      </c>
      <c r="AG20" s="29">
        <v>11947.987909318799</v>
      </c>
      <c r="AH20" s="30">
        <v>3.6871162956659202E-2</v>
      </c>
      <c r="AI20" s="29">
        <v>6785.9528906022197</v>
      </c>
      <c r="AJ20" s="30">
        <v>0.138432049570827</v>
      </c>
      <c r="AK20" s="29">
        <v>24735.847603618298</v>
      </c>
      <c r="AL20" s="30">
        <v>-8.4593188253789808E-3</v>
      </c>
      <c r="AM20" s="29">
        <v>20168.823950145601</v>
      </c>
      <c r="AN20" s="30">
        <v>-2.6429456893309E-2</v>
      </c>
      <c r="AO20" s="29">
        <v>14592.2187411251</v>
      </c>
      <c r="AP20" s="30">
        <v>-2.67604582904802E-2</v>
      </c>
      <c r="AQ20" s="29">
        <v>13786.167987893399</v>
      </c>
      <c r="AR20" s="30">
        <v>-3.08030056308338E-2</v>
      </c>
      <c r="AS20" s="29">
        <v>4567.0236534727401</v>
      </c>
      <c r="AT20" s="30">
        <v>7.9537955269053398E-2</v>
      </c>
      <c r="AU20" s="29">
        <v>74703.154278049202</v>
      </c>
      <c r="AV20" s="30">
        <v>5.7292912904795198E-2</v>
      </c>
      <c r="AW20" s="29">
        <v>55728.766954973697</v>
      </c>
      <c r="AX20" s="30">
        <v>5.3012608798442599E-2</v>
      </c>
      <c r="AY20" s="29">
        <v>18974.387323075502</v>
      </c>
      <c r="AZ20" s="30">
        <v>7.0068006965711097E-2</v>
      </c>
      <c r="BA20" s="29">
        <v>12188.434432473299</v>
      </c>
      <c r="BB20" s="30">
        <v>3.5449181700849999E-2</v>
      </c>
      <c r="BC20" s="29">
        <v>18353.191641366098</v>
      </c>
      <c r="BD20" s="30">
        <v>-5.5087757038210202E-3</v>
      </c>
      <c r="BE20" s="29"/>
      <c r="BF20" s="30"/>
    </row>
    <row r="21" spans="1:58" x14ac:dyDescent="0.2">
      <c r="A21" s="28">
        <v>1982</v>
      </c>
      <c r="B21" s="28">
        <v>2</v>
      </c>
      <c r="C21" s="29">
        <v>59324.427081100999</v>
      </c>
      <c r="D21" s="30">
        <v>6.8484787433753302E-2</v>
      </c>
      <c r="E21" s="29">
        <v>59939.517263433401</v>
      </c>
      <c r="F21" s="30">
        <v>8.8360708128341098E-2</v>
      </c>
      <c r="G21" s="29">
        <v>39531.060195211503</v>
      </c>
      <c r="H21" s="30">
        <v>6.4620747864542E-2</v>
      </c>
      <c r="I21" s="29">
        <v>33696.6928379737</v>
      </c>
      <c r="J21" s="30">
        <v>6.0970106182743497E-2</v>
      </c>
      <c r="K21" s="29">
        <v>5834.3673572377502</v>
      </c>
      <c r="L21" s="30">
        <v>8.6206742429267194E-2</v>
      </c>
      <c r="M21" s="29">
        <v>20408.457068221898</v>
      </c>
      <c r="N21" s="30">
        <v>0.137492416075533</v>
      </c>
      <c r="O21" s="29">
        <v>18347.306788539801</v>
      </c>
      <c r="P21" s="30">
        <v>3.9272469685207598E-3</v>
      </c>
      <c r="Q21" s="29">
        <v>8251.1769725516406</v>
      </c>
      <c r="R21" s="30">
        <v>-1.5543134888803401E-2</v>
      </c>
      <c r="S21" s="29">
        <v>10096.129815988101</v>
      </c>
      <c r="T21" s="30">
        <v>2.0420948020492002E-2</v>
      </c>
      <c r="U21" s="29">
        <v>1285.63665210878</v>
      </c>
      <c r="V21" s="30"/>
      <c r="W21" s="29">
        <v>775.513627573338</v>
      </c>
      <c r="X21" s="30"/>
      <c r="Y21" s="29">
        <v>-615.09018233232905</v>
      </c>
      <c r="Z21" s="30"/>
      <c r="AA21" s="29">
        <v>25087.487692505601</v>
      </c>
      <c r="AB21" s="30">
        <v>-3.65008213957672E-2</v>
      </c>
      <c r="AC21" s="29">
        <v>18114.703852819799</v>
      </c>
      <c r="AD21" s="30">
        <v>-8.5501183621134999E-2</v>
      </c>
      <c r="AE21" s="29">
        <v>13810.5261707832</v>
      </c>
      <c r="AF21" s="30">
        <v>1.06193727649317E-2</v>
      </c>
      <c r="AG21" s="29">
        <v>12408.486773486</v>
      </c>
      <c r="AH21" s="30">
        <v>2.9269974002968002E-2</v>
      </c>
      <c r="AI21" s="29">
        <v>6972.7838396857796</v>
      </c>
      <c r="AJ21" s="30">
        <v>0.11930747674247</v>
      </c>
      <c r="AK21" s="29">
        <v>25702.577874838</v>
      </c>
      <c r="AL21" s="30">
        <v>4.43509464769165E-3</v>
      </c>
      <c r="AM21" s="29">
        <v>20590.0929321312</v>
      </c>
      <c r="AN21" s="30">
        <v>-5.3637488087667799E-3</v>
      </c>
      <c r="AO21" s="29">
        <v>15100.584345211601</v>
      </c>
      <c r="AP21" s="30">
        <v>-3.1954650967940597E-2</v>
      </c>
      <c r="AQ21" s="29">
        <v>14339.220262361299</v>
      </c>
      <c r="AR21" s="30">
        <v>-1.6644665007564001E-2</v>
      </c>
      <c r="AS21" s="29">
        <v>5112.4849427067302</v>
      </c>
      <c r="AT21" s="30">
        <v>4.5934441818519703E-2</v>
      </c>
      <c r="AU21" s="29">
        <v>77490.495634060295</v>
      </c>
      <c r="AV21" s="30">
        <v>4.7842102822017098E-2</v>
      </c>
      <c r="AW21" s="29">
        <v>57878.366983751199</v>
      </c>
      <c r="AX21" s="30">
        <v>4.4601550211262699E-2</v>
      </c>
      <c r="AY21" s="29">
        <v>19612.1286503091</v>
      </c>
      <c r="AZ21" s="30">
        <v>5.7523768541438702E-2</v>
      </c>
      <c r="BA21" s="29">
        <v>12639.344810623301</v>
      </c>
      <c r="BB21" s="30">
        <v>2.62724129182603E-2</v>
      </c>
      <c r="BC21" s="29">
        <v>19451.705205068101</v>
      </c>
      <c r="BD21" s="30">
        <v>-9.34041535676444E-4</v>
      </c>
      <c r="BE21" s="29"/>
      <c r="BF21" s="30"/>
    </row>
    <row r="22" spans="1:58" x14ac:dyDescent="0.2">
      <c r="A22" s="28">
        <v>1982</v>
      </c>
      <c r="B22" s="28">
        <v>3</v>
      </c>
      <c r="C22" s="29">
        <v>59074.572019718398</v>
      </c>
      <c r="D22" s="30">
        <v>5.3938874094456399E-2</v>
      </c>
      <c r="E22" s="29">
        <v>58853.631420573402</v>
      </c>
      <c r="F22" s="30">
        <v>4.5958718631867103E-2</v>
      </c>
      <c r="G22" s="29">
        <v>39983.555379461002</v>
      </c>
      <c r="H22" s="30">
        <v>6.3081291381617E-2</v>
      </c>
      <c r="I22" s="29">
        <v>34077.631844129202</v>
      </c>
      <c r="J22" s="30">
        <v>5.98599903960568E-2</v>
      </c>
      <c r="K22" s="29">
        <v>5905.92353533185</v>
      </c>
      <c r="L22" s="30">
        <v>8.2057735175725496E-2</v>
      </c>
      <c r="M22" s="29">
        <v>18870.076041112399</v>
      </c>
      <c r="N22" s="30">
        <v>1.14403256518694E-2</v>
      </c>
      <c r="O22" s="29">
        <v>18091.596455137998</v>
      </c>
      <c r="P22" s="30">
        <v>-2.2999388826907999E-2</v>
      </c>
      <c r="Q22" s="29">
        <v>8301.8514942445308</v>
      </c>
      <c r="R22" s="30">
        <v>-1.7648320475379502E-2</v>
      </c>
      <c r="S22" s="29">
        <v>9789.7449608934494</v>
      </c>
      <c r="T22" s="30">
        <v>-2.74917059118488E-2</v>
      </c>
      <c r="U22" s="29">
        <v>-87.388289899477996</v>
      </c>
      <c r="V22" s="30"/>
      <c r="W22" s="29">
        <v>865.86787587387198</v>
      </c>
      <c r="X22" s="30"/>
      <c r="Y22" s="29">
        <v>220.94059914499701</v>
      </c>
      <c r="Z22" s="30"/>
      <c r="AA22" s="29">
        <v>26227.507207039202</v>
      </c>
      <c r="AB22" s="30">
        <v>-6.9359587250657898E-2</v>
      </c>
      <c r="AC22" s="29">
        <v>18319.936786694801</v>
      </c>
      <c r="AD22" s="30">
        <v>-0.12651412099926901</v>
      </c>
      <c r="AE22" s="29">
        <v>12942.7379239038</v>
      </c>
      <c r="AF22" s="30">
        <v>-6.3870295462682705E-2</v>
      </c>
      <c r="AG22" s="29">
        <v>11980.7013419421</v>
      </c>
      <c r="AH22" s="30">
        <v>-1.1542798712286501E-2</v>
      </c>
      <c r="AI22" s="29">
        <v>7907.5704203444602</v>
      </c>
      <c r="AJ22" s="30">
        <v>9.6925288024970704E-2</v>
      </c>
      <c r="AK22" s="29">
        <v>26006.566607894201</v>
      </c>
      <c r="AL22" s="30">
        <v>-8.4231483246492198E-2</v>
      </c>
      <c r="AM22" s="29">
        <v>20563.7303875424</v>
      </c>
      <c r="AN22" s="30">
        <v>-0.11347199544778</v>
      </c>
      <c r="AO22" s="29">
        <v>14297.752612767001</v>
      </c>
      <c r="AP22" s="30">
        <v>-9.5444128530704206E-2</v>
      </c>
      <c r="AQ22" s="29">
        <v>13585.0299083967</v>
      </c>
      <c r="AR22" s="30">
        <v>-8.1566063577069498E-2</v>
      </c>
      <c r="AS22" s="29">
        <v>5442.83622035181</v>
      </c>
      <c r="AT22" s="30">
        <v>4.6131891120551903E-2</v>
      </c>
      <c r="AU22" s="29">
        <v>78189.826438366305</v>
      </c>
      <c r="AV22" s="30">
        <v>3.2625067168706098E-2</v>
      </c>
      <c r="AW22" s="29">
        <v>58075.151834598997</v>
      </c>
      <c r="AX22" s="30">
        <v>3.4682204746147201E-2</v>
      </c>
      <c r="AY22" s="29">
        <v>20114.674603767398</v>
      </c>
      <c r="AZ22" s="30">
        <v>2.67313333729133E-2</v>
      </c>
      <c r="BA22" s="29">
        <v>12207.1041834229</v>
      </c>
      <c r="BB22" s="30">
        <v>-1.41354386063156E-2</v>
      </c>
      <c r="BC22" s="29">
        <v>19027.866128748501</v>
      </c>
      <c r="BD22" s="30">
        <v>-4.8337177547345601E-2</v>
      </c>
      <c r="BE22" s="29"/>
      <c r="BF22" s="30"/>
    </row>
    <row r="23" spans="1:58" x14ac:dyDescent="0.2">
      <c r="A23" s="28">
        <v>1982</v>
      </c>
      <c r="B23" s="28">
        <v>4</v>
      </c>
      <c r="C23" s="29">
        <v>61638.1104410384</v>
      </c>
      <c r="D23" s="30">
        <v>4.0437041572298799E-2</v>
      </c>
      <c r="E23" s="29">
        <v>61432.631069719799</v>
      </c>
      <c r="F23" s="30">
        <v>3.3211350144138702E-2</v>
      </c>
      <c r="G23" s="29">
        <v>41637.118486534302</v>
      </c>
      <c r="H23" s="30">
        <v>6.07333324327421E-2</v>
      </c>
      <c r="I23" s="29">
        <v>35587.426447887898</v>
      </c>
      <c r="J23" s="30">
        <v>5.6864786011424397E-2</v>
      </c>
      <c r="K23" s="29">
        <v>6049.6920386464199</v>
      </c>
      <c r="L23" s="30">
        <v>8.4076051899630896E-2</v>
      </c>
      <c r="M23" s="29">
        <v>19795.5125831855</v>
      </c>
      <c r="N23" s="30">
        <v>-2.02573263104091E-2</v>
      </c>
      <c r="O23" s="29">
        <v>15722.0149019656</v>
      </c>
      <c r="P23" s="30">
        <v>2.77598620697075E-2</v>
      </c>
      <c r="Q23" s="29">
        <v>5672.3045242381104</v>
      </c>
      <c r="R23" s="30">
        <v>8.7516898023918502E-2</v>
      </c>
      <c r="S23" s="29">
        <v>10049.710377727501</v>
      </c>
      <c r="T23" s="30">
        <v>-3.1563358612615201E-3</v>
      </c>
      <c r="U23" s="29">
        <v>4074.49151757458</v>
      </c>
      <c r="V23" s="30"/>
      <c r="W23" s="29">
        <v>-0.99383635467529496</v>
      </c>
      <c r="X23" s="30"/>
      <c r="Y23" s="29">
        <v>205.47937131857501</v>
      </c>
      <c r="Z23" s="30"/>
      <c r="AA23" s="29">
        <v>26660.409739244798</v>
      </c>
      <c r="AB23" s="30">
        <v>2.7365420965364002E-3</v>
      </c>
      <c r="AC23" s="29">
        <v>19885.5461108569</v>
      </c>
      <c r="AD23" s="30">
        <v>-3.2691187655348099E-2</v>
      </c>
      <c r="AE23" s="29">
        <v>14330.536277000399</v>
      </c>
      <c r="AF23" s="30">
        <v>1.80667972761817E-3</v>
      </c>
      <c r="AG23" s="29">
        <v>12969.483710693299</v>
      </c>
      <c r="AH23" s="30">
        <v>8.9373523161639899E-3</v>
      </c>
      <c r="AI23" s="29">
        <v>6774.8636283879596</v>
      </c>
      <c r="AJ23" s="30">
        <v>0.123516414158925</v>
      </c>
      <c r="AK23" s="29">
        <v>26454.930367926201</v>
      </c>
      <c r="AL23" s="30">
        <v>-1.29893656362025E-2</v>
      </c>
      <c r="AM23" s="29">
        <v>21360.536473943601</v>
      </c>
      <c r="AN23" s="30">
        <v>-2.95812631607635E-2</v>
      </c>
      <c r="AO23" s="29">
        <v>15663.773984659099</v>
      </c>
      <c r="AP23" s="30">
        <v>-1.2382324032604501E-2</v>
      </c>
      <c r="AQ23" s="29">
        <v>14671.3487499652</v>
      </c>
      <c r="AR23" s="30">
        <v>-2.0845311407971599E-2</v>
      </c>
      <c r="AS23" s="29">
        <v>5094.3938939826003</v>
      </c>
      <c r="AT23" s="30">
        <v>6.3233480648303697E-2</v>
      </c>
      <c r="AU23" s="29">
        <v>77329.361567411601</v>
      </c>
      <c r="AV23" s="30">
        <v>4.9364064706561003E-2</v>
      </c>
      <c r="AW23" s="29">
        <v>57359.133388499897</v>
      </c>
      <c r="AX23" s="30">
        <v>5.1486724967224E-2</v>
      </c>
      <c r="AY23" s="29">
        <v>19970.228178911701</v>
      </c>
      <c r="AZ23" s="30">
        <v>4.3314674966863101E-2</v>
      </c>
      <c r="BA23" s="29">
        <v>13195.3645505237</v>
      </c>
      <c r="BB23" s="30">
        <v>6.4282678270632899E-3</v>
      </c>
      <c r="BC23" s="29">
        <v>19765.7426439478</v>
      </c>
      <c r="BD23" s="30">
        <v>-4.7341043889303998E-4</v>
      </c>
      <c r="BE23" s="29"/>
      <c r="BF23" s="30"/>
    </row>
    <row r="24" spans="1:58" x14ac:dyDescent="0.2">
      <c r="A24" s="28">
        <v>1983</v>
      </c>
      <c r="B24" s="28">
        <v>1</v>
      </c>
      <c r="C24" s="29">
        <v>59277.027330392601</v>
      </c>
      <c r="D24" s="30">
        <v>3.89448269909849E-2</v>
      </c>
      <c r="E24" s="29">
        <v>60218.674858145299</v>
      </c>
      <c r="F24" s="30">
        <v>6.2706649471182097E-2</v>
      </c>
      <c r="G24" s="29">
        <v>41299.977934443399</v>
      </c>
      <c r="H24" s="30">
        <v>6.8059460986860595E-2</v>
      </c>
      <c r="I24" s="29">
        <v>35184.502164596997</v>
      </c>
      <c r="J24" s="30">
        <v>6.7713970718519007E-2</v>
      </c>
      <c r="K24" s="29">
        <v>6115.47576984635</v>
      </c>
      <c r="L24" s="30">
        <v>7.0051540874710702E-2</v>
      </c>
      <c r="M24" s="29">
        <v>18918.6969237019</v>
      </c>
      <c r="N24" s="30">
        <v>5.1205722757701001E-2</v>
      </c>
      <c r="O24" s="29">
        <v>17567.462468346399</v>
      </c>
      <c r="P24" s="30">
        <v>2.9713849767059E-2</v>
      </c>
      <c r="Q24" s="29">
        <v>7345.01095212363</v>
      </c>
      <c r="R24" s="30">
        <v>-9.3455274279530297E-4</v>
      </c>
      <c r="S24" s="29">
        <v>10222.4515162228</v>
      </c>
      <c r="T24" s="30">
        <v>5.2922380577900198E-2</v>
      </c>
      <c r="U24" s="29">
        <v>-218.21225989618699</v>
      </c>
      <c r="V24" s="30"/>
      <c r="W24" s="29">
        <v>1569.44671525167</v>
      </c>
      <c r="X24" s="30"/>
      <c r="Y24" s="29">
        <v>-941.647527752717</v>
      </c>
      <c r="Z24" s="30"/>
      <c r="AA24" s="29">
        <v>25447.677746992402</v>
      </c>
      <c r="AB24" s="30">
        <v>1.28228249764883E-2</v>
      </c>
      <c r="AC24" s="29">
        <v>18000.733443999899</v>
      </c>
      <c r="AD24" s="30">
        <v>-1.8474370583467299E-2</v>
      </c>
      <c r="AE24" s="29">
        <v>13508.2608711926</v>
      </c>
      <c r="AF24" s="30">
        <v>8.0166293384820193E-3</v>
      </c>
      <c r="AG24" s="29">
        <v>12355.3018277022</v>
      </c>
      <c r="AH24" s="30">
        <v>3.4090586756098801E-2</v>
      </c>
      <c r="AI24" s="29">
        <v>7446.9443029925096</v>
      </c>
      <c r="AJ24" s="30">
        <v>9.7405835708893204E-2</v>
      </c>
      <c r="AK24" s="29">
        <v>26389.325274745199</v>
      </c>
      <c r="AL24" s="30">
        <v>6.6845401767635398E-2</v>
      </c>
      <c r="AM24" s="29">
        <v>21437.117247470698</v>
      </c>
      <c r="AN24" s="30">
        <v>6.2883849869491498E-2</v>
      </c>
      <c r="AO24" s="29">
        <v>15347.991093402001</v>
      </c>
      <c r="AP24" s="30">
        <v>5.1792833268521403E-2</v>
      </c>
      <c r="AQ24" s="29">
        <v>14439.4564845975</v>
      </c>
      <c r="AR24" s="30">
        <v>4.7387243306320902E-2</v>
      </c>
      <c r="AS24" s="29">
        <v>4952.2080272744397</v>
      </c>
      <c r="AT24" s="30">
        <v>8.4340350089672902E-2</v>
      </c>
      <c r="AU24" s="29">
        <v>78886.904102160799</v>
      </c>
      <c r="AV24" s="30">
        <v>5.6004995566042402E-2</v>
      </c>
      <c r="AW24" s="29">
        <v>58867.440402789798</v>
      </c>
      <c r="AX24" s="30">
        <v>5.6320525633593202E-2</v>
      </c>
      <c r="AY24" s="29">
        <v>20019.463699370899</v>
      </c>
      <c r="AZ24" s="30">
        <v>5.5078267271608798E-2</v>
      </c>
      <c r="BA24" s="29">
        <v>12572.5193963784</v>
      </c>
      <c r="BB24" s="30">
        <v>3.1512247617444998E-2</v>
      </c>
      <c r="BC24" s="29">
        <v>19391.664511872001</v>
      </c>
      <c r="BD24" s="30">
        <v>5.6582685496795002E-2</v>
      </c>
      <c r="BE24" s="29"/>
      <c r="BF24" s="30"/>
    </row>
    <row r="25" spans="1:58" x14ac:dyDescent="0.2">
      <c r="A25" s="28">
        <v>1983</v>
      </c>
      <c r="B25" s="28">
        <v>2</v>
      </c>
      <c r="C25" s="29">
        <v>60666.889577840397</v>
      </c>
      <c r="D25" s="30">
        <v>2.26291691768741E-2</v>
      </c>
      <c r="E25" s="29">
        <v>61588.186559027097</v>
      </c>
      <c r="F25" s="30">
        <v>2.7505548440570599E-2</v>
      </c>
      <c r="G25" s="29">
        <v>41277.564679807598</v>
      </c>
      <c r="H25" s="30">
        <v>4.41805627264127E-2</v>
      </c>
      <c r="I25" s="29">
        <v>35058.161231588703</v>
      </c>
      <c r="J25" s="30">
        <v>4.0403620621211903E-2</v>
      </c>
      <c r="K25" s="29">
        <v>6219.4034482188899</v>
      </c>
      <c r="L25" s="30">
        <v>6.5994488760377806E-2</v>
      </c>
      <c r="M25" s="29">
        <v>20310.6218792195</v>
      </c>
      <c r="N25" s="30">
        <v>-4.7938552471319404E-3</v>
      </c>
      <c r="O25" s="29">
        <v>19330.389857782498</v>
      </c>
      <c r="P25" s="30">
        <v>5.35818733819153E-2</v>
      </c>
      <c r="Q25" s="29">
        <v>8588.0115906356095</v>
      </c>
      <c r="R25" s="30">
        <v>4.0822614665094299E-2</v>
      </c>
      <c r="S25" s="29">
        <v>10742.3782671468</v>
      </c>
      <c r="T25" s="30">
        <v>6.4009522751512907E-2</v>
      </c>
      <c r="U25" s="29">
        <v>-144.884935741589</v>
      </c>
      <c r="V25" s="30"/>
      <c r="W25" s="29">
        <v>1125.11695717865</v>
      </c>
      <c r="X25" s="30"/>
      <c r="Y25" s="29">
        <v>-921.29698118675196</v>
      </c>
      <c r="Z25" s="30"/>
      <c r="AA25" s="29">
        <v>25670.5387725295</v>
      </c>
      <c r="AB25" s="30">
        <v>2.32407121498268E-2</v>
      </c>
      <c r="AC25" s="29">
        <v>18224.574471202799</v>
      </c>
      <c r="AD25" s="30">
        <v>6.0652726798997598E-3</v>
      </c>
      <c r="AE25" s="29">
        <v>13898.090685810201</v>
      </c>
      <c r="AF25" s="30">
        <v>6.3404184564857004E-3</v>
      </c>
      <c r="AG25" s="29">
        <v>12505.357350067799</v>
      </c>
      <c r="AH25" s="30">
        <v>7.8068001642890303E-3</v>
      </c>
      <c r="AI25" s="29">
        <v>7445.9643013266495</v>
      </c>
      <c r="AJ25" s="30">
        <v>6.7861054138484103E-2</v>
      </c>
      <c r="AK25" s="29">
        <v>26591.835753716201</v>
      </c>
      <c r="AL25" s="30">
        <v>3.4598003484655401E-2</v>
      </c>
      <c r="AM25" s="29">
        <v>21382.688982002201</v>
      </c>
      <c r="AN25" s="30">
        <v>3.8494049176151603E-2</v>
      </c>
      <c r="AO25" s="29">
        <v>15818.3766756236</v>
      </c>
      <c r="AP25" s="30">
        <v>4.7534076430595401E-2</v>
      </c>
      <c r="AQ25" s="29">
        <v>14758.3483831865</v>
      </c>
      <c r="AR25" s="30">
        <v>2.92294917824285E-2</v>
      </c>
      <c r="AS25" s="29">
        <v>5209.1467717140004</v>
      </c>
      <c r="AT25" s="30">
        <v>1.8907014903812198E-2</v>
      </c>
      <c r="AU25" s="29">
        <v>80779.269668482404</v>
      </c>
      <c r="AV25" s="30">
        <v>4.2440998828462403E-2</v>
      </c>
      <c r="AW25" s="29">
        <v>60607.9545375901</v>
      </c>
      <c r="AX25" s="30">
        <v>4.7160756187283999E-2</v>
      </c>
      <c r="AY25" s="29">
        <v>20171.315130892399</v>
      </c>
      <c r="AZ25" s="30">
        <v>2.85122788328473E-2</v>
      </c>
      <c r="BA25" s="29">
        <v>12725.350829565699</v>
      </c>
      <c r="BB25" s="30">
        <v>6.8046263656118501E-3</v>
      </c>
      <c r="BC25" s="29">
        <v>19967.495154900502</v>
      </c>
      <c r="BD25" s="30">
        <v>2.6516438759210101E-2</v>
      </c>
      <c r="BE25" s="29"/>
      <c r="BF25" s="30"/>
    </row>
    <row r="26" spans="1:58" x14ac:dyDescent="0.2">
      <c r="A26" s="28">
        <v>1983</v>
      </c>
      <c r="B26" s="28">
        <v>3</v>
      </c>
      <c r="C26" s="29">
        <v>60588.290848839701</v>
      </c>
      <c r="D26" s="30">
        <v>2.5623864504952201E-2</v>
      </c>
      <c r="E26" s="29">
        <v>61056.067914147403</v>
      </c>
      <c r="F26" s="30">
        <v>3.7422270137168499E-2</v>
      </c>
      <c r="G26" s="29">
        <v>41564.014578737202</v>
      </c>
      <c r="H26" s="30">
        <v>3.9527730445103201E-2</v>
      </c>
      <c r="I26" s="29">
        <v>35303.226696264399</v>
      </c>
      <c r="J26" s="30">
        <v>3.59647893885666E-2</v>
      </c>
      <c r="K26" s="29">
        <v>6260.7878824728105</v>
      </c>
      <c r="L26" s="30">
        <v>6.0086173655654398E-2</v>
      </c>
      <c r="M26" s="29">
        <v>19492.053335410201</v>
      </c>
      <c r="N26" s="30">
        <v>3.2961038044719802E-2</v>
      </c>
      <c r="O26" s="29">
        <v>19026.492259245999</v>
      </c>
      <c r="P26" s="30">
        <v>5.1675694095115098E-2</v>
      </c>
      <c r="Q26" s="29">
        <v>8858.7233733008798</v>
      </c>
      <c r="R26" s="30">
        <v>6.7078034272524803E-2</v>
      </c>
      <c r="S26" s="29">
        <v>10167.768885945099</v>
      </c>
      <c r="T26" s="30">
        <v>3.8614277140181202E-2</v>
      </c>
      <c r="U26" s="29">
        <v>-1075.0876515014099</v>
      </c>
      <c r="V26" s="30"/>
      <c r="W26" s="29">
        <v>1540.6487276656801</v>
      </c>
      <c r="X26" s="30"/>
      <c r="Y26" s="29">
        <v>-467.777065307746</v>
      </c>
      <c r="Z26" s="30"/>
      <c r="AA26" s="29">
        <v>25722.939006052198</v>
      </c>
      <c r="AB26" s="30">
        <v>-1.9238130295949299E-2</v>
      </c>
      <c r="AC26" s="29">
        <v>17622.553385196599</v>
      </c>
      <c r="AD26" s="30">
        <v>-3.80669109079372E-2</v>
      </c>
      <c r="AE26" s="29">
        <v>13330.106893086</v>
      </c>
      <c r="AF26" s="30">
        <v>2.9929445489791599E-2</v>
      </c>
      <c r="AG26" s="29">
        <v>12216.929240764401</v>
      </c>
      <c r="AH26" s="30">
        <v>1.9717368130639699E-2</v>
      </c>
      <c r="AI26" s="29">
        <v>8100.3856208556399</v>
      </c>
      <c r="AJ26" s="30">
        <v>2.43836210443482E-2</v>
      </c>
      <c r="AK26" s="29">
        <v>26190.716071359999</v>
      </c>
      <c r="AL26" s="30">
        <v>7.0808833108277902E-3</v>
      </c>
      <c r="AM26" s="29">
        <v>20768.891891508101</v>
      </c>
      <c r="AN26" s="30">
        <v>9.9768621791487301E-3</v>
      </c>
      <c r="AO26" s="29">
        <v>15092.7855250708</v>
      </c>
      <c r="AP26" s="30">
        <v>5.5605446103041099E-2</v>
      </c>
      <c r="AQ26" s="29">
        <v>14047.2912748208</v>
      </c>
      <c r="AR26" s="30">
        <v>3.4027261591701899E-2</v>
      </c>
      <c r="AS26" s="29">
        <v>5421.8241798518902</v>
      </c>
      <c r="AT26" s="30">
        <v>-3.860494721731E-3</v>
      </c>
      <c r="AU26" s="29">
        <v>81132.493955013793</v>
      </c>
      <c r="AV26" s="30">
        <v>3.7634915572641897E-2</v>
      </c>
      <c r="AW26" s="29">
        <v>60590.506837983099</v>
      </c>
      <c r="AX26" s="30">
        <v>4.33120693433229E-2</v>
      </c>
      <c r="AY26" s="29">
        <v>20541.9871170306</v>
      </c>
      <c r="AZ26" s="30">
        <v>2.12438193349265E-2</v>
      </c>
      <c r="BA26" s="29">
        <v>12441.601496175001</v>
      </c>
      <c r="BB26" s="30">
        <v>1.9209905087115699E-2</v>
      </c>
      <c r="BC26" s="29">
        <v>19469.115454672701</v>
      </c>
      <c r="BD26" s="30">
        <v>2.31896379204353E-2</v>
      </c>
      <c r="BE26" s="29"/>
      <c r="BF26" s="30"/>
    </row>
    <row r="27" spans="1:58" x14ac:dyDescent="0.2">
      <c r="A27" s="28">
        <v>1983</v>
      </c>
      <c r="B27" s="28">
        <v>4</v>
      </c>
      <c r="C27" s="29">
        <v>63722.697424609403</v>
      </c>
      <c r="D27" s="30">
        <v>3.3819774302865001E-2</v>
      </c>
      <c r="E27" s="29">
        <v>64983.683283225597</v>
      </c>
      <c r="F27" s="30">
        <v>5.7804006627612897E-2</v>
      </c>
      <c r="G27" s="29">
        <v>43282.428696404502</v>
      </c>
      <c r="H27" s="30">
        <v>3.95154676806539E-2</v>
      </c>
      <c r="I27" s="29">
        <v>36974.128784382199</v>
      </c>
      <c r="J27" s="30">
        <v>3.8966075237977502E-2</v>
      </c>
      <c r="K27" s="29">
        <v>6308.2999120222403</v>
      </c>
      <c r="L27" s="30">
        <v>4.2747278989374103E-2</v>
      </c>
      <c r="M27" s="29">
        <v>21701.254586821098</v>
      </c>
      <c r="N27" s="30">
        <v>9.6271414828344795E-2</v>
      </c>
      <c r="O27" s="29">
        <v>17045.864536223999</v>
      </c>
      <c r="P27" s="30">
        <v>8.4203560581336004E-2</v>
      </c>
      <c r="Q27" s="29">
        <v>6432.08799683898</v>
      </c>
      <c r="R27" s="30">
        <v>0.13394617114689</v>
      </c>
      <c r="S27" s="29">
        <v>10613.776539385</v>
      </c>
      <c r="T27" s="30">
        <v>5.6127603727521798E-2</v>
      </c>
      <c r="U27" s="29">
        <v>3362.7997213285898</v>
      </c>
      <c r="V27" s="30"/>
      <c r="W27" s="29">
        <v>1292.59032926858</v>
      </c>
      <c r="X27" s="30"/>
      <c r="Y27" s="29">
        <v>-1260.98585861622</v>
      </c>
      <c r="Z27" s="30"/>
      <c r="AA27" s="29">
        <v>26266.637970249201</v>
      </c>
      <c r="AB27" s="30">
        <v>-1.4769906871159E-2</v>
      </c>
      <c r="AC27" s="29">
        <v>19237.881506700101</v>
      </c>
      <c r="AD27" s="30">
        <v>-3.25696161697627E-2</v>
      </c>
      <c r="AE27" s="29">
        <v>14784.8843570109</v>
      </c>
      <c r="AF27" s="30">
        <v>3.1704890258693198E-2</v>
      </c>
      <c r="AG27" s="29">
        <v>13372.076116141299</v>
      </c>
      <c r="AH27" s="30">
        <v>3.10415136352797E-2</v>
      </c>
      <c r="AI27" s="29">
        <v>7028.7564635490999</v>
      </c>
      <c r="AJ27" s="30">
        <v>3.74757115548838E-2</v>
      </c>
      <c r="AK27" s="29">
        <v>27527.6238288655</v>
      </c>
      <c r="AL27" s="30">
        <v>4.0547960097439398E-2</v>
      </c>
      <c r="AM27" s="29">
        <v>22234.464922078401</v>
      </c>
      <c r="AN27" s="30">
        <v>4.0913225620566401E-2</v>
      </c>
      <c r="AO27" s="29">
        <v>16473.366812963101</v>
      </c>
      <c r="AP27" s="30">
        <v>5.1685681183656997E-2</v>
      </c>
      <c r="AQ27" s="29">
        <v>15312.118911336</v>
      </c>
      <c r="AR27" s="30">
        <v>4.3674932161389603E-2</v>
      </c>
      <c r="AS27" s="29">
        <v>5293.15890678702</v>
      </c>
      <c r="AT27" s="30">
        <v>3.9016420194597098E-2</v>
      </c>
      <c r="AU27" s="29">
        <v>80965.175521403798</v>
      </c>
      <c r="AV27" s="30">
        <v>4.70172503729092E-2</v>
      </c>
      <c r="AW27" s="29">
        <v>60328.293232628399</v>
      </c>
      <c r="AX27" s="30">
        <v>5.1764377680152199E-2</v>
      </c>
      <c r="AY27" s="29">
        <v>20636.882288775301</v>
      </c>
      <c r="AZ27" s="30">
        <v>3.33823982325685E-2</v>
      </c>
      <c r="BA27" s="29">
        <v>13608.1258252262</v>
      </c>
      <c r="BB27" s="30">
        <v>3.1280778422007903E-2</v>
      </c>
      <c r="BC27" s="29">
        <v>20605.277818122999</v>
      </c>
      <c r="BD27" s="30">
        <v>4.2474254031243899E-2</v>
      </c>
      <c r="BE27" s="29"/>
      <c r="BF27" s="30"/>
    </row>
    <row r="28" spans="1:58" x14ac:dyDescent="0.2">
      <c r="A28" s="28">
        <v>1984</v>
      </c>
      <c r="B28" s="28">
        <v>1</v>
      </c>
      <c r="C28" s="29">
        <v>62628.273085547902</v>
      </c>
      <c r="D28" s="30">
        <v>5.6535320782476098E-2</v>
      </c>
      <c r="E28" s="29">
        <v>62104.3968005399</v>
      </c>
      <c r="F28" s="30">
        <v>3.1314570552020797E-2</v>
      </c>
      <c r="G28" s="29">
        <v>42994.696059073402</v>
      </c>
      <c r="H28" s="30">
        <v>4.1034359081742099E-2</v>
      </c>
      <c r="I28" s="29">
        <v>36624.915456059804</v>
      </c>
      <c r="J28" s="30">
        <v>4.0938856679693499E-2</v>
      </c>
      <c r="K28" s="29">
        <v>6369.7806030135198</v>
      </c>
      <c r="L28" s="30">
        <v>4.1583818289506497E-2</v>
      </c>
      <c r="M28" s="29">
        <v>19109.700741466499</v>
      </c>
      <c r="N28" s="30">
        <v>1.00960345490457E-2</v>
      </c>
      <c r="O28" s="29">
        <v>18894.3298309768</v>
      </c>
      <c r="P28" s="30">
        <v>7.5529824812274202E-2</v>
      </c>
      <c r="Q28" s="29">
        <v>7861.1747199472102</v>
      </c>
      <c r="R28" s="30">
        <v>7.0274063740415602E-2</v>
      </c>
      <c r="S28" s="29">
        <v>11033.1551110296</v>
      </c>
      <c r="T28" s="30">
        <v>7.9306181449748395E-2</v>
      </c>
      <c r="U28" s="29">
        <v>300.35442620773398</v>
      </c>
      <c r="V28" s="30"/>
      <c r="W28" s="29">
        <v>-84.983515718035093</v>
      </c>
      <c r="X28" s="30"/>
      <c r="Y28" s="29">
        <v>523.87628500804203</v>
      </c>
      <c r="Z28" s="30"/>
      <c r="AA28" s="29">
        <v>28348.841718667201</v>
      </c>
      <c r="AB28" s="30">
        <v>0.11400505777065199</v>
      </c>
      <c r="AC28" s="29">
        <v>20359.950353329299</v>
      </c>
      <c r="AD28" s="30">
        <v>0.13106226569427701</v>
      </c>
      <c r="AE28" s="29">
        <v>15368.026155473101</v>
      </c>
      <c r="AF28" s="30">
        <v>0.13767614513920301</v>
      </c>
      <c r="AG28" s="29">
        <v>13773.7620474585</v>
      </c>
      <c r="AH28" s="30">
        <v>0.11480579264974899</v>
      </c>
      <c r="AI28" s="29">
        <v>7988.8913653379304</v>
      </c>
      <c r="AJ28" s="30">
        <v>7.2774421332471001E-2</v>
      </c>
      <c r="AK28" s="29">
        <v>27824.965433659199</v>
      </c>
      <c r="AL28" s="30">
        <v>5.4402306385906901E-2</v>
      </c>
      <c r="AM28" s="29">
        <v>22362.2611326509</v>
      </c>
      <c r="AN28" s="30">
        <v>4.3156170416958697E-2</v>
      </c>
      <c r="AO28" s="29">
        <v>17815.2023791717</v>
      </c>
      <c r="AP28" s="30">
        <v>0.16075141500638501</v>
      </c>
      <c r="AQ28" s="29">
        <v>16109.5867347086</v>
      </c>
      <c r="AR28" s="30">
        <v>0.115664343176115</v>
      </c>
      <c r="AS28" s="29">
        <v>5462.7043010083198</v>
      </c>
      <c r="AT28" s="30">
        <v>0.103084577813028</v>
      </c>
      <c r="AU28" s="29">
        <v>83900.209695057099</v>
      </c>
      <c r="AV28" s="30">
        <v>6.3550543020473901E-2</v>
      </c>
      <c r="AW28" s="29">
        <v>61889.025890050201</v>
      </c>
      <c r="AX28" s="30">
        <v>5.1328637130911799E-2</v>
      </c>
      <c r="AY28" s="29">
        <v>22011.183805006898</v>
      </c>
      <c r="AZ28" s="30">
        <v>9.9489183903492207E-2</v>
      </c>
      <c r="BA28" s="29">
        <v>14022.292439669</v>
      </c>
      <c r="BB28" s="30">
        <v>0.115312850001106</v>
      </c>
      <c r="BC28" s="29">
        <v>21572.291035716898</v>
      </c>
      <c r="BD28" s="30">
        <v>0.11245174556882</v>
      </c>
      <c r="BE28" s="29"/>
      <c r="BF28" s="30"/>
    </row>
    <row r="29" spans="1:58" x14ac:dyDescent="0.2">
      <c r="A29" s="28">
        <v>1984</v>
      </c>
      <c r="B29" s="28">
        <v>2</v>
      </c>
      <c r="C29" s="29">
        <v>64803.094046672297</v>
      </c>
      <c r="D29" s="30">
        <v>6.8178944027200303E-2</v>
      </c>
      <c r="E29" s="29">
        <v>62863.133625659197</v>
      </c>
      <c r="F29" s="30">
        <v>2.0701162639528401E-2</v>
      </c>
      <c r="G29" s="29">
        <v>43444.033324182798</v>
      </c>
      <c r="H29" s="30">
        <v>5.2485379435065697E-2</v>
      </c>
      <c r="I29" s="29">
        <v>36963.575408526798</v>
      </c>
      <c r="J29" s="30">
        <v>5.4350088823861699E-2</v>
      </c>
      <c r="K29" s="29">
        <v>6480.4579156559503</v>
      </c>
      <c r="L29" s="30">
        <v>4.1974197302125302E-2</v>
      </c>
      <c r="M29" s="29">
        <v>19419.100301476399</v>
      </c>
      <c r="N29" s="30">
        <v>-4.3894351588282698E-2</v>
      </c>
      <c r="O29" s="29">
        <v>20074.018984980699</v>
      </c>
      <c r="P29" s="30">
        <v>3.84694324671815E-2</v>
      </c>
      <c r="Q29" s="29">
        <v>9021.16627409797</v>
      </c>
      <c r="R29" s="30">
        <v>5.0437133076842902E-2</v>
      </c>
      <c r="S29" s="29">
        <v>11052.8527108827</v>
      </c>
      <c r="T29" s="30">
        <v>2.8901834958224199E-2</v>
      </c>
      <c r="U29" s="29">
        <v>982.43505125239597</v>
      </c>
      <c r="V29" s="30"/>
      <c r="W29" s="29">
        <v>-1637.3537347567001</v>
      </c>
      <c r="X29" s="30"/>
      <c r="Y29" s="29">
        <v>1939.9604210131299</v>
      </c>
      <c r="Z29" s="30"/>
      <c r="AA29" s="29">
        <v>30358.319869248899</v>
      </c>
      <c r="AB29" s="30">
        <v>0.18261327268034899</v>
      </c>
      <c r="AC29" s="29">
        <v>22218.118286822199</v>
      </c>
      <c r="AD29" s="30">
        <v>0.21912960557348901</v>
      </c>
      <c r="AE29" s="29">
        <v>15597.4747922071</v>
      </c>
      <c r="AF29" s="30">
        <v>0.12227464511596001</v>
      </c>
      <c r="AG29" s="29">
        <v>13406.745634979001</v>
      </c>
      <c r="AH29" s="30">
        <v>7.2080170096562493E-2</v>
      </c>
      <c r="AI29" s="29">
        <v>8140.2015824267</v>
      </c>
      <c r="AJ29" s="30">
        <v>9.3236718980288305E-2</v>
      </c>
      <c r="AK29" s="29">
        <v>28418.3594482357</v>
      </c>
      <c r="AL29" s="30">
        <v>6.8687386287885593E-2</v>
      </c>
      <c r="AM29" s="29">
        <v>22803.992883720701</v>
      </c>
      <c r="AN29" s="30">
        <v>6.64698393599992E-2</v>
      </c>
      <c r="AO29" s="29">
        <v>17435.764646846699</v>
      </c>
      <c r="AP29" s="30">
        <v>0.102247405305221</v>
      </c>
      <c r="AQ29" s="29">
        <v>15893.582085854699</v>
      </c>
      <c r="AR29" s="30">
        <v>7.6921459853976901E-2</v>
      </c>
      <c r="AS29" s="29">
        <v>5614.3665645150004</v>
      </c>
      <c r="AT29" s="30">
        <v>7.7790050954480897E-2</v>
      </c>
      <c r="AU29" s="29">
        <v>85328.6076457897</v>
      </c>
      <c r="AV29" s="30">
        <v>5.6318137016807303E-2</v>
      </c>
      <c r="AW29" s="29">
        <v>63518.052309163497</v>
      </c>
      <c r="AX29" s="30">
        <v>4.8015112764918197E-2</v>
      </c>
      <c r="AY29" s="29">
        <v>21810.555336626199</v>
      </c>
      <c r="AZ29" s="30">
        <v>8.1265906317794304E-2</v>
      </c>
      <c r="BA29" s="29">
        <v>13670.353754199499</v>
      </c>
      <c r="BB29" s="30">
        <v>7.4261443734671806E-2</v>
      </c>
      <c r="BC29" s="29">
        <v>21507.948650369701</v>
      </c>
      <c r="BD29" s="30">
        <v>7.7148059058936194E-2</v>
      </c>
      <c r="BE29" s="29"/>
      <c r="BF29" s="30"/>
    </row>
    <row r="30" spans="1:58" x14ac:dyDescent="0.2">
      <c r="A30" s="28">
        <v>1984</v>
      </c>
      <c r="B30" s="28">
        <v>3</v>
      </c>
      <c r="C30" s="29">
        <v>65212.957294055297</v>
      </c>
      <c r="D30" s="30">
        <v>7.63293761950401E-2</v>
      </c>
      <c r="E30" s="29">
        <v>63328.174197376698</v>
      </c>
      <c r="F30" s="30">
        <v>3.7213439398426501E-2</v>
      </c>
      <c r="G30" s="29">
        <v>43643.384031596201</v>
      </c>
      <c r="H30" s="30">
        <v>5.0028118648644003E-2</v>
      </c>
      <c r="I30" s="29">
        <v>37065.8133621452</v>
      </c>
      <c r="J30" s="30">
        <v>4.9927069869433197E-2</v>
      </c>
      <c r="K30" s="29">
        <v>6577.57066945101</v>
      </c>
      <c r="L30" s="30">
        <v>5.0597910826053902E-2</v>
      </c>
      <c r="M30" s="29">
        <v>19684.790165780501</v>
      </c>
      <c r="N30" s="30">
        <v>9.8879695768212504E-3</v>
      </c>
      <c r="O30" s="29">
        <v>20076.7825561442</v>
      </c>
      <c r="P30" s="30">
        <v>5.5201467647712797E-2</v>
      </c>
      <c r="Q30" s="29">
        <v>9205.2760375682592</v>
      </c>
      <c r="R30" s="30">
        <v>3.9119932936595901E-2</v>
      </c>
      <c r="S30" s="29">
        <v>10871.506518575899</v>
      </c>
      <c r="T30" s="30">
        <v>6.9212591329019801E-2</v>
      </c>
      <c r="U30" s="29">
        <v>681.27833997519303</v>
      </c>
      <c r="V30" s="30"/>
      <c r="W30" s="29">
        <v>-1073.2707303388499</v>
      </c>
      <c r="X30" s="30"/>
      <c r="Y30" s="29">
        <v>1884.78309667853</v>
      </c>
      <c r="Z30" s="30"/>
      <c r="AA30" s="29">
        <v>31280.264557067301</v>
      </c>
      <c r="AB30" s="30">
        <v>0.21604551290610699</v>
      </c>
      <c r="AC30" s="29">
        <v>22347.4559484737</v>
      </c>
      <c r="AD30" s="30">
        <v>0.26811679669792698</v>
      </c>
      <c r="AE30" s="29">
        <v>15110.269842948501</v>
      </c>
      <c r="AF30" s="30">
        <v>0.13354453674980701</v>
      </c>
      <c r="AG30" s="29">
        <v>13548.3476047968</v>
      </c>
      <c r="AH30" s="30">
        <v>0.10898142551156099</v>
      </c>
      <c r="AI30" s="29">
        <v>8932.8086085935702</v>
      </c>
      <c r="AJ30" s="30">
        <v>0.102763377782254</v>
      </c>
      <c r="AK30" s="29">
        <v>29395.481460388801</v>
      </c>
      <c r="AL30" s="30">
        <v>0.122362648668978</v>
      </c>
      <c r="AM30" s="29">
        <v>23498.341121212699</v>
      </c>
      <c r="AN30" s="30">
        <v>0.131420070168528</v>
      </c>
      <c r="AO30" s="29">
        <v>17267.799908003701</v>
      </c>
      <c r="AP30" s="30">
        <v>0.14410954023828099</v>
      </c>
      <c r="AQ30" s="29">
        <v>16057.184649402299</v>
      </c>
      <c r="AR30" s="30">
        <v>0.14308049397282699</v>
      </c>
      <c r="AS30" s="29">
        <v>5897.1403391761196</v>
      </c>
      <c r="AT30" s="30">
        <v>8.7667202689927906E-2</v>
      </c>
      <c r="AU30" s="29">
        <v>86486.003942658499</v>
      </c>
      <c r="AV30" s="30">
        <v>6.5984782750708501E-2</v>
      </c>
      <c r="AW30" s="29">
        <v>63720.166587740401</v>
      </c>
      <c r="AX30" s="30">
        <v>5.1652641858993799E-2</v>
      </c>
      <c r="AY30" s="29">
        <v>22765.837354918101</v>
      </c>
      <c r="AZ30" s="30">
        <v>0.10825876898948</v>
      </c>
      <c r="BA30" s="29">
        <v>13833.0287463246</v>
      </c>
      <c r="BB30" s="30">
        <v>0.111836667536519</v>
      </c>
      <c r="BC30" s="29">
        <v>21954.324988578501</v>
      </c>
      <c r="BD30" s="30">
        <v>0.12764881587413399</v>
      </c>
      <c r="BE30" s="29"/>
      <c r="BF30" s="30"/>
    </row>
    <row r="31" spans="1:58" x14ac:dyDescent="0.2">
      <c r="A31" s="28">
        <v>1984</v>
      </c>
      <c r="B31" s="28">
        <v>4</v>
      </c>
      <c r="C31" s="29">
        <v>68418.252753637498</v>
      </c>
      <c r="D31" s="30">
        <v>7.3687328358682497E-2</v>
      </c>
      <c r="E31" s="29">
        <v>66815.365226053895</v>
      </c>
      <c r="F31" s="30">
        <v>2.8186797828080999E-2</v>
      </c>
      <c r="G31" s="29">
        <v>45323.380319742901</v>
      </c>
      <c r="H31" s="30">
        <v>4.7154276800275098E-2</v>
      </c>
      <c r="I31" s="29">
        <v>38661.323854866103</v>
      </c>
      <c r="J31" s="30">
        <v>4.5631773511767497E-2</v>
      </c>
      <c r="K31" s="29">
        <v>6662.0564648768104</v>
      </c>
      <c r="L31" s="30">
        <v>5.60779540903555E-2</v>
      </c>
      <c r="M31" s="29">
        <v>21491.984906311001</v>
      </c>
      <c r="N31" s="30">
        <v>-9.6432065562322995E-3</v>
      </c>
      <c r="O31" s="29">
        <v>18311.217422428999</v>
      </c>
      <c r="P31" s="30">
        <v>7.4232250497826599E-2</v>
      </c>
      <c r="Q31" s="29">
        <v>6905.5244845653597</v>
      </c>
      <c r="R31" s="30">
        <v>7.3605412108640494E-2</v>
      </c>
      <c r="S31" s="29">
        <v>11405.6929378636</v>
      </c>
      <c r="T31" s="30">
        <v>7.4612122795314706E-2</v>
      </c>
      <c r="U31" s="29">
        <v>4752.3463753924698</v>
      </c>
      <c r="V31" s="30"/>
      <c r="W31" s="29">
        <v>-1571.5788915104199</v>
      </c>
      <c r="X31" s="30"/>
      <c r="Y31" s="29">
        <v>1602.8875275836101</v>
      </c>
      <c r="Z31" s="30"/>
      <c r="AA31" s="29">
        <v>30995.496196173801</v>
      </c>
      <c r="AB31" s="30">
        <v>0.180032870262297</v>
      </c>
      <c r="AC31" s="29">
        <v>23141.380516590802</v>
      </c>
      <c r="AD31" s="30">
        <v>0.20290690575940601</v>
      </c>
      <c r="AE31" s="29">
        <v>16614.1343145875</v>
      </c>
      <c r="AF31" s="30">
        <v>0.123724333136847</v>
      </c>
      <c r="AG31" s="29">
        <v>15147.483140140101</v>
      </c>
      <c r="AH31" s="30">
        <v>0.13276973661970601</v>
      </c>
      <c r="AI31" s="29">
        <v>7854.1156795830702</v>
      </c>
      <c r="AJ31" s="30">
        <v>0.117426065380734</v>
      </c>
      <c r="AK31" s="29">
        <v>29392.608668590201</v>
      </c>
      <c r="AL31" s="30">
        <v>6.7749575892167596E-2</v>
      </c>
      <c r="AM31" s="29">
        <v>23606.779718526999</v>
      </c>
      <c r="AN31" s="30">
        <v>6.1720162875870802E-2</v>
      </c>
      <c r="AO31" s="29">
        <v>18575.020574089001</v>
      </c>
      <c r="AP31" s="30">
        <v>0.12757888444954399</v>
      </c>
      <c r="AQ31" s="29">
        <v>17499.368167742701</v>
      </c>
      <c r="AR31" s="30">
        <v>0.14284432279241499</v>
      </c>
      <c r="AS31" s="29">
        <v>5785.82895006326</v>
      </c>
      <c r="AT31" s="30">
        <v>9.3076752833649398E-2</v>
      </c>
      <c r="AU31" s="29">
        <v>86951.103496051001</v>
      </c>
      <c r="AV31" s="30">
        <v>7.3932131142787405E-2</v>
      </c>
      <c r="AW31" s="29">
        <v>63634.5977421719</v>
      </c>
      <c r="AX31" s="30">
        <v>5.4805205524283099E-2</v>
      </c>
      <c r="AY31" s="29">
        <v>23316.505753879101</v>
      </c>
      <c r="AZ31" s="30">
        <v>0.129846331805714</v>
      </c>
      <c r="BA31" s="29">
        <v>15462.3900742961</v>
      </c>
      <c r="BB31" s="30">
        <v>0.136261544968408</v>
      </c>
      <c r="BC31" s="29">
        <v>23285.197117806001</v>
      </c>
      <c r="BD31" s="30">
        <v>0.13005984793497399</v>
      </c>
      <c r="BE31" s="29"/>
      <c r="BF31" s="30"/>
    </row>
    <row r="32" spans="1:58" x14ac:dyDescent="0.2">
      <c r="A32" s="28">
        <v>1985</v>
      </c>
      <c r="B32" s="28">
        <v>1</v>
      </c>
      <c r="C32" s="29">
        <v>66576.5390437936</v>
      </c>
      <c r="D32" s="30">
        <v>6.3042868080562101E-2</v>
      </c>
      <c r="E32" s="29">
        <v>64561.815644446899</v>
      </c>
      <c r="F32" s="30">
        <v>3.9569160486325097E-2</v>
      </c>
      <c r="G32" s="29">
        <v>45072.786380112302</v>
      </c>
      <c r="H32" s="30">
        <v>4.8333643716976099E-2</v>
      </c>
      <c r="I32" s="29">
        <v>38289.070231279999</v>
      </c>
      <c r="J32" s="30">
        <v>4.5437777930619899E-2</v>
      </c>
      <c r="K32" s="29">
        <v>6783.7161488322799</v>
      </c>
      <c r="L32" s="30">
        <v>6.4984270513637907E-2</v>
      </c>
      <c r="M32" s="29">
        <v>19489.0292643346</v>
      </c>
      <c r="N32" s="30">
        <v>1.9850050401100799E-2</v>
      </c>
      <c r="O32" s="29">
        <v>19956.9459926809</v>
      </c>
      <c r="P32" s="30">
        <v>5.6239949826744302E-2</v>
      </c>
      <c r="Q32" s="29">
        <v>8114.2082613704697</v>
      </c>
      <c r="R32" s="30">
        <v>3.2187751886648699E-2</v>
      </c>
      <c r="S32" s="29">
        <v>11842.737731310501</v>
      </c>
      <c r="T32" s="30">
        <v>7.3377253571964798E-2</v>
      </c>
      <c r="U32" s="29">
        <v>988.14431340675196</v>
      </c>
      <c r="V32" s="30"/>
      <c r="W32" s="29">
        <v>-1456.06104175308</v>
      </c>
      <c r="X32" s="30"/>
      <c r="Y32" s="29">
        <v>2014.72339934667</v>
      </c>
      <c r="Z32" s="30"/>
      <c r="AA32" s="29">
        <v>32693.948603905399</v>
      </c>
      <c r="AB32" s="30">
        <v>0.15327281898706299</v>
      </c>
      <c r="AC32" s="29">
        <v>23634.828555284101</v>
      </c>
      <c r="AD32" s="30">
        <v>0.16084902689457001</v>
      </c>
      <c r="AE32" s="29">
        <v>16725.547722244999</v>
      </c>
      <c r="AF32" s="30">
        <v>8.8334152547524705E-2</v>
      </c>
      <c r="AG32" s="29">
        <v>14980.1594048309</v>
      </c>
      <c r="AH32" s="30">
        <v>8.7586626893630698E-2</v>
      </c>
      <c r="AI32" s="29">
        <v>9059.1200486213293</v>
      </c>
      <c r="AJ32" s="30">
        <v>0.13396460589348999</v>
      </c>
      <c r="AK32" s="29">
        <v>30679.225204558799</v>
      </c>
      <c r="AL32" s="30">
        <v>0.10257909493921</v>
      </c>
      <c r="AM32" s="29">
        <v>24596.1278566373</v>
      </c>
      <c r="AN32" s="30">
        <v>9.9894492365300694E-2</v>
      </c>
      <c r="AO32" s="29">
        <v>18922.708776426702</v>
      </c>
      <c r="AP32" s="30">
        <v>6.2166366324850203E-2</v>
      </c>
      <c r="AQ32" s="29">
        <v>17742.2467112624</v>
      </c>
      <c r="AR32" s="30">
        <v>0.101347104891037</v>
      </c>
      <c r="AS32" s="29">
        <v>6083.0973479214199</v>
      </c>
      <c r="AT32" s="30">
        <v>0.11356885028512</v>
      </c>
      <c r="AU32" s="29">
        <v>89413.738789570605</v>
      </c>
      <c r="AV32" s="30">
        <v>6.5715319598757899E-2</v>
      </c>
      <c r="AW32" s="29">
        <v>65029.732372793202</v>
      </c>
      <c r="AX32" s="30">
        <v>5.07473891788617E-2</v>
      </c>
      <c r="AY32" s="29">
        <v>24384.0064167774</v>
      </c>
      <c r="AZ32" s="30">
        <v>0.10780077222519401</v>
      </c>
      <c r="BA32" s="29">
        <v>15324.886368156</v>
      </c>
      <c r="BB32" s="30">
        <v>9.2894505951252704E-2</v>
      </c>
      <c r="BC32" s="29">
        <v>23825.344059183801</v>
      </c>
      <c r="BD32" s="30">
        <v>0.10444199087322301</v>
      </c>
      <c r="BE32" s="29"/>
      <c r="BF32" s="30"/>
    </row>
    <row r="33" spans="1:58" x14ac:dyDescent="0.2">
      <c r="A33" s="28">
        <v>1985</v>
      </c>
      <c r="B33" s="28">
        <v>2</v>
      </c>
      <c r="C33" s="29">
        <v>68938.6812580236</v>
      </c>
      <c r="D33" s="30">
        <v>6.3817743152398299E-2</v>
      </c>
      <c r="E33" s="29">
        <v>67799.974674801895</v>
      </c>
      <c r="F33" s="30">
        <v>7.85331682404007E-2</v>
      </c>
      <c r="G33" s="29">
        <v>45807.993052799102</v>
      </c>
      <c r="H33" s="30">
        <v>5.4413910213544102E-2</v>
      </c>
      <c r="I33" s="29">
        <v>38840.3220960451</v>
      </c>
      <c r="J33" s="30">
        <v>5.0772866714763297E-2</v>
      </c>
      <c r="K33" s="29">
        <v>6967.6709567540101</v>
      </c>
      <c r="L33" s="30">
        <v>7.5181884897519202E-2</v>
      </c>
      <c r="M33" s="29">
        <v>21991.981622002801</v>
      </c>
      <c r="N33" s="30">
        <v>0.13249230296888601</v>
      </c>
      <c r="O33" s="29">
        <v>21667.086472619299</v>
      </c>
      <c r="P33" s="30">
        <v>7.9359668277213094E-2</v>
      </c>
      <c r="Q33" s="29">
        <v>9283.8868643704809</v>
      </c>
      <c r="R33" s="30">
        <v>2.91226857248876E-2</v>
      </c>
      <c r="S33" s="29">
        <v>12383.1996082488</v>
      </c>
      <c r="T33" s="30">
        <v>0.120362311175663</v>
      </c>
      <c r="U33" s="29">
        <v>1065.7768401692001</v>
      </c>
      <c r="V33" s="30"/>
      <c r="W33" s="29">
        <v>-740.88169078567398</v>
      </c>
      <c r="X33" s="30"/>
      <c r="Y33" s="29">
        <v>1138.7065832216899</v>
      </c>
      <c r="Z33" s="30"/>
      <c r="AA33" s="29">
        <v>32405.2010095027</v>
      </c>
      <c r="AB33" s="30">
        <v>6.7424058678794405E-2</v>
      </c>
      <c r="AC33" s="29">
        <v>23443.203447059001</v>
      </c>
      <c r="AD33" s="30">
        <v>5.51390151236801E-2</v>
      </c>
      <c r="AE33" s="29">
        <v>17699.6875390942</v>
      </c>
      <c r="AF33" s="30">
        <v>0.13477904435771401</v>
      </c>
      <c r="AG33" s="29">
        <v>15820.5468974628</v>
      </c>
      <c r="AH33" s="30">
        <v>0.18004378752335701</v>
      </c>
      <c r="AI33" s="29">
        <v>8961.9975624437393</v>
      </c>
      <c r="AJ33" s="30">
        <v>0.100955237004346</v>
      </c>
      <c r="AK33" s="29">
        <v>31266.494426280999</v>
      </c>
      <c r="AL33" s="30">
        <v>0.100221653654328</v>
      </c>
      <c r="AM33" s="29">
        <v>24867.3547532269</v>
      </c>
      <c r="AN33" s="30">
        <v>9.0482481731484904E-2</v>
      </c>
      <c r="AO33" s="29">
        <v>19827.997514467101</v>
      </c>
      <c r="AP33" s="30">
        <v>0.137202635850731</v>
      </c>
      <c r="AQ33" s="29">
        <v>18345.698204615499</v>
      </c>
      <c r="AR33" s="30">
        <v>0.15428341487241901</v>
      </c>
      <c r="AS33" s="29">
        <v>6399.1396730541101</v>
      </c>
      <c r="AT33" s="30">
        <v>0.13977945677775699</v>
      </c>
      <c r="AU33" s="29">
        <v>92617.742295524004</v>
      </c>
      <c r="AV33" s="30">
        <v>8.5424277400523205E-2</v>
      </c>
      <c r="AW33" s="29">
        <v>67475.079525418303</v>
      </c>
      <c r="AX33" s="30">
        <v>6.22976787291065E-2</v>
      </c>
      <c r="AY33" s="29">
        <v>25142.662770105599</v>
      </c>
      <c r="AZ33" s="30">
        <v>0.15277499275242701</v>
      </c>
      <c r="BA33" s="29">
        <v>16180.665207661899</v>
      </c>
      <c r="BB33" s="30">
        <v>0.18363178441459799</v>
      </c>
      <c r="BC33" s="29">
        <v>24744.837877669601</v>
      </c>
      <c r="BD33" s="30">
        <v>0.15049734774423701</v>
      </c>
      <c r="BE33" s="29"/>
      <c r="BF33" s="30"/>
    </row>
    <row r="34" spans="1:58" x14ac:dyDescent="0.2">
      <c r="A34" s="28">
        <v>1985</v>
      </c>
      <c r="B34" s="28">
        <v>3</v>
      </c>
      <c r="C34" s="29">
        <v>68747.019600484098</v>
      </c>
      <c r="D34" s="30">
        <v>5.4192639822990801E-2</v>
      </c>
      <c r="E34" s="29">
        <v>67342.294528386396</v>
      </c>
      <c r="F34" s="30">
        <v>6.3386010758793396E-2</v>
      </c>
      <c r="G34" s="29">
        <v>45832.420659288196</v>
      </c>
      <c r="H34" s="30">
        <v>5.0157353199449299E-2</v>
      </c>
      <c r="I34" s="29">
        <v>38773.172933608599</v>
      </c>
      <c r="J34" s="30">
        <v>4.6062919347863003E-2</v>
      </c>
      <c r="K34" s="29">
        <v>7059.2477256795501</v>
      </c>
      <c r="L34" s="30">
        <v>7.3230236577410901E-2</v>
      </c>
      <c r="M34" s="29">
        <v>21509.873869098199</v>
      </c>
      <c r="N34" s="30">
        <v>9.2715425866736006E-2</v>
      </c>
      <c r="O34" s="29">
        <v>21464.971618852</v>
      </c>
      <c r="P34" s="30">
        <v>6.9144000480442405E-2</v>
      </c>
      <c r="Q34" s="29">
        <v>9491.6838580060394</v>
      </c>
      <c r="R34" s="30">
        <v>3.11134418206367E-2</v>
      </c>
      <c r="S34" s="29">
        <v>11973.2877608459</v>
      </c>
      <c r="T34" s="30">
        <v>0.101345773963103</v>
      </c>
      <c r="U34" s="29">
        <v>537.95639447467704</v>
      </c>
      <c r="V34" s="30"/>
      <c r="W34" s="29">
        <v>-493.05414422841602</v>
      </c>
      <c r="X34" s="30"/>
      <c r="Y34" s="29">
        <v>1404.7250720976799</v>
      </c>
      <c r="Z34" s="30"/>
      <c r="AA34" s="29">
        <v>31452.479277775201</v>
      </c>
      <c r="AB34" s="30">
        <v>5.5055391361442697E-3</v>
      </c>
      <c r="AC34" s="29">
        <v>21845.443944283001</v>
      </c>
      <c r="AD34" s="30">
        <v>-2.2463944233663598E-2</v>
      </c>
      <c r="AE34" s="29">
        <v>16534.593177160801</v>
      </c>
      <c r="AF34" s="30">
        <v>9.42619390001775E-2</v>
      </c>
      <c r="AG34" s="29">
        <v>14978.375440931301</v>
      </c>
      <c r="AH34" s="30">
        <v>0.105549981285407</v>
      </c>
      <c r="AI34" s="29">
        <v>9607.0353334922092</v>
      </c>
      <c r="AJ34" s="30">
        <v>7.5477574236844994E-2</v>
      </c>
      <c r="AK34" s="29">
        <v>30047.754205677498</v>
      </c>
      <c r="AL34" s="30">
        <v>2.2189558152591701E-2</v>
      </c>
      <c r="AM34" s="29">
        <v>23499.298193347498</v>
      </c>
      <c r="AN34" s="30">
        <v>4.0729348931289897E-5</v>
      </c>
      <c r="AO34" s="29">
        <v>18585.777244293698</v>
      </c>
      <c r="AP34" s="30">
        <v>7.6325724372049902E-2</v>
      </c>
      <c r="AQ34" s="29">
        <v>17477.258301463</v>
      </c>
      <c r="AR34" s="30">
        <v>8.8438520392395206E-2</v>
      </c>
      <c r="AS34" s="29">
        <v>6548.4560123300098</v>
      </c>
      <c r="AT34" s="30">
        <v>0.11044601886562699</v>
      </c>
      <c r="AU34" s="29">
        <v>92234.777519802403</v>
      </c>
      <c r="AV34" s="30">
        <v>6.6470565352463096E-2</v>
      </c>
      <c r="AW34" s="29">
        <v>67297.392278140105</v>
      </c>
      <c r="AX34" s="30">
        <v>5.6139616105272301E-2</v>
      </c>
      <c r="AY34" s="29">
        <v>24937.385241662199</v>
      </c>
      <c r="AZ34" s="30">
        <v>9.5386251464850497E-2</v>
      </c>
      <c r="BA34" s="29">
        <v>15330.349908169999</v>
      </c>
      <c r="BB34" s="30">
        <v>0.108242467308058</v>
      </c>
      <c r="BC34" s="29">
        <v>24025.714313793</v>
      </c>
      <c r="BD34" s="30">
        <v>9.4349943634893796E-2</v>
      </c>
      <c r="BE34" s="29"/>
      <c r="BF34" s="30"/>
    </row>
    <row r="35" spans="1:58" x14ac:dyDescent="0.2">
      <c r="A35" s="28">
        <v>1985</v>
      </c>
      <c r="B35" s="28">
        <v>4</v>
      </c>
      <c r="C35" s="29">
        <v>72536.521071227602</v>
      </c>
      <c r="D35" s="30">
        <v>6.0192538567438697E-2</v>
      </c>
      <c r="E35" s="29">
        <v>71554.439633655595</v>
      </c>
      <c r="F35" s="30">
        <v>7.0927912936913404E-2</v>
      </c>
      <c r="G35" s="29">
        <v>47817.608807904398</v>
      </c>
      <c r="H35" s="30">
        <v>5.5031828397738701E-2</v>
      </c>
      <c r="I35" s="29">
        <v>40665.750948154797</v>
      </c>
      <c r="J35" s="30">
        <v>5.1845795576304497E-2</v>
      </c>
      <c r="K35" s="29">
        <v>7151.8578597496598</v>
      </c>
      <c r="L35" s="30">
        <v>7.3521051263245402E-2</v>
      </c>
      <c r="M35" s="29">
        <v>23736.830825751102</v>
      </c>
      <c r="N35" s="30">
        <v>0.10445037669745</v>
      </c>
      <c r="O35" s="29">
        <v>19981.4250246505</v>
      </c>
      <c r="P35" s="30">
        <v>9.1212264247147803E-2</v>
      </c>
      <c r="Q35" s="29">
        <v>7152.1195495229103</v>
      </c>
      <c r="R35" s="30">
        <v>3.5709824142788699E-2</v>
      </c>
      <c r="S35" s="29">
        <v>12829.305475127599</v>
      </c>
      <c r="T35" s="30">
        <v>0.124815962083114</v>
      </c>
      <c r="U35" s="29">
        <v>4131.2552908497501</v>
      </c>
      <c r="V35" s="30"/>
      <c r="W35" s="29">
        <v>-375.84948974917597</v>
      </c>
      <c r="X35" s="30"/>
      <c r="Y35" s="29">
        <v>982.08143757207995</v>
      </c>
      <c r="Z35" s="30"/>
      <c r="AA35" s="29">
        <v>32980.201571854799</v>
      </c>
      <c r="AB35" s="30">
        <v>6.40320568872184E-2</v>
      </c>
      <c r="AC35" s="29">
        <v>24229.803683290698</v>
      </c>
      <c r="AD35" s="30">
        <v>4.7033631633151898E-2</v>
      </c>
      <c r="AE35" s="29">
        <v>17899.351191416801</v>
      </c>
      <c r="AF35" s="30">
        <v>7.7356836804965107E-2</v>
      </c>
      <c r="AG35" s="29">
        <v>16272.793237938</v>
      </c>
      <c r="AH35" s="30">
        <v>7.4290236033726795E-2</v>
      </c>
      <c r="AI35" s="29">
        <v>8750.39788856411</v>
      </c>
      <c r="AJ35" s="30">
        <v>0.114116247524968</v>
      </c>
      <c r="AK35" s="29">
        <v>31998.120134282701</v>
      </c>
      <c r="AL35" s="30">
        <v>8.8645124870349298E-2</v>
      </c>
      <c r="AM35" s="29">
        <v>25697.7685559192</v>
      </c>
      <c r="AN35" s="30">
        <v>8.8575776210220405E-2</v>
      </c>
      <c r="AO35" s="29">
        <v>19499.294989943399</v>
      </c>
      <c r="AP35" s="30">
        <v>4.9758998229251401E-2</v>
      </c>
      <c r="AQ35" s="29">
        <v>18449.4460934462</v>
      </c>
      <c r="AR35" s="30">
        <v>5.42921273840518E-2</v>
      </c>
      <c r="AS35" s="29">
        <v>6300.3515783635403</v>
      </c>
      <c r="AT35" s="30">
        <v>8.8928074566506199E-2</v>
      </c>
      <c r="AU35" s="29">
        <v>93155.063452187605</v>
      </c>
      <c r="AV35" s="30">
        <v>7.1349985298557697E-2</v>
      </c>
      <c r="AW35" s="29">
        <v>67799.033832554996</v>
      </c>
      <c r="AX35" s="30">
        <v>6.5442954589831001E-2</v>
      </c>
      <c r="AY35" s="29">
        <v>25356.029619632602</v>
      </c>
      <c r="AZ35" s="30">
        <v>8.7471248362940707E-2</v>
      </c>
      <c r="BA35" s="29">
        <v>16605.631731068501</v>
      </c>
      <c r="BB35" s="30">
        <v>7.3936930272696197E-2</v>
      </c>
      <c r="BC35" s="29">
        <v>24749.797671809702</v>
      </c>
      <c r="BD35" s="30">
        <v>6.2898353258251702E-2</v>
      </c>
      <c r="BE35" s="29"/>
      <c r="BF35" s="30"/>
    </row>
    <row r="36" spans="1:58" x14ac:dyDescent="0.2">
      <c r="A36" s="28">
        <v>1986</v>
      </c>
      <c r="B36" s="28">
        <v>1</v>
      </c>
      <c r="C36" s="29">
        <v>70056.990173592902</v>
      </c>
      <c r="D36" s="30">
        <v>5.2277441570068597E-2</v>
      </c>
      <c r="E36" s="29">
        <v>67838.579497408893</v>
      </c>
      <c r="F36" s="30">
        <v>5.07538987287426E-2</v>
      </c>
      <c r="G36" s="29">
        <v>47247.546831394699</v>
      </c>
      <c r="H36" s="30">
        <v>4.8249966907792E-2</v>
      </c>
      <c r="I36" s="29">
        <v>39943.604018261402</v>
      </c>
      <c r="J36" s="30">
        <v>4.3211647004938403E-2</v>
      </c>
      <c r="K36" s="29">
        <v>7303.9428131333098</v>
      </c>
      <c r="L36" s="30">
        <v>7.6687563702172404E-2</v>
      </c>
      <c r="M36" s="29">
        <v>20591.032666014198</v>
      </c>
      <c r="N36" s="30">
        <v>5.6544807169862002E-2</v>
      </c>
      <c r="O36" s="29">
        <v>21220.557039466599</v>
      </c>
      <c r="P36" s="30">
        <v>6.3316854555256902E-2</v>
      </c>
      <c r="Q36" s="29">
        <v>8242.5792833207797</v>
      </c>
      <c r="R36" s="30">
        <v>1.5820523434363399E-2</v>
      </c>
      <c r="S36" s="29">
        <v>12977.9777561459</v>
      </c>
      <c r="T36" s="30">
        <v>9.5859593498720502E-2</v>
      </c>
      <c r="U36" s="29">
        <v>130.47356145804201</v>
      </c>
      <c r="V36" s="30"/>
      <c r="W36" s="29">
        <v>-759.99793491048297</v>
      </c>
      <c r="X36" s="30"/>
      <c r="Y36" s="29">
        <v>2218.4106761839998</v>
      </c>
      <c r="Z36" s="30"/>
      <c r="AA36" s="29">
        <v>32579.4450582766</v>
      </c>
      <c r="AB36" s="30">
        <v>-3.5022856069211201E-3</v>
      </c>
      <c r="AC36" s="29">
        <v>23185.640049628601</v>
      </c>
      <c r="AD36" s="30">
        <v>-1.9005363402775401E-2</v>
      </c>
      <c r="AE36" s="29">
        <v>17046.3037632624</v>
      </c>
      <c r="AF36" s="30">
        <v>1.9177610583765999E-2</v>
      </c>
      <c r="AG36" s="29">
        <v>15550.5260894153</v>
      </c>
      <c r="AH36" s="30">
        <v>3.8074807428315503E-2</v>
      </c>
      <c r="AI36" s="29">
        <v>9393.8050086479307</v>
      </c>
      <c r="AJ36" s="30">
        <v>3.6944533048497402E-2</v>
      </c>
      <c r="AK36" s="29">
        <v>30361.034382092599</v>
      </c>
      <c r="AL36" s="30">
        <v>-1.03715403614209E-2</v>
      </c>
      <c r="AM36" s="29">
        <v>24285.9669936805</v>
      </c>
      <c r="AN36" s="30">
        <v>-1.2610150051448599E-2</v>
      </c>
      <c r="AO36" s="29">
        <v>18861.837219216799</v>
      </c>
      <c r="AP36" s="30">
        <v>-3.2168521922050202E-3</v>
      </c>
      <c r="AQ36" s="29">
        <v>17700.1798956321</v>
      </c>
      <c r="AR36" s="30">
        <v>-2.3709971073459001E-3</v>
      </c>
      <c r="AS36" s="29">
        <v>6075.0673884120297</v>
      </c>
      <c r="AT36" s="30">
        <v>-1.32004455133905E-3</v>
      </c>
      <c r="AU36" s="29">
        <v>93701.763896179007</v>
      </c>
      <c r="AV36" s="30">
        <v>4.7957116709994599E-2</v>
      </c>
      <c r="AW36" s="29">
        <v>68468.103870861305</v>
      </c>
      <c r="AX36" s="30">
        <v>5.2873837437267701E-2</v>
      </c>
      <c r="AY36" s="29">
        <v>25233.660025317698</v>
      </c>
      <c r="AZ36" s="30">
        <v>3.4844709028444103E-2</v>
      </c>
      <c r="BA36" s="29">
        <v>15839.855016669801</v>
      </c>
      <c r="BB36" s="30">
        <v>3.3603423617142997E-2</v>
      </c>
      <c r="BC36" s="29">
        <v>23775.247284044199</v>
      </c>
      <c r="BD36" s="30">
        <v>-2.1026674374634599E-3</v>
      </c>
      <c r="BE36" s="29"/>
      <c r="BF36" s="30"/>
    </row>
    <row r="37" spans="1:58" x14ac:dyDescent="0.2">
      <c r="A37" s="28">
        <v>1986</v>
      </c>
      <c r="B37" s="28">
        <v>2</v>
      </c>
      <c r="C37" s="29">
        <v>73132.872000117597</v>
      </c>
      <c r="D37" s="30">
        <v>6.0839439710139297E-2</v>
      </c>
      <c r="E37" s="29">
        <v>72516.631660491999</v>
      </c>
      <c r="F37" s="30">
        <v>6.9567238163632306E-2</v>
      </c>
      <c r="G37" s="29">
        <v>47948.413146930798</v>
      </c>
      <c r="H37" s="30">
        <v>4.6725908547545499E-2</v>
      </c>
      <c r="I37" s="29">
        <v>40520.177951614001</v>
      </c>
      <c r="J37" s="30">
        <v>4.3250307024102201E-2</v>
      </c>
      <c r="K37" s="29">
        <v>7428.2351953167399</v>
      </c>
      <c r="L37" s="30">
        <v>6.6100170547847698E-2</v>
      </c>
      <c r="M37" s="29">
        <v>24568.2185135613</v>
      </c>
      <c r="N37" s="30">
        <v>0.117144372700865</v>
      </c>
      <c r="O37" s="29">
        <v>23297.008774068101</v>
      </c>
      <c r="P37" s="30">
        <v>7.5225725595757603E-2</v>
      </c>
      <c r="Q37" s="29">
        <v>9762.1067100626005</v>
      </c>
      <c r="R37" s="30">
        <v>5.15107360396019E-2</v>
      </c>
      <c r="S37" s="29">
        <v>13534.902064005501</v>
      </c>
      <c r="T37" s="30">
        <v>9.3005240341076198E-2</v>
      </c>
      <c r="U37" s="29">
        <v>807.16390798811301</v>
      </c>
      <c r="V37" s="30"/>
      <c r="W37" s="29">
        <v>464.04583150509302</v>
      </c>
      <c r="X37" s="30"/>
      <c r="Y37" s="29">
        <v>616.24033962553904</v>
      </c>
      <c r="Z37" s="30"/>
      <c r="AA37" s="29">
        <v>33404.672670442</v>
      </c>
      <c r="AB37" s="30">
        <v>3.0842939707308201E-2</v>
      </c>
      <c r="AC37" s="29">
        <v>24411.094477488099</v>
      </c>
      <c r="AD37" s="30">
        <v>4.1286636982649401E-2</v>
      </c>
      <c r="AE37" s="29">
        <v>18042.372523287399</v>
      </c>
      <c r="AF37" s="30">
        <v>1.93610753543694E-2</v>
      </c>
      <c r="AG37" s="29">
        <v>16495.3723224721</v>
      </c>
      <c r="AH37" s="30">
        <v>4.2654999816568798E-2</v>
      </c>
      <c r="AI37" s="29">
        <v>8993.5781929539207</v>
      </c>
      <c r="AJ37" s="30">
        <v>3.5238383284683602E-3</v>
      </c>
      <c r="AK37" s="29">
        <v>32788.432330816497</v>
      </c>
      <c r="AL37" s="30">
        <v>4.8676320529754902E-2</v>
      </c>
      <c r="AM37" s="29">
        <v>26587.7380011688</v>
      </c>
      <c r="AN37" s="30">
        <v>6.9182398570904996E-2</v>
      </c>
      <c r="AO37" s="29">
        <v>19780.905837781</v>
      </c>
      <c r="AP37" s="30">
        <v>-2.3750092086547402E-3</v>
      </c>
      <c r="AQ37" s="29">
        <v>18482.599471827001</v>
      </c>
      <c r="AR37" s="30">
        <v>7.4623089121281802E-3</v>
      </c>
      <c r="AS37" s="29">
        <v>6200.6943296477202</v>
      </c>
      <c r="AT37" s="30">
        <v>-3.10112536286733E-2</v>
      </c>
      <c r="AU37" s="29">
        <v>97009.001893604203</v>
      </c>
      <c r="AV37" s="30">
        <v>4.7412725566864398E-2</v>
      </c>
      <c r="AW37" s="29">
        <v>71245.421920998793</v>
      </c>
      <c r="AX37" s="30">
        <v>5.5877553936934297E-2</v>
      </c>
      <c r="AY37" s="29">
        <v>25763.579972605399</v>
      </c>
      <c r="AZ37" s="30">
        <v>2.4695761470340701E-2</v>
      </c>
      <c r="BA37" s="29">
        <v>16770.001779651499</v>
      </c>
      <c r="BB37" s="30">
        <v>3.6422270928051899E-2</v>
      </c>
      <c r="BC37" s="29">
        <v>24683.2938014748</v>
      </c>
      <c r="BD37" s="30">
        <v>-2.4871480871737602E-3</v>
      </c>
      <c r="BE37" s="29"/>
      <c r="BF37" s="30"/>
    </row>
    <row r="38" spans="1:58" x14ac:dyDescent="0.2">
      <c r="A38" s="28">
        <v>1986</v>
      </c>
      <c r="B38" s="28">
        <v>3</v>
      </c>
      <c r="C38" s="29">
        <v>72364.099159024001</v>
      </c>
      <c r="D38" s="30">
        <v>5.2614347204578998E-2</v>
      </c>
      <c r="E38" s="29">
        <v>71772.347248044505</v>
      </c>
      <c r="F38" s="30">
        <v>6.5784107160036506E-2</v>
      </c>
      <c r="G38" s="29">
        <v>47975.302671153098</v>
      </c>
      <c r="H38" s="30">
        <v>4.67547203713021E-2</v>
      </c>
      <c r="I38" s="29">
        <v>40478.355341313603</v>
      </c>
      <c r="J38" s="30">
        <v>4.3978407715685099E-2</v>
      </c>
      <c r="K38" s="29">
        <v>7496.9473298394596</v>
      </c>
      <c r="L38" s="30">
        <v>6.2003717842013598E-2</v>
      </c>
      <c r="M38" s="29">
        <v>23797.0445768914</v>
      </c>
      <c r="N38" s="30">
        <v>0.106331200346044</v>
      </c>
      <c r="O38" s="29">
        <v>23578.8320045244</v>
      </c>
      <c r="P38" s="30">
        <v>9.8479533223139404E-2</v>
      </c>
      <c r="Q38" s="29">
        <v>10006.3143290399</v>
      </c>
      <c r="R38" s="30">
        <v>5.4219091020375899E-2</v>
      </c>
      <c r="S38" s="29">
        <v>13572.5176754845</v>
      </c>
      <c r="T38" s="30">
        <v>0.13356648120228801</v>
      </c>
      <c r="U38" s="29">
        <v>-563.90042188450798</v>
      </c>
      <c r="V38" s="30"/>
      <c r="W38" s="29">
        <v>782.11299425150401</v>
      </c>
      <c r="X38" s="30"/>
      <c r="Y38" s="29">
        <v>591.75191097943002</v>
      </c>
      <c r="Z38" s="30"/>
      <c r="AA38" s="29">
        <v>29964.038046065201</v>
      </c>
      <c r="AB38" s="30">
        <v>-4.7323494550768903E-2</v>
      </c>
      <c r="AC38" s="29">
        <v>20716.9802943711</v>
      </c>
      <c r="AD38" s="30">
        <v>-5.1656704839233097E-2</v>
      </c>
      <c r="AE38" s="29">
        <v>16639.854473778199</v>
      </c>
      <c r="AF38" s="30">
        <v>6.3661255822613496E-3</v>
      </c>
      <c r="AG38" s="29">
        <v>15135.938338091501</v>
      </c>
      <c r="AH38" s="30">
        <v>1.0519358242926199E-2</v>
      </c>
      <c r="AI38" s="29">
        <v>9247.0577516940903</v>
      </c>
      <c r="AJ38" s="30">
        <v>-3.7470204834488902E-2</v>
      </c>
      <c r="AK38" s="29">
        <v>29372.2861350858</v>
      </c>
      <c r="AL38" s="30">
        <v>-2.2479818823334601E-2</v>
      </c>
      <c r="AM38" s="29">
        <v>23150.079340662</v>
      </c>
      <c r="AN38" s="30">
        <v>-1.4860820515242099E-2</v>
      </c>
      <c r="AO38" s="29">
        <v>18203.390788143901</v>
      </c>
      <c r="AP38" s="30">
        <v>-2.05741439340245E-2</v>
      </c>
      <c r="AQ38" s="29">
        <v>17065.6420217497</v>
      </c>
      <c r="AR38" s="30">
        <v>-2.3551536094124699E-2</v>
      </c>
      <c r="AS38" s="29">
        <v>6222.2067944237797</v>
      </c>
      <c r="AT38" s="30">
        <v>-4.9820784821940002E-2</v>
      </c>
      <c r="AU38" s="29">
        <v>96215.848397081994</v>
      </c>
      <c r="AV38" s="30">
        <v>4.3162362227467499E-2</v>
      </c>
      <c r="AW38" s="29">
        <v>71554.134675677502</v>
      </c>
      <c r="AX38" s="30">
        <v>6.3252709405801105E-2</v>
      </c>
      <c r="AY38" s="29">
        <v>24661.713721404401</v>
      </c>
      <c r="AZ38" s="30">
        <v>-1.1054547924184499E-2</v>
      </c>
      <c r="BA38" s="29">
        <v>15414.6559697103</v>
      </c>
      <c r="BB38" s="30">
        <v>5.4992914085667498E-3</v>
      </c>
      <c r="BC38" s="29">
        <v>23287.8488161735</v>
      </c>
      <c r="BD38" s="30">
        <v>-3.0711490529789401E-2</v>
      </c>
      <c r="BE38" s="29"/>
      <c r="BF38" s="30"/>
    </row>
    <row r="39" spans="1:58" x14ac:dyDescent="0.2">
      <c r="A39" s="28">
        <v>1986</v>
      </c>
      <c r="B39" s="28">
        <v>4</v>
      </c>
      <c r="C39" s="29">
        <v>74945.310524288594</v>
      </c>
      <c r="D39" s="30">
        <v>3.3207953972532699E-2</v>
      </c>
      <c r="E39" s="29">
        <v>77392.187249993294</v>
      </c>
      <c r="F39" s="30">
        <v>8.1584701749128005E-2</v>
      </c>
      <c r="G39" s="29">
        <v>49580.958602029503</v>
      </c>
      <c r="H39" s="30">
        <v>3.6876578274936997E-2</v>
      </c>
      <c r="I39" s="29">
        <v>42053.074235671898</v>
      </c>
      <c r="J39" s="30">
        <v>3.4115275266545203E-2</v>
      </c>
      <c r="K39" s="29">
        <v>7527.8843663575899</v>
      </c>
      <c r="L39" s="30">
        <v>5.2577458051031901E-2</v>
      </c>
      <c r="M39" s="29">
        <v>27811.228647963901</v>
      </c>
      <c r="N39" s="30">
        <v>0.171648770306464</v>
      </c>
      <c r="O39" s="29">
        <v>21307.102915444299</v>
      </c>
      <c r="P39" s="30">
        <v>6.6345512852977295E-2</v>
      </c>
      <c r="Q39" s="29">
        <v>7570.5662121546002</v>
      </c>
      <c r="R39" s="30">
        <v>5.8506665015073601E-2</v>
      </c>
      <c r="S39" s="29">
        <v>13736.536703289699</v>
      </c>
      <c r="T39" s="30">
        <v>7.0715537167691703E-2</v>
      </c>
      <c r="U39" s="29">
        <v>3114.2208324441299</v>
      </c>
      <c r="V39" s="30"/>
      <c r="W39" s="29">
        <v>3389.9049000754499</v>
      </c>
      <c r="X39" s="30"/>
      <c r="Y39" s="29">
        <v>-2446.8767257047102</v>
      </c>
      <c r="Z39" s="30"/>
      <c r="AA39" s="29">
        <v>29122.3336254141</v>
      </c>
      <c r="AB39" s="30">
        <v>-0.11697526887564499</v>
      </c>
      <c r="AC39" s="29">
        <v>20849.187513794401</v>
      </c>
      <c r="AD39" s="30">
        <v>-0.139523052422734</v>
      </c>
      <c r="AE39" s="29">
        <v>17157.871574954199</v>
      </c>
      <c r="AF39" s="30">
        <v>-4.1424943760985898E-2</v>
      </c>
      <c r="AG39" s="29">
        <v>15670.057633164701</v>
      </c>
      <c r="AH39" s="30">
        <v>-3.7039468022498398E-2</v>
      </c>
      <c r="AI39" s="29">
        <v>8273.1461116197297</v>
      </c>
      <c r="AJ39" s="30">
        <v>-5.4540580099574298E-2</v>
      </c>
      <c r="AK39" s="29">
        <v>31569.2103511188</v>
      </c>
      <c r="AL39" s="30">
        <v>-1.3404218165440599E-2</v>
      </c>
      <c r="AM39" s="29">
        <v>25444.122418441199</v>
      </c>
      <c r="AN39" s="30">
        <v>-9.8703565224350608E-3</v>
      </c>
      <c r="AO39" s="29">
        <v>18511.413554810901</v>
      </c>
      <c r="AP39" s="30">
        <v>-5.0662418084451301E-2</v>
      </c>
      <c r="AQ39" s="29">
        <v>17186.8969236872</v>
      </c>
      <c r="AR39" s="30">
        <v>-6.8432903804493198E-2</v>
      </c>
      <c r="AS39" s="29">
        <v>6125.0879326775803</v>
      </c>
      <c r="AT39" s="30">
        <v>-2.7818073881439101E-2</v>
      </c>
      <c r="AU39" s="29">
        <v>95143.074548209304</v>
      </c>
      <c r="AV39" s="30">
        <v>2.1340880703087001E-2</v>
      </c>
      <c r="AW39" s="29">
        <v>70888.061517473703</v>
      </c>
      <c r="AX39" s="30">
        <v>4.5561529572055497E-2</v>
      </c>
      <c r="AY39" s="29">
        <v>24255.013030735499</v>
      </c>
      <c r="AZ39" s="30">
        <v>-4.34222788588563E-2</v>
      </c>
      <c r="BA39" s="29">
        <v>15981.866919115801</v>
      </c>
      <c r="BB39" s="30">
        <v>-3.7563449681091599E-2</v>
      </c>
      <c r="BC39" s="29">
        <v>23311.984856364801</v>
      </c>
      <c r="BD39" s="30">
        <v>-5.8093921999315103E-2</v>
      </c>
      <c r="BE39" s="29"/>
      <c r="BF39" s="30"/>
    </row>
    <row r="40" spans="1:58" x14ac:dyDescent="0.2">
      <c r="A40" s="28">
        <v>1987</v>
      </c>
      <c r="B40" s="28">
        <v>1</v>
      </c>
      <c r="C40" s="29">
        <v>72329.745027892306</v>
      </c>
      <c r="D40" s="30">
        <v>3.2441514382331303E-2</v>
      </c>
      <c r="E40" s="29">
        <v>71230.636040565601</v>
      </c>
      <c r="F40" s="30">
        <v>5.0001880468123698E-2</v>
      </c>
      <c r="G40" s="29">
        <v>49063.4567765346</v>
      </c>
      <c r="H40" s="30">
        <v>3.8433951959878601E-2</v>
      </c>
      <c r="I40" s="29">
        <v>41481.785981569199</v>
      </c>
      <c r="J40" s="30">
        <v>3.8508842682413599E-2</v>
      </c>
      <c r="K40" s="29">
        <v>7581.6707949654001</v>
      </c>
      <c r="L40" s="30">
        <v>3.8024391611159301E-2</v>
      </c>
      <c r="M40" s="29">
        <v>22167.179264031001</v>
      </c>
      <c r="N40" s="30">
        <v>7.6545291515090805E-2</v>
      </c>
      <c r="O40" s="29">
        <v>22428.663446519</v>
      </c>
      <c r="P40" s="30">
        <v>5.6930946949484501E-2</v>
      </c>
      <c r="Q40" s="29">
        <v>8945.0261521306602</v>
      </c>
      <c r="R40" s="30">
        <v>8.5221730318239902E-2</v>
      </c>
      <c r="S40" s="29">
        <v>13483.6372943884</v>
      </c>
      <c r="T40" s="30">
        <v>3.8962891426058202E-2</v>
      </c>
      <c r="U40" s="29">
        <v>-389.01382448522799</v>
      </c>
      <c r="V40" s="30"/>
      <c r="W40" s="29">
        <v>127.52964199721499</v>
      </c>
      <c r="X40" s="30"/>
      <c r="Y40" s="29">
        <v>1099.1089873266999</v>
      </c>
      <c r="Z40" s="30"/>
      <c r="AA40" s="29">
        <v>29456.010812548</v>
      </c>
      <c r="AB40" s="30">
        <v>-9.5871315184818603E-2</v>
      </c>
      <c r="AC40" s="29">
        <v>20259.682693862698</v>
      </c>
      <c r="AD40" s="30">
        <v>-0.12619696284005699</v>
      </c>
      <c r="AE40" s="29">
        <v>16485.261578371199</v>
      </c>
      <c r="AF40" s="30">
        <v>-3.2912835103897899E-2</v>
      </c>
      <c r="AG40" s="29">
        <v>14881.586985660701</v>
      </c>
      <c r="AH40" s="30">
        <v>-4.3017136520542398E-2</v>
      </c>
      <c r="AI40" s="29">
        <v>9196.3281186853401</v>
      </c>
      <c r="AJ40" s="30">
        <v>-2.1022034178992399E-2</v>
      </c>
      <c r="AK40" s="29">
        <v>28356.901825221299</v>
      </c>
      <c r="AL40" s="30">
        <v>-6.6010022308505098E-2</v>
      </c>
      <c r="AM40" s="29">
        <v>22308.798602446899</v>
      </c>
      <c r="AN40" s="30">
        <v>-8.1411968967431497E-2</v>
      </c>
      <c r="AO40" s="29">
        <v>18369.036178409198</v>
      </c>
      <c r="AP40" s="30">
        <v>-2.6126884411102801E-2</v>
      </c>
      <c r="AQ40" s="29">
        <v>17168.254931534899</v>
      </c>
      <c r="AR40" s="30">
        <v>-3.0051952422727998E-2</v>
      </c>
      <c r="AS40" s="29">
        <v>6048.1032227743899</v>
      </c>
      <c r="AT40" s="30">
        <v>-4.4384965488726297E-3</v>
      </c>
      <c r="AU40" s="29">
        <v>95935.117006686894</v>
      </c>
      <c r="AV40" s="30">
        <v>2.3834696569665199E-2</v>
      </c>
      <c r="AW40" s="29">
        <v>71492.120223053702</v>
      </c>
      <c r="AX40" s="30">
        <v>4.4166789807644997E-2</v>
      </c>
      <c r="AY40" s="29">
        <v>24442.9967836332</v>
      </c>
      <c r="AZ40" s="30">
        <v>-3.1333672598077303E-2</v>
      </c>
      <c r="BA40" s="29">
        <v>15246.6686649479</v>
      </c>
      <c r="BB40" s="30">
        <v>-3.74489760858066E-2</v>
      </c>
      <c r="BC40" s="29">
        <v>23216.358154309299</v>
      </c>
      <c r="BD40" s="30">
        <v>-2.3507184722741999E-2</v>
      </c>
      <c r="BE40" s="29"/>
      <c r="BF40" s="30"/>
    </row>
    <row r="41" spans="1:58" x14ac:dyDescent="0.2">
      <c r="A41" s="28">
        <v>1987</v>
      </c>
      <c r="B41" s="28">
        <v>2</v>
      </c>
      <c r="C41" s="29">
        <v>74710.255519108599</v>
      </c>
      <c r="D41" s="30">
        <v>2.1568734767978E-2</v>
      </c>
      <c r="E41" s="29">
        <v>75478.206062466794</v>
      </c>
      <c r="F41" s="30">
        <v>4.0839933325092601E-2</v>
      </c>
      <c r="G41" s="29">
        <v>49580.482878415402</v>
      </c>
      <c r="H41" s="30">
        <v>3.4038034303311503E-2</v>
      </c>
      <c r="I41" s="29">
        <v>41941.511049132198</v>
      </c>
      <c r="J41" s="30">
        <v>3.5077168200381002E-2</v>
      </c>
      <c r="K41" s="29">
        <v>7638.9718292831903</v>
      </c>
      <c r="L41" s="30">
        <v>2.8369677107062698E-2</v>
      </c>
      <c r="M41" s="29">
        <v>25897.723184051501</v>
      </c>
      <c r="N41" s="30">
        <v>5.4114817879707303E-2</v>
      </c>
      <c r="O41" s="29">
        <v>24353.360775407</v>
      </c>
      <c r="P41" s="30">
        <v>4.5342816821820599E-2</v>
      </c>
      <c r="Q41" s="29">
        <v>10215.288353403899</v>
      </c>
      <c r="R41" s="30">
        <v>4.6422525055397602E-2</v>
      </c>
      <c r="S41" s="29">
        <v>14138.072422003001</v>
      </c>
      <c r="T41" s="30">
        <v>4.4564072583992198E-2</v>
      </c>
      <c r="U41" s="29">
        <v>114.387553085951</v>
      </c>
      <c r="V41" s="30"/>
      <c r="W41" s="29">
        <v>1429.97485555855</v>
      </c>
      <c r="X41" s="30"/>
      <c r="Y41" s="29">
        <v>-767.95054335821601</v>
      </c>
      <c r="Z41" s="30"/>
      <c r="AA41" s="29">
        <v>29741.913610641099</v>
      </c>
      <c r="AB41" s="30">
        <v>-0.109648105100036</v>
      </c>
      <c r="AC41" s="29">
        <v>20686.557052946999</v>
      </c>
      <c r="AD41" s="30">
        <v>-0.15257560155591801</v>
      </c>
      <c r="AE41" s="29">
        <v>17107.567425012101</v>
      </c>
      <c r="AF41" s="30">
        <v>-5.1811650439476699E-2</v>
      </c>
      <c r="AG41" s="29">
        <v>15466.7796118848</v>
      </c>
      <c r="AH41" s="30">
        <v>-6.23564409750288E-2</v>
      </c>
      <c r="AI41" s="29">
        <v>9055.3565576940691</v>
      </c>
      <c r="AJ41" s="30">
        <v>6.8691641318632301E-3</v>
      </c>
      <c r="AK41" s="29">
        <v>30509.8641539993</v>
      </c>
      <c r="AL41" s="30">
        <v>-6.9493050287605704E-2</v>
      </c>
      <c r="AM41" s="29">
        <v>24123.474924447299</v>
      </c>
      <c r="AN41" s="30">
        <v>-9.2684194368590003E-2</v>
      </c>
      <c r="AO41" s="29">
        <v>19202.9000969304</v>
      </c>
      <c r="AP41" s="30">
        <v>-2.9220387862452599E-2</v>
      </c>
      <c r="AQ41" s="29">
        <v>17877.355663546899</v>
      </c>
      <c r="AR41" s="30">
        <v>-3.2746682045600099E-2</v>
      </c>
      <c r="AS41" s="29">
        <v>6386.38922955201</v>
      </c>
      <c r="AT41" s="30">
        <v>2.9947436534069099E-2</v>
      </c>
      <c r="AU41" s="29">
        <v>98859.612859121597</v>
      </c>
      <c r="AV41" s="30">
        <v>1.90766931871649E-2</v>
      </c>
      <c r="AW41" s="29">
        <v>73933.843653822303</v>
      </c>
      <c r="AX41" s="30">
        <v>3.7734659439655899E-2</v>
      </c>
      <c r="AY41" s="29">
        <v>24925.769205299301</v>
      </c>
      <c r="AZ41" s="30">
        <v>-3.25191905859731E-2</v>
      </c>
      <c r="BA41" s="29">
        <v>15870.412647605201</v>
      </c>
      <c r="BB41" s="30">
        <v>-5.3642757100825798E-2</v>
      </c>
      <c r="BC41" s="29">
        <v>24263.744893098901</v>
      </c>
      <c r="BD41" s="30">
        <v>-1.6997282119242101E-2</v>
      </c>
      <c r="BE41" s="29"/>
      <c r="BF41" s="30"/>
    </row>
    <row r="42" spans="1:58" x14ac:dyDescent="0.2">
      <c r="A42" s="28">
        <v>1987</v>
      </c>
      <c r="B42" s="28">
        <v>3</v>
      </c>
      <c r="C42" s="29">
        <v>75468.582428096299</v>
      </c>
      <c r="D42" s="30">
        <v>4.29008763344116E-2</v>
      </c>
      <c r="E42" s="29">
        <v>73441.618981816006</v>
      </c>
      <c r="F42" s="30">
        <v>2.3257867378957599E-2</v>
      </c>
      <c r="G42" s="29">
        <v>49630.102865810702</v>
      </c>
      <c r="H42" s="30">
        <v>3.4492751530936297E-2</v>
      </c>
      <c r="I42" s="29">
        <v>41940.3050976616</v>
      </c>
      <c r="J42" s="30">
        <v>3.6116826981254201E-2</v>
      </c>
      <c r="K42" s="29">
        <v>7689.7977681490602</v>
      </c>
      <c r="L42" s="30">
        <v>2.5723861970058999E-2</v>
      </c>
      <c r="M42" s="29">
        <v>23811.516116005401</v>
      </c>
      <c r="N42" s="30">
        <v>6.08123377136227E-4</v>
      </c>
      <c r="O42" s="29">
        <v>24221.115465426199</v>
      </c>
      <c r="P42" s="30">
        <v>2.72398336261328E-2</v>
      </c>
      <c r="Q42" s="29">
        <v>10549.7234142691</v>
      </c>
      <c r="R42" s="30">
        <v>5.4306617537700497E-2</v>
      </c>
      <c r="S42" s="29">
        <v>13671.3920511571</v>
      </c>
      <c r="T42" s="30">
        <v>7.2848957014945998E-3</v>
      </c>
      <c r="U42" s="29">
        <v>25.922505953465599</v>
      </c>
      <c r="V42" s="30"/>
      <c r="W42" s="29">
        <v>-435.52185537427403</v>
      </c>
      <c r="X42" s="30"/>
      <c r="Y42" s="29">
        <v>2026.9634462803001</v>
      </c>
      <c r="Z42" s="30"/>
      <c r="AA42" s="29">
        <v>30257.520069307498</v>
      </c>
      <c r="AB42" s="30">
        <v>9.7944750567688903E-3</v>
      </c>
      <c r="AC42" s="29">
        <v>20113.945222917198</v>
      </c>
      <c r="AD42" s="30">
        <v>-2.91082514384455E-2</v>
      </c>
      <c r="AE42" s="29">
        <v>16681.860456154202</v>
      </c>
      <c r="AF42" s="30">
        <v>2.5244200568108601E-3</v>
      </c>
      <c r="AG42" s="29">
        <v>15101.0667438866</v>
      </c>
      <c r="AH42" s="30">
        <v>-2.3038937808801401E-3</v>
      </c>
      <c r="AI42" s="29">
        <v>10143.5748463902</v>
      </c>
      <c r="AJ42" s="30">
        <v>9.6951605447894093E-2</v>
      </c>
      <c r="AK42" s="29">
        <v>28230.556623027202</v>
      </c>
      <c r="AL42" s="30">
        <v>-3.8870978813419298E-2</v>
      </c>
      <c r="AM42" s="29">
        <v>21631.0035475357</v>
      </c>
      <c r="AN42" s="30">
        <v>-6.5618599866225494E-2</v>
      </c>
      <c r="AO42" s="29">
        <v>18665.176072001399</v>
      </c>
      <c r="AP42" s="30">
        <v>2.5368091540300501E-2</v>
      </c>
      <c r="AQ42" s="29">
        <v>17473.067734534499</v>
      </c>
      <c r="AR42" s="30">
        <v>2.38740337026591E-2</v>
      </c>
      <c r="AS42" s="29">
        <v>6599.5530754914498</v>
      </c>
      <c r="AT42" s="30">
        <v>6.0645088396264403E-2</v>
      </c>
      <c r="AU42" s="29">
        <v>99515.280732168801</v>
      </c>
      <c r="AV42" s="30">
        <v>3.4291984013591098E-2</v>
      </c>
      <c r="AW42" s="29">
        <v>73851.218331236902</v>
      </c>
      <c r="AX42" s="30">
        <v>3.2102738241066998E-2</v>
      </c>
      <c r="AY42" s="29">
        <v>25664.062400932002</v>
      </c>
      <c r="AZ42" s="30">
        <v>4.06439183769116E-2</v>
      </c>
      <c r="BA42" s="29">
        <v>15520.4875545417</v>
      </c>
      <c r="BB42" s="30">
        <v>6.8656468908125899E-3</v>
      </c>
      <c r="BC42" s="29">
        <v>24072.620810025899</v>
      </c>
      <c r="BD42" s="30">
        <v>3.3698775702606203E-2</v>
      </c>
      <c r="BE42" s="29"/>
      <c r="BF42" s="30"/>
    </row>
    <row r="43" spans="1:58" x14ac:dyDescent="0.2">
      <c r="A43" s="28">
        <v>1987</v>
      </c>
      <c r="B43" s="28">
        <v>4</v>
      </c>
      <c r="C43" s="29">
        <v>79069.569353504703</v>
      </c>
      <c r="D43" s="30">
        <v>5.50302453931319E-2</v>
      </c>
      <c r="E43" s="29">
        <v>79005.329455920597</v>
      </c>
      <c r="F43" s="30">
        <v>2.0843734532485399E-2</v>
      </c>
      <c r="G43" s="29">
        <v>51610.481779985501</v>
      </c>
      <c r="H43" s="30">
        <v>4.0933520350954697E-2</v>
      </c>
      <c r="I43" s="29">
        <v>43783.998879208797</v>
      </c>
      <c r="J43" s="30">
        <v>4.11604781575916E-2</v>
      </c>
      <c r="K43" s="29">
        <v>7826.4829007766502</v>
      </c>
      <c r="L43" s="30">
        <v>3.9665664333728298E-2</v>
      </c>
      <c r="M43" s="29">
        <v>27394.8476759351</v>
      </c>
      <c r="N43" s="30">
        <v>-1.4971685620197199E-2</v>
      </c>
      <c r="O43" s="29">
        <v>22756.877880114898</v>
      </c>
      <c r="P43" s="30">
        <v>6.8041862397900693E-2</v>
      </c>
      <c r="Q43" s="29">
        <v>7969.9459515866101</v>
      </c>
      <c r="R43" s="30">
        <v>5.2754275999963497E-2</v>
      </c>
      <c r="S43" s="29">
        <v>14786.9319285282</v>
      </c>
      <c r="T43" s="30">
        <v>7.6467252840157998E-2</v>
      </c>
      <c r="U43" s="29">
        <v>3830.5701943193399</v>
      </c>
      <c r="V43" s="30"/>
      <c r="W43" s="29">
        <v>807.39960150092497</v>
      </c>
      <c r="X43" s="30"/>
      <c r="Y43" s="29">
        <v>64.239897584113393</v>
      </c>
      <c r="Z43" s="30"/>
      <c r="AA43" s="29">
        <v>32211.535611580301</v>
      </c>
      <c r="AB43" s="30">
        <v>0.106076732239286</v>
      </c>
      <c r="AC43" s="29">
        <v>23466.3581738348</v>
      </c>
      <c r="AD43" s="30">
        <v>0.12552866428530501</v>
      </c>
      <c r="AE43" s="29">
        <v>19234.4536840244</v>
      </c>
      <c r="AF43" s="30">
        <v>0.121027955011706</v>
      </c>
      <c r="AG43" s="29">
        <v>17322.340303981298</v>
      </c>
      <c r="AH43" s="30">
        <v>0.105442028963546</v>
      </c>
      <c r="AI43" s="29">
        <v>8745.1774377454894</v>
      </c>
      <c r="AJ43" s="30">
        <v>5.7055843056220003E-2</v>
      </c>
      <c r="AK43" s="29">
        <v>32147.295713996202</v>
      </c>
      <c r="AL43" s="30">
        <v>1.8311682694872801E-2</v>
      </c>
      <c r="AM43" s="29">
        <v>25531.8452141706</v>
      </c>
      <c r="AN43" s="30">
        <v>3.4476644266494502E-3</v>
      </c>
      <c r="AO43" s="29">
        <v>20562.233725259499</v>
      </c>
      <c r="AP43" s="30">
        <v>0.110786794556576</v>
      </c>
      <c r="AQ43" s="29">
        <v>19006.433704214302</v>
      </c>
      <c r="AR43" s="30">
        <v>0.10586767283274801</v>
      </c>
      <c r="AS43" s="29">
        <v>6615.4504998255898</v>
      </c>
      <c r="AT43" s="30">
        <v>8.0058045294649299E-2</v>
      </c>
      <c r="AU43" s="29">
        <v>100860.883363225</v>
      </c>
      <c r="AV43" s="30">
        <v>6.0096952323300597E-2</v>
      </c>
      <c r="AW43" s="29">
        <v>74367.359660100294</v>
      </c>
      <c r="AX43" s="30">
        <v>4.9081581131527302E-2</v>
      </c>
      <c r="AY43" s="29">
        <v>26493.523703124902</v>
      </c>
      <c r="AZ43" s="30">
        <v>9.2290639858770396E-2</v>
      </c>
      <c r="BA43" s="29">
        <v>17748.346265379401</v>
      </c>
      <c r="BB43" s="30">
        <v>0.110530224985841</v>
      </c>
      <c r="BC43" s="29">
        <v>25621.884204039899</v>
      </c>
      <c r="BD43" s="30">
        <v>9.90863438659291E-2</v>
      </c>
      <c r="BE43" s="29"/>
      <c r="BF43" s="30"/>
    </row>
    <row r="44" spans="1:58" x14ac:dyDescent="0.2">
      <c r="A44" s="28">
        <v>1988</v>
      </c>
      <c r="B44" s="28">
        <v>1</v>
      </c>
      <c r="C44" s="29">
        <v>76919.109145292095</v>
      </c>
      <c r="D44" s="30">
        <v>6.3450577844978095E-2</v>
      </c>
      <c r="E44" s="29">
        <v>74892.655778816305</v>
      </c>
      <c r="F44" s="30">
        <v>5.1410740403401399E-2</v>
      </c>
      <c r="G44" s="29">
        <v>51162.846651899999</v>
      </c>
      <c r="H44" s="30">
        <v>4.2789277668046501E-2</v>
      </c>
      <c r="I44" s="29">
        <v>43179.349937194202</v>
      </c>
      <c r="J44" s="30">
        <v>4.0923116386050402E-2</v>
      </c>
      <c r="K44" s="29">
        <v>7983.4967147057496</v>
      </c>
      <c r="L44" s="30">
        <v>5.2999652795156803E-2</v>
      </c>
      <c r="M44" s="29">
        <v>23729.8091269164</v>
      </c>
      <c r="N44" s="30">
        <v>7.04929501527016E-2</v>
      </c>
      <c r="O44" s="29">
        <v>24718.993493243299</v>
      </c>
      <c r="P44" s="30">
        <v>0.102116207333779</v>
      </c>
      <c r="Q44" s="29">
        <v>9791.5103373300808</v>
      </c>
      <c r="R44" s="30">
        <v>9.4631828996699002E-2</v>
      </c>
      <c r="S44" s="29">
        <v>14927.4831559132</v>
      </c>
      <c r="T44" s="30">
        <v>0.107081333471182</v>
      </c>
      <c r="U44" s="29">
        <v>70.581420463291593</v>
      </c>
      <c r="V44" s="30"/>
      <c r="W44" s="29">
        <v>-1059.7657867902501</v>
      </c>
      <c r="X44" s="30"/>
      <c r="Y44" s="29">
        <v>2026.45336647572</v>
      </c>
      <c r="Z44" s="30"/>
      <c r="AA44" s="29">
        <v>32315.636778566201</v>
      </c>
      <c r="AB44" s="30">
        <v>9.7081236974559296E-2</v>
      </c>
      <c r="AC44" s="29">
        <v>22564.795866366701</v>
      </c>
      <c r="AD44" s="30">
        <v>0.113778345265117</v>
      </c>
      <c r="AE44" s="29">
        <v>17985.4833177562</v>
      </c>
      <c r="AF44" s="30">
        <v>9.1003817698185496E-2</v>
      </c>
      <c r="AG44" s="29">
        <v>15967.457612985299</v>
      </c>
      <c r="AH44" s="30">
        <v>7.2967394429841501E-2</v>
      </c>
      <c r="AI44" s="29">
        <v>9750.8409121994591</v>
      </c>
      <c r="AJ44" s="30">
        <v>6.0297195397742497E-2</v>
      </c>
      <c r="AK44" s="29">
        <v>30289.1834120905</v>
      </c>
      <c r="AL44" s="30">
        <v>6.8141491576859003E-2</v>
      </c>
      <c r="AM44" s="29">
        <v>23585.7710939514</v>
      </c>
      <c r="AN44" s="30">
        <v>5.7240755733230397E-2</v>
      </c>
      <c r="AO44" s="29">
        <v>19700.375900894102</v>
      </c>
      <c r="AP44" s="30">
        <v>7.2477385833107394E-2</v>
      </c>
      <c r="AQ44" s="29">
        <v>18447.1362740328</v>
      </c>
      <c r="AR44" s="30">
        <v>7.4491050348332005E-2</v>
      </c>
      <c r="AS44" s="29">
        <v>6703.4123181390396</v>
      </c>
      <c r="AT44" s="30">
        <v>0.10834952235885301</v>
      </c>
      <c r="AU44" s="29">
        <v>101999.076317001</v>
      </c>
      <c r="AV44" s="30">
        <v>6.32089635111521E-2</v>
      </c>
      <c r="AW44" s="29">
        <v>75881.840145143302</v>
      </c>
      <c r="AX44" s="30">
        <v>6.1401451074521302E-2</v>
      </c>
      <c r="AY44" s="29">
        <v>26117.236171857399</v>
      </c>
      <c r="AZ44" s="30">
        <v>6.8495667820290193E-2</v>
      </c>
      <c r="BA44" s="29">
        <v>16366.3952596579</v>
      </c>
      <c r="BB44" s="30">
        <v>7.3440737732058697E-2</v>
      </c>
      <c r="BC44" s="29">
        <v>25150.548592171901</v>
      </c>
      <c r="BD44" s="30">
        <v>8.3311535125658601E-2</v>
      </c>
      <c r="BE44" s="29"/>
      <c r="BF44" s="30"/>
    </row>
    <row r="45" spans="1:58" x14ac:dyDescent="0.2">
      <c r="A45" s="28">
        <v>1988</v>
      </c>
      <c r="B45" s="28">
        <v>2</v>
      </c>
      <c r="C45" s="29">
        <v>78993.408755466604</v>
      </c>
      <c r="D45" s="30">
        <v>5.7330191238102297E-2</v>
      </c>
      <c r="E45" s="29">
        <v>78457.812459516004</v>
      </c>
      <c r="F45" s="30">
        <v>3.9476380699657601E-2</v>
      </c>
      <c r="G45" s="29">
        <v>51563.223729012199</v>
      </c>
      <c r="H45" s="30">
        <v>3.9990349740220497E-2</v>
      </c>
      <c r="I45" s="29">
        <v>43349.905970607098</v>
      </c>
      <c r="J45" s="30">
        <v>3.3579975691030897E-2</v>
      </c>
      <c r="K45" s="29">
        <v>8213.3177584050809</v>
      </c>
      <c r="L45" s="30">
        <v>7.5186287102171998E-2</v>
      </c>
      <c r="M45" s="29">
        <v>26894.588730503801</v>
      </c>
      <c r="N45" s="30">
        <v>3.8492401025670198E-2</v>
      </c>
      <c r="O45" s="29">
        <v>27271.027367017799</v>
      </c>
      <c r="P45" s="30">
        <v>0.119805501118237</v>
      </c>
      <c r="Q45" s="29">
        <v>11333.2357672174</v>
      </c>
      <c r="R45" s="30">
        <v>0.109438654606451</v>
      </c>
      <c r="S45" s="29">
        <v>15937.791599800399</v>
      </c>
      <c r="T45" s="30">
        <v>0.12729593710359499</v>
      </c>
      <c r="U45" s="29">
        <v>-13.421327220188701</v>
      </c>
      <c r="V45" s="30"/>
      <c r="W45" s="29">
        <v>-363.01730929385701</v>
      </c>
      <c r="X45" s="30"/>
      <c r="Y45" s="29">
        <v>535.59629595062097</v>
      </c>
      <c r="Z45" s="30"/>
      <c r="AA45" s="29">
        <v>31702.084662790399</v>
      </c>
      <c r="AB45" s="30">
        <v>6.5906016600358705E-2</v>
      </c>
      <c r="AC45" s="29">
        <v>22259.3375886992</v>
      </c>
      <c r="AD45" s="30">
        <v>7.6029110679302694E-2</v>
      </c>
      <c r="AE45" s="29">
        <v>18736.940236145299</v>
      </c>
      <c r="AF45" s="30">
        <v>9.5242811011872194E-2</v>
      </c>
      <c r="AG45" s="29">
        <v>16927.297382590499</v>
      </c>
      <c r="AH45" s="30">
        <v>9.44293387088493E-2</v>
      </c>
      <c r="AI45" s="29">
        <v>9442.7470740911904</v>
      </c>
      <c r="AJ45" s="30">
        <v>4.2780260934945497E-2</v>
      </c>
      <c r="AK45" s="29">
        <v>31166.4883668398</v>
      </c>
      <c r="AL45" s="30">
        <v>2.1521702277210501E-2</v>
      </c>
      <c r="AM45" s="29">
        <v>24155.690056951102</v>
      </c>
      <c r="AN45" s="30">
        <v>1.3354266997076499E-3</v>
      </c>
      <c r="AO45" s="29">
        <v>21097.717207523801</v>
      </c>
      <c r="AP45" s="30">
        <v>9.8673486870675606E-2</v>
      </c>
      <c r="AQ45" s="29">
        <v>19582.547245398899</v>
      </c>
      <c r="AR45" s="30">
        <v>9.5382763197411596E-2</v>
      </c>
      <c r="AS45" s="29">
        <v>7010.7983098886798</v>
      </c>
      <c r="AT45" s="30">
        <v>9.7771848519240701E-2</v>
      </c>
      <c r="AU45" s="29">
        <v>105600.175637974</v>
      </c>
      <c r="AV45" s="30">
        <v>6.8183180005553498E-2</v>
      </c>
      <c r="AW45" s="29">
        <v>78834.251096029999</v>
      </c>
      <c r="AX45" s="30">
        <v>6.6280977696123705E-2</v>
      </c>
      <c r="AY45" s="29">
        <v>26765.924541944401</v>
      </c>
      <c r="AZ45" s="30">
        <v>7.3825418244420002E-2</v>
      </c>
      <c r="BA45" s="29">
        <v>17323.177467853198</v>
      </c>
      <c r="BB45" s="30">
        <v>9.1539196396837302E-2</v>
      </c>
      <c r="BC45" s="29">
        <v>26593.3455552876</v>
      </c>
      <c r="BD45" s="30">
        <v>9.6011587347806904E-2</v>
      </c>
      <c r="BE45" s="29"/>
      <c r="BF45" s="30"/>
    </row>
    <row r="46" spans="1:58" x14ac:dyDescent="0.2">
      <c r="A46" s="28">
        <v>1988</v>
      </c>
      <c r="B46" s="28">
        <v>3</v>
      </c>
      <c r="C46" s="29">
        <v>79881.724502039098</v>
      </c>
      <c r="D46" s="30">
        <v>5.84765465569392E-2</v>
      </c>
      <c r="E46" s="29">
        <v>79844.987265581207</v>
      </c>
      <c r="F46" s="30">
        <v>8.7189911831200298E-2</v>
      </c>
      <c r="G46" s="29">
        <v>52081.212968326501</v>
      </c>
      <c r="H46" s="30">
        <v>4.9387568451008099E-2</v>
      </c>
      <c r="I46" s="29">
        <v>43688.694412844801</v>
      </c>
      <c r="J46" s="30">
        <v>4.1687567868473399E-2</v>
      </c>
      <c r="K46" s="29">
        <v>8392.5185554816107</v>
      </c>
      <c r="L46" s="30">
        <v>9.1383519894789003E-2</v>
      </c>
      <c r="M46" s="29">
        <v>27763.774297254698</v>
      </c>
      <c r="N46" s="30">
        <v>0.16598095484532299</v>
      </c>
      <c r="O46" s="29">
        <v>27523.7889190436</v>
      </c>
      <c r="P46" s="30">
        <v>0.13635513435918101</v>
      </c>
      <c r="Q46" s="29">
        <v>11802.9812618413</v>
      </c>
      <c r="R46" s="30">
        <v>0.118795327456372</v>
      </c>
      <c r="S46" s="29">
        <v>15720.8076572023</v>
      </c>
      <c r="T46" s="30">
        <v>0.14990540819665199</v>
      </c>
      <c r="U46" s="29">
        <v>48.424336068070303</v>
      </c>
      <c r="V46" s="30"/>
      <c r="W46" s="29">
        <v>191.561042143039</v>
      </c>
      <c r="X46" s="30"/>
      <c r="Y46" s="29">
        <v>36.737236457949599</v>
      </c>
      <c r="Z46" s="30"/>
      <c r="AA46" s="29">
        <v>33288.476423749402</v>
      </c>
      <c r="AB46" s="30">
        <v>0.100172001786639</v>
      </c>
      <c r="AC46" s="29">
        <v>23030.684808985399</v>
      </c>
      <c r="AD46" s="30">
        <v>0.14501081482238901</v>
      </c>
      <c r="AE46" s="29">
        <v>18480.538385399101</v>
      </c>
      <c r="AF46" s="30">
        <v>0.107822381920319</v>
      </c>
      <c r="AG46" s="29">
        <v>16267.796419649399</v>
      </c>
      <c r="AH46" s="30">
        <v>7.72614077899587E-2</v>
      </c>
      <c r="AI46" s="29">
        <v>10257.791614764001</v>
      </c>
      <c r="AJ46" s="30">
        <v>1.12600113967187E-2</v>
      </c>
      <c r="AK46" s="29">
        <v>33251.739187291503</v>
      </c>
      <c r="AL46" s="30">
        <v>0.17786339218577801</v>
      </c>
      <c r="AM46" s="29">
        <v>25865.853975016598</v>
      </c>
      <c r="AN46" s="30">
        <v>0.19577688192665199</v>
      </c>
      <c r="AO46" s="29">
        <v>20693.100031555499</v>
      </c>
      <c r="AP46" s="30">
        <v>0.108647459404147</v>
      </c>
      <c r="AQ46" s="29">
        <v>19314.394295796399</v>
      </c>
      <c r="AR46" s="30">
        <v>0.105380840344519</v>
      </c>
      <c r="AS46" s="29">
        <v>7385.8852122748503</v>
      </c>
      <c r="AT46" s="30">
        <v>0.119149301140342</v>
      </c>
      <c r="AU46" s="29">
        <v>106533.579674042</v>
      </c>
      <c r="AV46" s="30">
        <v>7.0524836891756107E-2</v>
      </c>
      <c r="AW46" s="29">
        <v>79605.001887370105</v>
      </c>
      <c r="AX46" s="30">
        <v>7.7910475766647294E-2</v>
      </c>
      <c r="AY46" s="29">
        <v>26928.5777866723</v>
      </c>
      <c r="AZ46" s="30">
        <v>4.9271832572164602E-2</v>
      </c>
      <c r="BA46" s="29">
        <v>16670.786171908199</v>
      </c>
      <c r="BB46" s="30">
        <v>7.4114850665878404E-2</v>
      </c>
      <c r="BC46" s="29">
        <v>26700.2795080713</v>
      </c>
      <c r="BD46" s="30">
        <v>0.109155489083721</v>
      </c>
      <c r="BE46" s="29"/>
      <c r="BF46" s="30"/>
    </row>
    <row r="47" spans="1:58" x14ac:dyDescent="0.2">
      <c r="A47" s="28">
        <v>1988</v>
      </c>
      <c r="B47" s="28">
        <v>4</v>
      </c>
      <c r="C47" s="29">
        <v>84358.975213079204</v>
      </c>
      <c r="D47" s="30">
        <v>6.6895594636750405E-2</v>
      </c>
      <c r="E47" s="29">
        <v>84503.232152744502</v>
      </c>
      <c r="F47" s="30">
        <v>6.9589010446331007E-2</v>
      </c>
      <c r="G47" s="29">
        <v>54223.183094159504</v>
      </c>
      <c r="H47" s="30">
        <v>5.0623462987845903E-2</v>
      </c>
      <c r="I47" s="29">
        <v>45572.726145787798</v>
      </c>
      <c r="J47" s="30">
        <v>4.0853446746920798E-2</v>
      </c>
      <c r="K47" s="29">
        <v>8650.4569483716496</v>
      </c>
      <c r="L47" s="30">
        <v>0.105280246317696</v>
      </c>
      <c r="M47" s="29">
        <v>30280.049058584998</v>
      </c>
      <c r="N47" s="30">
        <v>0.105319124850779</v>
      </c>
      <c r="O47" s="29">
        <v>25616.584456225399</v>
      </c>
      <c r="P47" s="30">
        <v>0.12566339684976599</v>
      </c>
      <c r="Q47" s="29">
        <v>9169.4603270818498</v>
      </c>
      <c r="R47" s="30">
        <v>0.150504706403493</v>
      </c>
      <c r="S47" s="29">
        <v>16447.1241291435</v>
      </c>
      <c r="T47" s="30">
        <v>0.11227428439109099</v>
      </c>
      <c r="U47" s="29">
        <v>4005.1694374377998</v>
      </c>
      <c r="V47" s="30"/>
      <c r="W47" s="29">
        <v>658.29516492182302</v>
      </c>
      <c r="X47" s="30"/>
      <c r="Y47" s="29">
        <v>-144.25693966529801</v>
      </c>
      <c r="Z47" s="30"/>
      <c r="AA47" s="29">
        <v>35586.0282145647</v>
      </c>
      <c r="AB47" s="30">
        <v>0.10476037664504299</v>
      </c>
      <c r="AC47" s="29">
        <v>26240.2478856171</v>
      </c>
      <c r="AD47" s="30">
        <v>0.118207081441175</v>
      </c>
      <c r="AE47" s="29">
        <v>21102.704210367901</v>
      </c>
      <c r="AF47" s="30">
        <v>9.7130418000654695E-2</v>
      </c>
      <c r="AG47" s="29">
        <v>19069.2109965893</v>
      </c>
      <c r="AH47" s="30">
        <v>0.10084495870379601</v>
      </c>
      <c r="AI47" s="29">
        <v>9345.7803289475705</v>
      </c>
      <c r="AJ47" s="30">
        <v>6.8678182401399598E-2</v>
      </c>
      <c r="AK47" s="29">
        <v>35730.285154229998</v>
      </c>
      <c r="AL47" s="30">
        <v>0.11145539183483601</v>
      </c>
      <c r="AM47" s="29">
        <v>28382.752679263402</v>
      </c>
      <c r="AN47" s="30">
        <v>0.11166084711771999</v>
      </c>
      <c r="AO47" s="29">
        <v>22411.630955209199</v>
      </c>
      <c r="AP47" s="30">
        <v>8.9941455517930702E-2</v>
      </c>
      <c r="AQ47" s="29">
        <v>20991.1339856253</v>
      </c>
      <c r="AR47" s="30">
        <v>0.104422550400445</v>
      </c>
      <c r="AS47" s="29">
        <v>7347.5324749665697</v>
      </c>
      <c r="AT47" s="30">
        <v>0.110662452263875</v>
      </c>
      <c r="AU47" s="29">
        <v>108692.47223623301</v>
      </c>
      <c r="AV47" s="30">
        <v>7.7647434881216795E-2</v>
      </c>
      <c r="AW47" s="29">
        <v>79839.7675503848</v>
      </c>
      <c r="AX47" s="30">
        <v>7.3586152786604603E-2</v>
      </c>
      <c r="AY47" s="29">
        <v>28852.704685848399</v>
      </c>
      <c r="AZ47" s="30">
        <v>8.9047459641815999E-2</v>
      </c>
      <c r="BA47" s="29">
        <v>19506.924356900901</v>
      </c>
      <c r="BB47" s="30">
        <v>9.9084053535273303E-2</v>
      </c>
      <c r="BC47" s="29">
        <v>28338.6664605919</v>
      </c>
      <c r="BD47" s="30">
        <v>0.10603366383662199</v>
      </c>
      <c r="BE47" s="29"/>
      <c r="BF47" s="30"/>
    </row>
    <row r="48" spans="1:58" x14ac:dyDescent="0.2">
      <c r="A48" s="28">
        <v>1989</v>
      </c>
      <c r="B48" s="28">
        <v>1</v>
      </c>
      <c r="C48" s="29">
        <v>82338.185100847695</v>
      </c>
      <c r="D48" s="30">
        <v>7.0451621395141606E-2</v>
      </c>
      <c r="E48" s="29">
        <v>80011.096449761098</v>
      </c>
      <c r="F48" s="30">
        <v>6.8343692952500298E-2</v>
      </c>
      <c r="G48" s="29">
        <v>54263.818483843002</v>
      </c>
      <c r="H48" s="30">
        <v>6.0609837701982097E-2</v>
      </c>
      <c r="I48" s="29">
        <v>45312.868323903298</v>
      </c>
      <c r="J48" s="30">
        <v>4.9410618497321097E-2</v>
      </c>
      <c r="K48" s="29">
        <v>8950.9501599397809</v>
      </c>
      <c r="L48" s="30">
        <v>0.121181667608376</v>
      </c>
      <c r="M48" s="29">
        <v>25747.277965918001</v>
      </c>
      <c r="N48" s="30">
        <v>8.5018334037642307E-2</v>
      </c>
      <c r="O48" s="29">
        <v>27772.9986728724</v>
      </c>
      <c r="P48" s="30">
        <v>0.123548929306683</v>
      </c>
      <c r="Q48" s="29">
        <v>11330.9383199606</v>
      </c>
      <c r="R48" s="30">
        <v>0.15722068706412301</v>
      </c>
      <c r="S48" s="29">
        <v>16442.060352911802</v>
      </c>
      <c r="T48" s="30">
        <v>0.101462328322816</v>
      </c>
      <c r="U48" s="29">
        <v>231.10572618288299</v>
      </c>
      <c r="V48" s="30"/>
      <c r="W48" s="29">
        <v>-2256.8264331372602</v>
      </c>
      <c r="X48" s="30"/>
      <c r="Y48" s="29">
        <v>2327.0886510866899</v>
      </c>
      <c r="Z48" s="30"/>
      <c r="AA48" s="29">
        <v>36669.786833763297</v>
      </c>
      <c r="AB48" s="30">
        <v>0.134738179075124</v>
      </c>
      <c r="AC48" s="29">
        <v>26296.390599643099</v>
      </c>
      <c r="AD48" s="30">
        <v>0.16537241264559499</v>
      </c>
      <c r="AE48" s="29">
        <v>20463.421867035599</v>
      </c>
      <c r="AF48" s="30">
        <v>0.13777436533123699</v>
      </c>
      <c r="AG48" s="29">
        <v>17988.477178347701</v>
      </c>
      <c r="AH48" s="30">
        <v>0.12657115580622</v>
      </c>
      <c r="AI48" s="29">
        <v>10373.3962341202</v>
      </c>
      <c r="AJ48" s="30">
        <v>6.3846321309766405E-2</v>
      </c>
      <c r="AK48" s="29">
        <v>34342.698182676599</v>
      </c>
      <c r="AL48" s="30">
        <v>0.133827139392873</v>
      </c>
      <c r="AM48" s="29">
        <v>26823.7412958604</v>
      </c>
      <c r="AN48" s="30">
        <v>0.137284898976201</v>
      </c>
      <c r="AO48" s="29">
        <v>22630.204039412401</v>
      </c>
      <c r="AP48" s="30">
        <v>0.14871940277978499</v>
      </c>
      <c r="AQ48" s="29">
        <v>21247.9386313043</v>
      </c>
      <c r="AR48" s="30">
        <v>0.15182857196181901</v>
      </c>
      <c r="AS48" s="29">
        <v>7518.9568868162496</v>
      </c>
      <c r="AT48" s="30">
        <v>0.121661107801827</v>
      </c>
      <c r="AU48" s="29">
        <v>110873.974892785</v>
      </c>
      <c r="AV48" s="30">
        <v>8.7009597500693897E-2</v>
      </c>
      <c r="AW48" s="29">
        <v>82036.817156715406</v>
      </c>
      <c r="AX48" s="30">
        <v>8.1112648293704806E-2</v>
      </c>
      <c r="AY48" s="29">
        <v>28837.157736069999</v>
      </c>
      <c r="AZ48" s="30">
        <v>0.10414277936283001</v>
      </c>
      <c r="BA48" s="29">
        <v>18463.761501949801</v>
      </c>
      <c r="BB48" s="30">
        <v>0.128150775355025</v>
      </c>
      <c r="BC48" s="29">
        <v>28766.8955181206</v>
      </c>
      <c r="BD48" s="30">
        <v>0.14378799383621699</v>
      </c>
      <c r="BE48" s="29"/>
      <c r="BF48" s="30"/>
    </row>
    <row r="49" spans="1:58" x14ac:dyDescent="0.2">
      <c r="A49" s="28">
        <v>1989</v>
      </c>
      <c r="B49" s="28">
        <v>2</v>
      </c>
      <c r="C49" s="29">
        <v>86210.865104414304</v>
      </c>
      <c r="D49" s="30">
        <v>9.1367830084282398E-2</v>
      </c>
      <c r="E49" s="29">
        <v>86683.607581989505</v>
      </c>
      <c r="F49" s="30">
        <v>0.104843544124023</v>
      </c>
      <c r="G49" s="29">
        <v>55134.8873267655</v>
      </c>
      <c r="H49" s="30">
        <v>6.9267655112566398E-2</v>
      </c>
      <c r="I49" s="29">
        <v>45943.379233658903</v>
      </c>
      <c r="J49" s="30">
        <v>5.9826502618258101E-2</v>
      </c>
      <c r="K49" s="29">
        <v>9191.5080931066204</v>
      </c>
      <c r="L49" s="30">
        <v>0.119098075038009</v>
      </c>
      <c r="M49" s="29">
        <v>31548.720255224001</v>
      </c>
      <c r="N49" s="30">
        <v>0.17305085314212501</v>
      </c>
      <c r="O49" s="29">
        <v>30034.588354566698</v>
      </c>
      <c r="P49" s="30">
        <v>0.10133688585899001</v>
      </c>
      <c r="Q49" s="29">
        <v>12568.9190044031</v>
      </c>
      <c r="R49" s="30">
        <v>0.109031812499662</v>
      </c>
      <c r="S49" s="29">
        <v>17465.669350163502</v>
      </c>
      <c r="T49" s="30">
        <v>9.5865085246959997E-2</v>
      </c>
      <c r="U49" s="29">
        <v>1557.08369089181</v>
      </c>
      <c r="V49" s="30"/>
      <c r="W49" s="29">
        <v>-42.951790234459601</v>
      </c>
      <c r="X49" s="30"/>
      <c r="Y49" s="29">
        <v>-472.74247757523</v>
      </c>
      <c r="Z49" s="30"/>
      <c r="AA49" s="29">
        <v>38641.710726664598</v>
      </c>
      <c r="AB49" s="30">
        <v>0.21890125326740401</v>
      </c>
      <c r="AC49" s="29">
        <v>28135.163906430898</v>
      </c>
      <c r="AD49" s="30">
        <v>0.26397130167587501</v>
      </c>
      <c r="AE49" s="29">
        <v>22387.4158023657</v>
      </c>
      <c r="AF49" s="30">
        <v>0.19482773175410201</v>
      </c>
      <c r="AG49" s="29">
        <v>19650.310109155998</v>
      </c>
      <c r="AH49" s="30">
        <v>0.160865179184836</v>
      </c>
      <c r="AI49" s="29">
        <v>10506.5468202337</v>
      </c>
      <c r="AJ49" s="30">
        <v>0.112657867228207</v>
      </c>
      <c r="AK49" s="29">
        <v>39114.453204239799</v>
      </c>
      <c r="AL49" s="30">
        <v>0.25501637347942002</v>
      </c>
      <c r="AM49" s="29">
        <v>31224.404310932401</v>
      </c>
      <c r="AN49" s="30">
        <v>0.29263143538088299</v>
      </c>
      <c r="AO49" s="29">
        <v>25518.725269267601</v>
      </c>
      <c r="AP49" s="30">
        <v>0.209549119378999</v>
      </c>
      <c r="AQ49" s="29">
        <v>23294.324819848898</v>
      </c>
      <c r="AR49" s="30">
        <v>0.18954518673876999</v>
      </c>
      <c r="AS49" s="29">
        <v>7890.0488933073802</v>
      </c>
      <c r="AT49" s="30">
        <v>0.12541376096621201</v>
      </c>
      <c r="AU49" s="29">
        <v>115838.155126679</v>
      </c>
      <c r="AV49" s="30">
        <v>9.6950402088372203E-2</v>
      </c>
      <c r="AW49" s="29">
        <v>85169.475681332202</v>
      </c>
      <c r="AX49" s="30">
        <v>8.0361321344767603E-2</v>
      </c>
      <c r="AY49" s="29">
        <v>30668.679445346599</v>
      </c>
      <c r="AZ49" s="30">
        <v>0.145810577074827</v>
      </c>
      <c r="BA49" s="29">
        <v>20162.132625112899</v>
      </c>
      <c r="BB49" s="30">
        <v>0.163881895369827</v>
      </c>
      <c r="BC49" s="29">
        <v>31184.373713156201</v>
      </c>
      <c r="BD49" s="30">
        <v>0.17263823193377001</v>
      </c>
      <c r="BE49" s="29"/>
      <c r="BF49" s="30"/>
    </row>
    <row r="50" spans="1:58" x14ac:dyDescent="0.2">
      <c r="A50" s="28">
        <v>1989</v>
      </c>
      <c r="B50" s="28">
        <v>3</v>
      </c>
      <c r="C50" s="29">
        <v>86458.365482299894</v>
      </c>
      <c r="D50" s="30">
        <v>8.2329732129066593E-2</v>
      </c>
      <c r="E50" s="29">
        <v>86136.701304222501</v>
      </c>
      <c r="F50" s="30">
        <v>7.879911130443E-2</v>
      </c>
      <c r="G50" s="29">
        <v>55796.102594128497</v>
      </c>
      <c r="H50" s="30">
        <v>7.1328784682133606E-2</v>
      </c>
      <c r="I50" s="29">
        <v>46292.793817872604</v>
      </c>
      <c r="J50" s="30">
        <v>5.9605795962219203E-2</v>
      </c>
      <c r="K50" s="29">
        <v>9503.3087762559408</v>
      </c>
      <c r="L50" s="30">
        <v>0.13235481261448201</v>
      </c>
      <c r="M50" s="29">
        <v>30340.598710094</v>
      </c>
      <c r="N50" s="30">
        <v>9.2812467975364799E-2</v>
      </c>
      <c r="O50" s="29">
        <v>29583.731616847199</v>
      </c>
      <c r="P50" s="30">
        <v>7.4842264771848993E-2</v>
      </c>
      <c r="Q50" s="29">
        <v>13066.5872320987</v>
      </c>
      <c r="R50" s="30">
        <v>0.10705820353562701</v>
      </c>
      <c r="S50" s="29">
        <v>16517.144384748401</v>
      </c>
      <c r="T50" s="30">
        <v>5.0654950108833599E-2</v>
      </c>
      <c r="U50" s="29">
        <v>864.80622398850403</v>
      </c>
      <c r="V50" s="30"/>
      <c r="W50" s="29">
        <v>-107.93913074171699</v>
      </c>
      <c r="X50" s="30"/>
      <c r="Y50" s="29">
        <v>321.664178077408</v>
      </c>
      <c r="Z50" s="30"/>
      <c r="AA50" s="29">
        <v>37583.995662887603</v>
      </c>
      <c r="AB50" s="30">
        <v>0.12903922620121999</v>
      </c>
      <c r="AC50" s="29">
        <v>26331.169027887201</v>
      </c>
      <c r="AD50" s="30">
        <v>0.14330812332658799</v>
      </c>
      <c r="AE50" s="29">
        <v>20606.211588520899</v>
      </c>
      <c r="AF50" s="30">
        <v>0.115022255239122</v>
      </c>
      <c r="AG50" s="29">
        <v>17724.264800111399</v>
      </c>
      <c r="AH50" s="30">
        <v>8.9530772508486803E-2</v>
      </c>
      <c r="AI50" s="29">
        <v>11252.8266350004</v>
      </c>
      <c r="AJ50" s="30">
        <v>9.7002849892580595E-2</v>
      </c>
      <c r="AK50" s="29">
        <v>37262.331484810202</v>
      </c>
      <c r="AL50" s="30">
        <v>0.120613008388191</v>
      </c>
      <c r="AM50" s="29">
        <v>29200.980294377601</v>
      </c>
      <c r="AN50" s="30">
        <v>0.12893934693137399</v>
      </c>
      <c r="AO50" s="29">
        <v>23189.5229351177</v>
      </c>
      <c r="AP50" s="30">
        <v>0.12064035353598</v>
      </c>
      <c r="AQ50" s="29">
        <v>21224.873560719199</v>
      </c>
      <c r="AR50" s="30">
        <v>9.8914790475130604E-2</v>
      </c>
      <c r="AS50" s="29">
        <v>8061.3511904326497</v>
      </c>
      <c r="AT50" s="30">
        <v>9.1453625224938107E-2</v>
      </c>
      <c r="AU50" s="29">
        <v>114879.78400946299</v>
      </c>
      <c r="AV50" s="30">
        <v>7.8343413982309998E-2</v>
      </c>
      <c r="AW50" s="29">
        <v>85379.834210975707</v>
      </c>
      <c r="AX50" s="30">
        <v>7.25435862909245E-2</v>
      </c>
      <c r="AY50" s="29">
        <v>29499.949798487502</v>
      </c>
      <c r="AZ50" s="30">
        <v>9.5488593277581704E-2</v>
      </c>
      <c r="BA50" s="29">
        <v>18247.1231634871</v>
      </c>
      <c r="BB50" s="30">
        <v>9.4556847848916104E-2</v>
      </c>
      <c r="BC50" s="29">
        <v>29286.2247511518</v>
      </c>
      <c r="BD50" s="30">
        <v>9.6850867883193595E-2</v>
      </c>
      <c r="BE50" s="29"/>
      <c r="BF50" s="30"/>
    </row>
    <row r="51" spans="1:58" x14ac:dyDescent="0.2">
      <c r="A51" s="28">
        <v>1989</v>
      </c>
      <c r="B51" s="28">
        <v>4</v>
      </c>
      <c r="C51" s="29">
        <v>90562.872349383004</v>
      </c>
      <c r="D51" s="30">
        <v>7.3541637041389496E-2</v>
      </c>
      <c r="E51" s="29">
        <v>90290.108921837105</v>
      </c>
      <c r="F51" s="30">
        <v>6.8481129320976594E-2</v>
      </c>
      <c r="G51" s="29">
        <v>58058.352909148503</v>
      </c>
      <c r="H51" s="30">
        <v>7.0729337455699606E-2</v>
      </c>
      <c r="I51" s="29">
        <v>48347.817694849902</v>
      </c>
      <c r="J51" s="30">
        <v>6.0893691989909703E-2</v>
      </c>
      <c r="K51" s="29">
        <v>9710.5352142985394</v>
      </c>
      <c r="L51" s="30">
        <v>0.122545927024865</v>
      </c>
      <c r="M51" s="29">
        <v>32231.756012688598</v>
      </c>
      <c r="N51" s="30">
        <v>6.4455211097164802E-2</v>
      </c>
      <c r="O51" s="29">
        <v>27901.2615601203</v>
      </c>
      <c r="P51" s="30">
        <v>8.9187421055256594E-2</v>
      </c>
      <c r="Q51" s="29">
        <v>10261.450273861599</v>
      </c>
      <c r="R51" s="30">
        <v>0.119089881828117</v>
      </c>
      <c r="S51" s="29">
        <v>17639.8112862587</v>
      </c>
      <c r="T51" s="30">
        <v>7.2516456235759197E-2</v>
      </c>
      <c r="U51" s="29">
        <v>4867.42540110149</v>
      </c>
      <c r="V51" s="30"/>
      <c r="W51" s="29">
        <v>-536.93094853317598</v>
      </c>
      <c r="X51" s="30"/>
      <c r="Y51" s="29">
        <v>272.76342754593497</v>
      </c>
      <c r="Z51" s="30"/>
      <c r="AA51" s="29">
        <v>38854.983724514503</v>
      </c>
      <c r="AB51" s="30">
        <v>9.1860645145331002E-2</v>
      </c>
      <c r="AC51" s="29">
        <v>28939.833707743601</v>
      </c>
      <c r="AD51" s="30">
        <v>0.102879585356592</v>
      </c>
      <c r="AE51" s="29">
        <v>23432.407983782701</v>
      </c>
      <c r="AF51" s="30">
        <v>0.11039835227705901</v>
      </c>
      <c r="AG51" s="29">
        <v>20762.305187435701</v>
      </c>
      <c r="AH51" s="30">
        <v>8.8786798318459606E-2</v>
      </c>
      <c r="AI51" s="29">
        <v>9915.1500167709692</v>
      </c>
      <c r="AJ51" s="30">
        <v>6.0922648273662901E-2</v>
      </c>
      <c r="AK51" s="29">
        <v>38582.220296968597</v>
      </c>
      <c r="AL51" s="30">
        <v>7.9818426593245298E-2</v>
      </c>
      <c r="AM51" s="29">
        <v>30739.651140222799</v>
      </c>
      <c r="AN51" s="30">
        <v>8.3039812508437894E-2</v>
      </c>
      <c r="AO51" s="29">
        <v>25574.119197595599</v>
      </c>
      <c r="AP51" s="30">
        <v>0.14110924138929301</v>
      </c>
      <c r="AQ51" s="29">
        <v>23641.506680186802</v>
      </c>
      <c r="AR51" s="30">
        <v>0.12626153005247101</v>
      </c>
      <c r="AS51" s="29">
        <v>7842.5691567458098</v>
      </c>
      <c r="AT51" s="30">
        <v>6.7374548321610397E-2</v>
      </c>
      <c r="AU51" s="29">
        <v>117179.52278521399</v>
      </c>
      <c r="AV51" s="30">
        <v>7.80831494064744E-2</v>
      </c>
      <c r="AW51" s="29">
        <v>85959.614469268796</v>
      </c>
      <c r="AX51" s="30">
        <v>7.6651612431384505E-2</v>
      </c>
      <c r="AY51" s="29">
        <v>31219.908315945398</v>
      </c>
      <c r="AZ51" s="30">
        <v>8.2044427233818801E-2</v>
      </c>
      <c r="BA51" s="29">
        <v>21304.758299174398</v>
      </c>
      <c r="BB51" s="30">
        <v>9.2163885468574694E-2</v>
      </c>
      <c r="BC51" s="29">
        <v>31484.075836932599</v>
      </c>
      <c r="BD51" s="30">
        <v>0.110993556479264</v>
      </c>
      <c r="BE51" s="29"/>
      <c r="BF51" s="30"/>
    </row>
    <row r="52" spans="1:58" x14ac:dyDescent="0.2">
      <c r="A52" s="28">
        <v>1990</v>
      </c>
      <c r="B52" s="28">
        <v>1</v>
      </c>
      <c r="C52" s="29">
        <v>90810.987888469404</v>
      </c>
      <c r="D52" s="30">
        <v>0.10290247200912001</v>
      </c>
      <c r="E52" s="29">
        <v>90659.068396300005</v>
      </c>
      <c r="F52" s="30">
        <v>0.133081190222469</v>
      </c>
      <c r="G52" s="29">
        <v>58456.860202686701</v>
      </c>
      <c r="H52" s="30">
        <v>7.7271409126729501E-2</v>
      </c>
      <c r="I52" s="29">
        <v>48527.613119127796</v>
      </c>
      <c r="J52" s="30">
        <v>7.0945515349967597E-2</v>
      </c>
      <c r="K52" s="29">
        <v>9929.2470835588701</v>
      </c>
      <c r="L52" s="30">
        <v>0.10929531570821099</v>
      </c>
      <c r="M52" s="29">
        <v>32202.208193613402</v>
      </c>
      <c r="N52" s="30">
        <v>0.25070340391865198</v>
      </c>
      <c r="O52" s="29">
        <v>30560.4777083064</v>
      </c>
      <c r="P52" s="30">
        <v>0.10036651311104899</v>
      </c>
      <c r="Q52" s="29">
        <v>12477.4890893436</v>
      </c>
      <c r="R52" s="30">
        <v>0.101187627803362</v>
      </c>
      <c r="S52" s="29">
        <v>18082.988618962801</v>
      </c>
      <c r="T52" s="30">
        <v>9.9800647292987502E-2</v>
      </c>
      <c r="U52" s="29">
        <v>2303.7991631671898</v>
      </c>
      <c r="V52" s="30"/>
      <c r="W52" s="29">
        <v>-662.06867786018802</v>
      </c>
      <c r="X52" s="30"/>
      <c r="Y52" s="29">
        <v>151.91949216940699</v>
      </c>
      <c r="Z52" s="30"/>
      <c r="AA52" s="29">
        <v>38878.330866766002</v>
      </c>
      <c r="AB52" s="30">
        <v>6.02278939611713E-2</v>
      </c>
      <c r="AC52" s="29">
        <v>28356.0976871614</v>
      </c>
      <c r="AD52" s="30">
        <v>7.8326608350051299E-2</v>
      </c>
      <c r="AE52" s="29">
        <v>23300.869010966999</v>
      </c>
      <c r="AF52" s="30">
        <v>0.13865946577107999</v>
      </c>
      <c r="AG52" s="29">
        <v>20200.7343820969</v>
      </c>
      <c r="AH52" s="30">
        <v>0.122981905684158</v>
      </c>
      <c r="AI52" s="29">
        <v>10522.2331796046</v>
      </c>
      <c r="AJ52" s="30">
        <v>1.4347947588744501E-2</v>
      </c>
      <c r="AK52" s="29">
        <v>38726.411374596602</v>
      </c>
      <c r="AL52" s="30">
        <v>0.127646149659004</v>
      </c>
      <c r="AM52" s="29">
        <v>30865.321811125199</v>
      </c>
      <c r="AN52" s="30">
        <v>0.15067176762133999</v>
      </c>
      <c r="AO52" s="29">
        <v>25927.182150590201</v>
      </c>
      <c r="AP52" s="30">
        <v>0.14568927904653101</v>
      </c>
      <c r="AQ52" s="29">
        <v>23907.966670530899</v>
      </c>
      <c r="AR52" s="30">
        <v>0.12518993420413799</v>
      </c>
      <c r="AS52" s="29">
        <v>7861.0895634713597</v>
      </c>
      <c r="AT52" s="30">
        <v>4.5502678337604199E-2</v>
      </c>
      <c r="AU52" s="29">
        <v>120276.24495930399</v>
      </c>
      <c r="AV52" s="30">
        <v>8.4801415982524303E-2</v>
      </c>
      <c r="AW52" s="29">
        <v>89017.337910992996</v>
      </c>
      <c r="AX52" s="30">
        <v>8.5090097302808407E-2</v>
      </c>
      <c r="AY52" s="29">
        <v>31258.907048311401</v>
      </c>
      <c r="AZ52" s="30">
        <v>8.39801666449351E-2</v>
      </c>
      <c r="BA52" s="29">
        <v>20736.673868706901</v>
      </c>
      <c r="BB52" s="30">
        <v>0.12310126333233699</v>
      </c>
      <c r="BC52" s="29">
        <v>31769.056234002201</v>
      </c>
      <c r="BD52" s="30">
        <v>0.104361651190014</v>
      </c>
      <c r="BE52" s="29"/>
      <c r="BF52" s="30"/>
    </row>
    <row r="53" spans="1:58" x14ac:dyDescent="0.2">
      <c r="A53" s="28">
        <v>1990</v>
      </c>
      <c r="B53" s="28">
        <v>2</v>
      </c>
      <c r="C53" s="29">
        <v>93568.517690094304</v>
      </c>
      <c r="D53" s="30">
        <v>8.5344841126101301E-2</v>
      </c>
      <c r="E53" s="29">
        <v>95561.980161332103</v>
      </c>
      <c r="F53" s="30">
        <v>0.10242273974286301</v>
      </c>
      <c r="G53" s="29">
        <v>58948.809272034901</v>
      </c>
      <c r="H53" s="30">
        <v>6.9174385406205005E-2</v>
      </c>
      <c r="I53" s="29">
        <v>48819.097489727101</v>
      </c>
      <c r="J53" s="30">
        <v>6.2592658703724893E-2</v>
      </c>
      <c r="K53" s="29">
        <v>10129.711782307801</v>
      </c>
      <c r="L53" s="30">
        <v>0.10207287854152999</v>
      </c>
      <c r="M53" s="29">
        <v>36613.170889297202</v>
      </c>
      <c r="N53" s="30">
        <v>0.160527926112456</v>
      </c>
      <c r="O53" s="29">
        <v>31833.194920989899</v>
      </c>
      <c r="P53" s="30">
        <v>5.9884508660155399E-2</v>
      </c>
      <c r="Q53" s="29">
        <v>13397.9844549725</v>
      </c>
      <c r="R53" s="30">
        <v>6.5961555665917396E-2</v>
      </c>
      <c r="S53" s="29">
        <v>18435.210466017401</v>
      </c>
      <c r="T53" s="30">
        <v>5.5511248748381099E-2</v>
      </c>
      <c r="U53" s="29">
        <v>2982.1027178571499</v>
      </c>
      <c r="V53" s="30"/>
      <c r="W53" s="29">
        <v>1797.8732504500999</v>
      </c>
      <c r="X53" s="30"/>
      <c r="Y53" s="29">
        <v>-1993.4624712377799</v>
      </c>
      <c r="Z53" s="30"/>
      <c r="AA53" s="29">
        <v>39245.851263762801</v>
      </c>
      <c r="AB53" s="30">
        <v>1.5634414878049001E-2</v>
      </c>
      <c r="AC53" s="29">
        <v>28874.388702287699</v>
      </c>
      <c r="AD53" s="30">
        <v>2.62740532920041E-2</v>
      </c>
      <c r="AE53" s="29">
        <v>23015.687542071999</v>
      </c>
      <c r="AF53" s="30">
        <v>2.8063611506244899E-2</v>
      </c>
      <c r="AG53" s="29">
        <v>20396.764261426899</v>
      </c>
      <c r="AH53" s="30">
        <v>3.79868891699131E-2</v>
      </c>
      <c r="AI53" s="29">
        <v>10371.4625614751</v>
      </c>
      <c r="AJ53" s="30">
        <v>-1.2857150981182499E-2</v>
      </c>
      <c r="AK53" s="29">
        <v>41239.3137350006</v>
      </c>
      <c r="AL53" s="30">
        <v>5.4324178320111403E-2</v>
      </c>
      <c r="AM53" s="29">
        <v>33126.995436213801</v>
      </c>
      <c r="AN53" s="30">
        <v>6.0932823772565897E-2</v>
      </c>
      <c r="AO53" s="29">
        <v>25514.882776569801</v>
      </c>
      <c r="AP53" s="30">
        <v>-1.5057541696017501E-4</v>
      </c>
      <c r="AQ53" s="29">
        <v>23387.324811622399</v>
      </c>
      <c r="AR53" s="30">
        <v>3.9923883818382402E-3</v>
      </c>
      <c r="AS53" s="29">
        <v>8112.3182987867604</v>
      </c>
      <c r="AT53" s="30">
        <v>2.8170852739318301E-2</v>
      </c>
      <c r="AU53" s="29">
        <v>122086.05808264601</v>
      </c>
      <c r="AV53" s="30">
        <v>5.3936485341422598E-2</v>
      </c>
      <c r="AW53" s="29">
        <v>90782.004193024797</v>
      </c>
      <c r="AX53" s="30">
        <v>6.5898356973480801E-2</v>
      </c>
      <c r="AY53" s="29">
        <v>31304.0538896215</v>
      </c>
      <c r="AZ53" s="30">
        <v>2.07173721127187E-2</v>
      </c>
      <c r="BA53" s="29">
        <v>20932.591328146402</v>
      </c>
      <c r="BB53" s="30">
        <v>3.8213155193409301E-2</v>
      </c>
      <c r="BC53" s="29">
        <v>31499.643110409201</v>
      </c>
      <c r="BD53" s="30">
        <v>1.01098518172229E-2</v>
      </c>
      <c r="BE53" s="29"/>
      <c r="BF53" s="30"/>
    </row>
    <row r="54" spans="1:58" x14ac:dyDescent="0.2">
      <c r="A54" s="28">
        <v>1990</v>
      </c>
      <c r="B54" s="28">
        <v>3</v>
      </c>
      <c r="C54" s="29">
        <v>93527.045927184299</v>
      </c>
      <c r="D54" s="30">
        <v>8.17582012504212E-2</v>
      </c>
      <c r="E54" s="29">
        <v>92584.542775287904</v>
      </c>
      <c r="F54" s="30">
        <v>7.4855913605195404E-2</v>
      </c>
      <c r="G54" s="29">
        <v>59854.389964026101</v>
      </c>
      <c r="H54" s="30">
        <v>7.2734244529915504E-2</v>
      </c>
      <c r="I54" s="29">
        <v>49497.057179647803</v>
      </c>
      <c r="J54" s="30">
        <v>6.9217325149602896E-2</v>
      </c>
      <c r="K54" s="29">
        <v>10357.332784378301</v>
      </c>
      <c r="L54" s="30">
        <v>8.9865964395070802E-2</v>
      </c>
      <c r="M54" s="29">
        <v>32730.1528112618</v>
      </c>
      <c r="N54" s="30">
        <v>7.87576449627818E-2</v>
      </c>
      <c r="O54" s="29">
        <v>31501.8960120263</v>
      </c>
      <c r="P54" s="30">
        <v>6.4838486909705007E-2</v>
      </c>
      <c r="Q54" s="29">
        <v>13749.662079678799</v>
      </c>
      <c r="R54" s="30">
        <v>5.2276454092166101E-2</v>
      </c>
      <c r="S54" s="29">
        <v>17752.233932347499</v>
      </c>
      <c r="T54" s="30">
        <v>7.4776215478235403E-2</v>
      </c>
      <c r="U54" s="29">
        <v>1717.5585286609401</v>
      </c>
      <c r="V54" s="30"/>
      <c r="W54" s="29">
        <v>-489.30172942550399</v>
      </c>
      <c r="X54" s="30"/>
      <c r="Y54" s="29">
        <v>942.50315189634398</v>
      </c>
      <c r="Z54" s="30"/>
      <c r="AA54" s="29">
        <v>36458.991161738202</v>
      </c>
      <c r="AB54" s="30">
        <v>-2.9933073408167001E-2</v>
      </c>
      <c r="AC54" s="29">
        <v>25499.615973821201</v>
      </c>
      <c r="AD54" s="30">
        <v>-3.15805596472137E-2</v>
      </c>
      <c r="AE54" s="29">
        <v>21294.6246034092</v>
      </c>
      <c r="AF54" s="30">
        <v>3.3408033880027298E-2</v>
      </c>
      <c r="AG54" s="29">
        <v>18828.3879217168</v>
      </c>
      <c r="AH54" s="30">
        <v>6.2294438390383802E-2</v>
      </c>
      <c r="AI54" s="29">
        <v>10959.375187916999</v>
      </c>
      <c r="AJ54" s="30">
        <v>-2.6078020803292402E-2</v>
      </c>
      <c r="AK54" s="29">
        <v>35516.4880098418</v>
      </c>
      <c r="AL54" s="30">
        <v>-4.6852770758052602E-2</v>
      </c>
      <c r="AM54" s="29">
        <v>27370.638542619999</v>
      </c>
      <c r="AN54" s="30">
        <v>-6.2680832400342099E-2</v>
      </c>
      <c r="AO54" s="29">
        <v>23207.122387818701</v>
      </c>
      <c r="AP54" s="30">
        <v>7.5893983460661996E-4</v>
      </c>
      <c r="AQ54" s="29">
        <v>21721.035260504199</v>
      </c>
      <c r="AR54" s="30">
        <v>2.3376426642335999E-2</v>
      </c>
      <c r="AS54" s="29">
        <v>8145.8494672218403</v>
      </c>
      <c r="AT54" s="30">
        <v>1.04818999685163E-2</v>
      </c>
      <c r="AU54" s="29">
        <v>121676.372126249</v>
      </c>
      <c r="AV54" s="30">
        <v>5.9162612250613499E-2</v>
      </c>
      <c r="AW54" s="29">
        <v>91356.285976052503</v>
      </c>
      <c r="AX54" s="30">
        <v>6.9998399742833894E-2</v>
      </c>
      <c r="AY54" s="29">
        <v>30320.086150196901</v>
      </c>
      <c r="AZ54" s="30">
        <v>2.7801279572054999E-2</v>
      </c>
      <c r="BA54" s="29">
        <v>19360.7109622799</v>
      </c>
      <c r="BB54" s="30">
        <v>6.10281296846307E-2</v>
      </c>
      <c r="BC54" s="29">
        <v>29866.884727725999</v>
      </c>
      <c r="BD54" s="30">
        <v>1.98270682379902E-2</v>
      </c>
      <c r="BE54" s="29"/>
      <c r="BF54" s="30"/>
    </row>
    <row r="55" spans="1:58" x14ac:dyDescent="0.2">
      <c r="A55" s="28">
        <v>1990</v>
      </c>
      <c r="B55" s="28">
        <v>4</v>
      </c>
      <c r="C55" s="29">
        <v>96855.485112819006</v>
      </c>
      <c r="D55" s="30">
        <v>6.9483361119109494E-2</v>
      </c>
      <c r="E55" s="29">
        <v>96826.576004038405</v>
      </c>
      <c r="F55" s="30">
        <v>7.2394054678346795E-2</v>
      </c>
      <c r="G55" s="29">
        <v>62629.4198759508</v>
      </c>
      <c r="H55" s="30">
        <v>7.8732288081876198E-2</v>
      </c>
      <c r="I55" s="29">
        <v>51970.922363405698</v>
      </c>
      <c r="J55" s="30">
        <v>7.4938328993942704E-2</v>
      </c>
      <c r="K55" s="29">
        <v>10658.497512545</v>
      </c>
      <c r="L55" s="30">
        <v>9.7622044236102698E-2</v>
      </c>
      <c r="M55" s="29">
        <v>34197.156128087598</v>
      </c>
      <c r="N55" s="30">
        <v>6.0977134308950701E-2</v>
      </c>
      <c r="O55" s="29">
        <v>29069.774608904201</v>
      </c>
      <c r="P55" s="30">
        <v>4.1880294418446699E-2</v>
      </c>
      <c r="Q55" s="29">
        <v>10794.696576754301</v>
      </c>
      <c r="R55" s="30">
        <v>5.1965978361845397E-2</v>
      </c>
      <c r="S55" s="29">
        <v>18275.078032149901</v>
      </c>
      <c r="T55" s="30">
        <v>3.6013239347189002E-2</v>
      </c>
      <c r="U55" s="29">
        <v>4651.98646225841</v>
      </c>
      <c r="V55" s="30"/>
      <c r="W55" s="29">
        <v>475.39505692502303</v>
      </c>
      <c r="X55" s="30"/>
      <c r="Y55" s="29">
        <v>28.909108780586401</v>
      </c>
      <c r="Z55" s="30"/>
      <c r="AA55" s="29">
        <v>37322.9073638892</v>
      </c>
      <c r="AB55" s="30">
        <v>-3.9430626750172802E-2</v>
      </c>
      <c r="AC55" s="29">
        <v>27744.1468312877</v>
      </c>
      <c r="AD55" s="30">
        <v>-4.1316300865125902E-2</v>
      </c>
      <c r="AE55" s="29">
        <v>23391.968038109899</v>
      </c>
      <c r="AF55" s="30">
        <v>-1.7258126309859199E-3</v>
      </c>
      <c r="AG55" s="29">
        <v>20973.744753682899</v>
      </c>
      <c r="AH55" s="30">
        <v>1.01838193947341E-2</v>
      </c>
      <c r="AI55" s="29">
        <v>9578.76053260144</v>
      </c>
      <c r="AJ55" s="30">
        <v>-3.3926817405742098E-2</v>
      </c>
      <c r="AK55" s="29">
        <v>37293.9982551086</v>
      </c>
      <c r="AL55" s="30">
        <v>-3.3389007474026601E-2</v>
      </c>
      <c r="AM55" s="29">
        <v>29347.080834198201</v>
      </c>
      <c r="AN55" s="30">
        <v>-4.5302085559533897E-2</v>
      </c>
      <c r="AO55" s="29">
        <v>24223.680707178501</v>
      </c>
      <c r="AP55" s="30">
        <v>-5.2804887628116498E-2</v>
      </c>
      <c r="AQ55" s="29">
        <v>22647.743671119599</v>
      </c>
      <c r="AR55" s="30">
        <v>-4.2034673276556203E-2</v>
      </c>
      <c r="AS55" s="29">
        <v>7946.9174209103703</v>
      </c>
      <c r="AT55" s="30">
        <v>1.3305367422205901E-2</v>
      </c>
      <c r="AU55" s="29">
        <v>122798.159742591</v>
      </c>
      <c r="AV55" s="30">
        <v>4.7948966029459202E-2</v>
      </c>
      <c r="AW55" s="29">
        <v>91699.194484855005</v>
      </c>
      <c r="AX55" s="30">
        <v>6.6770657954011506E-2</v>
      </c>
      <c r="AY55" s="29">
        <v>31098.965257735599</v>
      </c>
      <c r="AZ55" s="30">
        <v>-3.8739081801846299E-3</v>
      </c>
      <c r="BA55" s="29">
        <v>21520.204725134201</v>
      </c>
      <c r="BB55" s="30">
        <v>1.0112596582150499E-2</v>
      </c>
      <c r="BC55" s="29">
        <v>30594.661092030001</v>
      </c>
      <c r="BD55" s="30">
        <v>-2.8249669753980099E-2</v>
      </c>
      <c r="BE55" s="29"/>
      <c r="BF55" s="30"/>
    </row>
    <row r="56" spans="1:58" x14ac:dyDescent="0.2">
      <c r="A56" s="28">
        <v>1991</v>
      </c>
      <c r="B56" s="28">
        <v>1</v>
      </c>
      <c r="C56" s="29">
        <v>95642.069279736301</v>
      </c>
      <c r="D56" s="30">
        <v>5.3199304441001703E-2</v>
      </c>
      <c r="E56" s="29">
        <v>94750.043548965899</v>
      </c>
      <c r="F56" s="30">
        <v>4.5124831139703399E-2</v>
      </c>
      <c r="G56" s="29">
        <v>62785.426080330901</v>
      </c>
      <c r="H56" s="30">
        <v>7.40471838999881E-2</v>
      </c>
      <c r="I56" s="29">
        <v>51857.622652413003</v>
      </c>
      <c r="J56" s="30">
        <v>6.8620921558835604E-2</v>
      </c>
      <c r="K56" s="29">
        <v>10927.803427917899</v>
      </c>
      <c r="L56" s="30">
        <v>0.10056717653974701</v>
      </c>
      <c r="M56" s="29">
        <v>31964.617468634999</v>
      </c>
      <c r="N56" s="30">
        <v>-7.3780879730317396E-3</v>
      </c>
      <c r="O56" s="29">
        <v>30687.124327248799</v>
      </c>
      <c r="P56" s="30">
        <v>4.1441308657299602E-3</v>
      </c>
      <c r="Q56" s="29">
        <v>12276.5423518677</v>
      </c>
      <c r="R56" s="30">
        <v>-1.6104741589998601E-2</v>
      </c>
      <c r="S56" s="29">
        <v>18410.581975381101</v>
      </c>
      <c r="T56" s="30">
        <v>1.8116106984373999E-2</v>
      </c>
      <c r="U56" s="29">
        <v>1215.9625017564499</v>
      </c>
      <c r="V56" s="30"/>
      <c r="W56" s="29">
        <v>61.530639629752798</v>
      </c>
      <c r="X56" s="30"/>
      <c r="Y56" s="29">
        <v>892.02573077035004</v>
      </c>
      <c r="Z56" s="30"/>
      <c r="AA56" s="29">
        <v>38088.741474274502</v>
      </c>
      <c r="AB56" s="30">
        <v>-2.0309241031910199E-2</v>
      </c>
      <c r="AC56" s="29">
        <v>27108.649256999</v>
      </c>
      <c r="AD56" s="30">
        <v>-4.3992246180165097E-2</v>
      </c>
      <c r="AE56" s="29">
        <v>21888.866637466799</v>
      </c>
      <c r="AF56" s="30">
        <v>-6.0598700110093801E-2</v>
      </c>
      <c r="AG56" s="29">
        <v>19734.311653303899</v>
      </c>
      <c r="AH56" s="30">
        <v>-2.3089394671037801E-2</v>
      </c>
      <c r="AI56" s="29">
        <v>10980.0922172755</v>
      </c>
      <c r="AJ56" s="30">
        <v>4.3513485194225203E-2</v>
      </c>
      <c r="AK56" s="29">
        <v>37196.715743504101</v>
      </c>
      <c r="AL56" s="30">
        <v>-3.95000615031397E-2</v>
      </c>
      <c r="AM56" s="29">
        <v>29117.889745082899</v>
      </c>
      <c r="AN56" s="30">
        <v>-5.6614736652850703E-2</v>
      </c>
      <c r="AO56" s="29">
        <v>24057.518014342601</v>
      </c>
      <c r="AP56" s="30">
        <v>-7.2112122535653897E-2</v>
      </c>
      <c r="AQ56" s="29">
        <v>22232.931827123499</v>
      </c>
      <c r="AR56" s="30">
        <v>-7.0061785951543998E-2</v>
      </c>
      <c r="AS56" s="29">
        <v>8078.82599842125</v>
      </c>
      <c r="AT56" s="30">
        <v>2.7697996975083499E-2</v>
      </c>
      <c r="AU56" s="29">
        <v>124737.864603525</v>
      </c>
      <c r="AV56" s="30">
        <v>3.7094770008239401E-2</v>
      </c>
      <c r="AW56" s="29">
        <v>93472.550407579707</v>
      </c>
      <c r="AX56" s="30">
        <v>5.0048817467911198E-2</v>
      </c>
      <c r="AY56" s="29">
        <v>31265.3141959448</v>
      </c>
      <c r="AZ56" s="30">
        <v>2.0497030249622101E-4</v>
      </c>
      <c r="BA56" s="29">
        <v>20285.221978669299</v>
      </c>
      <c r="BB56" s="30">
        <v>-2.1770699240189598E-2</v>
      </c>
      <c r="BC56" s="29">
        <v>30311.757825544701</v>
      </c>
      <c r="BD56" s="30">
        <v>-4.58716304860751E-2</v>
      </c>
      <c r="BE56" s="29"/>
      <c r="BF56" s="30"/>
    </row>
    <row r="57" spans="1:58" x14ac:dyDescent="0.2">
      <c r="A57" s="28">
        <v>1991</v>
      </c>
      <c r="B57" s="28">
        <v>2</v>
      </c>
      <c r="C57" s="29">
        <v>97602.376101816</v>
      </c>
      <c r="D57" s="30">
        <v>4.3111278358411803E-2</v>
      </c>
      <c r="E57" s="29">
        <v>98134.921953721205</v>
      </c>
      <c r="F57" s="30">
        <v>2.69243247999396E-2</v>
      </c>
      <c r="G57" s="29">
        <v>63675.040410885602</v>
      </c>
      <c r="H57" s="30">
        <v>8.0175175668777396E-2</v>
      </c>
      <c r="I57" s="29">
        <v>52532.097847850797</v>
      </c>
      <c r="J57" s="30">
        <v>7.6056308884141693E-2</v>
      </c>
      <c r="K57" s="29">
        <v>11142.9425630347</v>
      </c>
      <c r="L57" s="30">
        <v>0.10002562782651001</v>
      </c>
      <c r="M57" s="29">
        <v>34459.881542835603</v>
      </c>
      <c r="N57" s="30">
        <v>-5.8811878189195997E-2</v>
      </c>
      <c r="O57" s="29">
        <v>32462.477570373299</v>
      </c>
      <c r="P57" s="30">
        <v>1.9768127294329502E-2</v>
      </c>
      <c r="Q57" s="29">
        <v>13119.9466987578</v>
      </c>
      <c r="R57" s="30">
        <v>-2.0752207703264001E-2</v>
      </c>
      <c r="S57" s="29">
        <v>19342.530871615501</v>
      </c>
      <c r="T57" s="30">
        <v>4.9216709907952301E-2</v>
      </c>
      <c r="U57" s="29">
        <v>801.08708960142405</v>
      </c>
      <c r="V57" s="30"/>
      <c r="W57" s="29">
        <v>1196.31688286094</v>
      </c>
      <c r="X57" s="30"/>
      <c r="Y57" s="29">
        <v>-532.54585190521902</v>
      </c>
      <c r="Z57" s="30"/>
      <c r="AA57" s="29">
        <v>38129.653071618101</v>
      </c>
      <c r="AB57" s="30">
        <v>-2.8441176741026301E-2</v>
      </c>
      <c r="AC57" s="29">
        <v>27143.550332397099</v>
      </c>
      <c r="AD57" s="30">
        <v>-5.9943723406115597E-2</v>
      </c>
      <c r="AE57" s="29">
        <v>23000.066682037101</v>
      </c>
      <c r="AF57" s="30">
        <v>-6.7870490535581996E-4</v>
      </c>
      <c r="AG57" s="29">
        <v>20750.543821920201</v>
      </c>
      <c r="AH57" s="30">
        <v>1.7344886471152499E-2</v>
      </c>
      <c r="AI57" s="29">
        <v>10986.102739221</v>
      </c>
      <c r="AJ57" s="30">
        <v>5.9262632835313203E-2</v>
      </c>
      <c r="AK57" s="29">
        <v>38662.198923523298</v>
      </c>
      <c r="AL57" s="30">
        <v>-6.2491699741599203E-2</v>
      </c>
      <c r="AM57" s="29">
        <v>30266.204553600801</v>
      </c>
      <c r="AN57" s="30">
        <v>-8.6358296155214495E-2</v>
      </c>
      <c r="AO57" s="29">
        <v>25236.360536645101</v>
      </c>
      <c r="AP57" s="30">
        <v>-1.09160697450094E-2</v>
      </c>
      <c r="AQ57" s="29">
        <v>23227.8844308277</v>
      </c>
      <c r="AR57" s="30">
        <v>-6.8173842916604598E-3</v>
      </c>
      <c r="AS57" s="29">
        <v>8395.9943699224896</v>
      </c>
      <c r="AT57" s="30">
        <v>3.4968557776900097E-2</v>
      </c>
      <c r="AU57" s="29">
        <v>128425.167812965</v>
      </c>
      <c r="AV57" s="30">
        <v>5.1923289439217597E-2</v>
      </c>
      <c r="AW57" s="29">
        <v>96137.517981258803</v>
      </c>
      <c r="AX57" s="30">
        <v>5.8993121333241999E-2</v>
      </c>
      <c r="AY57" s="29">
        <v>32287.649831705901</v>
      </c>
      <c r="AZ57" s="30">
        <v>3.1420720956862901E-2</v>
      </c>
      <c r="BA57" s="29">
        <v>21301.5470924849</v>
      </c>
      <c r="BB57" s="30">
        <v>1.7625900136042601E-2</v>
      </c>
      <c r="BC57" s="29">
        <v>31623.878800750201</v>
      </c>
      <c r="BD57" s="30">
        <v>3.9440348547936698E-3</v>
      </c>
      <c r="BE57" s="29"/>
      <c r="BF57" s="30"/>
    </row>
    <row r="58" spans="1:58" x14ac:dyDescent="0.2">
      <c r="A58" s="28">
        <v>1991</v>
      </c>
      <c r="B58" s="28">
        <v>3</v>
      </c>
      <c r="C58" s="29">
        <v>97494.693818346597</v>
      </c>
      <c r="D58" s="30">
        <v>4.2422465628299398E-2</v>
      </c>
      <c r="E58" s="29">
        <v>95716.814484026705</v>
      </c>
      <c r="F58" s="30">
        <v>3.3831475696122701E-2</v>
      </c>
      <c r="G58" s="29">
        <v>64610.898680648803</v>
      </c>
      <c r="H58" s="30">
        <v>7.9468000918251597E-2</v>
      </c>
      <c r="I58" s="29">
        <v>53217.952598978503</v>
      </c>
      <c r="J58" s="30">
        <v>7.5174073598472696E-2</v>
      </c>
      <c r="K58" s="29">
        <v>11392.946081670299</v>
      </c>
      <c r="L58" s="30">
        <v>9.9988415825929197E-2</v>
      </c>
      <c r="M58" s="29">
        <v>31105.915803377899</v>
      </c>
      <c r="N58" s="30">
        <v>-4.9625096993894197E-2</v>
      </c>
      <c r="O58" s="29">
        <v>31384.700557705899</v>
      </c>
      <c r="P58" s="30">
        <v>-3.7202666873040698E-3</v>
      </c>
      <c r="Q58" s="29">
        <v>13324.9430877668</v>
      </c>
      <c r="R58" s="30">
        <v>-3.0889413096179302E-2</v>
      </c>
      <c r="S58" s="29">
        <v>18059.757469939101</v>
      </c>
      <c r="T58" s="30">
        <v>1.7323089520088701E-2</v>
      </c>
      <c r="U58" s="29">
        <v>473.93173774785799</v>
      </c>
      <c r="V58" s="30"/>
      <c r="W58" s="29">
        <v>-752.71649207580799</v>
      </c>
      <c r="X58" s="30"/>
      <c r="Y58" s="29">
        <v>1777.87933431992</v>
      </c>
      <c r="Z58" s="30"/>
      <c r="AA58" s="29">
        <v>37803.068913769603</v>
      </c>
      <c r="AB58" s="30">
        <v>3.6865467452701597E-2</v>
      </c>
      <c r="AC58" s="29">
        <v>26082.026848437901</v>
      </c>
      <c r="AD58" s="30">
        <v>2.2839986108599299E-2</v>
      </c>
      <c r="AE58" s="29">
        <v>21664.0469473134</v>
      </c>
      <c r="AF58" s="30">
        <v>1.7348150098174302E-2</v>
      </c>
      <c r="AG58" s="29">
        <v>19376.814124295801</v>
      </c>
      <c r="AH58" s="30">
        <v>2.9127623929315699E-2</v>
      </c>
      <c r="AI58" s="29">
        <v>11721.0420653317</v>
      </c>
      <c r="AJ58" s="30">
        <v>6.9499115082259505E-2</v>
      </c>
      <c r="AK58" s="29">
        <v>36025.189579449601</v>
      </c>
      <c r="AL58" s="30">
        <v>1.4322969361915801E-2</v>
      </c>
      <c r="AM58" s="29">
        <v>27394.020402491398</v>
      </c>
      <c r="AN58" s="30">
        <v>8.54267971680311E-4</v>
      </c>
      <c r="AO58" s="29">
        <v>23390.3503364237</v>
      </c>
      <c r="AP58" s="30">
        <v>7.8953325424451198E-3</v>
      </c>
      <c r="AQ58" s="29">
        <v>21970.104338032899</v>
      </c>
      <c r="AR58" s="30">
        <v>1.1466722213814499E-2</v>
      </c>
      <c r="AS58" s="29">
        <v>8631.1691769582503</v>
      </c>
      <c r="AT58" s="30">
        <v>5.9578772194268402E-2</v>
      </c>
      <c r="AU58" s="29">
        <v>127622.03559559</v>
      </c>
      <c r="AV58" s="30">
        <v>4.88645689006195E-2</v>
      </c>
      <c r="AW58" s="29">
        <v>95995.599238354596</v>
      </c>
      <c r="AX58" s="30">
        <v>5.0782638684745397E-2</v>
      </c>
      <c r="AY58" s="29">
        <v>31626.436357235201</v>
      </c>
      <c r="AZ58" s="30">
        <v>4.3085306570933998E-2</v>
      </c>
      <c r="BA58" s="29">
        <v>19905.3942919035</v>
      </c>
      <c r="BB58" s="30">
        <v>2.8133436353905601E-2</v>
      </c>
      <c r="BC58" s="29">
        <v>30601.273514991099</v>
      </c>
      <c r="BD58" s="30">
        <v>2.4588730761844001E-2</v>
      </c>
      <c r="BE58" s="29"/>
      <c r="BF58" s="30"/>
    </row>
    <row r="59" spans="1:58" x14ac:dyDescent="0.2">
      <c r="A59" s="28">
        <v>1991</v>
      </c>
      <c r="B59" s="28">
        <v>4</v>
      </c>
      <c r="C59" s="29">
        <v>100676.388351384</v>
      </c>
      <c r="D59" s="30">
        <v>3.9449528688174203E-2</v>
      </c>
      <c r="E59" s="29">
        <v>99128.763931305293</v>
      </c>
      <c r="F59" s="30">
        <v>2.3776405427895098E-2</v>
      </c>
      <c r="G59" s="29">
        <v>67141.611942023606</v>
      </c>
      <c r="H59" s="30">
        <v>7.2045886342393603E-2</v>
      </c>
      <c r="I59" s="29">
        <v>55503.944436826503</v>
      </c>
      <c r="J59" s="30">
        <v>6.7980746016322896E-2</v>
      </c>
      <c r="K59" s="29">
        <v>11637.6675051971</v>
      </c>
      <c r="L59" s="30">
        <v>9.1867544323165101E-2</v>
      </c>
      <c r="M59" s="29">
        <v>31987.1519892818</v>
      </c>
      <c r="N59" s="30">
        <v>-6.4625377926988303E-2</v>
      </c>
      <c r="O59" s="29">
        <v>28567.804719892101</v>
      </c>
      <c r="P59" s="30">
        <v>-1.7267759924715399E-2</v>
      </c>
      <c r="Q59" s="29">
        <v>10723.0683266619</v>
      </c>
      <c r="R59" s="30">
        <v>-6.6355037942042996E-3</v>
      </c>
      <c r="S59" s="29">
        <v>17844.736393230101</v>
      </c>
      <c r="T59" s="30">
        <v>-2.3548005549565602E-2</v>
      </c>
      <c r="U59" s="29">
        <v>3592.3204766853</v>
      </c>
      <c r="V59" s="30"/>
      <c r="W59" s="29">
        <v>-172.973207295625</v>
      </c>
      <c r="X59" s="30"/>
      <c r="Y59" s="29">
        <v>1547.6244200788699</v>
      </c>
      <c r="Z59" s="30"/>
      <c r="AA59" s="29">
        <v>38653.4342000014</v>
      </c>
      <c r="AB59" s="30">
        <v>3.5649067291033003E-2</v>
      </c>
      <c r="AC59" s="29">
        <v>28182.2611801126</v>
      </c>
      <c r="AD59" s="30">
        <v>1.5791235228424801E-2</v>
      </c>
      <c r="AE59" s="29">
        <v>24216.207351129298</v>
      </c>
      <c r="AF59" s="30">
        <v>3.5235996889042297E-2</v>
      </c>
      <c r="AG59" s="29">
        <v>21972.491014226998</v>
      </c>
      <c r="AH59" s="30">
        <v>4.7618881238112601E-2</v>
      </c>
      <c r="AI59" s="29">
        <v>10471.1730198889</v>
      </c>
      <c r="AJ59" s="30">
        <v>9.3165758163607795E-2</v>
      </c>
      <c r="AK59" s="29">
        <v>37105.809779922602</v>
      </c>
      <c r="AL59" s="30">
        <v>-5.0460793690906298E-3</v>
      </c>
      <c r="AM59" s="29">
        <v>28600.676300202998</v>
      </c>
      <c r="AN59" s="30">
        <v>-2.5433689238536301E-2</v>
      </c>
      <c r="AO59" s="29">
        <v>24583.9226159666</v>
      </c>
      <c r="AP59" s="30">
        <v>1.48714769296519E-2</v>
      </c>
      <c r="AQ59" s="29">
        <v>23071.321322526801</v>
      </c>
      <c r="AR59" s="30">
        <v>1.8702863188411401E-2</v>
      </c>
      <c r="AS59" s="29">
        <v>8505.1334797195705</v>
      </c>
      <c r="AT59" s="30">
        <v>7.0243092918065297E-2</v>
      </c>
      <c r="AU59" s="29">
        <v>128660.52267694499</v>
      </c>
      <c r="AV59" s="30">
        <v>4.7739827263237E-2</v>
      </c>
      <c r="AW59" s="29">
        <v>95709.416661915602</v>
      </c>
      <c r="AX59" s="30">
        <v>4.37323599142736E-2</v>
      </c>
      <c r="AY59" s="29">
        <v>32951.106015029603</v>
      </c>
      <c r="AZ59" s="30">
        <v>5.9556346712637903E-2</v>
      </c>
      <c r="BA59" s="29">
        <v>22479.932995140702</v>
      </c>
      <c r="BB59" s="30">
        <v>4.4596614310347803E-2</v>
      </c>
      <c r="BC59" s="29">
        <v>31576.454802246401</v>
      </c>
      <c r="BD59" s="30">
        <v>3.20903607091148E-2</v>
      </c>
      <c r="BE59" s="29"/>
      <c r="BF59" s="30"/>
    </row>
    <row r="60" spans="1:58" x14ac:dyDescent="0.2">
      <c r="A60" s="28">
        <v>1992</v>
      </c>
      <c r="B60" s="28">
        <v>1</v>
      </c>
      <c r="C60" s="29">
        <v>98942.184140785204</v>
      </c>
      <c r="D60" s="30">
        <v>3.4504845889486997E-2</v>
      </c>
      <c r="E60" s="29">
        <v>96210.222185069098</v>
      </c>
      <c r="F60" s="30">
        <v>1.54108492345817E-2</v>
      </c>
      <c r="G60" s="29">
        <v>66791.415069453593</v>
      </c>
      <c r="H60" s="30">
        <v>6.3804440603736107E-2</v>
      </c>
      <c r="I60" s="29">
        <v>54960.699883022797</v>
      </c>
      <c r="J60" s="30">
        <v>5.9838401220372497E-2</v>
      </c>
      <c r="K60" s="29">
        <v>11830.7151864309</v>
      </c>
      <c r="L60" s="30">
        <v>8.2625183045134595E-2</v>
      </c>
      <c r="M60" s="29">
        <v>29418.8071156154</v>
      </c>
      <c r="N60" s="30">
        <v>-7.96446369338729E-2</v>
      </c>
      <c r="O60" s="29">
        <v>28770.372035545301</v>
      </c>
      <c r="P60" s="30">
        <v>-6.2461124452823702E-2</v>
      </c>
      <c r="Q60" s="29">
        <v>11715.6458403419</v>
      </c>
      <c r="R60" s="30">
        <v>-4.56884760749032E-2</v>
      </c>
      <c r="S60" s="29">
        <v>17054.726195203399</v>
      </c>
      <c r="T60" s="30">
        <v>-7.3645460094134196E-2</v>
      </c>
      <c r="U60" s="29">
        <v>1298.3878410437201</v>
      </c>
      <c r="V60" s="30"/>
      <c r="W60" s="29">
        <v>-649.95276097350904</v>
      </c>
      <c r="X60" s="30"/>
      <c r="Y60" s="29">
        <v>2731.96195571611</v>
      </c>
      <c r="Z60" s="30"/>
      <c r="AA60" s="29">
        <v>40507.6096195309</v>
      </c>
      <c r="AB60" s="30">
        <v>6.3506118911547296E-2</v>
      </c>
      <c r="AC60" s="29">
        <v>28978.404381215099</v>
      </c>
      <c r="AD60" s="30">
        <v>6.8972640668675894E-2</v>
      </c>
      <c r="AE60" s="29">
        <v>24011.860539115001</v>
      </c>
      <c r="AF60" s="30">
        <v>9.6989667706881999E-2</v>
      </c>
      <c r="AG60" s="29">
        <v>21806.666719341301</v>
      </c>
      <c r="AH60" s="30">
        <v>0.105012786989733</v>
      </c>
      <c r="AI60" s="29">
        <v>11529.205238315801</v>
      </c>
      <c r="AJ60" s="30">
        <v>5.0009873339346603E-2</v>
      </c>
      <c r="AK60" s="29">
        <v>37775.647663814801</v>
      </c>
      <c r="AL60" s="30">
        <v>1.5564060125706099E-2</v>
      </c>
      <c r="AM60" s="29">
        <v>29157.289042475099</v>
      </c>
      <c r="AN60" s="30">
        <v>1.35309590554678E-3</v>
      </c>
      <c r="AO60" s="29">
        <v>24452.5044650161</v>
      </c>
      <c r="AP60" s="30">
        <v>1.6418420654946898E-2</v>
      </c>
      <c r="AQ60" s="29">
        <v>23097.823395238702</v>
      </c>
      <c r="AR60" s="30">
        <v>3.8901372740234801E-2</v>
      </c>
      <c r="AS60" s="29">
        <v>8618.3586213397193</v>
      </c>
      <c r="AT60" s="30">
        <v>6.6783542933576995E-2</v>
      </c>
      <c r="AU60" s="29">
        <v>129359.97831632</v>
      </c>
      <c r="AV60" s="30">
        <v>3.7054616314673397E-2</v>
      </c>
      <c r="AW60" s="29">
        <v>95561.787104998904</v>
      </c>
      <c r="AX60" s="30">
        <v>2.2351339385832801E-2</v>
      </c>
      <c r="AY60" s="29">
        <v>33798.191211320998</v>
      </c>
      <c r="AZ60" s="30">
        <v>8.1012364037097204E-2</v>
      </c>
      <c r="BA60" s="29">
        <v>22268.985973005201</v>
      </c>
      <c r="BB60" s="30">
        <v>9.7793556137656404E-2</v>
      </c>
      <c r="BC60" s="29">
        <v>31716.182016578401</v>
      </c>
      <c r="BD60" s="30">
        <v>4.63326541178046E-2</v>
      </c>
      <c r="BE60" s="29"/>
      <c r="BF60" s="30"/>
    </row>
    <row r="61" spans="1:58" x14ac:dyDescent="0.2">
      <c r="A61" s="28">
        <v>1992</v>
      </c>
      <c r="B61" s="28">
        <v>2</v>
      </c>
      <c r="C61" s="29">
        <v>100200.68982937701</v>
      </c>
      <c r="D61" s="30">
        <v>2.6621418774179999E-2</v>
      </c>
      <c r="E61" s="29">
        <v>99603.500852433805</v>
      </c>
      <c r="F61" s="30">
        <v>1.4964895976634401E-2</v>
      </c>
      <c r="G61" s="29">
        <v>67103.683590834597</v>
      </c>
      <c r="H61" s="30">
        <v>5.3845952163116099E-2</v>
      </c>
      <c r="I61" s="29">
        <v>55163.488230078103</v>
      </c>
      <c r="J61" s="30">
        <v>5.0091096492064703E-2</v>
      </c>
      <c r="K61" s="29">
        <v>11940.195360756499</v>
      </c>
      <c r="L61" s="30">
        <v>7.1547779521590193E-2</v>
      </c>
      <c r="M61" s="29">
        <v>32499.817261599201</v>
      </c>
      <c r="N61" s="30">
        <v>-5.6879600088003197E-2</v>
      </c>
      <c r="O61" s="29">
        <v>29607.856206317902</v>
      </c>
      <c r="P61" s="30">
        <v>-8.7936028846444206E-2</v>
      </c>
      <c r="Q61" s="29">
        <v>12524.0065875239</v>
      </c>
      <c r="R61" s="30">
        <v>-4.5422449108757097E-2</v>
      </c>
      <c r="S61" s="29">
        <v>17083.849618794</v>
      </c>
      <c r="T61" s="30">
        <v>-0.116772787791488</v>
      </c>
      <c r="U61" s="29">
        <v>2075.3778110026301</v>
      </c>
      <c r="V61" s="30"/>
      <c r="W61" s="29">
        <v>816.58324427866296</v>
      </c>
      <c r="X61" s="30"/>
      <c r="Y61" s="29">
        <v>597.18897694365296</v>
      </c>
      <c r="Z61" s="30"/>
      <c r="AA61" s="29">
        <v>40358.569316180001</v>
      </c>
      <c r="AB61" s="30">
        <v>5.8456242451913103E-2</v>
      </c>
      <c r="AC61" s="29">
        <v>29251.506224708599</v>
      </c>
      <c r="AD61" s="30">
        <v>7.7659549561411398E-2</v>
      </c>
      <c r="AE61" s="29">
        <v>24319.807139103399</v>
      </c>
      <c r="AF61" s="30">
        <v>5.7379853515684899E-2</v>
      </c>
      <c r="AG61" s="29">
        <v>21989.905443000302</v>
      </c>
      <c r="AH61" s="30">
        <v>5.9726705560884802E-2</v>
      </c>
      <c r="AI61" s="29">
        <v>11107.0630914714</v>
      </c>
      <c r="AJ61" s="30">
        <v>1.1010305940299499E-2</v>
      </c>
      <c r="AK61" s="29">
        <v>39761.380339236297</v>
      </c>
      <c r="AL61" s="30">
        <v>2.8430390570573401E-2</v>
      </c>
      <c r="AM61" s="29">
        <v>30678.082594408599</v>
      </c>
      <c r="AN61" s="30">
        <v>1.3608513088529501E-2</v>
      </c>
      <c r="AO61" s="29">
        <v>24729.276411950701</v>
      </c>
      <c r="AP61" s="30">
        <v>-2.0093393576225301E-2</v>
      </c>
      <c r="AQ61" s="29">
        <v>23028.007412106799</v>
      </c>
      <c r="AR61" s="30">
        <v>-8.6050462028115504E-3</v>
      </c>
      <c r="AS61" s="29">
        <v>9083.2977448276706</v>
      </c>
      <c r="AT61" s="30">
        <v>8.1860866577917496E-2</v>
      </c>
      <c r="AU61" s="29">
        <v>130236.617175309</v>
      </c>
      <c r="AV61" s="30">
        <v>1.41050963233524E-2</v>
      </c>
      <c r="AW61" s="29">
        <v>96711.539797152494</v>
      </c>
      <c r="AX61" s="30">
        <v>5.9708408116541101E-3</v>
      </c>
      <c r="AY61" s="29">
        <v>33525.077378156799</v>
      </c>
      <c r="AZ61" s="30">
        <v>3.8325104270543899E-2</v>
      </c>
      <c r="BA61" s="29">
        <v>22418.014286685499</v>
      </c>
      <c r="BB61" s="30">
        <v>5.2412493296998E-2</v>
      </c>
      <c r="BC61" s="29">
        <v>32111.305156934501</v>
      </c>
      <c r="BD61" s="30">
        <v>1.541323754924E-2</v>
      </c>
      <c r="BE61" s="29"/>
      <c r="BF61" s="30"/>
    </row>
    <row r="62" spans="1:58" x14ac:dyDescent="0.2">
      <c r="A62" s="28">
        <v>1992</v>
      </c>
      <c r="B62" s="28">
        <v>3</v>
      </c>
      <c r="C62" s="29">
        <v>98954.020189139803</v>
      </c>
      <c r="D62" s="30">
        <v>1.4968264565373901E-2</v>
      </c>
      <c r="E62" s="29">
        <v>96438.584074052502</v>
      </c>
      <c r="F62" s="30">
        <v>7.5406770891468496E-3</v>
      </c>
      <c r="G62" s="29">
        <v>67135.601989601404</v>
      </c>
      <c r="H62" s="30">
        <v>3.9075502129005901E-2</v>
      </c>
      <c r="I62" s="29">
        <v>55205.1640397999</v>
      </c>
      <c r="J62" s="30">
        <v>3.73409976102606E-2</v>
      </c>
      <c r="K62" s="29">
        <v>11930.437949801501</v>
      </c>
      <c r="L62" s="30">
        <v>4.7177601322630602E-2</v>
      </c>
      <c r="M62" s="29">
        <v>29302.982084451101</v>
      </c>
      <c r="N62" s="30">
        <v>-5.7961120010845898E-2</v>
      </c>
      <c r="O62" s="29">
        <v>27888.680138887099</v>
      </c>
      <c r="P62" s="30">
        <v>-0.111392505159985</v>
      </c>
      <c r="Q62" s="29">
        <v>12553.0985498434</v>
      </c>
      <c r="R62" s="30">
        <v>-5.7924790585560403E-2</v>
      </c>
      <c r="S62" s="29">
        <v>15335.581589043701</v>
      </c>
      <c r="T62" s="30">
        <v>-0.15084232916360399</v>
      </c>
      <c r="U62" s="29">
        <v>1741.5946509134801</v>
      </c>
      <c r="V62" s="30"/>
      <c r="W62" s="29">
        <v>-327.29270534946397</v>
      </c>
      <c r="X62" s="30"/>
      <c r="Y62" s="29">
        <v>2515.4361150872501</v>
      </c>
      <c r="Z62" s="30"/>
      <c r="AA62" s="29">
        <v>38813.857700119399</v>
      </c>
      <c r="AB62" s="30">
        <v>2.6738273251186301E-2</v>
      </c>
      <c r="AC62" s="29">
        <v>26982.366232812699</v>
      </c>
      <c r="AD62" s="30">
        <v>3.4519532918461299E-2</v>
      </c>
      <c r="AE62" s="29">
        <v>22516.590658701702</v>
      </c>
      <c r="AF62" s="30">
        <v>3.93529294624251E-2</v>
      </c>
      <c r="AG62" s="29">
        <v>20445.229359658199</v>
      </c>
      <c r="AH62" s="30">
        <v>5.5138849374766701E-2</v>
      </c>
      <c r="AI62" s="29">
        <v>11831.4914673066</v>
      </c>
      <c r="AJ62" s="30">
        <v>9.4231725608795395E-3</v>
      </c>
      <c r="AK62" s="29">
        <v>36298.421585032098</v>
      </c>
      <c r="AL62" s="30">
        <v>7.5844709985462E-3</v>
      </c>
      <c r="AM62" s="29">
        <v>26936.7619944381</v>
      </c>
      <c r="AN62" s="30">
        <v>-1.66919058004232E-2</v>
      </c>
      <c r="AO62" s="29">
        <v>22323.312651755899</v>
      </c>
      <c r="AP62" s="30">
        <v>-4.5618713243736203E-2</v>
      </c>
      <c r="AQ62" s="29">
        <v>21126.146632685799</v>
      </c>
      <c r="AR62" s="30">
        <v>-3.8413914306546698E-2</v>
      </c>
      <c r="AS62" s="29">
        <v>9361.6595905939794</v>
      </c>
      <c r="AT62" s="30">
        <v>8.4634004809665694E-2</v>
      </c>
      <c r="AU62" s="29">
        <v>127700.231761506</v>
      </c>
      <c r="AV62" s="30">
        <v>6.1271680514440896E-4</v>
      </c>
      <c r="AW62" s="29">
        <v>95024.282128488499</v>
      </c>
      <c r="AX62" s="30">
        <v>-1.01183503991092E-2</v>
      </c>
      <c r="AY62" s="29">
        <v>32675.949633017499</v>
      </c>
      <c r="AZ62" s="30">
        <v>3.3184683342997401E-2</v>
      </c>
      <c r="BA62" s="29">
        <v>20844.458165710901</v>
      </c>
      <c r="BB62" s="30">
        <v>4.7176351296358103E-2</v>
      </c>
      <c r="BC62" s="29">
        <v>30487.8062232798</v>
      </c>
      <c r="BD62" s="30">
        <v>-3.7079271114576198E-3</v>
      </c>
      <c r="BE62" s="29"/>
      <c r="BF62" s="30"/>
    </row>
    <row r="63" spans="1:58" x14ac:dyDescent="0.2">
      <c r="A63" s="28">
        <v>1992</v>
      </c>
      <c r="B63" s="28">
        <v>4</v>
      </c>
      <c r="C63" s="29">
        <v>101459.970091453</v>
      </c>
      <c r="D63" s="30">
        <v>7.7831729256556698E-3</v>
      </c>
      <c r="E63" s="29">
        <v>98974.282883088497</v>
      </c>
      <c r="F63" s="30">
        <v>-1.55838771805827E-3</v>
      </c>
      <c r="G63" s="29">
        <v>68842.509872843599</v>
      </c>
      <c r="H63" s="30">
        <v>2.53329921880452E-2</v>
      </c>
      <c r="I63" s="29">
        <v>56952.068077702497</v>
      </c>
      <c r="J63" s="30">
        <v>2.6090463580012099E-2</v>
      </c>
      <c r="K63" s="29">
        <v>11890.4417951411</v>
      </c>
      <c r="L63" s="30">
        <v>2.1720356749420001E-2</v>
      </c>
      <c r="M63" s="29">
        <v>30131.773010244899</v>
      </c>
      <c r="N63" s="30">
        <v>-5.8003881672822097E-2</v>
      </c>
      <c r="O63" s="29">
        <v>26456.632615962299</v>
      </c>
      <c r="P63" s="30">
        <v>-7.3900396779867303E-2</v>
      </c>
      <c r="Q63" s="29">
        <v>10935.174483348301</v>
      </c>
      <c r="R63" s="30">
        <v>1.9780360455131402E-2</v>
      </c>
      <c r="S63" s="29">
        <v>15521.458132614</v>
      </c>
      <c r="T63" s="30">
        <v>-0.13019403646094599</v>
      </c>
      <c r="U63" s="29">
        <v>3112.4985894625902</v>
      </c>
      <c r="V63" s="30"/>
      <c r="W63" s="29">
        <v>562.64180482002098</v>
      </c>
      <c r="X63" s="30"/>
      <c r="Y63" s="29">
        <v>2485.6872083649901</v>
      </c>
      <c r="Z63" s="30"/>
      <c r="AA63" s="29">
        <v>39773.507733038299</v>
      </c>
      <c r="AB63" s="30">
        <v>2.8977335551644501E-2</v>
      </c>
      <c r="AC63" s="29">
        <v>28841.645704678602</v>
      </c>
      <c r="AD63" s="30">
        <v>2.3397147601176501E-2</v>
      </c>
      <c r="AE63" s="29">
        <v>24113.564206494899</v>
      </c>
      <c r="AF63" s="30">
        <v>-4.2386135510831301E-3</v>
      </c>
      <c r="AG63" s="29">
        <v>22175.104872387601</v>
      </c>
      <c r="AH63" s="30">
        <v>9.2212511557958603E-3</v>
      </c>
      <c r="AI63" s="29">
        <v>10931.862028359799</v>
      </c>
      <c r="AJ63" s="30">
        <v>4.3995931267282899E-2</v>
      </c>
      <c r="AK63" s="29">
        <v>37287.820524673298</v>
      </c>
      <c r="AL63" s="30">
        <v>4.9051818523908599E-3</v>
      </c>
      <c r="AM63" s="29">
        <v>28323.854327279802</v>
      </c>
      <c r="AN63" s="30">
        <v>-9.6788610876726907E-3</v>
      </c>
      <c r="AO63" s="29">
        <v>23194.666411878901</v>
      </c>
      <c r="AP63" s="30">
        <v>-5.6510762167197498E-2</v>
      </c>
      <c r="AQ63" s="29">
        <v>21483.2943461617</v>
      </c>
      <c r="AR63" s="30">
        <v>-6.8831210582402005E-2</v>
      </c>
      <c r="AS63" s="29">
        <v>8963.9661973934599</v>
      </c>
      <c r="AT63" s="30">
        <v>5.3947738594341703E-2</v>
      </c>
      <c r="AU63" s="29">
        <v>128794.732045546</v>
      </c>
      <c r="AV63" s="30">
        <v>1.0431278049274401E-3</v>
      </c>
      <c r="AW63" s="29">
        <v>95299.142488805897</v>
      </c>
      <c r="AX63" s="30">
        <v>-4.2866646503445498E-3</v>
      </c>
      <c r="AY63" s="29">
        <v>33495.589556740197</v>
      </c>
      <c r="AZ63" s="30">
        <v>1.6523983791688599E-2</v>
      </c>
      <c r="BA63" s="29">
        <v>22563.727528380401</v>
      </c>
      <c r="BB63" s="30">
        <v>3.7275259342550702E-3</v>
      </c>
      <c r="BC63" s="29">
        <v>30447.2605435552</v>
      </c>
      <c r="BD63" s="30">
        <v>-3.57606408244057E-2</v>
      </c>
      <c r="BE63" s="29"/>
      <c r="BF63" s="30"/>
    </row>
    <row r="64" spans="1:58" x14ac:dyDescent="0.2">
      <c r="A64" s="28">
        <v>1993</v>
      </c>
      <c r="B64" s="28">
        <v>1</v>
      </c>
      <c r="C64" s="29">
        <v>98779.554404440103</v>
      </c>
      <c r="D64" s="30">
        <v>-1.64368451896824E-3</v>
      </c>
      <c r="E64" s="29">
        <v>94095.899026075407</v>
      </c>
      <c r="F64" s="30">
        <v>-2.1976076044462299E-2</v>
      </c>
      <c r="G64" s="29">
        <v>67987.500352224903</v>
      </c>
      <c r="H64" s="30">
        <v>1.7907769756449799E-2</v>
      </c>
      <c r="I64" s="29">
        <v>56009.736430971803</v>
      </c>
      <c r="J64" s="30">
        <v>1.9087030372279899E-2</v>
      </c>
      <c r="K64" s="29">
        <v>11977.763921253099</v>
      </c>
      <c r="L64" s="30">
        <v>1.24294036755184E-2</v>
      </c>
      <c r="M64" s="29">
        <v>26108.398673850501</v>
      </c>
      <c r="N64" s="30">
        <v>-0.11252694335141</v>
      </c>
      <c r="O64" s="29">
        <v>26056.0390460177</v>
      </c>
      <c r="P64" s="30">
        <v>-9.4344730272312299E-2</v>
      </c>
      <c r="Q64" s="29">
        <v>10833.468950939299</v>
      </c>
      <c r="R64" s="30">
        <v>-7.5299040396463998E-2</v>
      </c>
      <c r="S64" s="29">
        <v>15222.570095078399</v>
      </c>
      <c r="T64" s="30">
        <v>-0.107428057135289</v>
      </c>
      <c r="U64" s="29">
        <v>918.47551133777597</v>
      </c>
      <c r="V64" s="30"/>
      <c r="W64" s="29">
        <v>-866.115883504914</v>
      </c>
      <c r="X64" s="30"/>
      <c r="Y64" s="29">
        <v>4683.6553783646796</v>
      </c>
      <c r="Z64" s="30"/>
      <c r="AA64" s="29">
        <v>41937.795474589999</v>
      </c>
      <c r="AB64" s="30">
        <v>3.53065971675968E-2</v>
      </c>
      <c r="AC64" s="29">
        <v>29575.193975777001</v>
      </c>
      <c r="AD64" s="30">
        <v>2.0594287618842098E-2</v>
      </c>
      <c r="AE64" s="29">
        <v>23963.1145943394</v>
      </c>
      <c r="AF64" s="30">
        <v>-2.0300777899409099E-3</v>
      </c>
      <c r="AG64" s="29">
        <v>21261.545788626601</v>
      </c>
      <c r="AH64" s="30">
        <v>-2.49979026015563E-2</v>
      </c>
      <c r="AI64" s="29">
        <v>12362.601498812999</v>
      </c>
      <c r="AJ64" s="30">
        <v>7.2285664386258594E-2</v>
      </c>
      <c r="AK64" s="29">
        <v>37254.140096225303</v>
      </c>
      <c r="AL64" s="30">
        <v>-1.3805390505298399E-2</v>
      </c>
      <c r="AM64" s="29">
        <v>28215.196135202099</v>
      </c>
      <c r="AN64" s="30">
        <v>-3.2310716743952299E-2</v>
      </c>
      <c r="AO64" s="29">
        <v>22619.0870439475</v>
      </c>
      <c r="AP64" s="30">
        <v>-7.49787173617186E-2</v>
      </c>
      <c r="AQ64" s="29">
        <v>21148.909403460999</v>
      </c>
      <c r="AR64" s="30">
        <v>-8.4376521476883806E-2</v>
      </c>
      <c r="AS64" s="29">
        <v>9038.9439610231493</v>
      </c>
      <c r="AT64" s="30">
        <v>4.88010952157443E-2</v>
      </c>
      <c r="AU64" s="29">
        <v>128048.932257586</v>
      </c>
      <c r="AV64" s="30">
        <v>-1.01348660984428E-2</v>
      </c>
      <c r="AW64" s="29">
        <v>94043.539398242501</v>
      </c>
      <c r="AX64" s="30">
        <v>-1.58876026992689E-2</v>
      </c>
      <c r="AY64" s="29">
        <v>34005.392859343898</v>
      </c>
      <c r="AZ64" s="30">
        <v>6.1305543461620503E-3</v>
      </c>
      <c r="BA64" s="29">
        <v>21642.7913605309</v>
      </c>
      <c r="BB64" s="30">
        <v>-2.8119583587384402E-2</v>
      </c>
      <c r="BC64" s="29">
        <v>30187.853364484199</v>
      </c>
      <c r="BD64" s="30">
        <v>-4.8187661783985099E-2</v>
      </c>
      <c r="BE64" s="29"/>
      <c r="BF64" s="30"/>
    </row>
    <row r="65" spans="1:58" x14ac:dyDescent="0.2">
      <c r="A65" s="28">
        <v>1993</v>
      </c>
      <c r="B65" s="28">
        <v>2</v>
      </c>
      <c r="C65" s="29">
        <v>101557.582148256</v>
      </c>
      <c r="D65" s="30">
        <v>1.3541746281283001E-2</v>
      </c>
      <c r="E65" s="29">
        <v>99505.818551546297</v>
      </c>
      <c r="F65" s="30">
        <v>-9.8071152169842989E-4</v>
      </c>
      <c r="G65" s="29">
        <v>68383.477331560003</v>
      </c>
      <c r="H65" s="30">
        <v>1.9071885062658101E-2</v>
      </c>
      <c r="I65" s="29">
        <v>56235.170005232299</v>
      </c>
      <c r="J65" s="30">
        <v>1.94273750543907E-2</v>
      </c>
      <c r="K65" s="29">
        <v>12148.3073263277</v>
      </c>
      <c r="L65" s="30">
        <v>1.7429527682200099E-2</v>
      </c>
      <c r="M65" s="29">
        <v>31122.341219986301</v>
      </c>
      <c r="N65" s="30">
        <v>-4.2384116517492701E-2</v>
      </c>
      <c r="O65" s="29">
        <v>27630.198925214801</v>
      </c>
      <c r="P65" s="30">
        <v>-6.6795017758870895E-2</v>
      </c>
      <c r="Q65" s="29">
        <v>11707.3509282214</v>
      </c>
      <c r="R65" s="30">
        <v>-6.5207220516475997E-2</v>
      </c>
      <c r="S65" s="29">
        <v>15922.8479969934</v>
      </c>
      <c r="T65" s="30">
        <v>-6.7959016715026896E-2</v>
      </c>
      <c r="U65" s="29">
        <v>2175.56925214373</v>
      </c>
      <c r="V65" s="30"/>
      <c r="W65" s="29">
        <v>1316.5730426278001</v>
      </c>
      <c r="X65" s="30"/>
      <c r="Y65" s="29">
        <v>2051.7635967101</v>
      </c>
      <c r="Z65" s="30"/>
      <c r="AA65" s="29">
        <v>40779.5035368838</v>
      </c>
      <c r="AB65" s="30">
        <v>1.04298598249644E-2</v>
      </c>
      <c r="AC65" s="29">
        <v>28476.018843046699</v>
      </c>
      <c r="AD65" s="30">
        <v>-2.65110239351296E-2</v>
      </c>
      <c r="AE65" s="29">
        <v>24614.8858342161</v>
      </c>
      <c r="AF65" s="30">
        <v>1.21332662477538E-2</v>
      </c>
      <c r="AG65" s="29">
        <v>21948.460795606501</v>
      </c>
      <c r="AH65" s="30">
        <v>-1.8847123968392899E-3</v>
      </c>
      <c r="AI65" s="29">
        <v>12303.484693837099</v>
      </c>
      <c r="AJ65" s="30">
        <v>0.107717187929218</v>
      </c>
      <c r="AK65" s="29">
        <v>38727.739940173698</v>
      </c>
      <c r="AL65" s="30">
        <v>-2.5996089427574399E-2</v>
      </c>
      <c r="AM65" s="29">
        <v>29227.145219901598</v>
      </c>
      <c r="AN65" s="30">
        <v>-4.7295569077431099E-2</v>
      </c>
      <c r="AO65" s="29">
        <v>23581.867960561001</v>
      </c>
      <c r="AP65" s="30">
        <v>-4.6398787909348899E-2</v>
      </c>
      <c r="AQ65" s="29">
        <v>21767.8882225901</v>
      </c>
      <c r="AR65" s="30">
        <v>-5.4721156154148402E-2</v>
      </c>
      <c r="AS65" s="29">
        <v>9500.5947202720799</v>
      </c>
      <c r="AT65" s="30">
        <v>4.5941131422454901E-2</v>
      </c>
      <c r="AU65" s="29">
        <v>130650.495838975</v>
      </c>
      <c r="AV65" s="30">
        <v>3.1778978342809098E-3</v>
      </c>
      <c r="AW65" s="29">
        <v>96013.676256774706</v>
      </c>
      <c r="AX65" s="30">
        <v>-7.2159283353512302E-3</v>
      </c>
      <c r="AY65" s="29">
        <v>34636.819582199998</v>
      </c>
      <c r="AZ65" s="30">
        <v>3.3161510456872503E-2</v>
      </c>
      <c r="BA65" s="29">
        <v>22333.334888362999</v>
      </c>
      <c r="BB65" s="30">
        <v>-3.7772925487333802E-3</v>
      </c>
      <c r="BC65" s="29">
        <v>31268.482942862101</v>
      </c>
      <c r="BD65" s="30">
        <v>-2.62468999610364E-2</v>
      </c>
      <c r="BE65" s="29"/>
      <c r="BF65" s="30"/>
    </row>
    <row r="66" spans="1:58" x14ac:dyDescent="0.2">
      <c r="A66" s="28">
        <v>1993</v>
      </c>
      <c r="B66" s="28">
        <v>3</v>
      </c>
      <c r="C66" s="29">
        <v>102202.90030377499</v>
      </c>
      <c r="D66" s="30">
        <v>3.2832219534139298E-2</v>
      </c>
      <c r="E66" s="29">
        <v>98990.793364069497</v>
      </c>
      <c r="F66" s="30">
        <v>2.6464607651821299E-2</v>
      </c>
      <c r="G66" s="29">
        <v>69083.943215248306</v>
      </c>
      <c r="H66" s="30">
        <v>2.9020983917722201E-2</v>
      </c>
      <c r="I66" s="29">
        <v>56874.225595740601</v>
      </c>
      <c r="J66" s="30">
        <v>3.0233793975096301E-2</v>
      </c>
      <c r="K66" s="29">
        <v>12209.717619507701</v>
      </c>
      <c r="L66" s="30">
        <v>2.3409004001463798E-2</v>
      </c>
      <c r="M66" s="29">
        <v>29906.850148821199</v>
      </c>
      <c r="N66" s="30">
        <v>2.0607734142205101E-2</v>
      </c>
      <c r="O66" s="29">
        <v>27189.9293555355</v>
      </c>
      <c r="P66" s="30">
        <v>-2.50549965029432E-2</v>
      </c>
      <c r="Q66" s="29">
        <v>12041.421865525699</v>
      </c>
      <c r="R66" s="30">
        <v>-4.0760986802261999E-2</v>
      </c>
      <c r="S66" s="29">
        <v>15148.507490009801</v>
      </c>
      <c r="T66" s="30">
        <v>-1.2198696081243601E-2</v>
      </c>
      <c r="U66" s="29">
        <v>2366.0042353993599</v>
      </c>
      <c r="V66" s="30"/>
      <c r="W66" s="29">
        <v>350.916557886318</v>
      </c>
      <c r="X66" s="30"/>
      <c r="Y66" s="29">
        <v>3212.1069397057699</v>
      </c>
      <c r="Z66" s="30"/>
      <c r="AA66" s="29">
        <v>39016.0971651777</v>
      </c>
      <c r="AB66" s="30">
        <v>5.2104963804655603E-3</v>
      </c>
      <c r="AC66" s="29">
        <v>25923.720185057799</v>
      </c>
      <c r="AD66" s="30">
        <v>-3.9234737184298797E-2</v>
      </c>
      <c r="AE66" s="29">
        <v>22401.387586372701</v>
      </c>
      <c r="AF66" s="30">
        <v>-5.1163639324959299E-3</v>
      </c>
      <c r="AG66" s="29">
        <v>20659.9961758881</v>
      </c>
      <c r="AH66" s="30">
        <v>1.0504495325137199E-2</v>
      </c>
      <c r="AI66" s="29">
        <v>13092.3769801199</v>
      </c>
      <c r="AJ66" s="30">
        <v>0.106570293043563</v>
      </c>
      <c r="AK66" s="29">
        <v>35803.990225472</v>
      </c>
      <c r="AL66" s="30">
        <v>-1.3621290898335499E-2</v>
      </c>
      <c r="AM66" s="29">
        <v>26019.8687981025</v>
      </c>
      <c r="AN66" s="30">
        <v>-3.4038731029546999E-2</v>
      </c>
      <c r="AO66" s="29">
        <v>22088.376853375299</v>
      </c>
      <c r="AP66" s="30">
        <v>-1.05242354504291E-2</v>
      </c>
      <c r="AQ66" s="29">
        <v>20795.782936213</v>
      </c>
      <c r="AR66" s="30">
        <v>-1.5637669387451699E-2</v>
      </c>
      <c r="AS66" s="29">
        <v>9784.1214273694495</v>
      </c>
      <c r="AT66" s="30">
        <v>4.5126810336057602E-2</v>
      </c>
      <c r="AU66" s="29">
        <v>130416.80043195801</v>
      </c>
      <c r="AV66" s="30">
        <v>2.12730128440628E-2</v>
      </c>
      <c r="AW66" s="29">
        <v>96273.872570783802</v>
      </c>
      <c r="AX66" s="30">
        <v>1.31502223884801E-2</v>
      </c>
      <c r="AY66" s="29">
        <v>34142.927861174503</v>
      </c>
      <c r="AZ66" s="30">
        <v>4.4894738932841599E-2</v>
      </c>
      <c r="BA66" s="29">
        <v>21050.550881054602</v>
      </c>
      <c r="BB66" s="30">
        <v>9.8871706669132493E-3</v>
      </c>
      <c r="BC66" s="29">
        <v>30579.9043635825</v>
      </c>
      <c r="BD66" s="30">
        <v>3.0208188686393599E-3</v>
      </c>
      <c r="BE66" s="29"/>
      <c r="BF66" s="30"/>
    </row>
    <row r="67" spans="1:58" x14ac:dyDescent="0.2">
      <c r="A67" s="28">
        <v>1993</v>
      </c>
      <c r="B67" s="28">
        <v>4</v>
      </c>
      <c r="C67" s="29">
        <v>105779.569349952</v>
      </c>
      <c r="D67" s="30">
        <v>4.2574418803841899E-2</v>
      </c>
      <c r="E67" s="29">
        <v>101805.788216321</v>
      </c>
      <c r="F67" s="30">
        <v>2.8608495568264398E-2</v>
      </c>
      <c r="G67" s="29">
        <v>70392.478488712804</v>
      </c>
      <c r="H67" s="30">
        <v>2.25147023072239E-2</v>
      </c>
      <c r="I67" s="29">
        <v>58021.029471921203</v>
      </c>
      <c r="J67" s="30">
        <v>1.8769492141361699E-2</v>
      </c>
      <c r="K67" s="29">
        <v>12371.449016791599</v>
      </c>
      <c r="L67" s="30">
        <v>4.0453267417449097E-2</v>
      </c>
      <c r="M67" s="29">
        <v>31413.309727608699</v>
      </c>
      <c r="N67" s="30">
        <v>4.2531075649881803E-2</v>
      </c>
      <c r="O67" s="29">
        <v>27024.743246703802</v>
      </c>
      <c r="P67" s="30">
        <v>2.14732781373967E-2</v>
      </c>
      <c r="Q67" s="29">
        <v>11239.942598027699</v>
      </c>
      <c r="R67" s="30">
        <v>2.7870439117682302E-2</v>
      </c>
      <c r="S67" s="29">
        <v>15784.800648676101</v>
      </c>
      <c r="T67" s="30">
        <v>1.6966351602543599E-2</v>
      </c>
      <c r="U67" s="29">
        <v>4006.9529773796398</v>
      </c>
      <c r="V67" s="30"/>
      <c r="W67" s="29">
        <v>381.61350352528098</v>
      </c>
      <c r="X67" s="30"/>
      <c r="Y67" s="29">
        <v>3973.78113363082</v>
      </c>
      <c r="Z67" s="30"/>
      <c r="AA67" s="29">
        <v>41449.103572361899</v>
      </c>
      <c r="AB67" s="30">
        <v>4.2128440130809498E-2</v>
      </c>
      <c r="AC67" s="29">
        <v>29187.044472484398</v>
      </c>
      <c r="AD67" s="30">
        <v>1.19756955390999E-2</v>
      </c>
      <c r="AE67" s="29">
        <v>25288.489461437599</v>
      </c>
      <c r="AF67" s="30">
        <v>4.8724661559001098E-2</v>
      </c>
      <c r="AG67" s="29">
        <v>23232.1358222614</v>
      </c>
      <c r="AH67" s="30">
        <v>4.7667461144232703E-2</v>
      </c>
      <c r="AI67" s="29">
        <v>12262.059099877501</v>
      </c>
      <c r="AJ67" s="30">
        <v>0.12168074094485699</v>
      </c>
      <c r="AK67" s="29">
        <v>37475.322438731098</v>
      </c>
      <c r="AL67" s="30">
        <v>5.0285029111234404E-3</v>
      </c>
      <c r="AM67" s="29">
        <v>27981.7626751352</v>
      </c>
      <c r="AN67" s="30">
        <v>-1.20778637042772E-2</v>
      </c>
      <c r="AO67" s="29">
        <v>23949.398536457698</v>
      </c>
      <c r="AP67" s="30">
        <v>3.2539037689814698E-2</v>
      </c>
      <c r="AQ67" s="29">
        <v>22058.452368710499</v>
      </c>
      <c r="AR67" s="30">
        <v>2.6772338230868699E-2</v>
      </c>
      <c r="AS67" s="29">
        <v>9493.5597635959202</v>
      </c>
      <c r="AT67" s="30">
        <v>5.9080272564665297E-2</v>
      </c>
      <c r="AU67" s="29">
        <v>133324.62850487899</v>
      </c>
      <c r="AV67" s="30">
        <v>3.5171442087639199E-2</v>
      </c>
      <c r="AW67" s="29">
        <v>97417.221735416606</v>
      </c>
      <c r="AX67" s="30">
        <v>2.2225585575016599E-2</v>
      </c>
      <c r="AY67" s="29">
        <v>35907.406769462497</v>
      </c>
      <c r="AZ67" s="30">
        <v>7.2004023354679494E-2</v>
      </c>
      <c r="BA67" s="29">
        <v>23645.347669584899</v>
      </c>
      <c r="BB67" s="30">
        <v>4.79362348195378E-2</v>
      </c>
      <c r="BC67" s="29">
        <v>31552.012132306401</v>
      </c>
      <c r="BD67" s="30">
        <v>3.6284104679001901E-2</v>
      </c>
      <c r="BE67" s="29"/>
      <c r="BF67" s="30"/>
    </row>
    <row r="68" spans="1:58" x14ac:dyDescent="0.2">
      <c r="A68" s="28">
        <v>1994</v>
      </c>
      <c r="B68" s="28">
        <v>1</v>
      </c>
      <c r="C68" s="29">
        <v>103613.996138203</v>
      </c>
      <c r="D68" s="30">
        <v>4.8941724458174699E-2</v>
      </c>
      <c r="E68" s="29">
        <v>97922.626793652205</v>
      </c>
      <c r="F68" s="30">
        <v>4.0668379888866499E-2</v>
      </c>
      <c r="G68" s="29">
        <v>69712.234246382402</v>
      </c>
      <c r="H68" s="30">
        <v>2.5368396914463801E-2</v>
      </c>
      <c r="I68" s="29">
        <v>57248.765075069598</v>
      </c>
      <c r="J68" s="30">
        <v>2.2121665321972201E-2</v>
      </c>
      <c r="K68" s="29">
        <v>12463.4691713128</v>
      </c>
      <c r="L68" s="30">
        <v>4.0550577992092697E-2</v>
      </c>
      <c r="M68" s="29">
        <v>28210.392547269901</v>
      </c>
      <c r="N68" s="30">
        <v>8.0510256476382699E-2</v>
      </c>
      <c r="O68" s="29">
        <v>25914.195462545998</v>
      </c>
      <c r="P68" s="30">
        <v>-5.4437891815067897E-3</v>
      </c>
      <c r="Q68" s="29">
        <v>10615.422065578499</v>
      </c>
      <c r="R68" s="30">
        <v>-2.0127152839801599E-2</v>
      </c>
      <c r="S68" s="29">
        <v>15298.773396967499</v>
      </c>
      <c r="T68" s="30">
        <v>5.00594192788828E-3</v>
      </c>
      <c r="U68" s="29">
        <v>3102.4855804414801</v>
      </c>
      <c r="V68" s="30"/>
      <c r="W68" s="29">
        <v>-806.28849571763601</v>
      </c>
      <c r="X68" s="30"/>
      <c r="Y68" s="29">
        <v>5691.3693445511999</v>
      </c>
      <c r="Z68" s="30"/>
      <c r="AA68" s="29">
        <v>41540.083830035102</v>
      </c>
      <c r="AB68" s="30">
        <v>-9.4833703120107398E-3</v>
      </c>
      <c r="AC68" s="29">
        <v>28527.024262804702</v>
      </c>
      <c r="AD68" s="30">
        <v>-3.5440839841347299E-2</v>
      </c>
      <c r="AE68" s="29">
        <v>24805.7660177496</v>
      </c>
      <c r="AF68" s="30">
        <v>3.5164520041534898E-2</v>
      </c>
      <c r="AG68" s="29">
        <v>22492.679911590101</v>
      </c>
      <c r="AH68" s="30">
        <v>5.7904262239582199E-2</v>
      </c>
      <c r="AI68" s="29">
        <v>13013.059567230401</v>
      </c>
      <c r="AJ68" s="30">
        <v>5.2614983058366899E-2</v>
      </c>
      <c r="AK68" s="29">
        <v>35848.714485483899</v>
      </c>
      <c r="AL68" s="30">
        <v>-3.7725353668378502E-2</v>
      </c>
      <c r="AM68" s="29">
        <v>26300.318786982702</v>
      </c>
      <c r="AN68" s="30">
        <v>-6.7866880635656296E-2</v>
      </c>
      <c r="AO68" s="29">
        <v>23002.293119106002</v>
      </c>
      <c r="AP68" s="30">
        <v>1.6941712740833802E-2</v>
      </c>
      <c r="AQ68" s="29">
        <v>21506.626184297598</v>
      </c>
      <c r="AR68" s="30">
        <v>1.69141951489022E-2</v>
      </c>
      <c r="AS68" s="29">
        <v>9548.3956985011191</v>
      </c>
      <c r="AT68" s="30">
        <v>5.6361864801328397E-2</v>
      </c>
      <c r="AU68" s="29">
        <v>131566.53244056099</v>
      </c>
      <c r="AV68" s="30">
        <v>2.7470749821623799E-2</v>
      </c>
      <c r="AW68" s="29">
        <v>95626.429708928394</v>
      </c>
      <c r="AX68" s="30">
        <v>1.6831462541864201E-2</v>
      </c>
      <c r="AY68" s="29">
        <v>35940.102731632302</v>
      </c>
      <c r="AZ68" s="30">
        <v>5.68942073479601E-2</v>
      </c>
      <c r="BA68" s="29">
        <v>22927.043164401901</v>
      </c>
      <c r="BB68" s="30">
        <v>5.9338547531951398E-2</v>
      </c>
      <c r="BC68" s="29">
        <v>31055.021882798701</v>
      </c>
      <c r="BD68" s="30">
        <v>2.8725743027981698E-2</v>
      </c>
      <c r="BE68" s="29"/>
      <c r="BF68" s="30"/>
    </row>
    <row r="69" spans="1:58" x14ac:dyDescent="0.2">
      <c r="A69" s="28">
        <v>1994</v>
      </c>
      <c r="B69" s="28">
        <v>2</v>
      </c>
      <c r="C69" s="29">
        <v>103532.204743637</v>
      </c>
      <c r="D69" s="30">
        <v>1.9443379348063901E-2</v>
      </c>
      <c r="E69" s="29">
        <v>102039.628623483</v>
      </c>
      <c r="F69" s="30">
        <v>2.5463938780868601E-2</v>
      </c>
      <c r="G69" s="29">
        <v>68964.900644710404</v>
      </c>
      <c r="H69" s="30">
        <v>8.5023946695690408E-3</v>
      </c>
      <c r="I69" s="29">
        <v>56664.188907797899</v>
      </c>
      <c r="J69" s="30">
        <v>7.6290140587409504E-3</v>
      </c>
      <c r="K69" s="29">
        <v>12300.711736912501</v>
      </c>
      <c r="L69" s="30">
        <v>1.2545320635292101E-2</v>
      </c>
      <c r="M69" s="29">
        <v>33074.727978772702</v>
      </c>
      <c r="N69" s="30">
        <v>6.2732644211629607E-2</v>
      </c>
      <c r="O69" s="29">
        <v>28704.5365957473</v>
      </c>
      <c r="P69" s="30">
        <v>3.8882733831933997E-2</v>
      </c>
      <c r="Q69" s="29">
        <v>12782.5901463601</v>
      </c>
      <c r="R69" s="30">
        <v>9.1843084292170293E-2</v>
      </c>
      <c r="S69" s="29">
        <v>15921.9464493872</v>
      </c>
      <c r="T69" s="30">
        <v>-5.6619745808728097E-5</v>
      </c>
      <c r="U69" s="29">
        <v>3675.1755846178598</v>
      </c>
      <c r="V69" s="30"/>
      <c r="W69" s="29">
        <v>695.01579840751901</v>
      </c>
      <c r="X69" s="30"/>
      <c r="Y69" s="29">
        <v>1492.5761201540099</v>
      </c>
      <c r="Z69" s="30"/>
      <c r="AA69" s="29">
        <v>40318.8935215604</v>
      </c>
      <c r="AB69" s="30">
        <v>-1.12951354326039E-2</v>
      </c>
      <c r="AC69" s="29">
        <v>28298.889598468199</v>
      </c>
      <c r="AD69" s="30">
        <v>-6.2202952440397804E-3</v>
      </c>
      <c r="AE69" s="29">
        <v>24298.736478853301</v>
      </c>
      <c r="AF69" s="30">
        <v>-1.2843827815903699E-2</v>
      </c>
      <c r="AG69" s="29">
        <v>22093.621136007801</v>
      </c>
      <c r="AH69" s="30">
        <v>6.6136911263641202E-3</v>
      </c>
      <c r="AI69" s="29">
        <v>12020.003923092199</v>
      </c>
      <c r="AJ69" s="30">
        <v>-2.3040689511879299E-2</v>
      </c>
      <c r="AK69" s="29">
        <v>38826.317401406399</v>
      </c>
      <c r="AL69" s="30">
        <v>2.5453966945896398E-3</v>
      </c>
      <c r="AM69" s="29">
        <v>28950.740161432499</v>
      </c>
      <c r="AN69" s="30">
        <v>-9.4571350157374202E-3</v>
      </c>
      <c r="AO69" s="29">
        <v>23819.366503407698</v>
      </c>
      <c r="AP69" s="30">
        <v>1.00712353764323E-2</v>
      </c>
      <c r="AQ69" s="29">
        <v>22508.3796267168</v>
      </c>
      <c r="AR69" s="30">
        <v>3.4017604121940201E-2</v>
      </c>
      <c r="AS69" s="29">
        <v>9875.5772399738999</v>
      </c>
      <c r="AT69" s="30">
        <v>3.9469373312145201E-2</v>
      </c>
      <c r="AU69" s="29">
        <v>132240.98602571001</v>
      </c>
      <c r="AV69" s="30">
        <v>1.2173625339282099E-2</v>
      </c>
      <c r="AW69" s="29">
        <v>97669.437240457701</v>
      </c>
      <c r="AX69" s="30">
        <v>1.72450534989919E-2</v>
      </c>
      <c r="AY69" s="29">
        <v>34571.548785252198</v>
      </c>
      <c r="AZ69" s="30">
        <v>-1.8844338982380001E-3</v>
      </c>
      <c r="BA69" s="29">
        <v>22551.544862160001</v>
      </c>
      <c r="BB69" s="30">
        <v>9.7705951613482594E-3</v>
      </c>
      <c r="BC69" s="29">
        <v>32383.9568666907</v>
      </c>
      <c r="BD69" s="30">
        <v>3.5674065987367103E-2</v>
      </c>
      <c r="BE69" s="29"/>
      <c r="BF69" s="30"/>
    </row>
    <row r="70" spans="1:58" x14ac:dyDescent="0.2">
      <c r="A70" s="28">
        <v>1994</v>
      </c>
      <c r="B70" s="28">
        <v>3</v>
      </c>
      <c r="C70" s="29">
        <v>104057.660913859</v>
      </c>
      <c r="D70" s="30">
        <v>1.8147827552555298E-2</v>
      </c>
      <c r="E70" s="29">
        <v>100417.425751848</v>
      </c>
      <c r="F70" s="30">
        <v>1.4411768400840901E-2</v>
      </c>
      <c r="G70" s="29">
        <v>69613.902637968597</v>
      </c>
      <c r="H70" s="30">
        <v>7.6712387575961199E-3</v>
      </c>
      <c r="I70" s="29">
        <v>57065.194905534503</v>
      </c>
      <c r="J70" s="30">
        <v>3.35774786897858E-3</v>
      </c>
      <c r="K70" s="29">
        <v>12548.707732434101</v>
      </c>
      <c r="L70" s="30">
        <v>2.77639601086976E-2</v>
      </c>
      <c r="M70" s="29">
        <v>30803.523113879299</v>
      </c>
      <c r="N70" s="30">
        <v>2.9982193397034802E-2</v>
      </c>
      <c r="O70" s="29">
        <v>28769.516048769401</v>
      </c>
      <c r="P70" s="30">
        <v>5.80945493671274E-2</v>
      </c>
      <c r="Q70" s="29">
        <v>13399.108037124601</v>
      </c>
      <c r="R70" s="30">
        <v>0.11275131680968201</v>
      </c>
      <c r="S70" s="29">
        <v>15370.4080116448</v>
      </c>
      <c r="T70" s="30">
        <v>1.46483422067343E-2</v>
      </c>
      <c r="U70" s="29">
        <v>2749.3135716732099</v>
      </c>
      <c r="V70" s="30"/>
      <c r="W70" s="29">
        <v>-715.306506563276</v>
      </c>
      <c r="X70" s="30"/>
      <c r="Y70" s="29">
        <v>3640.2351620111799</v>
      </c>
      <c r="Z70" s="30"/>
      <c r="AA70" s="29">
        <v>39615.344349522202</v>
      </c>
      <c r="AB70" s="30">
        <v>1.53589730363728E-2</v>
      </c>
      <c r="AC70" s="29">
        <v>26986.3977034706</v>
      </c>
      <c r="AD70" s="30">
        <v>4.0992477577553602E-2</v>
      </c>
      <c r="AE70" s="29">
        <v>23303.645382293798</v>
      </c>
      <c r="AF70" s="30">
        <v>4.0276870905530601E-2</v>
      </c>
      <c r="AG70" s="29">
        <v>21493.672894840201</v>
      </c>
      <c r="AH70" s="30">
        <v>4.0352220390296401E-2</v>
      </c>
      <c r="AI70" s="29">
        <v>12628.9466460516</v>
      </c>
      <c r="AJ70" s="30">
        <v>-3.5396959220772801E-2</v>
      </c>
      <c r="AK70" s="29">
        <v>35975.109187511</v>
      </c>
      <c r="AL70" s="30">
        <v>4.77932657677127E-3</v>
      </c>
      <c r="AM70" s="29">
        <v>25947.3214560374</v>
      </c>
      <c r="AN70" s="30">
        <v>-2.78815172467162E-3</v>
      </c>
      <c r="AO70" s="29">
        <v>22979.706296137701</v>
      </c>
      <c r="AP70" s="30">
        <v>4.0352871950672102E-2</v>
      </c>
      <c r="AQ70" s="29">
        <v>21652.263880812301</v>
      </c>
      <c r="AR70" s="30">
        <v>4.11853185439746E-2</v>
      </c>
      <c r="AS70" s="29">
        <v>10027.7877314737</v>
      </c>
      <c r="AT70" s="30">
        <v>2.4904260020996799E-2</v>
      </c>
      <c r="AU70" s="29">
        <v>132988.39895447201</v>
      </c>
      <c r="AV70" s="30">
        <v>1.9718307104575901E-2</v>
      </c>
      <c r="AW70" s="29">
        <v>98383.418686738005</v>
      </c>
      <c r="AX70" s="30">
        <v>2.1911927500404899E-2</v>
      </c>
      <c r="AY70" s="29">
        <v>34604.980267733903</v>
      </c>
      <c r="AZ70" s="30">
        <v>1.35328876433216E-2</v>
      </c>
      <c r="BA70" s="29">
        <v>21976.0336216822</v>
      </c>
      <c r="BB70" s="30">
        <v>4.3964775357044697E-2</v>
      </c>
      <c r="BC70" s="29">
        <v>31680.051612285999</v>
      </c>
      <c r="BD70" s="30">
        <v>3.5976150730335998E-2</v>
      </c>
      <c r="BE70" s="29"/>
      <c r="BF70" s="30"/>
    </row>
    <row r="71" spans="1:58" x14ac:dyDescent="0.2">
      <c r="A71" s="28">
        <v>1994</v>
      </c>
      <c r="B71" s="28">
        <v>4</v>
      </c>
      <c r="C71" s="29">
        <v>107197.905315187</v>
      </c>
      <c r="D71" s="30">
        <v>1.34084112267716E-2</v>
      </c>
      <c r="E71" s="29">
        <v>103644.403921205</v>
      </c>
      <c r="F71" s="30">
        <v>1.8060031134737E-2</v>
      </c>
      <c r="G71" s="29">
        <v>71203.530137434806</v>
      </c>
      <c r="H71" s="30">
        <v>1.1521851000772401E-2</v>
      </c>
      <c r="I71" s="29">
        <v>58603.8612309542</v>
      </c>
      <c r="J71" s="30">
        <v>1.00451812788855E-2</v>
      </c>
      <c r="K71" s="29">
        <v>12599.6689064806</v>
      </c>
      <c r="L71" s="30">
        <v>1.8447304707740499E-2</v>
      </c>
      <c r="M71" s="29">
        <v>32440.873783769799</v>
      </c>
      <c r="N71" s="30">
        <v>3.2711104467226602E-2</v>
      </c>
      <c r="O71" s="29">
        <v>28163.423075887298</v>
      </c>
      <c r="P71" s="30">
        <v>4.2134714057734599E-2</v>
      </c>
      <c r="Q71" s="29">
        <v>12239.0040595175</v>
      </c>
      <c r="R71" s="30">
        <v>8.8884925592513694E-2</v>
      </c>
      <c r="S71" s="29">
        <v>15924.4190163698</v>
      </c>
      <c r="T71" s="30">
        <v>8.8451144110868202E-3</v>
      </c>
      <c r="U71" s="29">
        <v>4367.3203899108903</v>
      </c>
      <c r="V71" s="30"/>
      <c r="W71" s="29">
        <v>-89.869682028365801</v>
      </c>
      <c r="X71" s="30"/>
      <c r="Y71" s="29">
        <v>3553.5013939825899</v>
      </c>
      <c r="Z71" s="30"/>
      <c r="AA71" s="29">
        <v>42702.604184898097</v>
      </c>
      <c r="AB71" s="30">
        <v>3.0241923334911599E-2</v>
      </c>
      <c r="AC71" s="29">
        <v>31150.309306804898</v>
      </c>
      <c r="AD71" s="30">
        <v>6.7264941339688605E-2</v>
      </c>
      <c r="AE71" s="29">
        <v>26584.472992651601</v>
      </c>
      <c r="AF71" s="30">
        <v>5.1247961377454999E-2</v>
      </c>
      <c r="AG71" s="29">
        <v>24570.580729091402</v>
      </c>
      <c r="AH71" s="30">
        <v>5.7611788992187198E-2</v>
      </c>
      <c r="AI71" s="29">
        <v>11552.2948780931</v>
      </c>
      <c r="AJ71" s="30">
        <v>-5.7882955546304501E-2</v>
      </c>
      <c r="AK71" s="29">
        <v>39149.102790915502</v>
      </c>
      <c r="AL71" s="30">
        <v>4.4663534381082198E-2</v>
      </c>
      <c r="AM71" s="29">
        <v>29436.8382255955</v>
      </c>
      <c r="AN71" s="30">
        <v>5.2000853818738202E-2</v>
      </c>
      <c r="AO71" s="29">
        <v>25022.599249396699</v>
      </c>
      <c r="AP71" s="30">
        <v>4.48111760011543E-2</v>
      </c>
      <c r="AQ71" s="29">
        <v>23466.9702808373</v>
      </c>
      <c r="AR71" s="30">
        <v>6.3853886418830899E-2</v>
      </c>
      <c r="AS71" s="29">
        <v>9712.2645653199907</v>
      </c>
      <c r="AT71" s="30">
        <v>2.3037175429465599E-2</v>
      </c>
      <c r="AU71" s="29">
        <v>136009.81977143401</v>
      </c>
      <c r="AV71" s="30">
        <v>2.0140249379778902E-2</v>
      </c>
      <c r="AW71" s="29">
        <v>99366.953213322195</v>
      </c>
      <c r="AX71" s="30">
        <v>2.0014238172394401E-2</v>
      </c>
      <c r="AY71" s="29">
        <v>36642.866558111498</v>
      </c>
      <c r="AZ71" s="30">
        <v>2.04821192844955E-2</v>
      </c>
      <c r="BA71" s="29">
        <v>25090.5716800183</v>
      </c>
      <c r="BB71" s="30">
        <v>6.1120861094057899E-2</v>
      </c>
      <c r="BC71" s="29">
        <v>33179.234846157298</v>
      </c>
      <c r="BD71" s="30">
        <v>5.1572708169213201E-2</v>
      </c>
      <c r="BE71" s="29"/>
      <c r="BF71" s="30"/>
    </row>
    <row r="72" spans="1:58" x14ac:dyDescent="0.2">
      <c r="A72" s="28">
        <v>1995</v>
      </c>
      <c r="B72" s="28">
        <v>1</v>
      </c>
      <c r="C72" s="29">
        <v>103647.486476338</v>
      </c>
      <c r="D72" s="30">
        <v>3.23222145487634E-4</v>
      </c>
      <c r="E72" s="29">
        <v>100067.92152192599</v>
      </c>
      <c r="F72" s="30">
        <v>2.19080594395691E-2</v>
      </c>
      <c r="G72" s="29">
        <v>70527.6379045879</v>
      </c>
      <c r="H72" s="30">
        <v>1.1696708146286899E-2</v>
      </c>
      <c r="I72" s="29">
        <v>57994.415136596297</v>
      </c>
      <c r="J72" s="30">
        <v>1.3024736176385599E-2</v>
      </c>
      <c r="K72" s="29">
        <v>12533.2227679916</v>
      </c>
      <c r="L72" s="30">
        <v>5.5966437369958698E-3</v>
      </c>
      <c r="M72" s="29">
        <v>29540.283617338398</v>
      </c>
      <c r="N72" s="30">
        <v>4.7141884602993199E-2</v>
      </c>
      <c r="O72" s="29">
        <v>26716.9831325821</v>
      </c>
      <c r="P72" s="30">
        <v>3.09786839107682E-2</v>
      </c>
      <c r="Q72" s="29">
        <v>10379.088191687901</v>
      </c>
      <c r="R72" s="30">
        <v>-2.2263257403297598E-2</v>
      </c>
      <c r="S72" s="29">
        <v>16337.894940894201</v>
      </c>
      <c r="T72" s="30">
        <v>6.7921886086153002E-2</v>
      </c>
      <c r="U72" s="29">
        <v>3767.40183187311</v>
      </c>
      <c r="V72" s="30"/>
      <c r="W72" s="29">
        <v>-944.10134711681906</v>
      </c>
      <c r="X72" s="30"/>
      <c r="Y72" s="29">
        <v>3579.5649544114899</v>
      </c>
      <c r="Z72" s="30"/>
      <c r="AA72" s="29">
        <v>42076.300323560703</v>
      </c>
      <c r="AB72" s="30">
        <v>1.29084114447047E-2</v>
      </c>
      <c r="AC72" s="29">
        <v>29918.128087962599</v>
      </c>
      <c r="AD72" s="30">
        <v>4.87644211447507E-2</v>
      </c>
      <c r="AE72" s="29">
        <v>24676.600822244101</v>
      </c>
      <c r="AF72" s="30">
        <v>-5.2070633663587901E-3</v>
      </c>
      <c r="AG72" s="29">
        <v>22867.893954252901</v>
      </c>
      <c r="AH72" s="30">
        <v>1.6681606822200899E-2</v>
      </c>
      <c r="AI72" s="29">
        <v>12158.1722355981</v>
      </c>
      <c r="AJ72" s="30">
        <v>-6.5694568384602095E-2</v>
      </c>
      <c r="AK72" s="29">
        <v>38496.735369149203</v>
      </c>
      <c r="AL72" s="30">
        <v>7.38665506328708E-2</v>
      </c>
      <c r="AM72" s="29">
        <v>28971.6505313954</v>
      </c>
      <c r="AN72" s="30">
        <v>0.10157031806530099</v>
      </c>
      <c r="AO72" s="29">
        <v>24198.9618166412</v>
      </c>
      <c r="AP72" s="30">
        <v>5.2023886981131598E-2</v>
      </c>
      <c r="AQ72" s="29">
        <v>23410.565154170199</v>
      </c>
      <c r="AR72" s="30">
        <v>8.8528017065860901E-2</v>
      </c>
      <c r="AS72" s="29">
        <v>9525.0848377538005</v>
      </c>
      <c r="AT72" s="30">
        <v>-2.4413379465384501E-3</v>
      </c>
      <c r="AU72" s="29">
        <v>132815.73463638901</v>
      </c>
      <c r="AV72" s="30">
        <v>9.4948325585182403E-3</v>
      </c>
      <c r="AW72" s="29">
        <v>97244.62103717</v>
      </c>
      <c r="AX72" s="30">
        <v>1.6922009251701099E-2</v>
      </c>
      <c r="AY72" s="29">
        <v>35571.113599218697</v>
      </c>
      <c r="AZ72" s="30">
        <v>-1.0266780124945399E-2</v>
      </c>
      <c r="BA72" s="29">
        <v>23412.941363620601</v>
      </c>
      <c r="BB72" s="30">
        <v>2.1193234371065E-2</v>
      </c>
      <c r="BC72" s="29">
        <v>32935.649991924001</v>
      </c>
      <c r="BD72" s="30">
        <v>6.0557938623348802E-2</v>
      </c>
      <c r="BE72" s="29"/>
      <c r="BF72" s="30"/>
    </row>
    <row r="73" spans="1:58" x14ac:dyDescent="0.2">
      <c r="A73" s="28">
        <v>1995</v>
      </c>
      <c r="B73" s="28">
        <v>2</v>
      </c>
      <c r="C73" s="29">
        <v>105210.540632602</v>
      </c>
      <c r="D73" s="30">
        <v>1.6210761599450899E-2</v>
      </c>
      <c r="E73" s="29">
        <v>102864.78037956099</v>
      </c>
      <c r="F73" s="30">
        <v>8.0865813332495796E-3</v>
      </c>
      <c r="G73" s="29">
        <v>70566.880786198599</v>
      </c>
      <c r="H73" s="30">
        <v>2.3228919733259801E-2</v>
      </c>
      <c r="I73" s="29">
        <v>58022.146573619299</v>
      </c>
      <c r="J73" s="30">
        <v>2.3965006682280701E-2</v>
      </c>
      <c r="K73" s="29">
        <v>12544.7342125793</v>
      </c>
      <c r="L73" s="30">
        <v>1.98380777377734E-2</v>
      </c>
      <c r="M73" s="29">
        <v>32297.899593362799</v>
      </c>
      <c r="N73" s="30">
        <v>-2.3487068008795398E-2</v>
      </c>
      <c r="O73" s="29">
        <v>28951.217223414798</v>
      </c>
      <c r="P73" s="30">
        <v>8.5937854054780605E-3</v>
      </c>
      <c r="Q73" s="29">
        <v>12441.5780680145</v>
      </c>
      <c r="R73" s="30">
        <v>-2.66778543660505E-2</v>
      </c>
      <c r="S73" s="29">
        <v>16509.639155400298</v>
      </c>
      <c r="T73" s="30">
        <v>3.6910858096477699E-2</v>
      </c>
      <c r="U73" s="29">
        <v>3075.8147069296101</v>
      </c>
      <c r="V73" s="30"/>
      <c r="W73" s="29">
        <v>270.86766301839799</v>
      </c>
      <c r="X73" s="30"/>
      <c r="Y73" s="29">
        <v>2345.7602530402701</v>
      </c>
      <c r="Z73" s="30"/>
      <c r="AA73" s="29">
        <v>41515.785607138503</v>
      </c>
      <c r="AB73" s="30">
        <v>2.9685638196844399E-2</v>
      </c>
      <c r="AC73" s="29">
        <v>29417.5318038023</v>
      </c>
      <c r="AD73" s="30">
        <v>3.9529544134294402E-2</v>
      </c>
      <c r="AE73" s="29">
        <v>25031.1816134902</v>
      </c>
      <c r="AF73" s="30">
        <v>3.01433424439299E-2</v>
      </c>
      <c r="AG73" s="29">
        <v>23172.5282801908</v>
      </c>
      <c r="AH73" s="30">
        <v>4.8833422893480798E-2</v>
      </c>
      <c r="AI73" s="29">
        <v>12098.2538033362</v>
      </c>
      <c r="AJ73" s="30">
        <v>6.5099712732730203E-3</v>
      </c>
      <c r="AK73" s="29">
        <v>39170.025354098201</v>
      </c>
      <c r="AL73" s="30">
        <v>8.8524479192411097E-3</v>
      </c>
      <c r="AM73" s="29">
        <v>29406.833992555999</v>
      </c>
      <c r="AN73" s="30">
        <v>1.57541336967644E-2</v>
      </c>
      <c r="AO73" s="29">
        <v>24622.259695148099</v>
      </c>
      <c r="AP73" s="30">
        <v>3.3707579570827498E-2</v>
      </c>
      <c r="AQ73" s="29">
        <v>23451.687829250299</v>
      </c>
      <c r="AR73" s="30">
        <v>4.1909200847751099E-2</v>
      </c>
      <c r="AS73" s="29">
        <v>9763.1913615422709</v>
      </c>
      <c r="AT73" s="30">
        <v>-1.1380183223792899E-2</v>
      </c>
      <c r="AU73" s="29">
        <v>135349.60511646501</v>
      </c>
      <c r="AV73" s="30">
        <v>2.3507228614813899E-2</v>
      </c>
      <c r="AW73" s="29">
        <v>99518.098009613401</v>
      </c>
      <c r="AX73" s="30">
        <v>1.8927730325755999E-2</v>
      </c>
      <c r="AY73" s="29">
        <v>35831.507106851197</v>
      </c>
      <c r="AZ73" s="30">
        <v>3.6444948689615002E-2</v>
      </c>
      <c r="BA73" s="29">
        <v>23733.253303515001</v>
      </c>
      <c r="BB73" s="30">
        <v>5.2400332153647901E-2</v>
      </c>
      <c r="BC73" s="29">
        <v>33214.879190792497</v>
      </c>
      <c r="BD73" s="30">
        <v>2.5658455744688599E-2</v>
      </c>
      <c r="BE73" s="29"/>
      <c r="BF73" s="30"/>
    </row>
    <row r="74" spans="1:58" x14ac:dyDescent="0.2">
      <c r="A74" s="28">
        <v>1995</v>
      </c>
      <c r="B74" s="28">
        <v>3</v>
      </c>
      <c r="C74" s="29">
        <v>105925.53384225701</v>
      </c>
      <c r="D74" s="30">
        <v>1.7950364365232799E-2</v>
      </c>
      <c r="E74" s="29">
        <v>101849.519982515</v>
      </c>
      <c r="F74" s="30">
        <v>1.42614115024842E-2</v>
      </c>
      <c r="G74" s="29">
        <v>71211.612067044698</v>
      </c>
      <c r="H74" s="30">
        <v>2.29510107684241E-2</v>
      </c>
      <c r="I74" s="29">
        <v>58589.320376747397</v>
      </c>
      <c r="J74" s="30">
        <v>2.6708494972038602E-2</v>
      </c>
      <c r="K74" s="29">
        <v>12622.291690297299</v>
      </c>
      <c r="L74" s="30">
        <v>5.8638673744060297E-3</v>
      </c>
      <c r="M74" s="29">
        <v>30637.9079154705</v>
      </c>
      <c r="N74" s="30">
        <v>-5.3765018305379497E-3</v>
      </c>
      <c r="O74" s="29">
        <v>28565.6842400403</v>
      </c>
      <c r="P74" s="30">
        <v>-7.0849926145302201E-3</v>
      </c>
      <c r="Q74" s="29">
        <v>12777.8863587181</v>
      </c>
      <c r="R74" s="30">
        <v>-4.63629128659424E-2</v>
      </c>
      <c r="S74" s="29">
        <v>15787.7978813222</v>
      </c>
      <c r="T74" s="30">
        <v>2.71554189948113E-2</v>
      </c>
      <c r="U74" s="29">
        <v>2313.3504502527599</v>
      </c>
      <c r="V74" s="30"/>
      <c r="W74" s="29">
        <v>-241.12677482250001</v>
      </c>
      <c r="X74" s="30"/>
      <c r="Y74" s="29">
        <v>4076.0138597415398</v>
      </c>
      <c r="Z74" s="30"/>
      <c r="AA74" s="29">
        <v>40883.139558796298</v>
      </c>
      <c r="AB74" s="30">
        <v>3.20026300437646E-2</v>
      </c>
      <c r="AC74" s="29">
        <v>27859.5758248413</v>
      </c>
      <c r="AD74" s="30">
        <v>3.2356231126707997E-2</v>
      </c>
      <c r="AE74" s="29">
        <v>23906.828837734502</v>
      </c>
      <c r="AF74" s="30">
        <v>2.5883652344753399E-2</v>
      </c>
      <c r="AG74" s="29">
        <v>22315.390516267598</v>
      </c>
      <c r="AH74" s="30">
        <v>3.8230674926884402E-2</v>
      </c>
      <c r="AI74" s="29">
        <v>13023.563733954999</v>
      </c>
      <c r="AJ74" s="30">
        <v>3.1247031044090899E-2</v>
      </c>
      <c r="AK74" s="29">
        <v>36807.125699054799</v>
      </c>
      <c r="AL74" s="30">
        <v>2.3127560425377999E-2</v>
      </c>
      <c r="AM74" s="29">
        <v>26780.1231219439</v>
      </c>
      <c r="AN74" s="30">
        <v>3.2095862662260902E-2</v>
      </c>
      <c r="AO74" s="29">
        <v>22896.113746888099</v>
      </c>
      <c r="AP74" s="30">
        <v>-3.6376683049109699E-3</v>
      </c>
      <c r="AQ74" s="29">
        <v>22039.057161418099</v>
      </c>
      <c r="AR74" s="30">
        <v>1.78638724677938E-2</v>
      </c>
      <c r="AS74" s="29">
        <v>10027.002577110899</v>
      </c>
      <c r="AT74" s="30">
        <v>-7.82978642754895E-5</v>
      </c>
      <c r="AU74" s="29">
        <v>135678.243130533</v>
      </c>
      <c r="AV74" s="30">
        <v>2.0226156546045801E-2</v>
      </c>
      <c r="AW74" s="29">
        <v>99777.296307084995</v>
      </c>
      <c r="AX74" s="30">
        <v>1.41678103785472E-2</v>
      </c>
      <c r="AY74" s="29">
        <v>35900.946823448103</v>
      </c>
      <c r="AZ74" s="30">
        <v>3.7450290267108999E-2</v>
      </c>
      <c r="BA74" s="29">
        <v>22877.383089493102</v>
      </c>
      <c r="BB74" s="30">
        <v>4.10151114312809E-2</v>
      </c>
      <c r="BC74" s="29">
        <v>32066.059738528998</v>
      </c>
      <c r="BD74" s="30">
        <v>1.21845800937195E-2</v>
      </c>
      <c r="BE74" s="29"/>
      <c r="BF74" s="30"/>
    </row>
    <row r="75" spans="1:58" x14ac:dyDescent="0.2">
      <c r="A75" s="28">
        <v>1995</v>
      </c>
      <c r="B75" s="28">
        <v>4</v>
      </c>
      <c r="C75" s="29">
        <v>108731.79454673801</v>
      </c>
      <c r="D75" s="30">
        <v>1.43089478011755E-2</v>
      </c>
      <c r="E75" s="29">
        <v>104923.470608462</v>
      </c>
      <c r="F75" s="30">
        <v>1.2340914114670001E-2</v>
      </c>
      <c r="G75" s="29">
        <v>72497.331861796803</v>
      </c>
      <c r="H75" s="30">
        <v>1.8170471630615199E-2</v>
      </c>
      <c r="I75" s="29">
        <v>59822.097320635003</v>
      </c>
      <c r="J75" s="30">
        <v>2.0787642044263598E-2</v>
      </c>
      <c r="K75" s="29">
        <v>12675.234541161801</v>
      </c>
      <c r="L75" s="30">
        <v>5.9974301897949304E-3</v>
      </c>
      <c r="M75" s="29">
        <v>32426.138746665602</v>
      </c>
      <c r="N75" s="30">
        <v>-4.5421209066065499E-4</v>
      </c>
      <c r="O75" s="29">
        <v>28458.1095660955</v>
      </c>
      <c r="P75" s="30">
        <v>1.0463447195824E-2</v>
      </c>
      <c r="Q75" s="29">
        <v>11759.386493419001</v>
      </c>
      <c r="R75" s="30">
        <v>-3.91876302815291E-2</v>
      </c>
      <c r="S75" s="29">
        <v>16698.723072676501</v>
      </c>
      <c r="T75" s="30">
        <v>4.8623692676683899E-2</v>
      </c>
      <c r="U75" s="29">
        <v>4515.5719121995799</v>
      </c>
      <c r="V75" s="30"/>
      <c r="W75" s="29">
        <v>-547.54273162945196</v>
      </c>
      <c r="X75" s="30"/>
      <c r="Y75" s="29">
        <v>3808.3239382752399</v>
      </c>
      <c r="Z75" s="30"/>
      <c r="AA75" s="29">
        <v>41539.429329494902</v>
      </c>
      <c r="AB75" s="30">
        <v>-2.72389676837206E-2</v>
      </c>
      <c r="AC75" s="29">
        <v>29784.9891572411</v>
      </c>
      <c r="AD75" s="30">
        <v>-4.3830067178997803E-2</v>
      </c>
      <c r="AE75" s="29">
        <v>25985.500506378499</v>
      </c>
      <c r="AF75" s="30">
        <v>-2.2530914434101899E-2</v>
      </c>
      <c r="AG75" s="29">
        <v>24165.206113606098</v>
      </c>
      <c r="AH75" s="30">
        <v>-1.6498373398449399E-2</v>
      </c>
      <c r="AI75" s="29">
        <v>11754.4401722538</v>
      </c>
      <c r="AJ75" s="30">
        <v>1.74982803238517E-2</v>
      </c>
      <c r="AK75" s="29">
        <v>37731.105391219702</v>
      </c>
      <c r="AL75" s="30">
        <v>-3.6220431596323703E-2</v>
      </c>
      <c r="AM75" s="29">
        <v>28018.255861373698</v>
      </c>
      <c r="AN75" s="30">
        <v>-4.8190717812495502E-2</v>
      </c>
      <c r="AO75" s="29">
        <v>24642.341877113398</v>
      </c>
      <c r="AP75" s="30">
        <v>-1.51965576594705E-2</v>
      </c>
      <c r="AQ75" s="29">
        <v>23494.862323298199</v>
      </c>
      <c r="AR75" s="30">
        <v>1.18856597707895E-3</v>
      </c>
      <c r="AS75" s="29">
        <v>9712.8495298459493</v>
      </c>
      <c r="AT75" s="30">
        <v>6.0229467805816798E-5</v>
      </c>
      <c r="AU75" s="29">
        <v>137423.93448768201</v>
      </c>
      <c r="AV75" s="30">
        <v>1.03971516073251E-2</v>
      </c>
      <c r="AW75" s="29">
        <v>100955.441427892</v>
      </c>
      <c r="AX75" s="30">
        <v>1.5986081521086201E-2</v>
      </c>
      <c r="AY75" s="29">
        <v>36468.4930597899</v>
      </c>
      <c r="AZ75" s="30">
        <v>-4.7587297256075399E-3</v>
      </c>
      <c r="BA75" s="29">
        <v>24714.052887536101</v>
      </c>
      <c r="BB75" s="30">
        <v>-1.5006385557252E-2</v>
      </c>
      <c r="BC75" s="29">
        <v>33207.711853144203</v>
      </c>
      <c r="BD75" s="30">
        <v>8.5827798980053804E-4</v>
      </c>
      <c r="BE75" s="29"/>
      <c r="BF75" s="30"/>
    </row>
    <row r="76" spans="1:58" x14ac:dyDescent="0.2">
      <c r="A76" s="28">
        <v>1996</v>
      </c>
      <c r="B76" s="28">
        <v>1</v>
      </c>
      <c r="C76" s="29">
        <v>105630.649058576</v>
      </c>
      <c r="D76" s="30">
        <v>1.91337257627648E-2</v>
      </c>
      <c r="E76" s="29">
        <v>102082.97788429599</v>
      </c>
      <c r="F76" s="30">
        <v>2.0136886344026099E-2</v>
      </c>
      <c r="G76" s="29">
        <v>72315.727764791503</v>
      </c>
      <c r="H76" s="30">
        <v>2.5353037664788799E-2</v>
      </c>
      <c r="I76" s="29">
        <v>59494.422936238698</v>
      </c>
      <c r="J76" s="30">
        <v>2.5864693972849299E-2</v>
      </c>
      <c r="K76" s="29">
        <v>12821.3048285528</v>
      </c>
      <c r="L76" s="30">
        <v>2.2985473560470902E-2</v>
      </c>
      <c r="M76" s="29">
        <v>29767.250119504799</v>
      </c>
      <c r="N76" s="30">
        <v>7.6832878487718102E-3</v>
      </c>
      <c r="O76" s="29">
        <v>26169.883221838099</v>
      </c>
      <c r="P76" s="30">
        <v>-2.0477608120235798E-2</v>
      </c>
      <c r="Q76" s="29">
        <v>9695.26971020973</v>
      </c>
      <c r="R76" s="30">
        <v>-6.5884253881355506E-2</v>
      </c>
      <c r="S76" s="29">
        <v>16474.613511628399</v>
      </c>
      <c r="T76" s="30">
        <v>8.3681876538428401E-3</v>
      </c>
      <c r="U76" s="29">
        <v>4003.2573387909501</v>
      </c>
      <c r="V76" s="30"/>
      <c r="W76" s="29">
        <v>-405.89044112430599</v>
      </c>
      <c r="X76" s="30"/>
      <c r="Y76" s="29">
        <v>3547.6711742796301</v>
      </c>
      <c r="Z76" s="30"/>
      <c r="AA76" s="29">
        <v>43208.269475191402</v>
      </c>
      <c r="AB76" s="30">
        <v>2.6902772889394699E-2</v>
      </c>
      <c r="AC76" s="29">
        <v>30145.8959535018</v>
      </c>
      <c r="AD76" s="30">
        <v>7.61303865233542E-3</v>
      </c>
      <c r="AE76" s="29">
        <v>25019.3015622889</v>
      </c>
      <c r="AF76" s="30">
        <v>1.38876801757835E-2</v>
      </c>
      <c r="AG76" s="29">
        <v>23347.233340739302</v>
      </c>
      <c r="AH76" s="30">
        <v>2.09612388200404E-2</v>
      </c>
      <c r="AI76" s="29">
        <v>13062.3735216896</v>
      </c>
      <c r="AJ76" s="30">
        <v>7.4369836894078195E-2</v>
      </c>
      <c r="AK76" s="29">
        <v>39660.598300911799</v>
      </c>
      <c r="AL76" s="30">
        <v>3.0232769625844199E-2</v>
      </c>
      <c r="AM76" s="29">
        <v>29561.914033088698</v>
      </c>
      <c r="AN76" s="30">
        <v>2.0373830653993799E-2</v>
      </c>
      <c r="AO76" s="29">
        <v>24769.4922112643</v>
      </c>
      <c r="AP76" s="30">
        <v>2.3576647582902899E-2</v>
      </c>
      <c r="AQ76" s="29">
        <v>23690.424745852899</v>
      </c>
      <c r="AR76" s="30">
        <v>1.1954414164701201E-2</v>
      </c>
      <c r="AS76" s="29">
        <v>10098.684267823</v>
      </c>
      <c r="AT76" s="30">
        <v>6.0219876236241802E-2</v>
      </c>
      <c r="AU76" s="29">
        <v>135416.500733461</v>
      </c>
      <c r="AV76" s="30">
        <v>1.9581761936507999E-2</v>
      </c>
      <c r="AW76" s="29">
        <v>98485.610986629603</v>
      </c>
      <c r="AX76" s="30">
        <v>1.2761527951096399E-2</v>
      </c>
      <c r="AY76" s="29">
        <v>36930.889746831199</v>
      </c>
      <c r="AZ76" s="30">
        <v>3.8226977174041298E-2</v>
      </c>
      <c r="BA76" s="29">
        <v>23868.5162251416</v>
      </c>
      <c r="BB76" s="30">
        <v>1.9458249796367299E-2</v>
      </c>
      <c r="BC76" s="29">
        <v>33789.109013675901</v>
      </c>
      <c r="BD76" s="30">
        <v>2.59129248082604E-2</v>
      </c>
      <c r="BE76" s="29"/>
      <c r="BF76" s="30"/>
    </row>
    <row r="77" spans="1:58" x14ac:dyDescent="0.2">
      <c r="A77" s="28">
        <v>1996</v>
      </c>
      <c r="B77" s="28">
        <v>2</v>
      </c>
      <c r="C77" s="29">
        <v>106798.651404466</v>
      </c>
      <c r="D77" s="30">
        <v>1.50945975784851E-2</v>
      </c>
      <c r="E77" s="29">
        <v>105009.399587785</v>
      </c>
      <c r="F77" s="30">
        <v>2.0848916415415801E-2</v>
      </c>
      <c r="G77" s="29">
        <v>72095.227561925494</v>
      </c>
      <c r="H77" s="30">
        <v>2.16581313882565E-2</v>
      </c>
      <c r="I77" s="29">
        <v>59238.356845913797</v>
      </c>
      <c r="J77" s="30">
        <v>2.09611388774005E-2</v>
      </c>
      <c r="K77" s="29">
        <v>12856.870716011699</v>
      </c>
      <c r="L77" s="30">
        <v>2.4881874589213E-2</v>
      </c>
      <c r="M77" s="29">
        <v>32914.172025859501</v>
      </c>
      <c r="N77" s="30">
        <v>1.9080882665920999E-2</v>
      </c>
      <c r="O77" s="29">
        <v>28078.163367677698</v>
      </c>
      <c r="P77" s="30">
        <v>-3.0156032784385899E-2</v>
      </c>
      <c r="Q77" s="29">
        <v>11461.926715458399</v>
      </c>
      <c r="R77" s="30">
        <v>-7.8740120200244096E-2</v>
      </c>
      <c r="S77" s="29">
        <v>16616.236652219301</v>
      </c>
      <c r="T77" s="30">
        <v>6.4566824153839998E-3</v>
      </c>
      <c r="U77" s="29">
        <v>3645.8990602979902</v>
      </c>
      <c r="V77" s="30"/>
      <c r="W77" s="29">
        <v>1190.10959788386</v>
      </c>
      <c r="X77" s="30"/>
      <c r="Y77" s="29">
        <v>1789.2518166806799</v>
      </c>
      <c r="Z77" s="30"/>
      <c r="AA77" s="29">
        <v>41960.728261988901</v>
      </c>
      <c r="AB77" s="30">
        <v>1.07174331002882E-2</v>
      </c>
      <c r="AC77" s="29">
        <v>29286.846011781901</v>
      </c>
      <c r="AD77" s="30">
        <v>-4.4424458480065701E-3</v>
      </c>
      <c r="AE77" s="29">
        <v>25386.028329171801</v>
      </c>
      <c r="AF77" s="30">
        <v>1.41761871716952E-2</v>
      </c>
      <c r="AG77" s="29">
        <v>23599.509709746999</v>
      </c>
      <c r="AH77" s="30">
        <v>1.8426190892652398E-2</v>
      </c>
      <c r="AI77" s="29">
        <v>12673.882250207</v>
      </c>
      <c r="AJ77" s="30">
        <v>4.75794652871371E-2</v>
      </c>
      <c r="AK77" s="29">
        <v>40171.476445308203</v>
      </c>
      <c r="AL77" s="30">
        <v>2.55667715850794E-2</v>
      </c>
      <c r="AM77" s="29">
        <v>29674.889143344801</v>
      </c>
      <c r="AN77" s="30">
        <v>9.1154032717932799E-3</v>
      </c>
      <c r="AO77" s="29">
        <v>24812.551207451099</v>
      </c>
      <c r="AP77" s="30">
        <v>7.7284341347638704E-3</v>
      </c>
      <c r="AQ77" s="29">
        <v>23323.949714683898</v>
      </c>
      <c r="AR77" s="30">
        <v>-5.4468623109949999E-3</v>
      </c>
      <c r="AS77" s="29">
        <v>10496.5873019634</v>
      </c>
      <c r="AT77" s="30">
        <v>7.5118464164295504E-2</v>
      </c>
      <c r="AU77" s="29">
        <v>136973.28936081499</v>
      </c>
      <c r="AV77" s="30">
        <v>1.1996224465917501E-2</v>
      </c>
      <c r="AW77" s="29">
        <v>100173.390929603</v>
      </c>
      <c r="AX77" s="30">
        <v>6.5846608114079599E-3</v>
      </c>
      <c r="AY77" s="29">
        <v>36799.898431211899</v>
      </c>
      <c r="AZ77" s="30">
        <v>2.7026251546519799E-2</v>
      </c>
      <c r="BA77" s="29">
        <v>24126.016181004899</v>
      </c>
      <c r="BB77" s="30">
        <v>1.6549053451163202E-2</v>
      </c>
      <c r="BC77" s="29">
        <v>33820.537016647402</v>
      </c>
      <c r="BD77" s="30">
        <v>1.8234533456400501E-2</v>
      </c>
      <c r="BE77" s="29"/>
      <c r="BF77" s="30"/>
    </row>
    <row r="78" spans="1:58" x14ac:dyDescent="0.2">
      <c r="A78" s="28">
        <v>1996</v>
      </c>
      <c r="B78" s="28">
        <v>3</v>
      </c>
      <c r="C78" s="29">
        <v>105562.178742319</v>
      </c>
      <c r="D78" s="30">
        <v>-3.4302881161648599E-3</v>
      </c>
      <c r="E78" s="29">
        <v>101721.156067595</v>
      </c>
      <c r="F78" s="30">
        <v>-1.2603291104623701E-3</v>
      </c>
      <c r="G78" s="29">
        <v>72380.076445918603</v>
      </c>
      <c r="H78" s="30">
        <v>1.6408340507357799E-2</v>
      </c>
      <c r="I78" s="29">
        <v>59510.158904817399</v>
      </c>
      <c r="J78" s="30">
        <v>1.5716832387689301E-2</v>
      </c>
      <c r="K78" s="29">
        <v>12869.9175411013</v>
      </c>
      <c r="L78" s="30">
        <v>1.96181372511233E-2</v>
      </c>
      <c r="M78" s="29">
        <v>29341.079621675999</v>
      </c>
      <c r="N78" s="30">
        <v>-4.23275733242773E-2</v>
      </c>
      <c r="O78" s="29">
        <v>27721.161441814598</v>
      </c>
      <c r="P78" s="30">
        <v>-2.9564241875989501E-2</v>
      </c>
      <c r="Q78" s="29">
        <v>11670.5848597322</v>
      </c>
      <c r="R78" s="30">
        <v>-8.6657641796159507E-2</v>
      </c>
      <c r="S78" s="29">
        <v>16050.5765820823</v>
      </c>
      <c r="T78" s="30">
        <v>1.6644417589802799E-2</v>
      </c>
      <c r="U78" s="29">
        <v>2138.3869874810598</v>
      </c>
      <c r="V78" s="30"/>
      <c r="W78" s="29">
        <v>-518.46880761963303</v>
      </c>
      <c r="X78" s="30"/>
      <c r="Y78" s="29">
        <v>3841.0226747246302</v>
      </c>
      <c r="Z78" s="30"/>
      <c r="AA78" s="29">
        <v>42425.6713018347</v>
      </c>
      <c r="AB78" s="30">
        <v>3.7730266307460097E-2</v>
      </c>
      <c r="AC78" s="29">
        <v>28959.619107927301</v>
      </c>
      <c r="AD78" s="30">
        <v>3.9485284700748101E-2</v>
      </c>
      <c r="AE78" s="29">
        <v>24507.502658411799</v>
      </c>
      <c r="AF78" s="30">
        <v>2.5125616816611001E-2</v>
      </c>
      <c r="AG78" s="29">
        <v>22639.317278714399</v>
      </c>
      <c r="AH78" s="30">
        <v>1.4515845564552E-2</v>
      </c>
      <c r="AI78" s="29">
        <v>13466.052193907501</v>
      </c>
      <c r="AJ78" s="30">
        <v>3.3975989137200902E-2</v>
      </c>
      <c r="AK78" s="29">
        <v>38584.648627110102</v>
      </c>
      <c r="AL78" s="30">
        <v>4.8292902374091E-2</v>
      </c>
      <c r="AM78" s="29">
        <v>27758.98142715</v>
      </c>
      <c r="AN78" s="30">
        <v>3.6551673072931397E-2</v>
      </c>
      <c r="AO78" s="29">
        <v>23547.3938628504</v>
      </c>
      <c r="AP78" s="30">
        <v>2.8445007006956E-2</v>
      </c>
      <c r="AQ78" s="29">
        <v>22521.663054511799</v>
      </c>
      <c r="AR78" s="30">
        <v>2.1897755859471998E-2</v>
      </c>
      <c r="AS78" s="29">
        <v>10825.6671999601</v>
      </c>
      <c r="AT78" s="30">
        <v>7.9651383023712899E-2</v>
      </c>
      <c r="AU78" s="29">
        <v>136771.12200931</v>
      </c>
      <c r="AV78" s="30">
        <v>8.0549309422119908E-3</v>
      </c>
      <c r="AW78" s="29">
        <v>100101.237887733</v>
      </c>
      <c r="AX78" s="30">
        <v>3.2466462074822698E-3</v>
      </c>
      <c r="AY78" s="29">
        <v>36669.884121576899</v>
      </c>
      <c r="AZ78" s="30">
        <v>2.14183013587439E-2</v>
      </c>
      <c r="BA78" s="29">
        <v>23203.831927669398</v>
      </c>
      <c r="BB78" s="30">
        <v>1.4269500882130101E-2</v>
      </c>
      <c r="BC78" s="29">
        <v>33347.330254471897</v>
      </c>
      <c r="BD78" s="30">
        <v>3.9957217269304297E-2</v>
      </c>
      <c r="BE78" s="29"/>
      <c r="BF78" s="30"/>
    </row>
    <row r="79" spans="1:58" x14ac:dyDescent="0.2">
      <c r="A79" s="28">
        <v>1996</v>
      </c>
      <c r="B79" s="28">
        <v>4</v>
      </c>
      <c r="C79" s="29">
        <v>108890.348796437</v>
      </c>
      <c r="D79" s="30">
        <v>1.4582142266723599E-3</v>
      </c>
      <c r="E79" s="29">
        <v>106045.45715336</v>
      </c>
      <c r="F79" s="30">
        <v>1.0693380026327399E-2</v>
      </c>
      <c r="G79" s="29">
        <v>74195.441490000303</v>
      </c>
      <c r="H79" s="30">
        <v>2.3423063781722799E-2</v>
      </c>
      <c r="I79" s="29">
        <v>61374.614946126101</v>
      </c>
      <c r="J79" s="30">
        <v>2.59522433185502E-2</v>
      </c>
      <c r="K79" s="29">
        <v>12820.8265438742</v>
      </c>
      <c r="L79" s="30">
        <v>1.1486335991628E-2</v>
      </c>
      <c r="M79" s="29">
        <v>31850.0156633595</v>
      </c>
      <c r="N79" s="30">
        <v>-1.7767242896453199E-2</v>
      </c>
      <c r="O79" s="29">
        <v>26814.555379473601</v>
      </c>
      <c r="P79" s="30">
        <v>-5.7753456279472898E-2</v>
      </c>
      <c r="Q79" s="29">
        <v>10301.4345570245</v>
      </c>
      <c r="R79" s="30">
        <v>-0.123981972801939</v>
      </c>
      <c r="S79" s="29">
        <v>16513.120822449098</v>
      </c>
      <c r="T79" s="30">
        <v>-1.1114757063734699E-2</v>
      </c>
      <c r="U79" s="29">
        <v>4243.3013964842803</v>
      </c>
      <c r="V79" s="30"/>
      <c r="W79" s="29">
        <v>792.15888740169601</v>
      </c>
      <c r="X79" s="30"/>
      <c r="Y79" s="29">
        <v>2844.8916430774002</v>
      </c>
      <c r="Z79" s="30"/>
      <c r="AA79" s="29">
        <v>44497.9774188964</v>
      </c>
      <c r="AB79" s="30">
        <v>7.1222646462808695E-2</v>
      </c>
      <c r="AC79" s="29">
        <v>31837.841204930901</v>
      </c>
      <c r="AD79" s="30">
        <v>6.8922370152710202E-2</v>
      </c>
      <c r="AE79" s="29">
        <v>26954.4792982695</v>
      </c>
      <c r="AF79" s="30">
        <v>3.72892102522E-2</v>
      </c>
      <c r="AG79" s="29">
        <v>24954.3934127227</v>
      </c>
      <c r="AH79" s="30">
        <v>3.2657999911376502E-2</v>
      </c>
      <c r="AI79" s="29">
        <v>12660.136213965399</v>
      </c>
      <c r="AJ79" s="30">
        <v>7.7051397466763705E-2</v>
      </c>
      <c r="AK79" s="29">
        <v>41653.085775819003</v>
      </c>
      <c r="AL79" s="30">
        <v>0.103945546888535</v>
      </c>
      <c r="AM79" s="29">
        <v>30972.468140970399</v>
      </c>
      <c r="AN79" s="30">
        <v>0.105438835815236</v>
      </c>
      <c r="AO79" s="29">
        <v>25352.656950985602</v>
      </c>
      <c r="AP79" s="30">
        <v>2.88249825205091E-2</v>
      </c>
      <c r="AQ79" s="29">
        <v>23932.169304887098</v>
      </c>
      <c r="AR79" s="30">
        <v>1.8612876958857799E-2</v>
      </c>
      <c r="AS79" s="29">
        <v>10680.617634848601</v>
      </c>
      <c r="AT79" s="30">
        <v>9.9637918000152106E-2</v>
      </c>
      <c r="AU79" s="29">
        <v>139259.834339689</v>
      </c>
      <c r="AV79" s="30">
        <v>1.33593893876689E-2</v>
      </c>
      <c r="AW79" s="29">
        <v>101009.99686947399</v>
      </c>
      <c r="AX79" s="30">
        <v>5.4039129352534399E-4</v>
      </c>
      <c r="AY79" s="29">
        <v>38249.837470214698</v>
      </c>
      <c r="AZ79" s="30">
        <v>4.8846120608939898E-2</v>
      </c>
      <c r="BA79" s="29">
        <v>25589.7012562493</v>
      </c>
      <c r="BB79" s="30">
        <v>3.5431192637560602E-2</v>
      </c>
      <c r="BC79" s="29">
        <v>34612.786939735597</v>
      </c>
      <c r="BD79" s="30">
        <v>4.2311710388393702E-2</v>
      </c>
      <c r="BE79" s="29"/>
      <c r="BF79" s="30"/>
    </row>
    <row r="80" spans="1:58" x14ac:dyDescent="0.2">
      <c r="A80" s="28">
        <v>1997</v>
      </c>
      <c r="B80" s="28">
        <v>1</v>
      </c>
      <c r="C80" s="29">
        <v>105123.232566288</v>
      </c>
      <c r="D80" s="30">
        <v>-4.8036862104884302E-3</v>
      </c>
      <c r="E80" s="29">
        <v>101150.18634810401</v>
      </c>
      <c r="F80" s="30">
        <v>-9.1375815588892201E-3</v>
      </c>
      <c r="G80" s="29">
        <v>73635.904072974503</v>
      </c>
      <c r="H80" s="30">
        <v>1.8255728718888E-2</v>
      </c>
      <c r="I80" s="29">
        <v>60873.267415929702</v>
      </c>
      <c r="J80" s="30">
        <v>2.3176029140894901E-2</v>
      </c>
      <c r="K80" s="29">
        <v>12762.636657044801</v>
      </c>
      <c r="L80" s="30">
        <v>-4.57583469798983E-3</v>
      </c>
      <c r="M80" s="29">
        <v>27514.282275129699</v>
      </c>
      <c r="N80" s="30">
        <v>-7.5686126038858395E-2</v>
      </c>
      <c r="O80" s="29">
        <v>25677.656618250599</v>
      </c>
      <c r="P80" s="30">
        <v>-1.8808895684212099E-2</v>
      </c>
      <c r="Q80" s="29">
        <v>9061.2808173673602</v>
      </c>
      <c r="R80" s="30">
        <v>-6.5391568444427506E-2</v>
      </c>
      <c r="S80" s="29">
        <v>16616.375800883201</v>
      </c>
      <c r="T80" s="30">
        <v>8.6048931681910207E-3</v>
      </c>
      <c r="U80" s="29">
        <v>3074.9612637322002</v>
      </c>
      <c r="V80" s="30"/>
      <c r="W80" s="29">
        <v>-1238.33560685308</v>
      </c>
      <c r="X80" s="30"/>
      <c r="Y80" s="29">
        <v>3973.0462181840599</v>
      </c>
      <c r="Z80" s="30"/>
      <c r="AA80" s="29">
        <v>47812.138265042398</v>
      </c>
      <c r="AB80" s="30">
        <v>0.106550640554915</v>
      </c>
      <c r="AC80" s="29">
        <v>33661.397026053099</v>
      </c>
      <c r="AD80" s="30">
        <v>0.11661624116177299</v>
      </c>
      <c r="AE80" s="29">
        <v>26501.0167492494</v>
      </c>
      <c r="AF80" s="30">
        <v>5.9222883711262699E-2</v>
      </c>
      <c r="AG80" s="29">
        <v>24185.225647803501</v>
      </c>
      <c r="AH80" s="30">
        <v>3.5892574286388E-2</v>
      </c>
      <c r="AI80" s="29">
        <v>14150.7412389894</v>
      </c>
      <c r="AJ80" s="30">
        <v>8.3320823393433899E-2</v>
      </c>
      <c r="AK80" s="29">
        <v>43839.092046858401</v>
      </c>
      <c r="AL80" s="30">
        <v>0.10535629629799501</v>
      </c>
      <c r="AM80" s="29">
        <v>32898.934425197098</v>
      </c>
      <c r="AN80" s="30">
        <v>0.11288241987217899</v>
      </c>
      <c r="AO80" s="29">
        <v>26661.2173583027</v>
      </c>
      <c r="AP80" s="30">
        <v>7.6373190491896503E-2</v>
      </c>
      <c r="AQ80" s="29">
        <v>25399.988446424701</v>
      </c>
      <c r="AR80" s="30">
        <v>7.2162644566811998E-2</v>
      </c>
      <c r="AS80" s="29">
        <v>10940.157621661299</v>
      </c>
      <c r="AT80" s="30">
        <v>8.3325048246073702E-2</v>
      </c>
      <c r="AU80" s="29">
        <v>138388.41737064201</v>
      </c>
      <c r="AV80" s="30">
        <v>2.1946488212915199E-2</v>
      </c>
      <c r="AW80" s="29">
        <v>99313.560691225095</v>
      </c>
      <c r="AX80" s="30">
        <v>8.4068088353317395E-3</v>
      </c>
      <c r="AY80" s="29">
        <v>39074.856679416902</v>
      </c>
      <c r="AZ80" s="30">
        <v>5.80534871291487E-2</v>
      </c>
      <c r="BA80" s="29">
        <v>24924.115440427599</v>
      </c>
      <c r="BB80" s="30">
        <v>4.4225590117495703E-2</v>
      </c>
      <c r="BC80" s="29">
        <v>36340.146068085902</v>
      </c>
      <c r="BD80" s="30">
        <v>7.5498796176528105E-2</v>
      </c>
      <c r="BE80" s="29"/>
      <c r="BF80" s="30"/>
    </row>
    <row r="81" spans="1:58" x14ac:dyDescent="0.2">
      <c r="A81" s="28">
        <v>1997</v>
      </c>
      <c r="B81" s="28">
        <v>2</v>
      </c>
      <c r="C81" s="29">
        <v>107801.777831809</v>
      </c>
      <c r="D81" s="30">
        <v>9.3926881486912101E-3</v>
      </c>
      <c r="E81" s="29">
        <v>105156.274259684</v>
      </c>
      <c r="F81" s="30">
        <v>1.3986811892590101E-3</v>
      </c>
      <c r="G81" s="29">
        <v>73525.036767727594</v>
      </c>
      <c r="H81" s="30">
        <v>1.9832230983304801E-2</v>
      </c>
      <c r="I81" s="29">
        <v>60798.608154734902</v>
      </c>
      <c r="J81" s="30">
        <v>2.6338531179713302E-2</v>
      </c>
      <c r="K81" s="29">
        <v>12726.4286129927</v>
      </c>
      <c r="L81" s="30">
        <v>-1.0145711651016199E-2</v>
      </c>
      <c r="M81" s="29">
        <v>31631.237491956301</v>
      </c>
      <c r="N81" s="30">
        <v>-3.89781803684826E-2</v>
      </c>
      <c r="O81" s="29">
        <v>28446.150651232601</v>
      </c>
      <c r="P81" s="30">
        <v>1.3105817454518699E-2</v>
      </c>
      <c r="Q81" s="29">
        <v>10835.347165916</v>
      </c>
      <c r="R81" s="30">
        <v>-5.4666162600512803E-2</v>
      </c>
      <c r="S81" s="29">
        <v>17610.803485316599</v>
      </c>
      <c r="T81" s="30">
        <v>5.9855119658789098E-2</v>
      </c>
      <c r="U81" s="29">
        <v>1757.79092670779</v>
      </c>
      <c r="V81" s="30"/>
      <c r="W81" s="29">
        <v>1427.29591401589</v>
      </c>
      <c r="X81" s="30"/>
      <c r="Y81" s="29">
        <v>2645.5035721248</v>
      </c>
      <c r="Z81" s="30"/>
      <c r="AA81" s="29">
        <v>49650.831414697801</v>
      </c>
      <c r="AB81" s="30">
        <v>0.183269058265492</v>
      </c>
      <c r="AC81" s="29">
        <v>35348.482295828697</v>
      </c>
      <c r="AD81" s="30">
        <v>0.206974703988548</v>
      </c>
      <c r="AE81" s="29">
        <v>28899.373199113899</v>
      </c>
      <c r="AF81" s="30">
        <v>0.138396791510109</v>
      </c>
      <c r="AG81" s="29">
        <v>26644.617410388699</v>
      </c>
      <c r="AH81" s="30">
        <v>0.12903266797038801</v>
      </c>
      <c r="AI81" s="29">
        <v>14302.3491188691</v>
      </c>
      <c r="AJ81" s="30">
        <v>0.12848997935384601</v>
      </c>
      <c r="AK81" s="29">
        <v>47005.327842573002</v>
      </c>
      <c r="AL81" s="30">
        <v>0.1701170084343</v>
      </c>
      <c r="AM81" s="29">
        <v>35709.300388683099</v>
      </c>
      <c r="AN81" s="30">
        <v>0.20335075949868001</v>
      </c>
      <c r="AO81" s="29">
        <v>28490.401031726</v>
      </c>
      <c r="AP81" s="30">
        <v>0.14822537970906</v>
      </c>
      <c r="AQ81" s="29">
        <v>26366.001179798899</v>
      </c>
      <c r="AR81" s="30">
        <v>0.13042608573280401</v>
      </c>
      <c r="AS81" s="29">
        <v>11296.027453889899</v>
      </c>
      <c r="AT81" s="30">
        <v>7.6161911383994002E-2</v>
      </c>
      <c r="AU81" s="29">
        <v>143706.01553879</v>
      </c>
      <c r="AV81" s="30">
        <v>4.91535700821146E-2</v>
      </c>
      <c r="AW81" s="29">
        <v>101971.18741896001</v>
      </c>
      <c r="AX81" s="30">
        <v>1.79468466892607E-2</v>
      </c>
      <c r="AY81" s="29">
        <v>41734.828119829501</v>
      </c>
      <c r="AZ81" s="30">
        <v>0.134101720357795</v>
      </c>
      <c r="BA81" s="29">
        <v>27432.4790009604</v>
      </c>
      <c r="BB81" s="30">
        <v>0.13704968093981201</v>
      </c>
      <c r="BC81" s="29">
        <v>37662.028633688802</v>
      </c>
      <c r="BD81" s="30">
        <v>0.113584583685073</v>
      </c>
      <c r="BE81" s="29"/>
      <c r="BF81" s="30"/>
    </row>
    <row r="82" spans="1:58" x14ac:dyDescent="0.2">
      <c r="A82" s="28">
        <v>1997</v>
      </c>
      <c r="B82" s="28">
        <v>3</v>
      </c>
      <c r="C82" s="29">
        <v>108474.32851150499</v>
      </c>
      <c r="D82" s="30">
        <v>2.7587056310147198E-2</v>
      </c>
      <c r="E82" s="29">
        <v>103736.252196557</v>
      </c>
      <c r="F82" s="30">
        <v>1.9810000268017901E-2</v>
      </c>
      <c r="G82" s="29">
        <v>74094.577829077796</v>
      </c>
      <c r="H82" s="30">
        <v>2.3687476821611299E-2</v>
      </c>
      <c r="I82" s="29">
        <v>61308.973035692703</v>
      </c>
      <c r="J82" s="30">
        <v>3.0227009370827E-2</v>
      </c>
      <c r="K82" s="29">
        <v>12785.6047933851</v>
      </c>
      <c r="L82" s="30">
        <v>-6.55114902227705E-3</v>
      </c>
      <c r="M82" s="29">
        <v>29641.674367479001</v>
      </c>
      <c r="N82" s="30">
        <v>1.02448427146804E-2</v>
      </c>
      <c r="O82" s="29">
        <v>28560.063163308801</v>
      </c>
      <c r="P82" s="30">
        <v>3.0262141911153999E-2</v>
      </c>
      <c r="Q82" s="29">
        <v>11130.516459995</v>
      </c>
      <c r="R82" s="30">
        <v>-4.6276035539630903E-2</v>
      </c>
      <c r="S82" s="29">
        <v>17429.546703313801</v>
      </c>
      <c r="T82" s="30">
        <v>8.5914055123155197E-2</v>
      </c>
      <c r="U82" s="29">
        <v>1298.1293960236401</v>
      </c>
      <c r="V82" s="30"/>
      <c r="W82" s="29">
        <v>-216.51819185342899</v>
      </c>
      <c r="X82" s="30"/>
      <c r="Y82" s="29">
        <v>4738.0763149486802</v>
      </c>
      <c r="Z82" s="30"/>
      <c r="AA82" s="29">
        <v>49609.118988983399</v>
      </c>
      <c r="AB82" s="30">
        <v>0.16931842129361899</v>
      </c>
      <c r="AC82" s="29">
        <v>34138.092809265203</v>
      </c>
      <c r="AD82" s="30">
        <v>0.17881705149638699</v>
      </c>
      <c r="AE82" s="29">
        <v>27788.893599680199</v>
      </c>
      <c r="AF82" s="30">
        <v>0.133893321853506</v>
      </c>
      <c r="AG82" s="29">
        <v>25730.055831731599</v>
      </c>
      <c r="AH82" s="30">
        <v>0.13652083739835699</v>
      </c>
      <c r="AI82" s="29">
        <v>15471.026179718099</v>
      </c>
      <c r="AJ82" s="30">
        <v>0.14889100063920599</v>
      </c>
      <c r="AK82" s="29">
        <v>44871.042674034703</v>
      </c>
      <c r="AL82" s="30">
        <v>0.16292474521868999</v>
      </c>
      <c r="AM82" s="29">
        <v>33174.229926483298</v>
      </c>
      <c r="AN82" s="30">
        <v>0.1950809511345</v>
      </c>
      <c r="AO82" s="29">
        <v>27538.374703584701</v>
      </c>
      <c r="AP82" s="30">
        <v>0.16948715700681699</v>
      </c>
      <c r="AQ82" s="29">
        <v>25764.935911642398</v>
      </c>
      <c r="AR82" s="30">
        <v>0.144006810211149</v>
      </c>
      <c r="AS82" s="29">
        <v>11696.812747551299</v>
      </c>
      <c r="AT82" s="30">
        <v>8.0470379469494105E-2</v>
      </c>
      <c r="AU82" s="29">
        <v>144637.94777467599</v>
      </c>
      <c r="AV82" s="30">
        <v>5.7518178178211497E-2</v>
      </c>
      <c r="AW82" s="29">
        <v>102654.64099238699</v>
      </c>
      <c r="AX82" s="30">
        <v>2.5508207076490499E-2</v>
      </c>
      <c r="AY82" s="29">
        <v>41983.306782289001</v>
      </c>
      <c r="AZ82" s="30">
        <v>0.14489881241772401</v>
      </c>
      <c r="BA82" s="29">
        <v>26512.280602570801</v>
      </c>
      <c r="BB82" s="30">
        <v>0.14258199616401401</v>
      </c>
      <c r="BC82" s="29">
        <v>37461.748659193698</v>
      </c>
      <c r="BD82" s="30">
        <v>0.123380743625497</v>
      </c>
      <c r="BE82" s="29"/>
      <c r="BF82" s="30"/>
    </row>
    <row r="83" spans="1:58" x14ac:dyDescent="0.2">
      <c r="A83" s="28">
        <v>1997</v>
      </c>
      <c r="B83" s="28">
        <v>4</v>
      </c>
      <c r="C83" s="29">
        <v>112348.15315963099</v>
      </c>
      <c r="D83" s="30">
        <v>3.1754920444398801E-2</v>
      </c>
      <c r="E83" s="29">
        <v>106374.552673315</v>
      </c>
      <c r="F83" s="30">
        <v>3.1033438752545699E-3</v>
      </c>
      <c r="G83" s="29">
        <v>76134.669311744598</v>
      </c>
      <c r="H83" s="30">
        <v>2.6136751568566399E-2</v>
      </c>
      <c r="I83" s="29">
        <v>63309.215684047202</v>
      </c>
      <c r="J83" s="30">
        <v>3.15211873772114E-2</v>
      </c>
      <c r="K83" s="29">
        <v>12825.453627697399</v>
      </c>
      <c r="L83" s="30">
        <v>3.6090370674379802E-4</v>
      </c>
      <c r="M83" s="29">
        <v>30239.883361570701</v>
      </c>
      <c r="N83" s="30">
        <v>-5.0553579590264602E-2</v>
      </c>
      <c r="O83" s="29">
        <v>28574.224999194001</v>
      </c>
      <c r="P83" s="30">
        <v>6.5623673218442494E-2</v>
      </c>
      <c r="Q83" s="29">
        <v>10166.0993101115</v>
      </c>
      <c r="R83" s="30">
        <v>-1.3137514601856101E-2</v>
      </c>
      <c r="S83" s="29">
        <v>18408.125689082499</v>
      </c>
      <c r="T83" s="30">
        <v>0.114757524456381</v>
      </c>
      <c r="U83" s="29">
        <v>2017.96379087737</v>
      </c>
      <c r="V83" s="30"/>
      <c r="W83" s="29">
        <v>-352.30542850062898</v>
      </c>
      <c r="X83" s="30"/>
      <c r="Y83" s="29">
        <v>5973.6004863156804</v>
      </c>
      <c r="Z83" s="30"/>
      <c r="AA83" s="29">
        <v>51851.800606186102</v>
      </c>
      <c r="AB83" s="30">
        <v>0.16526196501162499</v>
      </c>
      <c r="AC83" s="29">
        <v>37674.037234762101</v>
      </c>
      <c r="AD83" s="30">
        <v>0.183310042671088</v>
      </c>
      <c r="AE83" s="29">
        <v>31163.967956865701</v>
      </c>
      <c r="AF83" s="30">
        <v>0.15617028294315799</v>
      </c>
      <c r="AG83" s="29">
        <v>28679.259158278699</v>
      </c>
      <c r="AH83" s="30">
        <v>0.14926693203678301</v>
      </c>
      <c r="AI83" s="29">
        <v>14177.763371424</v>
      </c>
      <c r="AJ83" s="30">
        <v>0.119874473055387</v>
      </c>
      <c r="AK83" s="29">
        <v>45878.200119870402</v>
      </c>
      <c r="AL83" s="30">
        <v>0.101435806383984</v>
      </c>
      <c r="AM83" s="29">
        <v>34620.460104409103</v>
      </c>
      <c r="AN83" s="30">
        <v>0.117781764980271</v>
      </c>
      <c r="AO83" s="29">
        <v>29008.7267926122</v>
      </c>
      <c r="AP83" s="30">
        <v>0.14420854779421599</v>
      </c>
      <c r="AQ83" s="29">
        <v>26699.962807300501</v>
      </c>
      <c r="AR83" s="30">
        <v>0.11565159293137001</v>
      </c>
      <c r="AS83" s="29">
        <v>11257.740015461301</v>
      </c>
      <c r="AT83" s="30">
        <v>5.4034551216374897E-2</v>
      </c>
      <c r="AU83" s="29">
        <v>148287.89219151501</v>
      </c>
      <c r="AV83" s="30">
        <v>6.4828871114446004E-2</v>
      </c>
      <c r="AW83" s="29">
        <v>104708.89431093899</v>
      </c>
      <c r="AX83" s="30">
        <v>3.6619122424529998E-2</v>
      </c>
      <c r="AY83" s="29">
        <v>43578.997880576797</v>
      </c>
      <c r="AZ83" s="30">
        <v>0.13932504718515301</v>
      </c>
      <c r="BA83" s="29">
        <v>29401.234509152899</v>
      </c>
      <c r="BB83" s="30">
        <v>0.14894793865453099</v>
      </c>
      <c r="BC83" s="29">
        <v>37957.702822761799</v>
      </c>
      <c r="BD83" s="30">
        <v>9.6638155397599207E-2</v>
      </c>
      <c r="BE83" s="29"/>
      <c r="BF83" s="30"/>
    </row>
    <row r="84" spans="1:58" x14ac:dyDescent="0.2">
      <c r="A84" s="28">
        <v>1998</v>
      </c>
      <c r="B84" s="28">
        <v>1</v>
      </c>
      <c r="C84" s="29">
        <v>109152.280583389</v>
      </c>
      <c r="D84" s="30">
        <v>3.8326903756118899E-2</v>
      </c>
      <c r="E84" s="29">
        <v>106724.868001519</v>
      </c>
      <c r="F84" s="30">
        <v>5.5112915306256401E-2</v>
      </c>
      <c r="G84" s="29">
        <v>74970.519672766794</v>
      </c>
      <c r="H84" s="30">
        <v>1.8124522494756198E-2</v>
      </c>
      <c r="I84" s="29">
        <v>62127.369145304801</v>
      </c>
      <c r="J84" s="30">
        <v>2.0601846797645401E-2</v>
      </c>
      <c r="K84" s="29">
        <v>12843.150527461999</v>
      </c>
      <c r="L84" s="30">
        <v>6.3085608860307101E-3</v>
      </c>
      <c r="M84" s="29">
        <v>31754.348328752501</v>
      </c>
      <c r="N84" s="30">
        <v>0.15410418528181699</v>
      </c>
      <c r="O84" s="29">
        <v>27790.214066950299</v>
      </c>
      <c r="P84" s="30">
        <v>8.2272205758767494E-2</v>
      </c>
      <c r="Q84" s="29">
        <v>9069.3124092300695</v>
      </c>
      <c r="R84" s="30">
        <v>8.8636386230489495E-4</v>
      </c>
      <c r="S84" s="29">
        <v>18720.901657720198</v>
      </c>
      <c r="T84" s="30">
        <v>0.126653722933079</v>
      </c>
      <c r="U84" s="29">
        <v>2380.6805425658799</v>
      </c>
      <c r="V84" s="30"/>
      <c r="W84" s="29">
        <v>1583.45371923638</v>
      </c>
      <c r="X84" s="30"/>
      <c r="Y84" s="29">
        <v>2427.41258186916</v>
      </c>
      <c r="Z84" s="30"/>
      <c r="AA84" s="29">
        <v>50076.1996037055</v>
      </c>
      <c r="AB84" s="30">
        <v>4.7353275147671701E-2</v>
      </c>
      <c r="AC84" s="29">
        <v>34743.551824506401</v>
      </c>
      <c r="AD84" s="30">
        <v>3.2148243806274603E-2</v>
      </c>
      <c r="AE84" s="29">
        <v>28980.978452772299</v>
      </c>
      <c r="AF84" s="30">
        <v>9.3579870047559896E-2</v>
      </c>
      <c r="AG84" s="29">
        <v>26862.598578600198</v>
      </c>
      <c r="AH84" s="30">
        <v>0.110702830305818</v>
      </c>
      <c r="AI84" s="29">
        <v>15332.6477791991</v>
      </c>
      <c r="AJ84" s="30">
        <v>8.3522588693320396E-2</v>
      </c>
      <c r="AK84" s="29">
        <v>47648.787021836397</v>
      </c>
      <c r="AL84" s="30">
        <v>8.6901776407821305E-2</v>
      </c>
      <c r="AM84" s="29">
        <v>35487.027658060098</v>
      </c>
      <c r="AN84" s="30">
        <v>7.8667995729393897E-2</v>
      </c>
      <c r="AO84" s="29">
        <v>29227.515501172798</v>
      </c>
      <c r="AP84" s="30">
        <v>9.6255850150479105E-2</v>
      </c>
      <c r="AQ84" s="29">
        <v>26629.724524617199</v>
      </c>
      <c r="AR84" s="30">
        <v>4.8414828250272303E-2</v>
      </c>
      <c r="AS84" s="29">
        <v>12161.7593637762</v>
      </c>
      <c r="AT84" s="30">
        <v>0.11166217017716699</v>
      </c>
      <c r="AU84" s="29">
        <v>145563.08392921599</v>
      </c>
      <c r="AV84" s="30">
        <v>5.1844415124412797E-2</v>
      </c>
      <c r="AW84" s="29">
        <v>102760.733739717</v>
      </c>
      <c r="AX84" s="30">
        <v>3.4709993524546102E-2</v>
      </c>
      <c r="AY84" s="29">
        <v>42802.350189498997</v>
      </c>
      <c r="AZ84" s="30">
        <v>9.5393657887568498E-2</v>
      </c>
      <c r="BA84" s="29">
        <v>27469.702410299898</v>
      </c>
      <c r="BB84" s="30">
        <v>0.102133493000251</v>
      </c>
      <c r="BC84" s="29">
        <v>38791.483888393399</v>
      </c>
      <c r="BD84" s="30">
        <v>6.7455365086171101E-2</v>
      </c>
      <c r="BE84" s="29"/>
      <c r="BF84" s="30"/>
    </row>
    <row r="85" spans="1:58" x14ac:dyDescent="0.2">
      <c r="A85" s="28">
        <v>1998</v>
      </c>
      <c r="B85" s="28">
        <v>2</v>
      </c>
      <c r="C85" s="29">
        <v>111610.928783956</v>
      </c>
      <c r="D85" s="30">
        <v>3.5334769321615299E-2</v>
      </c>
      <c r="E85" s="29">
        <v>107333.41066559</v>
      </c>
      <c r="F85" s="30">
        <v>2.0703818400120699E-2</v>
      </c>
      <c r="G85" s="29">
        <v>75102.472174642506</v>
      </c>
      <c r="H85" s="30">
        <v>2.1454398069846899E-2</v>
      </c>
      <c r="I85" s="29">
        <v>62231.358697199903</v>
      </c>
      <c r="J85" s="30">
        <v>2.3565515493687399E-2</v>
      </c>
      <c r="K85" s="29">
        <v>12871.113477442599</v>
      </c>
      <c r="L85" s="30">
        <v>1.13688505117775E-2</v>
      </c>
      <c r="M85" s="29">
        <v>32230.938490947101</v>
      </c>
      <c r="N85" s="30">
        <v>1.8959138071765701E-2</v>
      </c>
      <c r="O85" s="29">
        <v>30458.3179553999</v>
      </c>
      <c r="P85" s="30">
        <v>7.0736013769938905E-2</v>
      </c>
      <c r="Q85" s="29">
        <v>10818.6132558145</v>
      </c>
      <c r="R85" s="30">
        <v>-1.54438153621173E-3</v>
      </c>
      <c r="S85" s="29">
        <v>19639.704699585502</v>
      </c>
      <c r="T85" s="30">
        <v>0.11520775959827501</v>
      </c>
      <c r="U85" s="29">
        <v>1646.59650474606</v>
      </c>
      <c r="V85" s="30"/>
      <c r="W85" s="29">
        <v>126.024030801113</v>
      </c>
      <c r="X85" s="30"/>
      <c r="Y85" s="29">
        <v>4277.5181183660097</v>
      </c>
      <c r="Z85" s="30"/>
      <c r="AA85" s="29">
        <v>52091.820306804097</v>
      </c>
      <c r="AB85" s="30">
        <v>4.9163102058018798E-2</v>
      </c>
      <c r="AC85" s="29">
        <v>36338.642575813101</v>
      </c>
      <c r="AD85" s="30">
        <v>2.8011394427004399E-2</v>
      </c>
      <c r="AE85" s="29">
        <v>29948.795905518298</v>
      </c>
      <c r="AF85" s="30">
        <v>3.6312991952247603E-2</v>
      </c>
      <c r="AG85" s="29">
        <v>27974.119326476099</v>
      </c>
      <c r="AH85" s="30">
        <v>4.9897579522721898E-2</v>
      </c>
      <c r="AI85" s="29">
        <v>15753.177730990999</v>
      </c>
      <c r="AJ85" s="30">
        <v>0.10143988236224399</v>
      </c>
      <c r="AK85" s="29">
        <v>47814.302188438101</v>
      </c>
      <c r="AL85" s="30">
        <v>1.7210269197024401E-2</v>
      </c>
      <c r="AM85" s="29">
        <v>35215.963899978502</v>
      </c>
      <c r="AN85" s="30">
        <v>-1.38153501562568E-2</v>
      </c>
      <c r="AO85" s="29">
        <v>30137.023617964802</v>
      </c>
      <c r="AP85" s="30">
        <v>5.77956970281042E-2</v>
      </c>
      <c r="AQ85" s="29">
        <v>27267.533909868602</v>
      </c>
      <c r="AR85" s="30">
        <v>3.4193001961952303E-2</v>
      </c>
      <c r="AS85" s="29">
        <v>12598.338288459599</v>
      </c>
      <c r="AT85" s="30">
        <v>0.115289276684717</v>
      </c>
      <c r="AU85" s="29">
        <v>149830.20447753801</v>
      </c>
      <c r="AV85" s="30">
        <v>4.26160931105561E-2</v>
      </c>
      <c r="AW85" s="29">
        <v>105560.79013004201</v>
      </c>
      <c r="AX85" s="30">
        <v>3.5202127208090697E-2</v>
      </c>
      <c r="AY85" s="29">
        <v>44269.414347495302</v>
      </c>
      <c r="AZ85" s="30">
        <v>6.0730721602314297E-2</v>
      </c>
      <c r="BA85" s="29">
        <v>28516.236616504299</v>
      </c>
      <c r="BB85" s="30">
        <v>3.9506368181527501E-2</v>
      </c>
      <c r="BC85" s="29">
        <v>39865.872198328201</v>
      </c>
      <c r="BD85" s="30">
        <v>5.85163265121635E-2</v>
      </c>
      <c r="BE85" s="29"/>
      <c r="BF85" s="30"/>
    </row>
    <row r="86" spans="1:58" x14ac:dyDescent="0.2">
      <c r="A86" s="28">
        <v>1998</v>
      </c>
      <c r="B86" s="28">
        <v>3</v>
      </c>
      <c r="C86" s="29">
        <v>110834.936418433</v>
      </c>
      <c r="D86" s="30">
        <v>2.1761903846931399E-2</v>
      </c>
      <c r="E86" s="29">
        <v>105755.724787648</v>
      </c>
      <c r="F86" s="30">
        <v>1.9467375660198401E-2</v>
      </c>
      <c r="G86" s="29">
        <v>75709.829350384098</v>
      </c>
      <c r="H86" s="30">
        <v>2.1799861320923999E-2</v>
      </c>
      <c r="I86" s="29">
        <v>62737.227908894201</v>
      </c>
      <c r="J86" s="30">
        <v>2.32960169202319E-2</v>
      </c>
      <c r="K86" s="29">
        <v>12972.6014414899</v>
      </c>
      <c r="L86" s="30">
        <v>1.4625561412748201E-2</v>
      </c>
      <c r="M86" s="29">
        <v>30045.895437264098</v>
      </c>
      <c r="N86" s="30">
        <v>1.3636917563220099E-2</v>
      </c>
      <c r="O86" s="29">
        <v>30582.261328894601</v>
      </c>
      <c r="P86" s="30">
        <v>7.0805101306068402E-2</v>
      </c>
      <c r="Q86" s="29">
        <v>11376.772502759801</v>
      </c>
      <c r="R86" s="30">
        <v>2.2124403988791601E-2</v>
      </c>
      <c r="S86" s="29">
        <v>19205.488826134701</v>
      </c>
      <c r="T86" s="30">
        <v>0.101892616776047</v>
      </c>
      <c r="U86" s="29">
        <v>234.017107750435</v>
      </c>
      <c r="V86" s="30"/>
      <c r="W86" s="29">
        <v>-770.38299938087596</v>
      </c>
      <c r="X86" s="30"/>
      <c r="Y86" s="29">
        <v>5079.2116307850702</v>
      </c>
      <c r="Z86" s="30"/>
      <c r="AA86" s="29">
        <v>49659.6904626877</v>
      </c>
      <c r="AB86" s="30">
        <v>1.0193987463391601E-3</v>
      </c>
      <c r="AC86" s="29">
        <v>33206.795740651003</v>
      </c>
      <c r="AD86" s="30">
        <v>-2.7280289904228299E-2</v>
      </c>
      <c r="AE86" s="29">
        <v>28422.816776352101</v>
      </c>
      <c r="AF86" s="30">
        <v>2.2812105649260499E-2</v>
      </c>
      <c r="AG86" s="29">
        <v>26633.0249826244</v>
      </c>
      <c r="AH86" s="30">
        <v>3.5093944482590601E-2</v>
      </c>
      <c r="AI86" s="29">
        <v>16452.894722036701</v>
      </c>
      <c r="AJ86" s="30">
        <v>6.3464991327191606E-2</v>
      </c>
      <c r="AK86" s="29">
        <v>44580.478831902699</v>
      </c>
      <c r="AL86" s="30">
        <v>-6.4755313185572696E-3</v>
      </c>
      <c r="AM86" s="29">
        <v>31513.974987380101</v>
      </c>
      <c r="AN86" s="30">
        <v>-5.0046525353639099E-2</v>
      </c>
      <c r="AO86" s="29">
        <v>27864.943302941701</v>
      </c>
      <c r="AP86" s="30">
        <v>1.1858673682530799E-2</v>
      </c>
      <c r="AQ86" s="29">
        <v>26237.592977120501</v>
      </c>
      <c r="AR86" s="30">
        <v>1.8344973459240702E-2</v>
      </c>
      <c r="AS86" s="29">
        <v>13066.5038445225</v>
      </c>
      <c r="AT86" s="30">
        <v>0.11709951475951499</v>
      </c>
      <c r="AU86" s="29">
        <v>149905.01613232601</v>
      </c>
      <c r="AV86" s="30">
        <v>3.6415535747614802E-2</v>
      </c>
      <c r="AW86" s="29">
        <v>106292.090679279</v>
      </c>
      <c r="AX86" s="30">
        <v>3.5433855222988697E-2</v>
      </c>
      <c r="AY86" s="29">
        <v>43612.925453047203</v>
      </c>
      <c r="AZ86" s="30">
        <v>3.88158722038945E-2</v>
      </c>
      <c r="BA86" s="29">
        <v>27160.030731010502</v>
      </c>
      <c r="BB86" s="30">
        <v>2.4432078784533101E-2</v>
      </c>
      <c r="BC86" s="29">
        <v>39304.096821642997</v>
      </c>
      <c r="BD86" s="30">
        <v>4.9179449128495097E-2</v>
      </c>
      <c r="BE86" s="29"/>
      <c r="BF86" s="30"/>
    </row>
    <row r="87" spans="1:58" x14ac:dyDescent="0.2">
      <c r="A87" s="28">
        <v>1998</v>
      </c>
      <c r="B87" s="28">
        <v>4</v>
      </c>
      <c r="C87" s="29">
        <v>113356.69703215999</v>
      </c>
      <c r="D87" s="30">
        <v>8.9769510594048807E-3</v>
      </c>
      <c r="E87" s="29">
        <v>111010.198030106</v>
      </c>
      <c r="F87" s="30">
        <v>4.35785179847228E-2</v>
      </c>
      <c r="G87" s="29">
        <v>77511.705772800706</v>
      </c>
      <c r="H87" s="30">
        <v>1.8086851542200601E-2</v>
      </c>
      <c r="I87" s="29">
        <v>64547.886828435199</v>
      </c>
      <c r="J87" s="30">
        <v>1.95654160457421E-2</v>
      </c>
      <c r="K87" s="29">
        <v>12963.818944365499</v>
      </c>
      <c r="L87" s="30">
        <v>1.0788337058833799E-2</v>
      </c>
      <c r="M87" s="29">
        <v>33498.492257305603</v>
      </c>
      <c r="N87" s="30">
        <v>0.107758646313959</v>
      </c>
      <c r="O87" s="29">
        <v>30817.385908218501</v>
      </c>
      <c r="P87" s="30">
        <v>7.8502948342004802E-2</v>
      </c>
      <c r="Q87" s="29">
        <v>10196.2364501308</v>
      </c>
      <c r="R87" s="30">
        <v>2.9644742885182001E-3</v>
      </c>
      <c r="S87" s="29">
        <v>20621.149458087701</v>
      </c>
      <c r="T87" s="30">
        <v>0.12021994017118801</v>
      </c>
      <c r="U87" s="29">
        <v>1810.0558743796701</v>
      </c>
      <c r="V87" s="30"/>
      <c r="W87" s="29">
        <v>871.05047470740101</v>
      </c>
      <c r="X87" s="30"/>
      <c r="Y87" s="29">
        <v>2346.49900205326</v>
      </c>
      <c r="Z87" s="30"/>
      <c r="AA87" s="29">
        <v>50068.879476485898</v>
      </c>
      <c r="AB87" s="30">
        <v>-3.4384941484317602E-2</v>
      </c>
      <c r="AC87" s="29">
        <v>34925.362686321503</v>
      </c>
      <c r="AD87" s="30">
        <v>-7.2959383973438804E-2</v>
      </c>
      <c r="AE87" s="29">
        <v>29905.600002649298</v>
      </c>
      <c r="AF87" s="30">
        <v>-4.0378938778210603E-2</v>
      </c>
      <c r="AG87" s="29">
        <v>27843.491381345499</v>
      </c>
      <c r="AH87" s="30">
        <v>-2.9141888649237498E-2</v>
      </c>
      <c r="AI87" s="29">
        <v>15143.5167901644</v>
      </c>
      <c r="AJ87" s="30">
        <v>6.8117473358805899E-2</v>
      </c>
      <c r="AK87" s="29">
        <v>47722.380474432597</v>
      </c>
      <c r="AL87" s="30">
        <v>4.0197312661432803E-2</v>
      </c>
      <c r="AM87" s="29">
        <v>35103.2225987243</v>
      </c>
      <c r="AN87" s="30">
        <v>1.3944427452993E-2</v>
      </c>
      <c r="AO87" s="29">
        <v>30186.6746278473</v>
      </c>
      <c r="AP87" s="30">
        <v>4.06066713529507E-2</v>
      </c>
      <c r="AQ87" s="29">
        <v>27712.065086218801</v>
      </c>
      <c r="AR87" s="30">
        <v>3.7906505197135697E-2</v>
      </c>
      <c r="AS87" s="29">
        <v>12619.157875708301</v>
      </c>
      <c r="AT87" s="30">
        <v>0.12093171972147899</v>
      </c>
      <c r="AU87" s="29">
        <v>151877.864119707</v>
      </c>
      <c r="AV87" s="30">
        <v>2.42094743888801E-2</v>
      </c>
      <c r="AW87" s="29">
        <v>108329.091681019</v>
      </c>
      <c r="AX87" s="30">
        <v>3.4573924153283898E-2</v>
      </c>
      <c r="AY87" s="29">
        <v>43548.772438687804</v>
      </c>
      <c r="AZ87" s="30">
        <v>-6.935781766233E-4</v>
      </c>
      <c r="BA87" s="29">
        <v>28405.255648523402</v>
      </c>
      <c r="BB87" s="30">
        <v>-3.3875409562120803E-2</v>
      </c>
      <c r="BC87" s="29">
        <v>40331.222961927102</v>
      </c>
      <c r="BD87" s="30">
        <v>6.2530658144622997E-2</v>
      </c>
      <c r="BE87" s="29"/>
      <c r="BF87" s="30"/>
    </row>
    <row r="88" spans="1:58" x14ac:dyDescent="0.2">
      <c r="A88" s="28">
        <v>1999</v>
      </c>
      <c r="B88" s="28">
        <v>1</v>
      </c>
      <c r="C88" s="29">
        <v>109865.535989258</v>
      </c>
      <c r="D88" s="30">
        <v>6.53449842786347E-3</v>
      </c>
      <c r="E88" s="29">
        <v>106084.269355186</v>
      </c>
      <c r="F88" s="30">
        <v>-6.0023372090182202E-3</v>
      </c>
      <c r="G88" s="29">
        <v>76660.660888702201</v>
      </c>
      <c r="H88" s="30">
        <v>2.2544077636284E-2</v>
      </c>
      <c r="I88" s="29">
        <v>63659.320144153397</v>
      </c>
      <c r="J88" s="30">
        <v>2.4658230662650601E-2</v>
      </c>
      <c r="K88" s="29">
        <v>13001.340744548899</v>
      </c>
      <c r="L88" s="30">
        <v>1.23170881434878E-2</v>
      </c>
      <c r="M88" s="29">
        <v>29423.608466483998</v>
      </c>
      <c r="N88" s="30">
        <v>-7.3399077132314403E-2</v>
      </c>
      <c r="O88" s="29">
        <v>29271.011381672699</v>
      </c>
      <c r="P88" s="30">
        <v>5.3284847362276899E-2</v>
      </c>
      <c r="Q88" s="29">
        <v>8782.3069419600106</v>
      </c>
      <c r="R88" s="30">
        <v>-3.1645780222321097E-2</v>
      </c>
      <c r="S88" s="29">
        <v>20488.704439712699</v>
      </c>
      <c r="T88" s="30">
        <v>9.4429361059300096E-2</v>
      </c>
      <c r="U88" s="29">
        <v>668.78069924697002</v>
      </c>
      <c r="V88" s="30"/>
      <c r="W88" s="29">
        <v>-516.18361443564197</v>
      </c>
      <c r="X88" s="30"/>
      <c r="Y88" s="29">
        <v>3781.2666340720998</v>
      </c>
      <c r="Z88" s="30"/>
      <c r="AA88" s="29">
        <v>49533.964598680701</v>
      </c>
      <c r="AB88" s="30">
        <v>-1.08281980125491E-2</v>
      </c>
      <c r="AC88" s="29">
        <v>33172.808741757501</v>
      </c>
      <c r="AD88" s="30">
        <v>-4.5209628845171899E-2</v>
      </c>
      <c r="AE88" s="29">
        <v>29168.523367469199</v>
      </c>
      <c r="AF88" s="30">
        <v>6.47131065648865E-3</v>
      </c>
      <c r="AG88" s="29">
        <v>26918.978138829199</v>
      </c>
      <c r="AH88" s="30">
        <v>2.0988125949186198E-3</v>
      </c>
      <c r="AI88" s="29">
        <v>16361.1558569232</v>
      </c>
      <c r="AJ88" s="30">
        <v>6.70796128976099E-2</v>
      </c>
      <c r="AK88" s="29">
        <v>45752.697964608597</v>
      </c>
      <c r="AL88" s="30">
        <v>-3.9793018369153103E-2</v>
      </c>
      <c r="AM88" s="29">
        <v>32741.464174066099</v>
      </c>
      <c r="AN88" s="30">
        <v>-7.7368088148977901E-2</v>
      </c>
      <c r="AO88" s="29">
        <v>29056.757029439901</v>
      </c>
      <c r="AP88" s="30">
        <v>-5.8423875175440702E-3</v>
      </c>
      <c r="AQ88" s="29">
        <v>27650.210129761999</v>
      </c>
      <c r="AR88" s="30">
        <v>3.8321297849003698E-2</v>
      </c>
      <c r="AS88" s="29">
        <v>13011.233790542399</v>
      </c>
      <c r="AT88" s="30">
        <v>6.9847988383685805E-2</v>
      </c>
      <c r="AU88" s="29">
        <v>149858.199210316</v>
      </c>
      <c r="AV88" s="30">
        <v>2.9506899449783599E-2</v>
      </c>
      <c r="AW88" s="29">
        <v>105931.672270375</v>
      </c>
      <c r="AX88" s="30">
        <v>3.0857492110649299E-2</v>
      </c>
      <c r="AY88" s="29">
        <v>43926.526939940901</v>
      </c>
      <c r="AZ88" s="30">
        <v>2.6264369724205299E-2</v>
      </c>
      <c r="BA88" s="29">
        <v>27565.371083017701</v>
      </c>
      <c r="BB88" s="30">
        <v>3.4826978206350398E-3</v>
      </c>
      <c r="BC88" s="29">
        <v>40661.443920304497</v>
      </c>
      <c r="BD88" s="30">
        <v>4.8205426667642999E-2</v>
      </c>
      <c r="BE88" s="29"/>
      <c r="BF88" s="30"/>
    </row>
    <row r="89" spans="1:58" x14ac:dyDescent="0.2">
      <c r="A89" s="28">
        <v>1999</v>
      </c>
      <c r="B89" s="28">
        <v>2</v>
      </c>
      <c r="C89" s="29">
        <v>111559.731776054</v>
      </c>
      <c r="D89" s="30">
        <v>-4.58709630490661E-4</v>
      </c>
      <c r="E89" s="29">
        <v>107676.42263425099</v>
      </c>
      <c r="F89" s="30">
        <v>3.1957613806794499E-3</v>
      </c>
      <c r="G89" s="29">
        <v>76891.020616588794</v>
      </c>
      <c r="H89" s="30">
        <v>2.38147745361461E-2</v>
      </c>
      <c r="I89" s="29">
        <v>63800.509964287601</v>
      </c>
      <c r="J89" s="30">
        <v>2.5214800061215101E-2</v>
      </c>
      <c r="K89" s="29">
        <v>13090.5106523012</v>
      </c>
      <c r="L89" s="30">
        <v>1.70457027857875E-2</v>
      </c>
      <c r="M89" s="29">
        <v>30785.402017662502</v>
      </c>
      <c r="N89" s="30">
        <v>-4.4849344789962997E-2</v>
      </c>
      <c r="O89" s="29">
        <v>30687.041556075201</v>
      </c>
      <c r="P89" s="30">
        <v>7.5093969736019801E-3</v>
      </c>
      <c r="Q89" s="29">
        <v>10241.4071187355</v>
      </c>
      <c r="R89" s="30">
        <v>-5.3353061379543001E-2</v>
      </c>
      <c r="S89" s="29">
        <v>20445.634437339799</v>
      </c>
      <c r="T89" s="30">
        <v>4.10357360297431E-2</v>
      </c>
      <c r="U89" s="29">
        <v>-8.0340947269287408</v>
      </c>
      <c r="V89" s="30"/>
      <c r="W89" s="29">
        <v>106.39455631417501</v>
      </c>
      <c r="X89" s="30"/>
      <c r="Y89" s="29">
        <v>3883.3091418030999</v>
      </c>
      <c r="Z89" s="30"/>
      <c r="AA89" s="29">
        <v>51851.034717577299</v>
      </c>
      <c r="AB89" s="30">
        <v>-4.6223301049685998E-3</v>
      </c>
      <c r="AC89" s="29">
        <v>34951.608983660699</v>
      </c>
      <c r="AD89" s="30">
        <v>-3.8169658903978401E-2</v>
      </c>
      <c r="AE89" s="29">
        <v>30446.3221092895</v>
      </c>
      <c r="AF89" s="30">
        <v>1.66125611640877E-2</v>
      </c>
      <c r="AG89" s="29">
        <v>27876.102113356301</v>
      </c>
      <c r="AH89" s="30">
        <v>-3.5038534002033201E-3</v>
      </c>
      <c r="AI89" s="29">
        <v>16899.4257339166</v>
      </c>
      <c r="AJ89" s="30">
        <v>7.27629702717454E-2</v>
      </c>
      <c r="AK89" s="29">
        <v>47967.725575774202</v>
      </c>
      <c r="AL89" s="30">
        <v>3.2087342136983802E-3</v>
      </c>
      <c r="AM89" s="29">
        <v>34390.518719694002</v>
      </c>
      <c r="AN89" s="30">
        <v>-2.3439516880155099E-2</v>
      </c>
      <c r="AO89" s="29">
        <v>29790.796977370701</v>
      </c>
      <c r="AP89" s="30">
        <v>-1.1488415212566E-2</v>
      </c>
      <c r="AQ89" s="29">
        <v>27921.404398858998</v>
      </c>
      <c r="AR89" s="30">
        <v>2.3979817579095099E-2</v>
      </c>
      <c r="AS89" s="29">
        <v>13577.2068560803</v>
      </c>
      <c r="AT89" s="30">
        <v>7.7698228544736098E-2</v>
      </c>
      <c r="AU89" s="29">
        <v>153066.37712572099</v>
      </c>
      <c r="AV89" s="30">
        <v>2.1598933669399099E-2</v>
      </c>
      <c r="AW89" s="29">
        <v>107578.06217266399</v>
      </c>
      <c r="AX89" s="30">
        <v>1.9110050617624701E-2</v>
      </c>
      <c r="AY89" s="29">
        <v>45488.314953056601</v>
      </c>
      <c r="AZ89" s="30">
        <v>2.7533696199217601E-2</v>
      </c>
      <c r="BA89" s="29">
        <v>28588.889219140001</v>
      </c>
      <c r="BB89" s="30">
        <v>2.5477626522978402E-3</v>
      </c>
      <c r="BC89" s="29">
        <v>41498.6112549393</v>
      </c>
      <c r="BD89" s="30">
        <v>4.0955809231725301E-2</v>
      </c>
      <c r="BE89" s="29"/>
      <c r="BF89" s="30"/>
    </row>
    <row r="90" spans="1:58" x14ac:dyDescent="0.2">
      <c r="A90" s="28">
        <v>1999</v>
      </c>
      <c r="B90" s="28">
        <v>3</v>
      </c>
      <c r="C90" s="29">
        <v>112723.231056373</v>
      </c>
      <c r="D90" s="30">
        <v>1.70369984317102E-2</v>
      </c>
      <c r="E90" s="29">
        <v>107436.905331613</v>
      </c>
      <c r="F90" s="30">
        <v>1.5896827782518701E-2</v>
      </c>
      <c r="G90" s="29">
        <v>77883.189853566801</v>
      </c>
      <c r="H90" s="30">
        <v>2.8706450956644598E-2</v>
      </c>
      <c r="I90" s="29">
        <v>64663.170909549</v>
      </c>
      <c r="J90" s="30">
        <v>3.0698567100408299E-2</v>
      </c>
      <c r="K90" s="29">
        <v>13220.0189440178</v>
      </c>
      <c r="L90" s="30">
        <v>1.9072312029615901E-2</v>
      </c>
      <c r="M90" s="29">
        <v>29553.715478046099</v>
      </c>
      <c r="N90" s="30">
        <v>-1.6380938296404499E-2</v>
      </c>
      <c r="O90" s="29">
        <v>30999.488168110402</v>
      </c>
      <c r="P90" s="30">
        <v>1.36427726755988E-2</v>
      </c>
      <c r="Q90" s="29">
        <v>10648.632093951899</v>
      </c>
      <c r="R90" s="30">
        <v>-6.4002370499307501E-2</v>
      </c>
      <c r="S90" s="29">
        <v>20350.856074158601</v>
      </c>
      <c r="T90" s="30">
        <v>5.96374952177849E-2</v>
      </c>
      <c r="U90" s="29">
        <v>317.61428232662701</v>
      </c>
      <c r="V90" s="30"/>
      <c r="W90" s="29">
        <v>-1763.38697239097</v>
      </c>
      <c r="X90" s="30"/>
      <c r="Y90" s="29">
        <v>5286.3257247599204</v>
      </c>
      <c r="Z90" s="30"/>
      <c r="AA90" s="29">
        <v>52990.8483425222</v>
      </c>
      <c r="AB90" s="30">
        <v>6.7079714931718604E-2</v>
      </c>
      <c r="AC90" s="29">
        <v>35191.756369774601</v>
      </c>
      <c r="AD90" s="30">
        <v>5.9775735202709297E-2</v>
      </c>
      <c r="AE90" s="29">
        <v>30427.3784644023</v>
      </c>
      <c r="AF90" s="30">
        <v>7.0526496505370004E-2</v>
      </c>
      <c r="AG90" s="29">
        <v>27829.303988281899</v>
      </c>
      <c r="AH90" s="30">
        <v>4.4917128506355E-2</v>
      </c>
      <c r="AI90" s="29">
        <v>17799.091972747599</v>
      </c>
      <c r="AJ90" s="30">
        <v>8.1821300959751E-2</v>
      </c>
      <c r="AK90" s="29">
        <v>47704.522617762297</v>
      </c>
      <c r="AL90" s="30">
        <v>7.0076496881949196E-2</v>
      </c>
      <c r="AM90" s="29">
        <v>33399.197436542898</v>
      </c>
      <c r="AN90" s="30">
        <v>5.9821791758027897E-2</v>
      </c>
      <c r="AO90" s="29">
        <v>29852.166152631598</v>
      </c>
      <c r="AP90" s="30">
        <v>7.1316235173535497E-2</v>
      </c>
      <c r="AQ90" s="29">
        <v>28561.082072708301</v>
      </c>
      <c r="AR90" s="30">
        <v>8.8555726038358498E-2</v>
      </c>
      <c r="AS90" s="29">
        <v>14305.325181219399</v>
      </c>
      <c r="AT90" s="30">
        <v>9.48089367620846E-2</v>
      </c>
      <c r="AU90" s="29">
        <v>155272.024027974</v>
      </c>
      <c r="AV90" s="30">
        <v>3.5802723845548098E-2</v>
      </c>
      <c r="AW90" s="29">
        <v>108882.678021677</v>
      </c>
      <c r="AX90" s="30">
        <v>2.43723434720589E-2</v>
      </c>
      <c r="AY90" s="29">
        <v>46389.346006296597</v>
      </c>
      <c r="AZ90" s="30">
        <v>6.36604979924702E-2</v>
      </c>
      <c r="BA90" s="29">
        <v>28590.254033549099</v>
      </c>
      <c r="BB90" s="30">
        <v>5.2659119450318502E-2</v>
      </c>
      <c r="BC90" s="29">
        <v>42866.407253927697</v>
      </c>
      <c r="BD90" s="30">
        <v>9.0634583169536501E-2</v>
      </c>
      <c r="BE90" s="29"/>
      <c r="BF90" s="30"/>
    </row>
    <row r="91" spans="1:58" x14ac:dyDescent="0.2">
      <c r="A91" s="28">
        <v>1999</v>
      </c>
      <c r="B91" s="28">
        <v>4</v>
      </c>
      <c r="C91" s="29">
        <v>119382.608315524</v>
      </c>
      <c r="D91" s="30">
        <v>5.3158846730116699E-2</v>
      </c>
      <c r="E91" s="29">
        <v>117629.14127274801</v>
      </c>
      <c r="F91" s="30">
        <v>5.9624641340126003E-2</v>
      </c>
      <c r="G91" s="29">
        <v>80229.365240595696</v>
      </c>
      <c r="H91" s="30">
        <v>3.5061278044388598E-2</v>
      </c>
      <c r="I91" s="29">
        <v>66840.800159223596</v>
      </c>
      <c r="J91" s="30">
        <v>3.5522670740296199E-2</v>
      </c>
      <c r="K91" s="29">
        <v>13388.5650813721</v>
      </c>
      <c r="L91" s="30">
        <v>3.27639670709228E-2</v>
      </c>
      <c r="M91" s="29">
        <v>37399.776032152004</v>
      </c>
      <c r="N91" s="30">
        <v>0.116461473695002</v>
      </c>
      <c r="O91" s="29">
        <v>32406.787833656701</v>
      </c>
      <c r="P91" s="30">
        <v>5.1574845776074997E-2</v>
      </c>
      <c r="Q91" s="29">
        <v>11192.787693362199</v>
      </c>
      <c r="R91" s="30">
        <v>9.7737164894656406E-2</v>
      </c>
      <c r="S91" s="29">
        <v>21214.000140294502</v>
      </c>
      <c r="T91" s="30">
        <v>2.8749642856319601E-2</v>
      </c>
      <c r="U91" s="29">
        <v>2011.5659125642001</v>
      </c>
      <c r="V91" s="30"/>
      <c r="W91" s="29">
        <v>2981.4222859311399</v>
      </c>
      <c r="X91" s="30"/>
      <c r="Y91" s="29">
        <v>1753.4670427767001</v>
      </c>
      <c r="Z91" s="30"/>
      <c r="AA91" s="29">
        <v>55012.595675327801</v>
      </c>
      <c r="AB91" s="30">
        <v>9.8738303124271704E-2</v>
      </c>
      <c r="AC91" s="29">
        <v>37614.504780452597</v>
      </c>
      <c r="AD91" s="30">
        <v>7.6996826583688699E-2</v>
      </c>
      <c r="AE91" s="29">
        <v>34166.989368484501</v>
      </c>
      <c r="AF91" s="30">
        <v>0.142494695490399</v>
      </c>
      <c r="AG91" s="29">
        <v>31432.005861791</v>
      </c>
      <c r="AH91" s="30">
        <v>0.128881627354023</v>
      </c>
      <c r="AI91" s="29">
        <v>17398.0908948752</v>
      </c>
      <c r="AJ91" s="30">
        <v>0.14888048370475601</v>
      </c>
      <c r="AK91" s="29">
        <v>53259.128632551103</v>
      </c>
      <c r="AL91" s="30">
        <v>0.11601994919521599</v>
      </c>
      <c r="AM91" s="29">
        <v>39029.610631157397</v>
      </c>
      <c r="AN91" s="30">
        <v>0.111852637500463</v>
      </c>
      <c r="AO91" s="29">
        <v>33193.500344232903</v>
      </c>
      <c r="AP91" s="30">
        <v>9.9607716101719201E-2</v>
      </c>
      <c r="AQ91" s="29">
        <v>30656.5726409708</v>
      </c>
      <c r="AR91" s="30">
        <v>0.106253631607423</v>
      </c>
      <c r="AS91" s="29">
        <v>14229.518001393601</v>
      </c>
      <c r="AT91" s="30">
        <v>0.12761232893244001</v>
      </c>
      <c r="AU91" s="29">
        <v>162257.133045325</v>
      </c>
      <c r="AV91" s="30">
        <v>6.8339576578696895E-2</v>
      </c>
      <c r="AW91" s="29">
        <v>112636.153074252</v>
      </c>
      <c r="AX91" s="30">
        <v>3.9759046498013102E-2</v>
      </c>
      <c r="AY91" s="29">
        <v>49620.9799710722</v>
      </c>
      <c r="AZ91" s="30">
        <v>0.139434642869291</v>
      </c>
      <c r="BA91" s="29">
        <v>32222.889076197</v>
      </c>
      <c r="BB91" s="30">
        <v>0.13439884065511501</v>
      </c>
      <c r="BC91" s="29">
        <v>44886.090642364397</v>
      </c>
      <c r="BD91" s="30">
        <v>0.112936512853506</v>
      </c>
      <c r="BE91" s="29"/>
      <c r="BF91" s="30"/>
    </row>
    <row r="92" spans="1:58" x14ac:dyDescent="0.2">
      <c r="A92" s="28">
        <v>2000</v>
      </c>
      <c r="B92" s="28">
        <v>1</v>
      </c>
      <c r="C92" s="29">
        <v>116222.45277930101</v>
      </c>
      <c r="D92" s="30">
        <v>5.7860881784296499E-2</v>
      </c>
      <c r="E92" s="29">
        <v>113459.574914346</v>
      </c>
      <c r="F92" s="30">
        <v>6.9523083902908595E-2</v>
      </c>
      <c r="G92" s="29">
        <v>79581.626876461494</v>
      </c>
      <c r="H92" s="30">
        <v>3.8102541171670702E-2</v>
      </c>
      <c r="I92" s="29">
        <v>66081.151324522594</v>
      </c>
      <c r="J92" s="30">
        <v>3.80436230686272E-2</v>
      </c>
      <c r="K92" s="29">
        <v>13500.4755519389</v>
      </c>
      <c r="L92" s="30">
        <v>3.8391025756271603E-2</v>
      </c>
      <c r="M92" s="29">
        <v>33877.948037884104</v>
      </c>
      <c r="N92" s="30">
        <v>0.151386583888036</v>
      </c>
      <c r="O92" s="29">
        <v>30972.6462016771</v>
      </c>
      <c r="P92" s="30">
        <v>5.8133789701228601E-2</v>
      </c>
      <c r="Q92" s="29">
        <v>9571.9144172189299</v>
      </c>
      <c r="R92" s="30">
        <v>8.9908890736480895E-2</v>
      </c>
      <c r="S92" s="29">
        <v>21400.731784458199</v>
      </c>
      <c r="T92" s="30">
        <v>4.4513665928908298E-2</v>
      </c>
      <c r="U92" s="29">
        <v>1113.7903339909701</v>
      </c>
      <c r="V92" s="30"/>
      <c r="W92" s="29">
        <v>1791.5115022160201</v>
      </c>
      <c r="X92" s="30"/>
      <c r="Y92" s="29">
        <v>2762.8778649556002</v>
      </c>
      <c r="Z92" s="30"/>
      <c r="AA92" s="29">
        <v>57532.2570901898</v>
      </c>
      <c r="AB92" s="30">
        <v>0.161470872689286</v>
      </c>
      <c r="AC92" s="29">
        <v>37709.0789237508</v>
      </c>
      <c r="AD92" s="30">
        <v>0.13674664142271201</v>
      </c>
      <c r="AE92" s="29">
        <v>33402.158042823103</v>
      </c>
      <c r="AF92" s="30">
        <v>0.145143949250291</v>
      </c>
      <c r="AG92" s="29">
        <v>30303.1490002418</v>
      </c>
      <c r="AH92" s="30">
        <v>0.12571691406558799</v>
      </c>
      <c r="AI92" s="29">
        <v>19823.178166439</v>
      </c>
      <c r="AJ92" s="30">
        <v>0.211600105749918</v>
      </c>
      <c r="AK92" s="29">
        <v>54769.379225234203</v>
      </c>
      <c r="AL92" s="30">
        <v>0.19707430734686701</v>
      </c>
      <c r="AM92" s="29">
        <v>39697.505850448302</v>
      </c>
      <c r="AN92" s="30">
        <v>0.21245359216073001</v>
      </c>
      <c r="AO92" s="29">
        <v>34494.537524690299</v>
      </c>
      <c r="AP92" s="30">
        <v>0.18714340660043</v>
      </c>
      <c r="AQ92" s="29">
        <v>31302.650648299099</v>
      </c>
      <c r="AR92" s="30">
        <v>0.132094494088697</v>
      </c>
      <c r="AS92" s="29">
        <v>15071.873374785901</v>
      </c>
      <c r="AT92" s="30">
        <v>0.15837388040335401</v>
      </c>
      <c r="AU92" s="29">
        <v>161483.186468395</v>
      </c>
      <c r="AV92" s="30">
        <v>7.7573248039398204E-2</v>
      </c>
      <c r="AW92" s="29">
        <v>110554.273078139</v>
      </c>
      <c r="AX92" s="30">
        <v>4.3637570413928697E-2</v>
      </c>
      <c r="AY92" s="29">
        <v>50928.913390256603</v>
      </c>
      <c r="AZ92" s="30">
        <v>0.15941133838989299</v>
      </c>
      <c r="BA92" s="29">
        <v>31105.735223817599</v>
      </c>
      <c r="BB92" s="30">
        <v>0.12843520698986499</v>
      </c>
      <c r="BC92" s="29">
        <v>46374.524023085003</v>
      </c>
      <c r="BD92" s="30">
        <v>0.140503620923497</v>
      </c>
      <c r="BE92" s="29"/>
      <c r="BF92" s="30"/>
    </row>
    <row r="93" spans="1:58" x14ac:dyDescent="0.2">
      <c r="A93" s="28">
        <v>2000</v>
      </c>
      <c r="B93" s="28">
        <v>2</v>
      </c>
      <c r="C93" s="29">
        <v>117376.007064976</v>
      </c>
      <c r="D93" s="30">
        <v>5.2135974121889E-2</v>
      </c>
      <c r="E93" s="29">
        <v>108886.530389245</v>
      </c>
      <c r="F93" s="30">
        <v>1.1238372573944401E-2</v>
      </c>
      <c r="G93" s="29">
        <v>79671.732449827905</v>
      </c>
      <c r="H93" s="30">
        <v>3.61643246628875E-2</v>
      </c>
      <c r="I93" s="29">
        <v>66041.032207370095</v>
      </c>
      <c r="J93" s="30">
        <v>3.5117622795439098E-2</v>
      </c>
      <c r="K93" s="29">
        <v>13630.7002424578</v>
      </c>
      <c r="L93" s="30">
        <v>4.1265738557085201E-2</v>
      </c>
      <c r="M93" s="29">
        <v>29214.7979394166</v>
      </c>
      <c r="N93" s="30">
        <v>-5.1017819333487001E-2</v>
      </c>
      <c r="O93" s="29">
        <v>32930.348207338699</v>
      </c>
      <c r="P93" s="30">
        <v>7.3102734493458499E-2</v>
      </c>
      <c r="Q93" s="29">
        <v>11119.3545467819</v>
      </c>
      <c r="R93" s="30">
        <v>8.5725273672629096E-2</v>
      </c>
      <c r="S93" s="29">
        <v>21810.993660556898</v>
      </c>
      <c r="T93" s="30">
        <v>6.6779988041043306E-2</v>
      </c>
      <c r="U93" s="29">
        <v>395.795722307463</v>
      </c>
      <c r="V93" s="30"/>
      <c r="W93" s="29">
        <v>-4111.3459902295899</v>
      </c>
      <c r="X93" s="30"/>
      <c r="Y93" s="29">
        <v>8489.4766757311208</v>
      </c>
      <c r="Z93" s="30"/>
      <c r="AA93" s="29">
        <v>61715.722352978999</v>
      </c>
      <c r="AB93" s="30">
        <v>0.190250545415973</v>
      </c>
      <c r="AC93" s="29">
        <v>41377.170983948999</v>
      </c>
      <c r="AD93" s="30">
        <v>0.18384166529478199</v>
      </c>
      <c r="AE93" s="29">
        <v>34300.434022075802</v>
      </c>
      <c r="AF93" s="30">
        <v>0.126587109567836</v>
      </c>
      <c r="AG93" s="29">
        <v>30651.643252135898</v>
      </c>
      <c r="AH93" s="30">
        <v>9.9567045905236698E-2</v>
      </c>
      <c r="AI93" s="29">
        <v>20338.551369029999</v>
      </c>
      <c r="AJ93" s="30">
        <v>0.20350547345589201</v>
      </c>
      <c r="AK93" s="29">
        <v>53226.245677247898</v>
      </c>
      <c r="AL93" s="30">
        <v>0.109626213007885</v>
      </c>
      <c r="AM93" s="29">
        <v>37315.259511858501</v>
      </c>
      <c r="AN93" s="30">
        <v>8.5044974633943199E-2</v>
      </c>
      <c r="AO93" s="29">
        <v>33996.526649195803</v>
      </c>
      <c r="AP93" s="30">
        <v>0.141175466873874</v>
      </c>
      <c r="AQ93" s="29">
        <v>31494.962013951699</v>
      </c>
      <c r="AR93" s="30">
        <v>0.12798631344054701</v>
      </c>
      <c r="AS93" s="29">
        <v>15910.9861653893</v>
      </c>
      <c r="AT93" s="30">
        <v>0.17188950084118099</v>
      </c>
      <c r="AU93" s="29">
        <v>164386.15952200899</v>
      </c>
      <c r="AV93" s="30">
        <v>7.3953422096030494E-2</v>
      </c>
      <c r="AW93" s="29">
        <v>112602.080657167</v>
      </c>
      <c r="AX93" s="30">
        <v>4.6701143179536102E-2</v>
      </c>
      <c r="AY93" s="29">
        <v>51784.0788648425</v>
      </c>
      <c r="AZ93" s="30">
        <v>0.13840398173208099</v>
      </c>
      <c r="BA93" s="29">
        <v>31445.527495812599</v>
      </c>
      <c r="BB93" s="30">
        <v>9.9921275526861197E-2</v>
      </c>
      <c r="BC93" s="29">
        <v>47405.948179341001</v>
      </c>
      <c r="BD93" s="30">
        <v>0.14235023162850099</v>
      </c>
      <c r="BE93" s="29"/>
      <c r="BF93" s="30"/>
    </row>
    <row r="94" spans="1:58" x14ac:dyDescent="0.2">
      <c r="A94" s="28">
        <v>2000</v>
      </c>
      <c r="B94" s="28">
        <v>3</v>
      </c>
      <c r="C94" s="29">
        <v>118694.816972498</v>
      </c>
      <c r="D94" s="30">
        <v>5.2975645394145898E-2</v>
      </c>
      <c r="E94" s="29">
        <v>113451.65677057</v>
      </c>
      <c r="F94" s="30">
        <v>5.5984034726172201E-2</v>
      </c>
      <c r="G94" s="29">
        <v>80785.201548416895</v>
      </c>
      <c r="H94" s="30">
        <v>3.72610790634837E-2</v>
      </c>
      <c r="I94" s="29">
        <v>67018.103641441106</v>
      </c>
      <c r="J94" s="30">
        <v>3.6418454257156202E-2</v>
      </c>
      <c r="K94" s="29">
        <v>13767.0979069758</v>
      </c>
      <c r="L94" s="30">
        <v>4.1382615658469797E-2</v>
      </c>
      <c r="M94" s="29">
        <v>32666.455222153501</v>
      </c>
      <c r="N94" s="30">
        <v>0.10532481935882899</v>
      </c>
      <c r="O94" s="29">
        <v>32744.870428639901</v>
      </c>
      <c r="P94" s="30">
        <v>5.6303583177381697E-2</v>
      </c>
      <c r="Q94" s="29">
        <v>11352.78737993</v>
      </c>
      <c r="R94" s="30">
        <v>6.6126360622237298E-2</v>
      </c>
      <c r="S94" s="29">
        <v>21392.083048709901</v>
      </c>
      <c r="T94" s="30">
        <v>5.1163792361217597E-2</v>
      </c>
      <c r="U94" s="29">
        <v>827.39823182986595</v>
      </c>
      <c r="V94" s="30"/>
      <c r="W94" s="29">
        <v>-905.81343831626896</v>
      </c>
      <c r="X94" s="30"/>
      <c r="Y94" s="29">
        <v>5243.1602019272405</v>
      </c>
      <c r="Z94" s="30"/>
      <c r="AA94" s="29">
        <v>60063.755869832799</v>
      </c>
      <c r="AB94" s="30">
        <v>0.13347413277086501</v>
      </c>
      <c r="AC94" s="29">
        <v>39162.326554419</v>
      </c>
      <c r="AD94" s="30">
        <v>0.112826712680206</v>
      </c>
      <c r="AE94" s="29">
        <v>34241.051418773102</v>
      </c>
      <c r="AF94" s="30">
        <v>0.125336888908538</v>
      </c>
      <c r="AG94" s="29">
        <v>30572.697649369002</v>
      </c>
      <c r="AH94" s="30">
        <v>9.8579312736038996E-2</v>
      </c>
      <c r="AI94" s="29">
        <v>20901.429315413799</v>
      </c>
      <c r="AJ94" s="30">
        <v>0.17429750615459699</v>
      </c>
      <c r="AK94" s="29">
        <v>54820.595667905603</v>
      </c>
      <c r="AL94" s="30">
        <v>0.14916977803470699</v>
      </c>
      <c r="AM94" s="29">
        <v>38353.270888286803</v>
      </c>
      <c r="AN94" s="30">
        <v>0.14832911662492601</v>
      </c>
      <c r="AO94" s="29">
        <v>34101.159966185602</v>
      </c>
      <c r="AP94" s="30">
        <v>0.142334522454058</v>
      </c>
      <c r="AQ94" s="29">
        <v>31434.228404096899</v>
      </c>
      <c r="AR94" s="30">
        <v>0.10059655037139099</v>
      </c>
      <c r="AS94" s="29">
        <v>16467.324779618801</v>
      </c>
      <c r="AT94" s="30">
        <v>0.15113250282753099</v>
      </c>
      <c r="AU94" s="29">
        <v>165768.97192438299</v>
      </c>
      <c r="AV94" s="30">
        <v>6.7603600597866895E-2</v>
      </c>
      <c r="AW94" s="29">
        <v>113530.071977057</v>
      </c>
      <c r="AX94" s="30">
        <v>4.2682583123591702E-2</v>
      </c>
      <c r="AY94" s="29">
        <v>52238.899947326703</v>
      </c>
      <c r="AZ94" s="30">
        <v>0.12609692622603599</v>
      </c>
      <c r="BA94" s="29">
        <v>31337.4706319129</v>
      </c>
      <c r="BB94" s="30">
        <v>9.6089268571734499E-2</v>
      </c>
      <c r="BC94" s="29">
        <v>47901.553183715703</v>
      </c>
      <c r="BD94" s="30">
        <v>0.11746134682949599</v>
      </c>
      <c r="BE94" s="29"/>
      <c r="BF94" s="30"/>
    </row>
    <row r="95" spans="1:58" x14ac:dyDescent="0.2">
      <c r="A95" s="28">
        <v>2000</v>
      </c>
      <c r="B95" s="28">
        <v>4</v>
      </c>
      <c r="C95" s="29">
        <v>124501.15501546</v>
      </c>
      <c r="D95" s="30">
        <v>4.2875145485238297E-2</v>
      </c>
      <c r="E95" s="29">
        <v>120237.21512579299</v>
      </c>
      <c r="F95" s="30">
        <v>2.2172004529029201E-2</v>
      </c>
      <c r="G95" s="29">
        <v>82886.719558610901</v>
      </c>
      <c r="H95" s="30">
        <v>3.3121966128564398E-2</v>
      </c>
      <c r="I95" s="29">
        <v>68968.965605333404</v>
      </c>
      <c r="J95" s="30">
        <v>3.1839317318767699E-2</v>
      </c>
      <c r="K95" s="29">
        <v>13917.753953277501</v>
      </c>
      <c r="L95" s="30">
        <v>3.9525435973841699E-2</v>
      </c>
      <c r="M95" s="29">
        <v>37350.495567181999</v>
      </c>
      <c r="N95" s="30">
        <v>-1.3176673819563799E-3</v>
      </c>
      <c r="O95" s="29">
        <v>34609.841823133</v>
      </c>
      <c r="P95" s="30">
        <v>6.7981251359577402E-2</v>
      </c>
      <c r="Q95" s="29">
        <v>11786.742132935</v>
      </c>
      <c r="R95" s="30">
        <v>5.3065818439942597E-2</v>
      </c>
      <c r="S95" s="29">
        <v>22823.099690198</v>
      </c>
      <c r="T95" s="30">
        <v>7.5850831491566004E-2</v>
      </c>
      <c r="U95" s="29">
        <v>3572.4730245303699</v>
      </c>
      <c r="V95" s="30"/>
      <c r="W95" s="29">
        <v>-831.81928048137297</v>
      </c>
      <c r="X95" s="30"/>
      <c r="Y95" s="29">
        <v>4263.9398896668099</v>
      </c>
      <c r="Z95" s="30"/>
      <c r="AA95" s="29">
        <v>63155.555212572501</v>
      </c>
      <c r="AB95" s="30">
        <v>0.14801991139088799</v>
      </c>
      <c r="AC95" s="29">
        <v>42895.673025147204</v>
      </c>
      <c r="AD95" s="30">
        <v>0.14040243984387299</v>
      </c>
      <c r="AE95" s="29">
        <v>36779.746052593997</v>
      </c>
      <c r="AF95" s="30">
        <v>7.6470205083962101E-2</v>
      </c>
      <c r="AG95" s="29">
        <v>32988.037183001397</v>
      </c>
      <c r="AH95" s="30">
        <v>4.95046777495649E-2</v>
      </c>
      <c r="AI95" s="29">
        <v>20259.882187425399</v>
      </c>
      <c r="AJ95" s="30">
        <v>0.16448881143580901</v>
      </c>
      <c r="AK95" s="29">
        <v>58891.615322905702</v>
      </c>
      <c r="AL95" s="30">
        <v>0.10575626817356799</v>
      </c>
      <c r="AM95" s="29">
        <v>42753.250147316103</v>
      </c>
      <c r="AN95" s="30">
        <v>9.5405499976626895E-2</v>
      </c>
      <c r="AO95" s="29">
        <v>37740.229138196701</v>
      </c>
      <c r="AP95" s="30">
        <v>0.13697647873264199</v>
      </c>
      <c r="AQ95" s="29">
        <v>34392.6796721215</v>
      </c>
      <c r="AR95" s="30">
        <v>0.121869690878543</v>
      </c>
      <c r="AS95" s="29">
        <v>16138.365175589601</v>
      </c>
      <c r="AT95" s="30">
        <v>0.13414700160673401</v>
      </c>
      <c r="AU95" s="29">
        <v>171459.72683864</v>
      </c>
      <c r="AV95" s="30">
        <v>5.6716112386536698E-2</v>
      </c>
      <c r="AW95" s="29">
        <v>117496.561381744</v>
      </c>
      <c r="AX95" s="30">
        <v>4.3151405430967203E-2</v>
      </c>
      <c r="AY95" s="29">
        <v>53963.165456896502</v>
      </c>
      <c r="AZ95" s="30">
        <v>8.7507048195253595E-2</v>
      </c>
      <c r="BA95" s="29">
        <v>33703.283269471198</v>
      </c>
      <c r="BB95" s="30">
        <v>4.5942317269363202E-2</v>
      </c>
      <c r="BC95" s="29">
        <v>50531.044847711099</v>
      </c>
      <c r="BD95" s="30">
        <v>0.12576176995059801</v>
      </c>
      <c r="BE95" s="29"/>
      <c r="BF95" s="30"/>
    </row>
    <row r="96" spans="1:58" x14ac:dyDescent="0.2">
      <c r="A96" s="28">
        <v>2001</v>
      </c>
      <c r="B96" s="28">
        <v>1</v>
      </c>
      <c r="C96" s="29">
        <v>120982.68959239</v>
      </c>
      <c r="D96" s="30">
        <v>4.0957979282439903E-2</v>
      </c>
      <c r="E96" s="29">
        <v>117105.248616981</v>
      </c>
      <c r="F96" s="30">
        <v>3.2131917516764301E-2</v>
      </c>
      <c r="G96" s="29">
        <v>82612.4520546446</v>
      </c>
      <c r="H96" s="30">
        <v>3.8084483782771003E-2</v>
      </c>
      <c r="I96" s="29">
        <v>68469.025198283402</v>
      </c>
      <c r="J96" s="30">
        <v>3.6135476242446597E-2</v>
      </c>
      <c r="K96" s="29">
        <v>14143.4268563612</v>
      </c>
      <c r="L96" s="30">
        <v>4.7624344931314302E-2</v>
      </c>
      <c r="M96" s="29">
        <v>34492.796562335898</v>
      </c>
      <c r="N96" s="30">
        <v>1.8148930500873101E-2</v>
      </c>
      <c r="O96" s="29">
        <v>32409.597468742799</v>
      </c>
      <c r="P96" s="30">
        <v>4.6394204024706502E-2</v>
      </c>
      <c r="Q96" s="29">
        <v>9887.1009131999199</v>
      </c>
      <c r="R96" s="30">
        <v>3.2928260977135498E-2</v>
      </c>
      <c r="S96" s="29">
        <v>22522.496555542901</v>
      </c>
      <c r="T96" s="30">
        <v>5.2417122105110597E-2</v>
      </c>
      <c r="U96" s="29">
        <v>675.12488983676303</v>
      </c>
      <c r="V96" s="30"/>
      <c r="W96" s="29">
        <v>1408.07420375633</v>
      </c>
      <c r="X96" s="30"/>
      <c r="Y96" s="29">
        <v>3877.4409754096901</v>
      </c>
      <c r="Z96" s="30"/>
      <c r="AA96" s="29">
        <v>63049.839477500202</v>
      </c>
      <c r="AB96" s="30">
        <v>9.5904153015599305E-2</v>
      </c>
      <c r="AC96" s="29">
        <v>42694.7500122485</v>
      </c>
      <c r="AD96" s="30">
        <v>0.13221407763841</v>
      </c>
      <c r="AE96" s="29">
        <v>36752.064550811599</v>
      </c>
      <c r="AF96" s="30">
        <v>0.10029012208414199</v>
      </c>
      <c r="AG96" s="29">
        <v>33508.528209737597</v>
      </c>
      <c r="AH96" s="30">
        <v>0.105777099583617</v>
      </c>
      <c r="AI96" s="29">
        <v>20355.0894652516</v>
      </c>
      <c r="AJ96" s="30">
        <v>2.6832796151384598E-2</v>
      </c>
      <c r="AK96" s="29">
        <v>59172.398502090502</v>
      </c>
      <c r="AL96" s="30">
        <v>8.0391987989296698E-2</v>
      </c>
      <c r="AM96" s="29">
        <v>43848.2549610356</v>
      </c>
      <c r="AN96" s="30">
        <v>0.104559443261355</v>
      </c>
      <c r="AO96" s="29">
        <v>39555.4253041923</v>
      </c>
      <c r="AP96" s="30">
        <v>0.14671562927548901</v>
      </c>
      <c r="AQ96" s="29">
        <v>33899.2540943286</v>
      </c>
      <c r="AR96" s="30">
        <v>8.2951551777634205E-2</v>
      </c>
      <c r="AS96" s="29">
        <v>15324.1435410549</v>
      </c>
      <c r="AT96" s="30">
        <v>1.6737810887597699E-2</v>
      </c>
      <c r="AU96" s="29">
        <v>169530.962337937</v>
      </c>
      <c r="AV96" s="30">
        <v>4.9836617951038602E-2</v>
      </c>
      <c r="AW96" s="29">
        <v>115022.049523387</v>
      </c>
      <c r="AX96" s="30">
        <v>4.0412517045731899E-2</v>
      </c>
      <c r="AY96" s="29">
        <v>54508.912814549498</v>
      </c>
      <c r="AZ96" s="30">
        <v>7.0294046858220896E-2</v>
      </c>
      <c r="BA96" s="29">
        <v>34153.823349297898</v>
      </c>
      <c r="BB96" s="30">
        <v>9.7991193699431794E-2</v>
      </c>
      <c r="BC96" s="29">
        <v>49223.397635383502</v>
      </c>
      <c r="BD96" s="30">
        <v>6.1431867438260103E-2</v>
      </c>
      <c r="BE96" s="29"/>
      <c r="BF96" s="30"/>
    </row>
    <row r="97" spans="1:58" x14ac:dyDescent="0.2">
      <c r="A97" s="28">
        <v>2001</v>
      </c>
      <c r="B97" s="28">
        <v>2</v>
      </c>
      <c r="C97" s="29">
        <v>121914.544714638</v>
      </c>
      <c r="D97" s="30">
        <v>3.86666556747872E-2</v>
      </c>
      <c r="E97" s="29">
        <v>119407.14092486299</v>
      </c>
      <c r="F97" s="30">
        <v>9.6619944615825598E-2</v>
      </c>
      <c r="G97" s="29">
        <v>82483.060091585401</v>
      </c>
      <c r="H97" s="30">
        <v>3.5286387722620598E-2</v>
      </c>
      <c r="I97" s="29">
        <v>68455.205066747105</v>
      </c>
      <c r="J97" s="30">
        <v>3.6555650005536199E-2</v>
      </c>
      <c r="K97" s="29">
        <v>14027.8550248384</v>
      </c>
      <c r="L97" s="30">
        <v>2.9136785001218999E-2</v>
      </c>
      <c r="M97" s="29">
        <v>36924.080833277301</v>
      </c>
      <c r="N97" s="30">
        <v>0.263882807262525</v>
      </c>
      <c r="O97" s="29">
        <v>33584.996418157898</v>
      </c>
      <c r="P97" s="30">
        <v>1.9879784042892999E-2</v>
      </c>
      <c r="Q97" s="29">
        <v>11151.0876557625</v>
      </c>
      <c r="R97" s="30">
        <v>2.8538625013838602E-3</v>
      </c>
      <c r="S97" s="29">
        <v>22433.9087623954</v>
      </c>
      <c r="T97" s="30">
        <v>2.8559684695383301E-2</v>
      </c>
      <c r="U97" s="29">
        <v>1200.8903291837501</v>
      </c>
      <c r="V97" s="30"/>
      <c r="W97" s="29">
        <v>2138.1940859356801</v>
      </c>
      <c r="X97" s="30"/>
      <c r="Y97" s="29">
        <v>2507.4037897757198</v>
      </c>
      <c r="Z97" s="30"/>
      <c r="AA97" s="29">
        <v>61523.915084928602</v>
      </c>
      <c r="AB97" s="30">
        <v>-3.1079157909451598E-3</v>
      </c>
      <c r="AC97" s="29">
        <v>41223.300791007903</v>
      </c>
      <c r="AD97" s="30">
        <v>-3.7187219252073898E-3</v>
      </c>
      <c r="AE97" s="29">
        <v>36371.014623486801</v>
      </c>
      <c r="AF97" s="30">
        <v>6.0366017528477901E-2</v>
      </c>
      <c r="AG97" s="29">
        <v>33527.1096327626</v>
      </c>
      <c r="AH97" s="30">
        <v>9.3811165586572501E-2</v>
      </c>
      <c r="AI97" s="29">
        <v>20300.6142939206</v>
      </c>
      <c r="AJ97" s="30">
        <v>-1.8652791155578899E-3</v>
      </c>
      <c r="AK97" s="29">
        <v>59016.511295152799</v>
      </c>
      <c r="AL97" s="30">
        <v>0.108785910864649</v>
      </c>
      <c r="AM97" s="29">
        <v>42860.884440494898</v>
      </c>
      <c r="AN97" s="30">
        <v>0.14861547262920699</v>
      </c>
      <c r="AO97" s="29">
        <v>36752.501843667596</v>
      </c>
      <c r="AP97" s="30">
        <v>8.1066375483300104E-2</v>
      </c>
      <c r="AQ97" s="29">
        <v>33661.9989657763</v>
      </c>
      <c r="AR97" s="30">
        <v>6.8805828400895899E-2</v>
      </c>
      <c r="AS97" s="29">
        <v>16155.626854658</v>
      </c>
      <c r="AT97" s="30">
        <v>1.5375583054730199E-2</v>
      </c>
      <c r="AU97" s="29">
        <v>170531.28020588899</v>
      </c>
      <c r="AV97" s="30">
        <v>3.73822267139046E-2</v>
      </c>
      <c r="AW97" s="29">
        <v>116068.05650974299</v>
      </c>
      <c r="AX97" s="30">
        <v>3.0780744301957898E-2</v>
      </c>
      <c r="AY97" s="29">
        <v>54463.223696145702</v>
      </c>
      <c r="AZ97" s="30">
        <v>5.1736844413043902E-2</v>
      </c>
      <c r="BA97" s="29">
        <v>34162.609402225098</v>
      </c>
      <c r="BB97" s="30">
        <v>8.6405989111626003E-2</v>
      </c>
      <c r="BC97" s="29">
        <v>49817.625820434303</v>
      </c>
      <c r="BD97" s="30">
        <v>5.0872891139519101E-2</v>
      </c>
      <c r="BE97" s="29"/>
      <c r="BF97" s="30"/>
    </row>
    <row r="98" spans="1:58" x14ac:dyDescent="0.2">
      <c r="A98" s="28">
        <v>2001</v>
      </c>
      <c r="B98" s="28">
        <v>3</v>
      </c>
      <c r="C98" s="29">
        <v>121598.274711501</v>
      </c>
      <c r="D98" s="30">
        <v>2.44615376901933E-2</v>
      </c>
      <c r="E98" s="29">
        <v>117022.45534329501</v>
      </c>
      <c r="F98" s="30">
        <v>3.1474186224941199E-2</v>
      </c>
      <c r="G98" s="29">
        <v>83012.114188945401</v>
      </c>
      <c r="H98" s="30">
        <v>2.7565848668382999E-2</v>
      </c>
      <c r="I98" s="29">
        <v>68842.721628178406</v>
      </c>
      <c r="J98" s="30">
        <v>2.7225747784499699E-2</v>
      </c>
      <c r="K98" s="29">
        <v>14169.392560766901</v>
      </c>
      <c r="L98" s="30">
        <v>2.9221456585072799E-2</v>
      </c>
      <c r="M98" s="29">
        <v>34010.341154350099</v>
      </c>
      <c r="N98" s="30">
        <v>4.11396315595687E-2</v>
      </c>
      <c r="O98" s="29">
        <v>32735.2372424272</v>
      </c>
      <c r="P98" s="30">
        <v>-2.9418916876322598E-4</v>
      </c>
      <c r="Q98" s="29">
        <v>11273.278396923701</v>
      </c>
      <c r="R98" s="30">
        <v>-7.0034767978527403E-3</v>
      </c>
      <c r="S98" s="29">
        <v>21461.958845503501</v>
      </c>
      <c r="T98" s="30">
        <v>3.2664325692139998E-3</v>
      </c>
      <c r="U98" s="29">
        <v>1998.93827012519</v>
      </c>
      <c r="V98" s="30"/>
      <c r="W98" s="29">
        <v>-723.83435820239504</v>
      </c>
      <c r="X98" s="30"/>
      <c r="Y98" s="29">
        <v>4575.8193682055298</v>
      </c>
      <c r="Z98" s="30"/>
      <c r="AA98" s="29">
        <v>57857.230771719704</v>
      </c>
      <c r="AB98" s="30">
        <v>-3.6736382301749498E-2</v>
      </c>
      <c r="AC98" s="29">
        <v>38076.230586446902</v>
      </c>
      <c r="AD98" s="30">
        <v>-2.7733182972747E-2</v>
      </c>
      <c r="AE98" s="29">
        <v>33733.104248117401</v>
      </c>
      <c r="AF98" s="30">
        <v>-1.48344501587715E-2</v>
      </c>
      <c r="AG98" s="29">
        <v>31293.086409825399</v>
      </c>
      <c r="AH98" s="30">
        <v>2.35631401820788E-2</v>
      </c>
      <c r="AI98" s="29">
        <v>19781.000185272798</v>
      </c>
      <c r="AJ98" s="30">
        <v>-5.3605383308149603E-2</v>
      </c>
      <c r="AK98" s="29">
        <v>53281.411403514197</v>
      </c>
      <c r="AL98" s="30">
        <v>-2.8076751914837699E-2</v>
      </c>
      <c r="AM98" s="29">
        <v>36865.105848049199</v>
      </c>
      <c r="AN98" s="30">
        <v>-3.8801515640538103E-2</v>
      </c>
      <c r="AO98" s="29">
        <v>33861.157560232001</v>
      </c>
      <c r="AP98" s="30">
        <v>-7.0379543156763296E-3</v>
      </c>
      <c r="AQ98" s="29">
        <v>31491.651603198101</v>
      </c>
      <c r="AR98" s="30">
        <v>1.82677298017087E-3</v>
      </c>
      <c r="AS98" s="29">
        <v>16416.305555465002</v>
      </c>
      <c r="AT98" s="30">
        <v>-3.0982096264294801E-3</v>
      </c>
      <c r="AU98" s="29">
        <v>167507.293600039</v>
      </c>
      <c r="AV98" s="30">
        <v>1.04864116334649E-2</v>
      </c>
      <c r="AW98" s="29">
        <v>115747.351431373</v>
      </c>
      <c r="AX98" s="30">
        <v>1.9530327213779199E-2</v>
      </c>
      <c r="AY98" s="29">
        <v>51759.942168666203</v>
      </c>
      <c r="AZ98" s="30">
        <v>-9.1686038401154208E-3</v>
      </c>
      <c r="BA98" s="29">
        <v>31978.941983393401</v>
      </c>
      <c r="BB98" s="30">
        <v>2.0469787080621402E-2</v>
      </c>
      <c r="BC98" s="29">
        <v>47907.957158663099</v>
      </c>
      <c r="BD98" s="30">
        <v>1.3369034032795199E-4</v>
      </c>
      <c r="BE98" s="29"/>
      <c r="BF98" s="30"/>
    </row>
    <row r="99" spans="1:58" x14ac:dyDescent="0.2">
      <c r="A99" s="28">
        <v>2001</v>
      </c>
      <c r="B99" s="28">
        <v>4</v>
      </c>
      <c r="C99" s="29">
        <v>125178.746630886</v>
      </c>
      <c r="D99" s="30">
        <v>5.4424524442520097E-3</v>
      </c>
      <c r="E99" s="29">
        <v>118244.483406642</v>
      </c>
      <c r="F99" s="30">
        <v>-1.65733356104973E-2</v>
      </c>
      <c r="G99" s="29">
        <v>84054.528465162803</v>
      </c>
      <c r="H99" s="30">
        <v>1.4089216134632E-2</v>
      </c>
      <c r="I99" s="29">
        <v>69784.027662999404</v>
      </c>
      <c r="J99" s="30">
        <v>1.1817808930614E-2</v>
      </c>
      <c r="K99" s="29">
        <v>14270.5008021634</v>
      </c>
      <c r="L99" s="30">
        <v>2.5345098790377399E-2</v>
      </c>
      <c r="M99" s="29">
        <v>34189.954941478798</v>
      </c>
      <c r="N99" s="30">
        <v>-8.4618438864308906E-2</v>
      </c>
      <c r="O99" s="29">
        <v>33066.3685611822</v>
      </c>
      <c r="P99" s="30">
        <v>-4.4596368565866899E-2</v>
      </c>
      <c r="Q99" s="29">
        <v>11467.4793849082</v>
      </c>
      <c r="R99" s="30">
        <v>-2.7086598181753199E-2</v>
      </c>
      <c r="S99" s="29">
        <v>21598.889176273999</v>
      </c>
      <c r="T99" s="30">
        <v>-5.3639099444928499E-2</v>
      </c>
      <c r="U99" s="29">
        <v>3152.9673486008501</v>
      </c>
      <c r="V99" s="30"/>
      <c r="W99" s="29">
        <v>-2029.38096830429</v>
      </c>
      <c r="X99" s="30"/>
      <c r="Y99" s="29">
        <v>6934.2632242442296</v>
      </c>
      <c r="Z99" s="30"/>
      <c r="AA99" s="29">
        <v>59632.345953094598</v>
      </c>
      <c r="AB99" s="30">
        <v>-5.5786213067391503E-2</v>
      </c>
      <c r="AC99" s="29">
        <v>41476.952756032602</v>
      </c>
      <c r="AD99" s="30">
        <v>-3.3073738423053799E-2</v>
      </c>
      <c r="AE99" s="29">
        <v>34959.141285320104</v>
      </c>
      <c r="AF99" s="30">
        <v>-4.9500199503023298E-2</v>
      </c>
      <c r="AG99" s="29">
        <v>32798.446065027703</v>
      </c>
      <c r="AH99" s="30">
        <v>-5.7472688333046803E-3</v>
      </c>
      <c r="AI99" s="29">
        <v>18155.393197061901</v>
      </c>
      <c r="AJ99" s="30">
        <v>-0.10387469042981901</v>
      </c>
      <c r="AK99" s="29">
        <v>52698.082728850299</v>
      </c>
      <c r="AL99" s="30">
        <v>-0.105168325916957</v>
      </c>
      <c r="AM99" s="29">
        <v>37482.434477806601</v>
      </c>
      <c r="AN99" s="30">
        <v>-0.123284560854383</v>
      </c>
      <c r="AO99" s="29">
        <v>33332.885547874197</v>
      </c>
      <c r="AP99" s="30">
        <v>-0.116781050114552</v>
      </c>
      <c r="AQ99" s="29">
        <v>31629.672980251002</v>
      </c>
      <c r="AR99" s="30">
        <v>-8.0337057717259602E-2</v>
      </c>
      <c r="AS99" s="29">
        <v>15215.6482510437</v>
      </c>
      <c r="AT99" s="30">
        <v>-5.7175365317772099E-2</v>
      </c>
      <c r="AU99" s="29">
        <v>168871.10051357999</v>
      </c>
      <c r="AV99" s="30">
        <v>-1.50975763976162E-2</v>
      </c>
      <c r="AW99" s="29">
        <v>117120.897026345</v>
      </c>
      <c r="AX99" s="30">
        <v>-3.1972370168211802E-3</v>
      </c>
      <c r="AY99" s="29">
        <v>51750.203487234598</v>
      </c>
      <c r="AZ99" s="30">
        <v>-4.1008750152537202E-2</v>
      </c>
      <c r="BA99" s="29">
        <v>33594.810290172703</v>
      </c>
      <c r="BB99" s="30">
        <v>-3.2184692046527399E-3</v>
      </c>
      <c r="BC99" s="29">
        <v>46845.3212312947</v>
      </c>
      <c r="BD99" s="30">
        <v>-7.2939786373393004E-2</v>
      </c>
      <c r="BE99" s="29"/>
      <c r="BF99" s="30"/>
    </row>
    <row r="100" spans="1:58" x14ac:dyDescent="0.2">
      <c r="A100" s="28">
        <v>2002</v>
      </c>
      <c r="B100" s="28">
        <v>1</v>
      </c>
      <c r="C100" s="29">
        <v>120513.212210029</v>
      </c>
      <c r="D100" s="30">
        <v>-3.8805335204836798E-3</v>
      </c>
      <c r="E100" s="29">
        <v>116596.01906380001</v>
      </c>
      <c r="F100" s="30">
        <v>-4.3484776232862697E-3</v>
      </c>
      <c r="G100" s="29">
        <v>83086.711872101805</v>
      </c>
      <c r="H100" s="30">
        <v>5.7407788494576702E-3</v>
      </c>
      <c r="I100" s="29">
        <v>68618.064447577402</v>
      </c>
      <c r="J100" s="30">
        <v>2.1767397573195799E-3</v>
      </c>
      <c r="K100" s="29">
        <v>14468.647424524401</v>
      </c>
      <c r="L100" s="30">
        <v>2.29944674275919E-2</v>
      </c>
      <c r="M100" s="29">
        <v>33509.307191698397</v>
      </c>
      <c r="N100" s="30">
        <v>-2.8512891636956101E-2</v>
      </c>
      <c r="O100" s="29">
        <v>31868.031385037299</v>
      </c>
      <c r="P100" s="30">
        <v>-1.6710052762234601E-2</v>
      </c>
      <c r="Q100" s="29">
        <v>9857.5332580020804</v>
      </c>
      <c r="R100" s="30">
        <v>-2.9905283113245101E-3</v>
      </c>
      <c r="S100" s="29">
        <v>22010.498127035298</v>
      </c>
      <c r="T100" s="30">
        <v>-2.27327564351043E-2</v>
      </c>
      <c r="U100" s="29">
        <v>444.58815027595801</v>
      </c>
      <c r="V100" s="30"/>
      <c r="W100" s="29">
        <v>1196.6876563851799</v>
      </c>
      <c r="X100" s="30"/>
      <c r="Y100" s="29">
        <v>3917.1931462284401</v>
      </c>
      <c r="Z100" s="30"/>
      <c r="AA100" s="29">
        <v>57896.144996353898</v>
      </c>
      <c r="AB100" s="30">
        <v>-8.1740009552052004E-2</v>
      </c>
      <c r="AC100" s="29">
        <v>38864.960541405002</v>
      </c>
      <c r="AD100" s="30">
        <v>-8.9701648791592106E-2</v>
      </c>
      <c r="AE100" s="29">
        <v>34170.915867170697</v>
      </c>
      <c r="AF100" s="30">
        <v>-7.02313928533808E-2</v>
      </c>
      <c r="AG100" s="29">
        <v>32040.101772984599</v>
      </c>
      <c r="AH100" s="30">
        <v>-4.3822468941688501E-2</v>
      </c>
      <c r="AI100" s="29">
        <v>19031.184454949002</v>
      </c>
      <c r="AJ100" s="30">
        <v>-6.5040490859188602E-2</v>
      </c>
      <c r="AK100" s="29">
        <v>53978.951850125501</v>
      </c>
      <c r="AL100" s="30">
        <v>-8.7768060505127005E-2</v>
      </c>
      <c r="AM100" s="29">
        <v>38831.563776237599</v>
      </c>
      <c r="AN100" s="30">
        <v>-0.114410281304374</v>
      </c>
      <c r="AO100" s="29">
        <v>32926.2451353621</v>
      </c>
      <c r="AP100" s="30">
        <v>-0.16759218534119899</v>
      </c>
      <c r="AQ100" s="29">
        <v>31777.050824939</v>
      </c>
      <c r="AR100" s="30">
        <v>-6.2603243820184201E-2</v>
      </c>
      <c r="AS100" s="29">
        <v>15147.3880738879</v>
      </c>
      <c r="AT100" s="30">
        <v>-1.1534443454761499E-2</v>
      </c>
      <c r="AU100" s="29">
        <v>166993.06295858001</v>
      </c>
      <c r="AV100" s="30">
        <v>-1.49701231229866E-2</v>
      </c>
      <c r="AW100" s="29">
        <v>114954.74325713899</v>
      </c>
      <c r="AX100" s="30">
        <v>-5.8515968483630098E-4</v>
      </c>
      <c r="AY100" s="29">
        <v>52038.319701440603</v>
      </c>
      <c r="AZ100" s="30">
        <v>-4.5324571442370197E-2</v>
      </c>
      <c r="BA100" s="29">
        <v>33007.135246491598</v>
      </c>
      <c r="BB100" s="30">
        <v>-3.35742236258268E-2</v>
      </c>
      <c r="BC100" s="29">
        <v>46924.438898826898</v>
      </c>
      <c r="BD100" s="30">
        <v>-4.6704592673302403E-2</v>
      </c>
      <c r="BE100" s="29"/>
      <c r="BF100" s="30"/>
    </row>
    <row r="101" spans="1:58" x14ac:dyDescent="0.2">
      <c r="A101" s="28">
        <v>2002</v>
      </c>
      <c r="B101" s="28">
        <v>2</v>
      </c>
      <c r="C101" s="29">
        <v>122115.698360165</v>
      </c>
      <c r="D101" s="30">
        <v>1.6499560901224199E-3</v>
      </c>
      <c r="E101" s="29">
        <v>116774.701859433</v>
      </c>
      <c r="F101" s="30">
        <v>-2.20459098596653E-2</v>
      </c>
      <c r="G101" s="29">
        <v>82410.743665964706</v>
      </c>
      <c r="H101" s="30">
        <v>-8.7674275833693504E-4</v>
      </c>
      <c r="I101" s="29">
        <v>67886.665477432703</v>
      </c>
      <c r="J101" s="30">
        <v>-8.3052791786976093E-3</v>
      </c>
      <c r="K101" s="29">
        <v>14524.078188531899</v>
      </c>
      <c r="L101" s="30">
        <v>3.5374129745062002E-2</v>
      </c>
      <c r="M101" s="29">
        <v>34363.958193468199</v>
      </c>
      <c r="N101" s="30">
        <v>-6.9334769668844901E-2</v>
      </c>
      <c r="O101" s="29">
        <v>33857.596712665698</v>
      </c>
      <c r="P101" s="30">
        <v>8.1167284079399805E-3</v>
      </c>
      <c r="Q101" s="29">
        <v>11304.589707703701</v>
      </c>
      <c r="R101" s="30">
        <v>1.3765657367229799E-2</v>
      </c>
      <c r="S101" s="29">
        <v>22553.007004962001</v>
      </c>
      <c r="T101" s="30">
        <v>5.3088493774335896E-3</v>
      </c>
      <c r="U101" s="29">
        <v>898.36417301979998</v>
      </c>
      <c r="V101" s="30"/>
      <c r="W101" s="29">
        <v>-392.00269221726899</v>
      </c>
      <c r="X101" s="30"/>
      <c r="Y101" s="29">
        <v>5340.9965007320197</v>
      </c>
      <c r="Z101" s="30"/>
      <c r="AA101" s="29">
        <v>59814.430740285199</v>
      </c>
      <c r="AB101" s="30">
        <v>-2.7785688577906201E-2</v>
      </c>
      <c r="AC101" s="29">
        <v>41239.7433984073</v>
      </c>
      <c r="AD101" s="30">
        <v>3.9886683219991803E-4</v>
      </c>
      <c r="AE101" s="29">
        <v>36668.549678380099</v>
      </c>
      <c r="AF101" s="30">
        <v>8.1805541575725692E-3</v>
      </c>
      <c r="AG101" s="29">
        <v>33892.3971699022</v>
      </c>
      <c r="AH101" s="30">
        <v>1.08952886526976E-2</v>
      </c>
      <c r="AI101" s="29">
        <v>18574.6873418779</v>
      </c>
      <c r="AJ101" s="30">
        <v>-8.5018459395071896E-2</v>
      </c>
      <c r="AK101" s="29">
        <v>54473.4342395532</v>
      </c>
      <c r="AL101" s="30">
        <v>-7.6979763051036307E-2</v>
      </c>
      <c r="AM101" s="29">
        <v>38790.338094704202</v>
      </c>
      <c r="AN101" s="30">
        <v>-9.4971123413048503E-2</v>
      </c>
      <c r="AO101" s="29">
        <v>34890.2624104918</v>
      </c>
      <c r="AP101" s="30">
        <v>-5.06697323925627E-2</v>
      </c>
      <c r="AQ101" s="29">
        <v>32917.061576464701</v>
      </c>
      <c r="AR101" s="30">
        <v>-2.2129921341539901E-2</v>
      </c>
      <c r="AS101" s="29">
        <v>15683.0961448489</v>
      </c>
      <c r="AT101" s="30">
        <v>-2.9248676888868799E-2</v>
      </c>
      <c r="AU101" s="29">
        <v>169817.49190845899</v>
      </c>
      <c r="AV101" s="30">
        <v>-4.1856737166839899E-3</v>
      </c>
      <c r="AW101" s="29">
        <v>116268.34037863</v>
      </c>
      <c r="AX101" s="30">
        <v>1.72557269338136E-3</v>
      </c>
      <c r="AY101" s="29">
        <v>53549.151529828399</v>
      </c>
      <c r="AZ101" s="30">
        <v>-1.6783291628438599E-2</v>
      </c>
      <c r="BA101" s="29">
        <v>34974.4641879505</v>
      </c>
      <c r="BB101" s="30">
        <v>2.37644254912368E-2</v>
      </c>
      <c r="BC101" s="29">
        <v>48600.157721313597</v>
      </c>
      <c r="BD101" s="30">
        <v>-2.44385010138575E-2</v>
      </c>
      <c r="BE101" s="29"/>
      <c r="BF101" s="30"/>
    </row>
    <row r="102" spans="1:58" x14ac:dyDescent="0.2">
      <c r="A102" s="28">
        <v>2002</v>
      </c>
      <c r="B102" s="28">
        <v>3</v>
      </c>
      <c r="C102" s="29">
        <v>121806.73065210901</v>
      </c>
      <c r="D102" s="30">
        <v>1.71430015024687E-3</v>
      </c>
      <c r="E102" s="29">
        <v>114961.748314071</v>
      </c>
      <c r="F102" s="30">
        <v>-1.7609500870405002E-2</v>
      </c>
      <c r="G102" s="29">
        <v>83116.350463421302</v>
      </c>
      <c r="H102" s="30">
        <v>1.2556754576646999E-3</v>
      </c>
      <c r="I102" s="29">
        <v>68418.814568123096</v>
      </c>
      <c r="J102" s="30">
        <v>-6.1576162305853098E-3</v>
      </c>
      <c r="K102" s="29">
        <v>14697.535895298201</v>
      </c>
      <c r="L102" s="30">
        <v>3.7273533940587203E-2</v>
      </c>
      <c r="M102" s="29">
        <v>31845.3978506495</v>
      </c>
      <c r="N102" s="30">
        <v>-6.36554421455338E-2</v>
      </c>
      <c r="O102" s="29">
        <v>33242.433562410799</v>
      </c>
      <c r="P102" s="30">
        <v>1.5493894735737E-2</v>
      </c>
      <c r="Q102" s="29">
        <v>11340.6086587311</v>
      </c>
      <c r="R102" s="30">
        <v>5.9725538070400904E-3</v>
      </c>
      <c r="S102" s="29">
        <v>21901.824903679699</v>
      </c>
      <c r="T102" s="30">
        <v>2.0495149643264401E-2</v>
      </c>
      <c r="U102" s="29">
        <v>-175.97936042066399</v>
      </c>
      <c r="V102" s="30"/>
      <c r="W102" s="29">
        <v>-1221.05635134064</v>
      </c>
      <c r="X102" s="30"/>
      <c r="Y102" s="29">
        <v>6844.9823380378903</v>
      </c>
      <c r="Z102" s="30"/>
      <c r="AA102" s="29">
        <v>57962.756204134799</v>
      </c>
      <c r="AB102" s="30">
        <v>1.82389359130397E-3</v>
      </c>
      <c r="AC102" s="29">
        <v>38891.171894738298</v>
      </c>
      <c r="AD102" s="30">
        <v>2.1402888251798698E-2</v>
      </c>
      <c r="AE102" s="29">
        <v>34486.225799031701</v>
      </c>
      <c r="AF102" s="30">
        <v>2.2325889291861599E-2</v>
      </c>
      <c r="AG102" s="29">
        <v>31876.581298267902</v>
      </c>
      <c r="AH102" s="30">
        <v>1.86461277996324E-2</v>
      </c>
      <c r="AI102" s="29">
        <v>19071.584309396501</v>
      </c>
      <c r="AJ102" s="30">
        <v>-3.58634987731552E-2</v>
      </c>
      <c r="AK102" s="29">
        <v>51117.773866096897</v>
      </c>
      <c r="AL102" s="30">
        <v>-4.0607736927827001E-2</v>
      </c>
      <c r="AM102" s="29">
        <v>35077.199145087703</v>
      </c>
      <c r="AN102" s="30">
        <v>-4.8498618458626699E-2</v>
      </c>
      <c r="AO102" s="29">
        <v>31678.886988036302</v>
      </c>
      <c r="AP102" s="30">
        <v>-6.4447606916976902E-2</v>
      </c>
      <c r="AQ102" s="29">
        <v>30425.137965100399</v>
      </c>
      <c r="AR102" s="30">
        <v>-3.3866551412927597E-2</v>
      </c>
      <c r="AS102" s="29">
        <v>16040.574721009199</v>
      </c>
      <c r="AT102" s="30">
        <v>-2.2887660879991601E-2</v>
      </c>
      <c r="AU102" s="29">
        <v>168448.42269863901</v>
      </c>
      <c r="AV102" s="30">
        <v>5.6184365371407799E-3</v>
      </c>
      <c r="AW102" s="29">
        <v>116358.78402583201</v>
      </c>
      <c r="AX102" s="30">
        <v>5.2824759002971797E-3</v>
      </c>
      <c r="AY102" s="29">
        <v>52089.638672806803</v>
      </c>
      <c r="AZ102" s="30">
        <v>6.3697231937822601E-3</v>
      </c>
      <c r="BA102" s="29">
        <v>33018.054363410301</v>
      </c>
      <c r="BB102" s="30">
        <v>3.2493644741483599E-2</v>
      </c>
      <c r="BC102" s="29">
        <v>46465.712686109597</v>
      </c>
      <c r="BD102" s="30">
        <v>-3.0104486980670999E-2</v>
      </c>
      <c r="BE102" s="29"/>
      <c r="BF102" s="30"/>
    </row>
    <row r="103" spans="1:58" x14ac:dyDescent="0.2">
      <c r="A103" s="28">
        <v>2002</v>
      </c>
      <c r="B103" s="28">
        <v>4</v>
      </c>
      <c r="C103" s="29">
        <v>124857.15596310201</v>
      </c>
      <c r="D103" s="30">
        <v>-2.56905166762711E-3</v>
      </c>
      <c r="E103" s="29">
        <v>117953.091671965</v>
      </c>
      <c r="F103" s="30">
        <v>-2.4643156812206302E-3</v>
      </c>
      <c r="G103" s="29">
        <v>84345.506204212797</v>
      </c>
      <c r="H103" s="30">
        <v>3.4617734982664802E-3</v>
      </c>
      <c r="I103" s="29">
        <v>69590.399670177299</v>
      </c>
      <c r="J103" s="30">
        <v>-2.7746749407635599E-3</v>
      </c>
      <c r="K103" s="29">
        <v>14755.1065340355</v>
      </c>
      <c r="L103" s="30">
        <v>3.3958565196155803E-2</v>
      </c>
      <c r="M103" s="29">
        <v>33607.585467751996</v>
      </c>
      <c r="N103" s="30">
        <v>-1.7033350138179301E-2</v>
      </c>
      <c r="O103" s="29">
        <v>33633.787624739103</v>
      </c>
      <c r="P103" s="30">
        <v>1.7160005414775598E-2</v>
      </c>
      <c r="Q103" s="29">
        <v>11711.9714052827</v>
      </c>
      <c r="R103" s="30">
        <v>2.1320467398989299E-2</v>
      </c>
      <c r="S103" s="29">
        <v>21921.816219456301</v>
      </c>
      <c r="T103" s="30">
        <v>1.49510949635814E-2</v>
      </c>
      <c r="U103" s="29">
        <v>976.07889697750204</v>
      </c>
      <c r="V103" s="30"/>
      <c r="W103" s="29">
        <v>-1002.2810539646</v>
      </c>
      <c r="X103" s="30"/>
      <c r="Y103" s="29">
        <v>6904.0642911374998</v>
      </c>
      <c r="Z103" s="30"/>
      <c r="AA103" s="29">
        <v>58213.016285773003</v>
      </c>
      <c r="AB103" s="30">
        <v>-2.3801338763998901E-2</v>
      </c>
      <c r="AC103" s="29">
        <v>40325.49199237</v>
      </c>
      <c r="AD103" s="30">
        <v>-2.7761459971166701E-2</v>
      </c>
      <c r="AE103" s="29">
        <v>35423.691064338098</v>
      </c>
      <c r="AF103" s="30">
        <v>1.32883635563734E-2</v>
      </c>
      <c r="AG103" s="29">
        <v>33062.392532845202</v>
      </c>
      <c r="AH103" s="30">
        <v>8.0475296693684993E-3</v>
      </c>
      <c r="AI103" s="29">
        <v>17887.524293402901</v>
      </c>
      <c r="AJ103" s="30">
        <v>-1.4754233122439699E-2</v>
      </c>
      <c r="AK103" s="29">
        <v>51308.951994635499</v>
      </c>
      <c r="AL103" s="30">
        <v>-2.63601759738092E-2</v>
      </c>
      <c r="AM103" s="29">
        <v>35882.172444243901</v>
      </c>
      <c r="AN103" s="30">
        <v>-4.2693652529701101E-2</v>
      </c>
      <c r="AO103" s="29">
        <v>32440.665750156899</v>
      </c>
      <c r="AP103" s="30">
        <v>-2.6766953507098099E-2</v>
      </c>
      <c r="AQ103" s="29">
        <v>30766.608240906698</v>
      </c>
      <c r="AR103" s="30">
        <v>-2.72865527216564E-2</v>
      </c>
      <c r="AS103" s="29">
        <v>15426.7795503916</v>
      </c>
      <c r="AT103" s="30">
        <v>1.3875931926425399E-2</v>
      </c>
      <c r="AU103" s="29">
        <v>170074.46485742301</v>
      </c>
      <c r="AV103" s="30">
        <v>7.1259341603366897E-3</v>
      </c>
      <c r="AW103" s="29">
        <v>117979.293828952</v>
      </c>
      <c r="AX103" s="30">
        <v>7.3291515382927202E-3</v>
      </c>
      <c r="AY103" s="29">
        <v>52095.171028471203</v>
      </c>
      <c r="AZ103" s="30">
        <v>6.6660132326166197E-3</v>
      </c>
      <c r="BA103" s="29">
        <v>34207.6467350682</v>
      </c>
      <c r="BB103" s="30">
        <v>1.8241997487177E-2</v>
      </c>
      <c r="BC103" s="29">
        <v>46193.387791298301</v>
      </c>
      <c r="BD103" s="30">
        <v>-1.39167247200117E-2</v>
      </c>
      <c r="BE103" s="29"/>
      <c r="BF103" s="30"/>
    </row>
    <row r="104" spans="1:58" x14ac:dyDescent="0.2">
      <c r="A104" s="28">
        <v>2003</v>
      </c>
      <c r="B104" s="28">
        <v>1</v>
      </c>
      <c r="C104" s="29">
        <v>120846.28343501499</v>
      </c>
      <c r="D104" s="30">
        <v>2.7637735222452199E-3</v>
      </c>
      <c r="E104" s="29">
        <v>116574.69002915701</v>
      </c>
      <c r="F104" s="30">
        <v>-1.8293107101063899E-4</v>
      </c>
      <c r="G104" s="29">
        <v>84190.932978856901</v>
      </c>
      <c r="H104" s="30">
        <v>1.3289984425607399E-2</v>
      </c>
      <c r="I104" s="29">
        <v>69297.150437226504</v>
      </c>
      <c r="J104" s="30">
        <v>9.8966066023014106E-3</v>
      </c>
      <c r="K104" s="29">
        <v>14893.7825416305</v>
      </c>
      <c r="L104" s="30">
        <v>2.9383196965979502E-2</v>
      </c>
      <c r="M104" s="29">
        <v>32383.757050300399</v>
      </c>
      <c r="N104" s="30">
        <v>-3.3589179715326399E-2</v>
      </c>
      <c r="O104" s="29">
        <v>31230.369730902701</v>
      </c>
      <c r="P104" s="30">
        <v>-2.0009446031674101E-2</v>
      </c>
      <c r="Q104" s="29">
        <v>9767.5034599898809</v>
      </c>
      <c r="R104" s="30">
        <v>-9.13309604500789E-3</v>
      </c>
      <c r="S104" s="29">
        <v>21462.8662709128</v>
      </c>
      <c r="T104" s="30">
        <v>-2.4880484438003701E-2</v>
      </c>
      <c r="U104" s="29">
        <v>1625.61954430843</v>
      </c>
      <c r="V104" s="30"/>
      <c r="W104" s="29">
        <v>-472.23222491078201</v>
      </c>
      <c r="X104" s="30"/>
      <c r="Y104" s="29">
        <v>4271.5934058581797</v>
      </c>
      <c r="Z104" s="30"/>
      <c r="AA104" s="29">
        <v>56364.957792422101</v>
      </c>
      <c r="AB104" s="30">
        <v>-2.6447135712201999E-2</v>
      </c>
      <c r="AC104" s="29">
        <v>38732.141064114701</v>
      </c>
      <c r="AD104" s="30">
        <v>-3.41746075230986E-3</v>
      </c>
      <c r="AE104" s="29">
        <v>34089.410307005703</v>
      </c>
      <c r="AF104" s="30">
        <v>-2.3852319464280299E-3</v>
      </c>
      <c r="AG104" s="29">
        <v>32116.071436333899</v>
      </c>
      <c r="AH104" s="30">
        <v>2.3710805879308999E-3</v>
      </c>
      <c r="AI104" s="29">
        <v>17632.8167283074</v>
      </c>
      <c r="AJ104" s="30">
        <v>-7.3477703395278898E-2</v>
      </c>
      <c r="AK104" s="29">
        <v>52093.364386563902</v>
      </c>
      <c r="AL104" s="30">
        <v>-3.4931902138393402E-2</v>
      </c>
      <c r="AM104" s="29">
        <v>37260.754795553599</v>
      </c>
      <c r="AN104" s="30">
        <v>-4.0451859980080503E-2</v>
      </c>
      <c r="AO104" s="29">
        <v>33296.7559166625</v>
      </c>
      <c r="AP104" s="30">
        <v>1.12527492818311E-2</v>
      </c>
      <c r="AQ104" s="29">
        <v>32210.324790730501</v>
      </c>
      <c r="AR104" s="30">
        <v>1.36348073387436E-2</v>
      </c>
      <c r="AS104" s="29">
        <v>14832.609591010199</v>
      </c>
      <c r="AT104" s="30">
        <v>-2.0781040357732799E-2</v>
      </c>
      <c r="AU104" s="29">
        <v>166263.598272448</v>
      </c>
      <c r="AV104" s="30">
        <v>-4.3682334655589204E-3</v>
      </c>
      <c r="AW104" s="29">
        <v>115421.30270976</v>
      </c>
      <c r="AX104" s="30">
        <v>4.0586359414234198E-3</v>
      </c>
      <c r="AY104" s="29">
        <v>50842.295562688101</v>
      </c>
      <c r="AZ104" s="30">
        <v>-2.2983527247120598E-2</v>
      </c>
      <c r="BA104" s="29">
        <v>33209.478834380803</v>
      </c>
      <c r="BB104" s="30">
        <v>6.1302983848214899E-3</v>
      </c>
      <c r="BC104" s="29">
        <v>47042.934381740699</v>
      </c>
      <c r="BD104" s="30">
        <v>2.52524027339551E-3</v>
      </c>
      <c r="BE104" s="29"/>
      <c r="BF104" s="30"/>
    </row>
    <row r="105" spans="1:58" x14ac:dyDescent="0.2">
      <c r="A105" s="28">
        <v>2003</v>
      </c>
      <c r="B105" s="28">
        <v>2</v>
      </c>
      <c r="C105" s="29">
        <v>122079.39943012</v>
      </c>
      <c r="D105" s="30">
        <v>-2.97250316975806E-4</v>
      </c>
      <c r="E105" s="29">
        <v>115275.738882616</v>
      </c>
      <c r="F105" s="30">
        <v>-1.28363674061941E-2</v>
      </c>
      <c r="G105" s="29">
        <v>83823.895466184098</v>
      </c>
      <c r="H105" s="30">
        <v>1.7147664701914599E-2</v>
      </c>
      <c r="I105" s="29">
        <v>68893.160271053304</v>
      </c>
      <c r="J105" s="30">
        <v>1.48261044572175E-2</v>
      </c>
      <c r="K105" s="29">
        <v>14930.735195130799</v>
      </c>
      <c r="L105" s="30">
        <v>2.7998816952108201E-2</v>
      </c>
      <c r="M105" s="29">
        <v>31451.843416432301</v>
      </c>
      <c r="N105" s="30">
        <v>-8.4743287156874098E-2</v>
      </c>
      <c r="O105" s="29">
        <v>32367.9358943681</v>
      </c>
      <c r="P105" s="30">
        <v>-4.3997831001995398E-2</v>
      </c>
      <c r="Q105" s="29">
        <v>11177.236089239699</v>
      </c>
      <c r="R105" s="30">
        <v>-1.12656559642491E-2</v>
      </c>
      <c r="S105" s="29">
        <v>21190.699805128399</v>
      </c>
      <c r="T105" s="30">
        <v>-6.0404681270832997E-2</v>
      </c>
      <c r="U105" s="29">
        <v>184.58155016324599</v>
      </c>
      <c r="V105" s="30"/>
      <c r="W105" s="29">
        <v>-1100.67402809903</v>
      </c>
      <c r="X105" s="30"/>
      <c r="Y105" s="29">
        <v>6803.6605475032102</v>
      </c>
      <c r="Z105" s="30"/>
      <c r="AA105" s="29">
        <v>57583.886178701803</v>
      </c>
      <c r="AB105" s="30">
        <v>-3.72910773199275E-2</v>
      </c>
      <c r="AC105" s="29">
        <v>39616.154312471997</v>
      </c>
      <c r="AD105" s="30">
        <v>-3.9369524447573703E-2</v>
      </c>
      <c r="AE105" s="29">
        <v>34908.068748689999</v>
      </c>
      <c r="AF105" s="30">
        <v>-4.80106506837948E-2</v>
      </c>
      <c r="AG105" s="29">
        <v>32398.350729028702</v>
      </c>
      <c r="AH105" s="30">
        <v>-4.4082052779678298E-2</v>
      </c>
      <c r="AI105" s="29">
        <v>17967.731866229798</v>
      </c>
      <c r="AJ105" s="30">
        <v>-3.2676484103166599E-2</v>
      </c>
      <c r="AK105" s="29">
        <v>50780.225631198598</v>
      </c>
      <c r="AL105" s="30">
        <v>-6.7798343539592396E-2</v>
      </c>
      <c r="AM105" s="29">
        <v>35543.108836167899</v>
      </c>
      <c r="AN105" s="30">
        <v>-8.3712321625255895E-2</v>
      </c>
      <c r="AO105" s="29">
        <v>31946.069000457701</v>
      </c>
      <c r="AP105" s="30">
        <v>-8.4384387121971605E-2</v>
      </c>
      <c r="AQ105" s="29">
        <v>30583.795697342601</v>
      </c>
      <c r="AR105" s="30">
        <v>-7.0883176303633402E-2</v>
      </c>
      <c r="AS105" s="29">
        <v>15237.116795030601</v>
      </c>
      <c r="AT105" s="30">
        <v>-2.8436945466587999E-2</v>
      </c>
      <c r="AU105" s="29">
        <v>167715.73037233</v>
      </c>
      <c r="AV105" s="30">
        <v>-1.23765903765798E-2</v>
      </c>
      <c r="AW105" s="29">
        <v>116191.83136055199</v>
      </c>
      <c r="AX105" s="30">
        <v>-6.5803827446930796E-4</v>
      </c>
      <c r="AY105" s="29">
        <v>51523.899011777401</v>
      </c>
      <c r="AZ105" s="30">
        <v>-3.7820440850923197E-2</v>
      </c>
      <c r="BA105" s="29">
        <v>33556.167145547603</v>
      </c>
      <c r="BB105" s="30">
        <v>-4.0552359423749802E-2</v>
      </c>
      <c r="BC105" s="29">
        <v>45820.912492373202</v>
      </c>
      <c r="BD105" s="30">
        <v>-5.71859302366335E-2</v>
      </c>
      <c r="BE105" s="29"/>
      <c r="BF105" s="30"/>
    </row>
    <row r="106" spans="1:58" x14ac:dyDescent="0.2">
      <c r="A106" s="28">
        <v>2003</v>
      </c>
      <c r="B106" s="28">
        <v>3</v>
      </c>
      <c r="C106" s="29">
        <v>122722.691285368</v>
      </c>
      <c r="D106" s="30">
        <v>7.5197867010749998E-3</v>
      </c>
      <c r="E106" s="29">
        <v>117438.422412714</v>
      </c>
      <c r="F106" s="30">
        <v>2.15434623686903E-2</v>
      </c>
      <c r="G106" s="29">
        <v>84635.041233711207</v>
      </c>
      <c r="H106" s="30">
        <v>1.8271865425061502E-2</v>
      </c>
      <c r="I106" s="29">
        <v>69552.559257683897</v>
      </c>
      <c r="J106" s="30">
        <v>1.6570656722383299E-2</v>
      </c>
      <c r="K106" s="29">
        <v>15082.4819760273</v>
      </c>
      <c r="L106" s="30">
        <v>2.6191198543169099E-2</v>
      </c>
      <c r="M106" s="29">
        <v>32803.381179002601</v>
      </c>
      <c r="N106" s="30">
        <v>3.0082316221827599E-2</v>
      </c>
      <c r="O106" s="29">
        <v>32742.967233393301</v>
      </c>
      <c r="P106" s="30">
        <v>-1.50249628409344E-2</v>
      </c>
      <c r="Q106" s="29">
        <v>11418.5245609344</v>
      </c>
      <c r="R106" s="30">
        <v>6.8705220811344798E-3</v>
      </c>
      <c r="S106" s="29">
        <v>21324.442672458899</v>
      </c>
      <c r="T106" s="30">
        <v>-2.6362288702425098E-2</v>
      </c>
      <c r="U106" s="29">
        <v>28.295422533556099</v>
      </c>
      <c r="V106" s="30"/>
      <c r="W106" s="29">
        <v>32.118523075711003</v>
      </c>
      <c r="X106" s="30"/>
      <c r="Y106" s="29">
        <v>5284.26887265405</v>
      </c>
      <c r="Z106" s="30"/>
      <c r="AA106" s="29">
        <v>58090.405264333</v>
      </c>
      <c r="AB106" s="30">
        <v>2.2022600124227401E-3</v>
      </c>
      <c r="AC106" s="29">
        <v>38911.947881089603</v>
      </c>
      <c r="AD106" s="30">
        <v>5.3420828787320595E-4</v>
      </c>
      <c r="AE106" s="29">
        <v>34450.487674133401</v>
      </c>
      <c r="AF106" s="30">
        <v>-1.0363014238368199E-3</v>
      </c>
      <c r="AG106" s="29">
        <v>31968.162037686801</v>
      </c>
      <c r="AH106" s="30">
        <v>2.8729787100409999E-3</v>
      </c>
      <c r="AI106" s="29">
        <v>19178.4573832434</v>
      </c>
      <c r="AJ106" s="30">
        <v>5.60378582676302E-3</v>
      </c>
      <c r="AK106" s="29">
        <v>52806.136391678898</v>
      </c>
      <c r="AL106" s="30">
        <v>3.3028874262104803E-2</v>
      </c>
      <c r="AM106" s="29">
        <v>36451.796177627701</v>
      </c>
      <c r="AN106" s="30">
        <v>3.91877648741095E-2</v>
      </c>
      <c r="AO106" s="29">
        <v>31902.623929900801</v>
      </c>
      <c r="AP106" s="30">
        <v>7.0626515997518303E-3</v>
      </c>
      <c r="AQ106" s="29">
        <v>30814.376161573298</v>
      </c>
      <c r="AR106" s="30">
        <v>1.2793309168208001E-2</v>
      </c>
      <c r="AS106" s="29">
        <v>16354.340214051201</v>
      </c>
      <c r="AT106" s="30">
        <v>1.9560738845039598E-2</v>
      </c>
      <c r="AU106" s="29">
        <v>169863.112238459</v>
      </c>
      <c r="AV106" s="30">
        <v>8.3983543280237195E-3</v>
      </c>
      <c r="AW106" s="29">
        <v>117378.008467105</v>
      </c>
      <c r="AX106" s="30">
        <v>8.7593253041056106E-3</v>
      </c>
      <c r="AY106" s="29">
        <v>52485.103771354203</v>
      </c>
      <c r="AZ106" s="30">
        <v>7.5920107841695996E-3</v>
      </c>
      <c r="BA106" s="29">
        <v>33306.646388110799</v>
      </c>
      <c r="BB106" s="30">
        <v>8.7404309631382605E-3</v>
      </c>
      <c r="BC106" s="29">
        <v>47168.716375624499</v>
      </c>
      <c r="BD106" s="30">
        <v>1.51295148374013E-2</v>
      </c>
      <c r="BE106" s="29"/>
      <c r="BF106" s="30"/>
    </row>
    <row r="107" spans="1:58" x14ac:dyDescent="0.2">
      <c r="A107" s="28">
        <v>2003</v>
      </c>
      <c r="B107" s="28">
        <v>4</v>
      </c>
      <c r="C107" s="29">
        <v>128003.30114654401</v>
      </c>
      <c r="D107" s="30">
        <v>2.51979564901492E-2</v>
      </c>
      <c r="E107" s="29">
        <v>121759.812822047</v>
      </c>
      <c r="F107" s="30">
        <v>3.2273178228079402E-2</v>
      </c>
      <c r="G107" s="29">
        <v>86340.068572107499</v>
      </c>
      <c r="H107" s="30">
        <v>2.3647523829729601E-2</v>
      </c>
      <c r="I107" s="29">
        <v>71208.653963666002</v>
      </c>
      <c r="J107" s="30">
        <v>2.3253987635628401E-2</v>
      </c>
      <c r="K107" s="29">
        <v>15131.414608441501</v>
      </c>
      <c r="L107" s="30">
        <v>2.55035823386256E-2</v>
      </c>
      <c r="M107" s="29">
        <v>35419.744249939598</v>
      </c>
      <c r="N107" s="30">
        <v>5.3921123965493999E-2</v>
      </c>
      <c r="O107" s="29">
        <v>34820.085948488901</v>
      </c>
      <c r="P107" s="30">
        <v>3.5271029745018702E-2</v>
      </c>
      <c r="Q107" s="29">
        <v>12002.8058570054</v>
      </c>
      <c r="R107" s="30">
        <v>2.4832237174986501E-2</v>
      </c>
      <c r="S107" s="29">
        <v>22817.280091483499</v>
      </c>
      <c r="T107" s="30">
        <v>4.0848069478496098E-2</v>
      </c>
      <c r="U107" s="29">
        <v>468.31273102009402</v>
      </c>
      <c r="V107" s="30"/>
      <c r="W107" s="29">
        <v>131.34557043061099</v>
      </c>
      <c r="X107" s="30"/>
      <c r="Y107" s="29">
        <v>6243.4883244972098</v>
      </c>
      <c r="Z107" s="30"/>
      <c r="AA107" s="29">
        <v>60786.500516554297</v>
      </c>
      <c r="AB107" s="30">
        <v>4.4208055087678201E-2</v>
      </c>
      <c r="AC107" s="29">
        <v>41787.047618185199</v>
      </c>
      <c r="AD107" s="30">
        <v>3.62439626549809E-2</v>
      </c>
      <c r="AE107" s="29">
        <v>37360.894933032403</v>
      </c>
      <c r="AF107" s="30">
        <v>5.4686674665718402E-2</v>
      </c>
      <c r="AG107" s="29">
        <v>34739.253670950602</v>
      </c>
      <c r="AH107" s="30">
        <v>5.07180820758684E-2</v>
      </c>
      <c r="AI107" s="29">
        <v>18999.452898369102</v>
      </c>
      <c r="AJ107" s="30">
        <v>6.21622415001419E-2</v>
      </c>
      <c r="AK107" s="29">
        <v>54543.012192057096</v>
      </c>
      <c r="AL107" s="30">
        <v>6.3031110005127094E-2</v>
      </c>
      <c r="AM107" s="29">
        <v>38544.836178728503</v>
      </c>
      <c r="AN107" s="30">
        <v>7.4205756037264606E-2</v>
      </c>
      <c r="AO107" s="29">
        <v>34523.9891782306</v>
      </c>
      <c r="AP107" s="30">
        <v>6.4219502895488403E-2</v>
      </c>
      <c r="AQ107" s="29">
        <v>33001.122696934901</v>
      </c>
      <c r="AR107" s="30">
        <v>7.2627910055334199E-2</v>
      </c>
      <c r="AS107" s="29">
        <v>15998.176013328601</v>
      </c>
      <c r="AT107" s="30">
        <v>3.7039257679839302E-2</v>
      </c>
      <c r="AU107" s="29">
        <v>176534.28712578799</v>
      </c>
      <c r="AV107" s="30">
        <v>3.7982317179596298E-2</v>
      </c>
      <c r="AW107" s="29">
        <v>121160.154520596</v>
      </c>
      <c r="AX107" s="30">
        <v>2.6961177579653901E-2</v>
      </c>
      <c r="AY107" s="29">
        <v>55374.1326051914</v>
      </c>
      <c r="AZ107" s="30">
        <v>6.2941756634759899E-2</v>
      </c>
      <c r="BA107" s="29">
        <v>36374.679706822302</v>
      </c>
      <c r="BB107" s="30">
        <v>6.3349372979009999E-2</v>
      </c>
      <c r="BC107" s="29">
        <v>48999.298710263603</v>
      </c>
      <c r="BD107" s="30">
        <v>6.07426961547484E-2</v>
      </c>
      <c r="BE107" s="29"/>
      <c r="BF107" s="30"/>
    </row>
    <row r="108" spans="1:58" x14ac:dyDescent="0.2">
      <c r="A108" s="28">
        <v>2004</v>
      </c>
      <c r="B108" s="28">
        <v>1</v>
      </c>
      <c r="C108" s="29">
        <v>124908.046924462</v>
      </c>
      <c r="D108" s="30">
        <v>3.3610992195973501E-2</v>
      </c>
      <c r="E108" s="29">
        <v>116053.90305909301</v>
      </c>
      <c r="F108" s="30">
        <v>-4.4674102923566404E-3</v>
      </c>
      <c r="G108" s="29">
        <v>86144.726132273106</v>
      </c>
      <c r="H108" s="30">
        <v>2.3206693218458901E-2</v>
      </c>
      <c r="I108" s="29">
        <v>71097.852766384705</v>
      </c>
      <c r="J108" s="30">
        <v>2.5985229086575901E-2</v>
      </c>
      <c r="K108" s="29">
        <v>15046.873365888399</v>
      </c>
      <c r="L108" s="30">
        <v>1.0278841109033101E-2</v>
      </c>
      <c r="M108" s="29">
        <v>29909.176926819699</v>
      </c>
      <c r="N108" s="30">
        <v>-7.6414238151460798E-2</v>
      </c>
      <c r="O108" s="29">
        <v>32592.356002676701</v>
      </c>
      <c r="P108" s="30">
        <v>4.3610955730257098E-2</v>
      </c>
      <c r="Q108" s="29">
        <v>10152.4590525657</v>
      </c>
      <c r="R108" s="30">
        <v>3.9411871636662502E-2</v>
      </c>
      <c r="S108" s="29">
        <v>22439.896950111</v>
      </c>
      <c r="T108" s="30">
        <v>4.5521910581080502E-2</v>
      </c>
      <c r="U108" s="29">
        <v>-453.34198884962802</v>
      </c>
      <c r="V108" s="30"/>
      <c r="W108" s="29">
        <v>-2229.83708700737</v>
      </c>
      <c r="X108" s="30"/>
      <c r="Y108" s="29">
        <v>8854.1438653694204</v>
      </c>
      <c r="Z108" s="30"/>
      <c r="AA108" s="29">
        <v>63280.435086280799</v>
      </c>
      <c r="AB108" s="30">
        <v>0.122691075531835</v>
      </c>
      <c r="AC108" s="29">
        <v>43840.335362236801</v>
      </c>
      <c r="AD108" s="30">
        <v>0.131885151653929</v>
      </c>
      <c r="AE108" s="29">
        <v>38610.750691014298</v>
      </c>
      <c r="AF108" s="30">
        <v>0.13263181566621299</v>
      </c>
      <c r="AG108" s="29">
        <v>35378.027757557204</v>
      </c>
      <c r="AH108" s="30">
        <v>0.101567725295721</v>
      </c>
      <c r="AI108" s="29">
        <v>19440.099724044001</v>
      </c>
      <c r="AJ108" s="30">
        <v>0.102495422233659</v>
      </c>
      <c r="AK108" s="29">
        <v>54426.2912209114</v>
      </c>
      <c r="AL108" s="30">
        <v>4.4783570073066999E-2</v>
      </c>
      <c r="AM108" s="29">
        <v>37380.185161118403</v>
      </c>
      <c r="AN108" s="30">
        <v>3.2052588902193898E-3</v>
      </c>
      <c r="AO108" s="29">
        <v>34688.567689293399</v>
      </c>
      <c r="AP108" s="30">
        <v>4.1800221502493497E-2</v>
      </c>
      <c r="AQ108" s="29">
        <v>33196.382697240799</v>
      </c>
      <c r="AR108" s="30">
        <v>3.0613100393016599E-2</v>
      </c>
      <c r="AS108" s="29">
        <v>17046.106059793001</v>
      </c>
      <c r="AT108" s="30">
        <v>0.149231762300568</v>
      </c>
      <c r="AU108" s="29">
        <v>175603.877670346</v>
      </c>
      <c r="AV108" s="30">
        <v>5.6177536724499398E-2</v>
      </c>
      <c r="AW108" s="29">
        <v>118737.08213495</v>
      </c>
      <c r="AX108" s="30">
        <v>2.8727620875394599E-2</v>
      </c>
      <c r="AY108" s="29">
        <v>56866.795535395897</v>
      </c>
      <c r="AZ108" s="30">
        <v>0.118493862364644</v>
      </c>
      <c r="BA108" s="29">
        <v>37426.695811351899</v>
      </c>
      <c r="BB108" s="30">
        <v>0.126988351669198</v>
      </c>
      <c r="BC108" s="29">
        <v>50242.488757033803</v>
      </c>
      <c r="BD108" s="30">
        <v>6.8013494849822595E-2</v>
      </c>
      <c r="BE108" s="29"/>
      <c r="BF108" s="30"/>
    </row>
    <row r="109" spans="1:58" x14ac:dyDescent="0.2">
      <c r="A109" s="28">
        <v>2004</v>
      </c>
      <c r="B109" s="28">
        <v>2</v>
      </c>
      <c r="C109" s="29">
        <v>126802.201689576</v>
      </c>
      <c r="D109" s="30">
        <v>3.8686316294994201E-2</v>
      </c>
      <c r="E109" s="29">
        <v>116591.786952674</v>
      </c>
      <c r="F109" s="30">
        <v>1.14165225294969E-2</v>
      </c>
      <c r="G109" s="29">
        <v>86091.778916211799</v>
      </c>
      <c r="H109" s="30">
        <v>2.7055333534846501E-2</v>
      </c>
      <c r="I109" s="29">
        <v>70927.343267321601</v>
      </c>
      <c r="J109" s="30">
        <v>2.9526632081688899E-2</v>
      </c>
      <c r="K109" s="29">
        <v>15164.435648890199</v>
      </c>
      <c r="L109" s="30">
        <v>1.5652307184156299E-2</v>
      </c>
      <c r="M109" s="29">
        <v>30500.008036462401</v>
      </c>
      <c r="N109" s="30">
        <v>-3.0263262072346999E-2</v>
      </c>
      <c r="O109" s="29">
        <v>34871.179059572802</v>
      </c>
      <c r="P109" s="30">
        <v>7.7337126883034693E-2</v>
      </c>
      <c r="Q109" s="29">
        <v>11646.718459317901</v>
      </c>
      <c r="R109" s="30">
        <v>4.2003440414950702E-2</v>
      </c>
      <c r="S109" s="29">
        <v>23224.460600254901</v>
      </c>
      <c r="T109" s="30">
        <v>9.5974215756398501E-2</v>
      </c>
      <c r="U109" s="29">
        <v>-70.134243666194394</v>
      </c>
      <c r="V109" s="30"/>
      <c r="W109" s="29">
        <v>-4301.0367794442</v>
      </c>
      <c r="X109" s="30"/>
      <c r="Y109" s="29">
        <v>10210.414736901999</v>
      </c>
      <c r="Z109" s="30"/>
      <c r="AA109" s="29">
        <v>65544.182752630004</v>
      </c>
      <c r="AB109" s="30">
        <v>0.13823826598338401</v>
      </c>
      <c r="AC109" s="29">
        <v>45990.421764187398</v>
      </c>
      <c r="AD109" s="30">
        <v>0.16090071240732801</v>
      </c>
      <c r="AE109" s="29">
        <v>39331.887670662203</v>
      </c>
      <c r="AF109" s="30">
        <v>0.12672769020308999</v>
      </c>
      <c r="AG109" s="29">
        <v>35531.078706720698</v>
      </c>
      <c r="AH109" s="30">
        <v>9.6694057172640901E-2</v>
      </c>
      <c r="AI109" s="29">
        <v>19553.7609884427</v>
      </c>
      <c r="AJ109" s="30">
        <v>8.82709700935502E-2</v>
      </c>
      <c r="AK109" s="29">
        <v>55333.768015728099</v>
      </c>
      <c r="AL109" s="30">
        <v>8.9671566597606694E-2</v>
      </c>
      <c r="AM109" s="29">
        <v>37373.312420723298</v>
      </c>
      <c r="AN109" s="30">
        <v>5.1492501485773397E-2</v>
      </c>
      <c r="AO109" s="29">
        <v>34836.809624711903</v>
      </c>
      <c r="AP109" s="30">
        <v>9.0488148141569594E-2</v>
      </c>
      <c r="AQ109" s="29">
        <v>33582.640691059598</v>
      </c>
      <c r="AR109" s="30">
        <v>9.8053394790941398E-2</v>
      </c>
      <c r="AS109" s="29">
        <v>17960.4555950047</v>
      </c>
      <c r="AT109" s="30">
        <v>0.17873058509745901</v>
      </c>
      <c r="AU109" s="29">
        <v>178415.432219307</v>
      </c>
      <c r="AV109" s="30">
        <v>6.37966505778782E-2</v>
      </c>
      <c r="AW109" s="29">
        <v>120962.957975785</v>
      </c>
      <c r="AX109" s="30">
        <v>4.10624960409414E-2</v>
      </c>
      <c r="AY109" s="29">
        <v>57452.4742435222</v>
      </c>
      <c r="AZ109" s="30">
        <v>0.115064568975838</v>
      </c>
      <c r="BA109" s="29">
        <v>37898.7132550795</v>
      </c>
      <c r="BB109" s="30">
        <v>0.12941126710617301</v>
      </c>
      <c r="BC109" s="29">
        <v>51543.096286064399</v>
      </c>
      <c r="BD109" s="30">
        <v>0.12488148931219099</v>
      </c>
      <c r="BE109" s="29"/>
      <c r="BF109" s="30"/>
    </row>
    <row r="110" spans="1:58" x14ac:dyDescent="0.2">
      <c r="A110" s="28">
        <v>2004</v>
      </c>
      <c r="B110" s="28">
        <v>3</v>
      </c>
      <c r="C110" s="29">
        <v>125978.38507971</v>
      </c>
      <c r="D110" s="30">
        <v>2.6528865690957901E-2</v>
      </c>
      <c r="E110" s="29">
        <v>118424.397613536</v>
      </c>
      <c r="F110" s="30">
        <v>8.3956781823668596E-3</v>
      </c>
      <c r="G110" s="29">
        <v>86606.963559010997</v>
      </c>
      <c r="H110" s="30">
        <v>2.3299124057311001E-2</v>
      </c>
      <c r="I110" s="29">
        <v>71426.075015021503</v>
      </c>
      <c r="J110" s="30">
        <v>2.6936690429988801E-2</v>
      </c>
      <c r="K110" s="29">
        <v>15180.8885439895</v>
      </c>
      <c r="L110" s="30">
        <v>6.52456062063278E-3</v>
      </c>
      <c r="M110" s="29">
        <v>31817.4340545247</v>
      </c>
      <c r="N110" s="30">
        <v>-3.00562652093006E-2</v>
      </c>
      <c r="O110" s="29">
        <v>35403.274385005599</v>
      </c>
      <c r="P110" s="30">
        <v>8.1248200037874294E-2</v>
      </c>
      <c r="Q110" s="29">
        <v>12154.7219905116</v>
      </c>
      <c r="R110" s="30">
        <v>6.4473954200345907E-2</v>
      </c>
      <c r="S110" s="29">
        <v>23248.552394494</v>
      </c>
      <c r="T110" s="30">
        <v>9.0230246651188201E-2</v>
      </c>
      <c r="U110" s="29">
        <v>-1291.73422848884</v>
      </c>
      <c r="V110" s="30"/>
      <c r="W110" s="29">
        <v>-2294.1061019920598</v>
      </c>
      <c r="X110" s="30"/>
      <c r="Y110" s="29">
        <v>7553.9874661744598</v>
      </c>
      <c r="Z110" s="30"/>
      <c r="AA110" s="29">
        <v>64105.813789707499</v>
      </c>
      <c r="AB110" s="30">
        <v>0.103552531575605</v>
      </c>
      <c r="AC110" s="29">
        <v>44202.343525048796</v>
      </c>
      <c r="AD110" s="30">
        <v>0.135958129367515</v>
      </c>
      <c r="AE110" s="29">
        <v>38550.273276810804</v>
      </c>
      <c r="AF110" s="30">
        <v>0.119005154337936</v>
      </c>
      <c r="AG110" s="29">
        <v>34906.141612268999</v>
      </c>
      <c r="AH110" s="30">
        <v>9.1903299636640706E-2</v>
      </c>
      <c r="AI110" s="29">
        <v>19903.470264658801</v>
      </c>
      <c r="AJ110" s="30">
        <v>3.7803503531457699E-2</v>
      </c>
      <c r="AK110" s="29">
        <v>56551.826323533103</v>
      </c>
      <c r="AL110" s="30">
        <v>7.0932853410657207E-2</v>
      </c>
      <c r="AM110" s="29">
        <v>37935.5069381016</v>
      </c>
      <c r="AN110" s="30">
        <v>4.0703364883413903E-2</v>
      </c>
      <c r="AO110" s="29">
        <v>34837.693740354698</v>
      </c>
      <c r="AP110" s="30">
        <v>9.2000890487978104E-2</v>
      </c>
      <c r="AQ110" s="29">
        <v>33525.765452538799</v>
      </c>
      <c r="AR110" s="30">
        <v>8.7991049267020796E-2</v>
      </c>
      <c r="AS110" s="29">
        <v>18616.3193854315</v>
      </c>
      <c r="AT110" s="30">
        <v>0.13831063447224201</v>
      </c>
      <c r="AU110" s="29">
        <v>179412.20414616901</v>
      </c>
      <c r="AV110" s="30">
        <v>5.6216395554470597E-2</v>
      </c>
      <c r="AW110" s="29">
        <v>122010.237944017</v>
      </c>
      <c r="AX110" s="30">
        <v>3.9464202344260797E-2</v>
      </c>
      <c r="AY110" s="29">
        <v>57401.966202152696</v>
      </c>
      <c r="AZ110" s="30">
        <v>9.3681103351119302E-2</v>
      </c>
      <c r="BA110" s="29">
        <v>37498.495937493899</v>
      </c>
      <c r="BB110" s="30">
        <v>0.12585624804541801</v>
      </c>
      <c r="BC110" s="29">
        <v>52142.084837970302</v>
      </c>
      <c r="BD110" s="30">
        <v>0.105437858913539</v>
      </c>
      <c r="BE110" s="29"/>
      <c r="BF110" s="30"/>
    </row>
    <row r="111" spans="1:58" x14ac:dyDescent="0.2">
      <c r="A111" s="28">
        <v>2004</v>
      </c>
      <c r="B111" s="28">
        <v>4</v>
      </c>
      <c r="C111" s="29">
        <v>130918.91910842</v>
      </c>
      <c r="D111" s="30">
        <v>2.2777677886114601E-2</v>
      </c>
      <c r="E111" s="29">
        <v>123661.794685966</v>
      </c>
      <c r="F111" s="30">
        <v>1.5620768625016299E-2</v>
      </c>
      <c r="G111" s="29">
        <v>88452.942376984298</v>
      </c>
      <c r="H111" s="30">
        <v>2.4471532624649399E-2</v>
      </c>
      <c r="I111" s="29">
        <v>73155.148538252397</v>
      </c>
      <c r="J111" s="30">
        <v>2.7335084519075001E-2</v>
      </c>
      <c r="K111" s="29">
        <v>15297.793838731901</v>
      </c>
      <c r="L111" s="30">
        <v>1.09956163779694E-2</v>
      </c>
      <c r="M111" s="29">
        <v>35208.852308981302</v>
      </c>
      <c r="N111" s="30">
        <v>-5.9540785915941398E-3</v>
      </c>
      <c r="O111" s="29">
        <v>36343.922480418798</v>
      </c>
      <c r="P111" s="30">
        <v>4.3763146770638299E-2</v>
      </c>
      <c r="Q111" s="29">
        <v>12826.6945271775</v>
      </c>
      <c r="R111" s="30">
        <v>6.8641339365764303E-2</v>
      </c>
      <c r="S111" s="29">
        <v>23517.2279532414</v>
      </c>
      <c r="T111" s="30">
        <v>3.0676218153587599E-2</v>
      </c>
      <c r="U111" s="29">
        <v>21.3831797112944</v>
      </c>
      <c r="V111" s="30"/>
      <c r="W111" s="29">
        <v>-1156.4533511488401</v>
      </c>
      <c r="X111" s="30"/>
      <c r="Y111" s="29">
        <v>7257.1244224540296</v>
      </c>
      <c r="Z111" s="30"/>
      <c r="AA111" s="29">
        <v>65679.301558508407</v>
      </c>
      <c r="AB111" s="30">
        <v>8.0491572970573494E-2</v>
      </c>
      <c r="AC111" s="29">
        <v>46167.496667589301</v>
      </c>
      <c r="AD111" s="30">
        <v>0.104827914367842</v>
      </c>
      <c r="AE111" s="29">
        <v>40698.710214574901</v>
      </c>
      <c r="AF111" s="30">
        <v>8.9339810717205398E-2</v>
      </c>
      <c r="AG111" s="29">
        <v>36580.488388953199</v>
      </c>
      <c r="AH111" s="30">
        <v>5.3001562308814303E-2</v>
      </c>
      <c r="AI111" s="29">
        <v>19511.804890919098</v>
      </c>
      <c r="AJ111" s="30">
        <v>2.69666708452421E-2</v>
      </c>
      <c r="AK111" s="29">
        <v>58422.177136054299</v>
      </c>
      <c r="AL111" s="30">
        <v>7.1121208530579197E-2</v>
      </c>
      <c r="AM111" s="29">
        <v>40607.332442790903</v>
      </c>
      <c r="AN111" s="30">
        <v>5.3509016214228697E-2</v>
      </c>
      <c r="AO111" s="29">
        <v>36469.295859888203</v>
      </c>
      <c r="AP111" s="30">
        <v>5.6346521012242003E-2</v>
      </c>
      <c r="AQ111" s="29">
        <v>34899.624185487402</v>
      </c>
      <c r="AR111" s="30">
        <v>5.7528390957703998E-2</v>
      </c>
      <c r="AS111" s="29">
        <v>17814.844693263502</v>
      </c>
      <c r="AT111" s="30">
        <v>0.113554737641424</v>
      </c>
      <c r="AU111" s="29">
        <v>183612.00480745899</v>
      </c>
      <c r="AV111" s="30">
        <v>4.00925950244908E-2</v>
      </c>
      <c r="AW111" s="29">
        <v>124796.86485740299</v>
      </c>
      <c r="AX111" s="30">
        <v>3.00157287781317E-2</v>
      </c>
      <c r="AY111" s="29">
        <v>58815.139950056</v>
      </c>
      <c r="AZ111" s="30">
        <v>6.2141060870397197E-2</v>
      </c>
      <c r="BA111" s="29">
        <v>39303.335059136902</v>
      </c>
      <c r="BB111" s="30">
        <v>8.0513570866312306E-2</v>
      </c>
      <c r="BC111" s="29">
        <v>52714.468878750798</v>
      </c>
      <c r="BD111" s="30">
        <v>7.5820884508069203E-2</v>
      </c>
      <c r="BE111" s="29"/>
      <c r="BF111" s="30"/>
    </row>
    <row r="112" spans="1:58" x14ac:dyDescent="0.2">
      <c r="A112" s="28">
        <v>2005</v>
      </c>
      <c r="B112" s="28">
        <v>1</v>
      </c>
      <c r="C112" s="29">
        <v>127721.089383484</v>
      </c>
      <c r="D112" s="30">
        <v>2.25209066051839E-2</v>
      </c>
      <c r="E112" s="29">
        <v>119763.81519253099</v>
      </c>
      <c r="F112" s="30">
        <v>3.19671466072875E-2</v>
      </c>
      <c r="G112" s="29">
        <v>88494.053257871798</v>
      </c>
      <c r="H112" s="30">
        <v>2.7271862493257502E-2</v>
      </c>
      <c r="I112" s="29">
        <v>73058.936816162401</v>
      </c>
      <c r="J112" s="30">
        <v>2.7582887154433199E-2</v>
      </c>
      <c r="K112" s="29">
        <v>15435.116441709401</v>
      </c>
      <c r="L112" s="30">
        <v>2.5802242524426401E-2</v>
      </c>
      <c r="M112" s="29">
        <v>31269.761934658902</v>
      </c>
      <c r="N112" s="30">
        <v>4.5490553323090897E-2</v>
      </c>
      <c r="O112" s="29">
        <v>33695.244512482801</v>
      </c>
      <c r="P112" s="30">
        <v>3.3838870369344597E-2</v>
      </c>
      <c r="Q112" s="29">
        <v>10564.349687957099</v>
      </c>
      <c r="R112" s="30">
        <v>4.0570529096331902E-2</v>
      </c>
      <c r="S112" s="29">
        <v>23130.894824525702</v>
      </c>
      <c r="T112" s="30">
        <v>3.0793273068540499E-2</v>
      </c>
      <c r="U112" s="29">
        <v>-277.30099154167698</v>
      </c>
      <c r="V112" s="30"/>
      <c r="W112" s="29">
        <v>-2148.18158628218</v>
      </c>
      <c r="X112" s="30"/>
      <c r="Y112" s="29">
        <v>7957.2741909532297</v>
      </c>
      <c r="Z112" s="30"/>
      <c r="AA112" s="29">
        <v>68183.131794103101</v>
      </c>
      <c r="AB112" s="30">
        <v>7.7475711112567694E-2</v>
      </c>
      <c r="AC112" s="29">
        <v>47234.568458496702</v>
      </c>
      <c r="AD112" s="30">
        <v>7.7422607929766005E-2</v>
      </c>
      <c r="AE112" s="29">
        <v>39470.441846261303</v>
      </c>
      <c r="AF112" s="30">
        <v>2.2265590278902798E-2</v>
      </c>
      <c r="AG112" s="29">
        <v>35725.469993983497</v>
      </c>
      <c r="AH112" s="30">
        <v>9.8208480927011194E-3</v>
      </c>
      <c r="AI112" s="29">
        <v>20948.563335606301</v>
      </c>
      <c r="AJ112" s="30">
        <v>7.7595466740155702E-2</v>
      </c>
      <c r="AK112" s="29">
        <v>60225.857603149801</v>
      </c>
      <c r="AL112" s="30">
        <v>0.106558177162919</v>
      </c>
      <c r="AM112" s="29">
        <v>41558.777763522099</v>
      </c>
      <c r="AN112" s="30">
        <v>0.11178630026557899</v>
      </c>
      <c r="AO112" s="29">
        <v>36753.741290890102</v>
      </c>
      <c r="AP112" s="30">
        <v>5.9534703770260003E-2</v>
      </c>
      <c r="AQ112" s="29">
        <v>34956.9822363946</v>
      </c>
      <c r="AR112" s="30">
        <v>5.3035885120704701E-2</v>
      </c>
      <c r="AS112" s="29">
        <v>18667.079839627699</v>
      </c>
      <c r="AT112" s="30">
        <v>9.5093493736858103E-2</v>
      </c>
      <c r="AU112" s="29">
        <v>181622.45245104801</v>
      </c>
      <c r="AV112" s="30">
        <v>3.4273587010423399E-2</v>
      </c>
      <c r="AW112" s="29">
        <v>122189.297770355</v>
      </c>
      <c r="AX112" s="30">
        <v>2.9074452339002299E-2</v>
      </c>
      <c r="AY112" s="29">
        <v>59433.154680693398</v>
      </c>
      <c r="AZ112" s="30">
        <v>4.5129308256874903E-2</v>
      </c>
      <c r="BA112" s="29">
        <v>38484.591345087101</v>
      </c>
      <c r="BB112" s="30">
        <v>2.8265800942393698E-2</v>
      </c>
      <c r="BC112" s="29">
        <v>53624.062076022397</v>
      </c>
      <c r="BD112" s="30">
        <v>6.7305052011682895E-2</v>
      </c>
      <c r="BE112" s="29"/>
      <c r="BF112" s="30"/>
    </row>
    <row r="113" spans="1:58" x14ac:dyDescent="0.2">
      <c r="A113" s="28">
        <v>2005</v>
      </c>
      <c r="B113" s="28">
        <v>2</v>
      </c>
      <c r="C113" s="29">
        <v>131075.420890899</v>
      </c>
      <c r="D113" s="30">
        <v>3.3699881740097699E-2</v>
      </c>
      <c r="E113" s="29">
        <v>125297.73640654</v>
      </c>
      <c r="F113" s="30">
        <v>7.4670349270823402E-2</v>
      </c>
      <c r="G113" s="29">
        <v>88125.8937013385</v>
      </c>
      <c r="H113" s="30">
        <v>2.3627282543509501E-2</v>
      </c>
      <c r="I113" s="29">
        <v>72660.2872257821</v>
      </c>
      <c r="J113" s="30">
        <v>2.4432664169151502E-2</v>
      </c>
      <c r="K113" s="29">
        <v>15465.6064755564</v>
      </c>
      <c r="L113" s="30">
        <v>1.9860338600082399E-2</v>
      </c>
      <c r="M113" s="29">
        <v>37171.842705201299</v>
      </c>
      <c r="N113" s="30">
        <v>0.21874862002537199</v>
      </c>
      <c r="O113" s="29">
        <v>36423.7144999581</v>
      </c>
      <c r="P113" s="30">
        <v>4.4522023122104001E-2</v>
      </c>
      <c r="Q113" s="29">
        <v>12555.302372870599</v>
      </c>
      <c r="R113" s="30">
        <v>7.8012009711259794E-2</v>
      </c>
      <c r="S113" s="29">
        <v>23868.412127087598</v>
      </c>
      <c r="T113" s="30">
        <v>2.7727297435086201E-2</v>
      </c>
      <c r="U113" s="29">
        <v>-589.684973687254</v>
      </c>
      <c r="V113" s="30"/>
      <c r="W113" s="29">
        <v>1337.81317893045</v>
      </c>
      <c r="X113" s="30"/>
      <c r="Y113" s="29">
        <v>5777.6844843590798</v>
      </c>
      <c r="Z113" s="30"/>
      <c r="AA113" s="29">
        <v>71188.131322570698</v>
      </c>
      <c r="AB113" s="30">
        <v>8.6109069224975507E-2</v>
      </c>
      <c r="AC113" s="29">
        <v>49729.977146022502</v>
      </c>
      <c r="AD113" s="30">
        <v>8.1311613122606805E-2</v>
      </c>
      <c r="AE113" s="29">
        <v>43297.771274939201</v>
      </c>
      <c r="AF113" s="30">
        <v>0.10083125522691801</v>
      </c>
      <c r="AG113" s="29">
        <v>39062.349815215697</v>
      </c>
      <c r="AH113" s="30">
        <v>9.9385417978515606E-2</v>
      </c>
      <c r="AI113" s="29">
        <v>21458.1541765482</v>
      </c>
      <c r="AJ113" s="30">
        <v>9.7392680069637402E-2</v>
      </c>
      <c r="AK113" s="29">
        <v>65410.446838211603</v>
      </c>
      <c r="AL113" s="30">
        <v>0.18210722283758701</v>
      </c>
      <c r="AM113" s="29">
        <v>45969.060956180103</v>
      </c>
      <c r="AN113" s="30">
        <v>0.229996967854807</v>
      </c>
      <c r="AO113" s="29">
        <v>38473.606172664498</v>
      </c>
      <c r="AP113" s="30">
        <v>0.104395224107227</v>
      </c>
      <c r="AQ113" s="29">
        <v>36886.958797216903</v>
      </c>
      <c r="AR113" s="30">
        <v>9.8393635466461807E-2</v>
      </c>
      <c r="AS113" s="29">
        <v>19441.3858820315</v>
      </c>
      <c r="AT113" s="30">
        <v>8.2455051276020305E-2</v>
      </c>
      <c r="AU113" s="29">
        <v>187993.450543835</v>
      </c>
      <c r="AV113" s="30">
        <v>5.3683799688104501E-2</v>
      </c>
      <c r="AW113" s="29">
        <v>124549.608201297</v>
      </c>
      <c r="AX113" s="30">
        <v>2.9650814476858599E-2</v>
      </c>
      <c r="AY113" s="29">
        <v>63443.842342538002</v>
      </c>
      <c r="AZ113" s="30">
        <v>0.104283900352496</v>
      </c>
      <c r="BA113" s="29">
        <v>41985.688165989799</v>
      </c>
      <c r="BB113" s="30">
        <v>0.107839410889828</v>
      </c>
      <c r="BC113" s="29">
        <v>56328.344679248497</v>
      </c>
      <c r="BD113" s="30">
        <v>9.2839754263615695E-2</v>
      </c>
      <c r="BE113" s="29"/>
      <c r="BF113" s="30"/>
    </row>
    <row r="114" spans="1:58" x14ac:dyDescent="0.2">
      <c r="A114" s="28">
        <v>2005</v>
      </c>
      <c r="B114" s="28">
        <v>3</v>
      </c>
      <c r="C114" s="29">
        <v>132132.241051152</v>
      </c>
      <c r="D114" s="30">
        <v>4.8848506571571103E-2</v>
      </c>
      <c r="E114" s="29">
        <v>125496.17647101999</v>
      </c>
      <c r="F114" s="30">
        <v>5.97155569290913E-2</v>
      </c>
      <c r="G114" s="29">
        <v>88962.390468063197</v>
      </c>
      <c r="H114" s="30">
        <v>2.7196738140429201E-2</v>
      </c>
      <c r="I114" s="29">
        <v>73524.4275893171</v>
      </c>
      <c r="J114" s="30">
        <v>2.9377962793759399E-2</v>
      </c>
      <c r="K114" s="29">
        <v>15437.962878746101</v>
      </c>
      <c r="L114" s="30">
        <v>1.6934076948897901E-2</v>
      </c>
      <c r="M114" s="29">
        <v>36533.786002957</v>
      </c>
      <c r="N114" s="30">
        <v>0.148231687707752</v>
      </c>
      <c r="O114" s="29">
        <v>36033.347274760097</v>
      </c>
      <c r="P114" s="30">
        <v>1.77970230352857E-2</v>
      </c>
      <c r="Q114" s="29">
        <v>12767.143600072201</v>
      </c>
      <c r="R114" s="30">
        <v>5.0385488869148801E-2</v>
      </c>
      <c r="S114" s="29">
        <v>23266.203674687898</v>
      </c>
      <c r="T114" s="30">
        <v>7.5924211944244902E-4</v>
      </c>
      <c r="U114" s="29">
        <v>-264.18337495139002</v>
      </c>
      <c r="V114" s="30"/>
      <c r="W114" s="29">
        <v>764.62210314829997</v>
      </c>
      <c r="X114" s="30"/>
      <c r="Y114" s="29">
        <v>6636.0645801321798</v>
      </c>
      <c r="Z114" s="30"/>
      <c r="AA114" s="29">
        <v>69746.496738803602</v>
      </c>
      <c r="AB114" s="30">
        <v>8.7990193332537506E-2</v>
      </c>
      <c r="AC114" s="29">
        <v>46753.961663213202</v>
      </c>
      <c r="AD114" s="30">
        <v>5.7725856474520401E-2</v>
      </c>
      <c r="AE114" s="29">
        <v>41747.918270868999</v>
      </c>
      <c r="AF114" s="30">
        <v>8.2947401464510906E-2</v>
      </c>
      <c r="AG114" s="29">
        <v>37450.391888523198</v>
      </c>
      <c r="AH114" s="30">
        <v>7.28883273469558E-2</v>
      </c>
      <c r="AI114" s="29">
        <v>22992.5350755904</v>
      </c>
      <c r="AJ114" s="30">
        <v>0.15520232250235499</v>
      </c>
      <c r="AK114" s="29">
        <v>63110.4321586714</v>
      </c>
      <c r="AL114" s="30">
        <v>0.115975137524587</v>
      </c>
      <c r="AM114" s="29">
        <v>43332.609120038702</v>
      </c>
      <c r="AN114" s="30">
        <v>0.142270464205037</v>
      </c>
      <c r="AO114" s="29">
        <v>37980.883123877902</v>
      </c>
      <c r="AP114" s="30">
        <v>9.0223807779853796E-2</v>
      </c>
      <c r="AQ114" s="29">
        <v>36479.928085794898</v>
      </c>
      <c r="AR114" s="30">
        <v>8.8116187457024195E-2</v>
      </c>
      <c r="AS114" s="29">
        <v>19777.823038632701</v>
      </c>
      <c r="AT114" s="30">
        <v>6.2391691351735903E-2</v>
      </c>
      <c r="AU114" s="29">
        <v>188654.17555053101</v>
      </c>
      <c r="AV114" s="30">
        <v>5.1512501328128603E-2</v>
      </c>
      <c r="AW114" s="29">
        <v>124995.737742823</v>
      </c>
      <c r="AX114" s="30">
        <v>2.4469256425649202E-2</v>
      </c>
      <c r="AY114" s="29">
        <v>63658.437807708098</v>
      </c>
      <c r="AZ114" s="30">
        <v>0.10899402963867</v>
      </c>
      <c r="BA114" s="29">
        <v>40665.902732117698</v>
      </c>
      <c r="BB114" s="30">
        <v>8.4467569043396501E-2</v>
      </c>
      <c r="BC114" s="29">
        <v>56257.751124427603</v>
      </c>
      <c r="BD114" s="30">
        <v>7.8931755399627795E-2</v>
      </c>
      <c r="BE114" s="29"/>
      <c r="BF114" s="30"/>
    </row>
    <row r="115" spans="1:58" x14ac:dyDescent="0.2">
      <c r="A115" s="28">
        <v>2005</v>
      </c>
      <c r="B115" s="28">
        <v>4</v>
      </c>
      <c r="C115" s="29">
        <v>137672.40577598201</v>
      </c>
      <c r="D115" s="30">
        <v>5.1585261424055499E-2</v>
      </c>
      <c r="E115" s="29">
        <v>131226.73142964399</v>
      </c>
      <c r="F115" s="30">
        <v>6.1174405263074501E-2</v>
      </c>
      <c r="G115" s="29">
        <v>91057.855441933702</v>
      </c>
      <c r="H115" s="30">
        <v>2.9449705062917199E-2</v>
      </c>
      <c r="I115" s="29">
        <v>75568.572944435495</v>
      </c>
      <c r="J115" s="30">
        <v>3.29904928690163E-2</v>
      </c>
      <c r="K115" s="29">
        <v>15489.2824974982</v>
      </c>
      <c r="L115" s="30">
        <v>1.25174035409941E-2</v>
      </c>
      <c r="M115" s="29">
        <v>40168.875987710198</v>
      </c>
      <c r="N115" s="30">
        <v>0.140874335669946</v>
      </c>
      <c r="O115" s="29">
        <v>37968.342887704901</v>
      </c>
      <c r="P115" s="30">
        <v>4.4695792210136497E-2</v>
      </c>
      <c r="Q115" s="29">
        <v>13627.745875532401</v>
      </c>
      <c r="R115" s="30">
        <v>6.2451892547814802E-2</v>
      </c>
      <c r="S115" s="29">
        <v>24340.5970121725</v>
      </c>
      <c r="T115" s="30">
        <v>3.5011314282799903E-2</v>
      </c>
      <c r="U115" s="29">
        <v>788.55114932611502</v>
      </c>
      <c r="V115" s="30"/>
      <c r="W115" s="29">
        <v>1411.98195067918</v>
      </c>
      <c r="X115" s="30"/>
      <c r="Y115" s="29">
        <v>6445.6743463383</v>
      </c>
      <c r="Z115" s="30"/>
      <c r="AA115" s="29">
        <v>73002.059694101903</v>
      </c>
      <c r="AB115" s="30">
        <v>0.11149263103948</v>
      </c>
      <c r="AC115" s="29">
        <v>50670.836336500797</v>
      </c>
      <c r="AD115" s="30">
        <v>9.7543509914258503E-2</v>
      </c>
      <c r="AE115" s="29">
        <v>45280.954594163602</v>
      </c>
      <c r="AF115" s="30">
        <v>0.112589424957937</v>
      </c>
      <c r="AG115" s="29">
        <v>40257.9385822775</v>
      </c>
      <c r="AH115" s="30">
        <v>0.100530374395845</v>
      </c>
      <c r="AI115" s="29">
        <v>22331.223357601099</v>
      </c>
      <c r="AJ115" s="30">
        <v>0.14449808628386701</v>
      </c>
      <c r="AK115" s="29">
        <v>66556.3853477636</v>
      </c>
      <c r="AL115" s="30">
        <v>0.13923151464838701</v>
      </c>
      <c r="AM115" s="29">
        <v>47124.092615787798</v>
      </c>
      <c r="AN115" s="30">
        <v>0.16048235087044799</v>
      </c>
      <c r="AO115" s="29">
        <v>41092.625820714202</v>
      </c>
      <c r="AP115" s="30">
        <v>0.126773217080701</v>
      </c>
      <c r="AQ115" s="29">
        <v>38934.877839646397</v>
      </c>
      <c r="AR115" s="30">
        <v>0.115624558955483</v>
      </c>
      <c r="AS115" s="29">
        <v>19432.292731975798</v>
      </c>
      <c r="AT115" s="30">
        <v>9.07921492755948E-2</v>
      </c>
      <c r="AU115" s="29">
        <v>195251.02519827799</v>
      </c>
      <c r="AV115" s="30">
        <v>6.3389212502876296E-2</v>
      </c>
      <c r="AW115" s="29">
        <v>129026.198329639</v>
      </c>
      <c r="AX115" s="30">
        <v>3.3889741357429698E-2</v>
      </c>
      <c r="AY115" s="29">
        <v>66224.826868639706</v>
      </c>
      <c r="AZ115" s="30">
        <v>0.12598264536777001</v>
      </c>
      <c r="BA115" s="29">
        <v>43893.6035110386</v>
      </c>
      <c r="BB115" s="30">
        <v>0.116790812916894</v>
      </c>
      <c r="BC115" s="29">
        <v>58367.170571622199</v>
      </c>
      <c r="BD115" s="30">
        <v>0.107232450845198</v>
      </c>
      <c r="BE115" s="29"/>
      <c r="BF115" s="30"/>
    </row>
    <row r="116" spans="1:58" x14ac:dyDescent="0.2">
      <c r="A116" s="28">
        <v>2006</v>
      </c>
      <c r="B116" s="28">
        <v>1</v>
      </c>
      <c r="C116" s="29">
        <v>136490.87226166</v>
      </c>
      <c r="D116" s="30">
        <v>6.8663545860032399E-2</v>
      </c>
      <c r="E116" s="29">
        <v>127824.258795381</v>
      </c>
      <c r="F116" s="30">
        <v>6.7302829238463896E-2</v>
      </c>
      <c r="G116" s="29">
        <v>91029.978609590995</v>
      </c>
      <c r="H116" s="30">
        <v>2.8656449313374299E-2</v>
      </c>
      <c r="I116" s="29">
        <v>75406.990872668001</v>
      </c>
      <c r="J116" s="30">
        <v>3.2139176380488403E-2</v>
      </c>
      <c r="K116" s="29">
        <v>15622.987736923</v>
      </c>
      <c r="L116" s="30">
        <v>1.21716798135705E-2</v>
      </c>
      <c r="M116" s="29">
        <v>36794.280185789503</v>
      </c>
      <c r="N116" s="30">
        <v>0.17667285931612101</v>
      </c>
      <c r="O116" s="29">
        <v>35797.1826048355</v>
      </c>
      <c r="P116" s="30">
        <v>6.2380852929381898E-2</v>
      </c>
      <c r="Q116" s="29">
        <v>11037.354846819</v>
      </c>
      <c r="R116" s="30">
        <v>4.4773712801378998E-2</v>
      </c>
      <c r="S116" s="29">
        <v>24759.827758016501</v>
      </c>
      <c r="T116" s="30">
        <v>7.0422391604308299E-2</v>
      </c>
      <c r="U116" s="29">
        <v>-1132.9160140214101</v>
      </c>
      <c r="V116" s="30"/>
      <c r="W116" s="29">
        <v>2130.0135949753699</v>
      </c>
      <c r="X116" s="30"/>
      <c r="Y116" s="29">
        <v>8666.6134662795394</v>
      </c>
      <c r="Z116" s="30"/>
      <c r="AA116" s="29">
        <v>76032.255940917501</v>
      </c>
      <c r="AB116" s="30">
        <v>0.11511826958193901</v>
      </c>
      <c r="AC116" s="29">
        <v>52776.677735557503</v>
      </c>
      <c r="AD116" s="30">
        <v>0.11733163777986901</v>
      </c>
      <c r="AE116" s="29">
        <v>48216.744305340399</v>
      </c>
      <c r="AF116" s="30">
        <v>0.221591197107603</v>
      </c>
      <c r="AG116" s="29">
        <v>41399.886638079697</v>
      </c>
      <c r="AH116" s="30">
        <v>0.15883392562929799</v>
      </c>
      <c r="AI116" s="29">
        <v>23255.578205360001</v>
      </c>
      <c r="AJ116" s="30">
        <v>0.11012759361079499</v>
      </c>
      <c r="AK116" s="29">
        <v>67365.642474638007</v>
      </c>
      <c r="AL116" s="30">
        <v>0.118550156953094</v>
      </c>
      <c r="AM116" s="29">
        <v>48194.902691641502</v>
      </c>
      <c r="AN116" s="30">
        <v>0.15968046427833599</v>
      </c>
      <c r="AO116" s="29">
        <v>42458.427217516597</v>
      </c>
      <c r="AP116" s="30">
        <v>0.155213747669289</v>
      </c>
      <c r="AQ116" s="29">
        <v>40047.688305499098</v>
      </c>
      <c r="AR116" s="30">
        <v>0.14562773281397401</v>
      </c>
      <c r="AS116" s="29">
        <v>19170.739782996399</v>
      </c>
      <c r="AT116" s="30">
        <v>2.6981185471736301E-2</v>
      </c>
      <c r="AU116" s="29">
        <v>196842.216364177</v>
      </c>
      <c r="AV116" s="30">
        <v>8.3798912016295204E-2</v>
      </c>
      <c r="AW116" s="29">
        <v>126827.161214427</v>
      </c>
      <c r="AX116" s="30">
        <v>3.7956380212516697E-2</v>
      </c>
      <c r="AY116" s="29">
        <v>70015.055149750493</v>
      </c>
      <c r="AZ116" s="30">
        <v>0.17804709384700601</v>
      </c>
      <c r="BA116" s="29">
        <v>46759.476944390502</v>
      </c>
      <c r="BB116" s="30">
        <v>0.21501814908474501</v>
      </c>
      <c r="BC116" s="29">
        <v>59218.428088495602</v>
      </c>
      <c r="BD116" s="30">
        <v>0.10432566642456401</v>
      </c>
      <c r="BE116" s="29"/>
      <c r="BF116" s="30"/>
    </row>
    <row r="117" spans="1:58" x14ac:dyDescent="0.2">
      <c r="A117" s="28">
        <v>2006</v>
      </c>
      <c r="B117" s="28">
        <v>2</v>
      </c>
      <c r="C117" s="29">
        <v>139072.706614647</v>
      </c>
      <c r="D117" s="30">
        <v>6.1012855571180399E-2</v>
      </c>
      <c r="E117" s="29">
        <v>131151.346102588</v>
      </c>
      <c r="F117" s="30">
        <v>4.6717601322467703E-2</v>
      </c>
      <c r="G117" s="29">
        <v>90524.086190763002</v>
      </c>
      <c r="H117" s="30">
        <v>2.7213255817319901E-2</v>
      </c>
      <c r="I117" s="29">
        <v>75034.786346127396</v>
      </c>
      <c r="J117" s="30">
        <v>3.26794623446343E-2</v>
      </c>
      <c r="K117" s="29">
        <v>15489.2998446356</v>
      </c>
      <c r="L117" s="30">
        <v>1.53200387690333E-3</v>
      </c>
      <c r="M117" s="29">
        <v>40627.259911825196</v>
      </c>
      <c r="N117" s="30">
        <v>9.29579207043294E-2</v>
      </c>
      <c r="O117" s="29">
        <v>37866.058207476897</v>
      </c>
      <c r="P117" s="30">
        <v>3.9599028471421202E-2</v>
      </c>
      <c r="Q117" s="29">
        <v>12656.977635275</v>
      </c>
      <c r="R117" s="30">
        <v>8.0981930490282607E-3</v>
      </c>
      <c r="S117" s="29">
        <v>25209.080572201899</v>
      </c>
      <c r="T117" s="30">
        <v>5.6169151009121301E-2</v>
      </c>
      <c r="U117" s="29">
        <v>1515.07600382384</v>
      </c>
      <c r="V117" s="30"/>
      <c r="W117" s="29">
        <v>1246.12570052454</v>
      </c>
      <c r="X117" s="30"/>
      <c r="Y117" s="29">
        <v>7921.3605120587999</v>
      </c>
      <c r="Z117" s="30"/>
      <c r="AA117" s="29">
        <v>76690.428799646994</v>
      </c>
      <c r="AB117" s="30">
        <v>7.7292343187715898E-2</v>
      </c>
      <c r="AC117" s="29">
        <v>53541.947226363198</v>
      </c>
      <c r="AD117" s="30">
        <v>7.66533648134924E-2</v>
      </c>
      <c r="AE117" s="29">
        <v>47889.729394906499</v>
      </c>
      <c r="AF117" s="30">
        <v>0.106055299955476</v>
      </c>
      <c r="AG117" s="29">
        <v>42546.031182088598</v>
      </c>
      <c r="AH117" s="30">
        <v>8.9182585874953299E-2</v>
      </c>
      <c r="AI117" s="29">
        <v>23148.4815732838</v>
      </c>
      <c r="AJ117" s="30">
        <v>7.8773196558675998E-2</v>
      </c>
      <c r="AK117" s="29">
        <v>68769.068287588205</v>
      </c>
      <c r="AL117" s="30">
        <v>5.1346866008787899E-2</v>
      </c>
      <c r="AM117" s="29">
        <v>48752.948363746698</v>
      </c>
      <c r="AN117" s="30">
        <v>6.0560023408360503E-2</v>
      </c>
      <c r="AO117" s="29">
        <v>42837.805036823403</v>
      </c>
      <c r="AP117" s="30">
        <v>0.113433579492729</v>
      </c>
      <c r="AQ117" s="29">
        <v>40490.892168885999</v>
      </c>
      <c r="AR117" s="30">
        <v>9.7702100937119701E-2</v>
      </c>
      <c r="AS117" s="29">
        <v>20016.119923841499</v>
      </c>
      <c r="AT117" s="30">
        <v>2.95624008132656E-2</v>
      </c>
      <c r="AU117" s="29">
        <v>198064.64270355101</v>
      </c>
      <c r="AV117" s="30">
        <v>5.3572037379928703E-2</v>
      </c>
      <c r="AW117" s="29">
        <v>128390.14439823999</v>
      </c>
      <c r="AX117" s="30">
        <v>3.0835393642797599E-2</v>
      </c>
      <c r="AY117" s="29">
        <v>69674.498305310801</v>
      </c>
      <c r="AZ117" s="30">
        <v>9.8207418288650997E-2</v>
      </c>
      <c r="BA117" s="29">
        <v>46526.016732026997</v>
      </c>
      <c r="BB117" s="30">
        <v>0.108139910630668</v>
      </c>
      <c r="BC117" s="29">
        <v>60507.012092727498</v>
      </c>
      <c r="BD117" s="30">
        <v>7.4184097496095405E-2</v>
      </c>
      <c r="BE117" s="29"/>
      <c r="BF117" s="30"/>
    </row>
    <row r="118" spans="1:58" x14ac:dyDescent="0.2">
      <c r="A118" s="28">
        <v>2006</v>
      </c>
      <c r="B118" s="28">
        <v>3</v>
      </c>
      <c r="C118" s="29">
        <v>140312.83151768599</v>
      </c>
      <c r="D118" s="30">
        <v>6.1912144995455401E-2</v>
      </c>
      <c r="E118" s="29">
        <v>129578.475734551</v>
      </c>
      <c r="F118" s="30">
        <v>3.2529272033032103E-2</v>
      </c>
      <c r="G118" s="29">
        <v>91657.720136147793</v>
      </c>
      <c r="H118" s="30">
        <v>3.02974060600616E-2</v>
      </c>
      <c r="I118" s="29">
        <v>75994.513648710097</v>
      </c>
      <c r="J118" s="30">
        <v>3.3595447667951403E-2</v>
      </c>
      <c r="K118" s="29">
        <v>15663.206487437699</v>
      </c>
      <c r="L118" s="30">
        <v>1.45902416310233E-2</v>
      </c>
      <c r="M118" s="29">
        <v>37920.755598403601</v>
      </c>
      <c r="N118" s="30">
        <v>3.7964025828976802E-2</v>
      </c>
      <c r="O118" s="29">
        <v>37734.789285937899</v>
      </c>
      <c r="P118" s="30">
        <v>4.7218538932951797E-2</v>
      </c>
      <c r="Q118" s="29">
        <v>12878.7388871931</v>
      </c>
      <c r="R118" s="30">
        <v>8.7408186683433104E-3</v>
      </c>
      <c r="S118" s="29">
        <v>24856.050398744901</v>
      </c>
      <c r="T118" s="30">
        <v>6.8332880872462601E-2</v>
      </c>
      <c r="U118" s="29">
        <v>739.99645998462802</v>
      </c>
      <c r="V118" s="30"/>
      <c r="W118" s="29">
        <v>-554.03014751897695</v>
      </c>
      <c r="X118" s="30"/>
      <c r="Y118" s="29">
        <v>10734.355783134401</v>
      </c>
      <c r="Z118" s="30"/>
      <c r="AA118" s="29">
        <v>78474.0263114626</v>
      </c>
      <c r="AB118" s="30">
        <v>0.12513215689302901</v>
      </c>
      <c r="AC118" s="29">
        <v>54045.455177580101</v>
      </c>
      <c r="AD118" s="30">
        <v>0.15595455989142501</v>
      </c>
      <c r="AE118" s="29">
        <v>47867.3773961306</v>
      </c>
      <c r="AF118" s="30">
        <v>0.14658118006165699</v>
      </c>
      <c r="AG118" s="29">
        <v>42131.517565379901</v>
      </c>
      <c r="AH118" s="30">
        <v>0.124995372299193</v>
      </c>
      <c r="AI118" s="29">
        <v>24428.571133882499</v>
      </c>
      <c r="AJ118" s="30">
        <v>6.24566214021645E-2</v>
      </c>
      <c r="AK118" s="29">
        <v>67739.670528328294</v>
      </c>
      <c r="AL118" s="30">
        <v>7.3351397087856096E-2</v>
      </c>
      <c r="AM118" s="29">
        <v>46647.586705797898</v>
      </c>
      <c r="AN118" s="30">
        <v>7.6500761276021595E-2</v>
      </c>
      <c r="AO118" s="29">
        <v>41218.568282002598</v>
      </c>
      <c r="AP118" s="30">
        <v>8.5245125753519002E-2</v>
      </c>
      <c r="AQ118" s="29">
        <v>39291.180370339804</v>
      </c>
      <c r="AR118" s="30">
        <v>7.7062988664158505E-2</v>
      </c>
      <c r="AS118" s="29">
        <v>21092.0838225304</v>
      </c>
      <c r="AT118" s="30">
        <v>6.6451235878209697E-2</v>
      </c>
      <c r="AU118" s="29">
        <v>199956.09925057099</v>
      </c>
      <c r="AV118" s="30">
        <v>5.9908155581813498E-2</v>
      </c>
      <c r="AW118" s="29">
        <v>129392.509422086</v>
      </c>
      <c r="AX118" s="30">
        <v>3.5175372845982697E-2</v>
      </c>
      <c r="AY118" s="29">
        <v>70563.589828485594</v>
      </c>
      <c r="AZ118" s="30">
        <v>0.108471905038508</v>
      </c>
      <c r="BA118" s="29">
        <v>46135.018694603103</v>
      </c>
      <c r="BB118" s="30">
        <v>0.13448898450656799</v>
      </c>
      <c r="BC118" s="29">
        <v>60383.2641928702</v>
      </c>
      <c r="BD118" s="30">
        <v>7.3332349516034498E-2</v>
      </c>
      <c r="BE118" s="29"/>
      <c r="BF118" s="30"/>
    </row>
    <row r="119" spans="1:58" x14ac:dyDescent="0.2">
      <c r="A119" s="28">
        <v>2006</v>
      </c>
      <c r="B119" s="28">
        <v>4</v>
      </c>
      <c r="C119" s="29">
        <v>146283.22805693501</v>
      </c>
      <c r="D119" s="30">
        <v>6.2545738431883297E-2</v>
      </c>
      <c r="E119" s="29">
        <v>136495.915019067</v>
      </c>
      <c r="F119" s="30">
        <v>4.0153279229151198E-2</v>
      </c>
      <c r="G119" s="29">
        <v>93290.287841961399</v>
      </c>
      <c r="H119" s="30">
        <v>2.4516637133534601E-2</v>
      </c>
      <c r="I119" s="29">
        <v>77502.580906777803</v>
      </c>
      <c r="J119" s="30">
        <v>2.5592754858085699E-2</v>
      </c>
      <c r="K119" s="29">
        <v>15787.7069351837</v>
      </c>
      <c r="L119" s="30">
        <v>1.92665113915798E-2</v>
      </c>
      <c r="M119" s="29">
        <v>43205.627177105802</v>
      </c>
      <c r="N119" s="30">
        <v>7.5599605782464802E-2</v>
      </c>
      <c r="O119" s="29">
        <v>40767.323532855698</v>
      </c>
      <c r="P119" s="30">
        <v>7.3718799196189594E-2</v>
      </c>
      <c r="Q119" s="29">
        <v>13746.278659653501</v>
      </c>
      <c r="R119" s="30">
        <v>8.6979009737722102E-3</v>
      </c>
      <c r="S119" s="29">
        <v>27021.044873202201</v>
      </c>
      <c r="T119" s="30">
        <v>0.11012251916784099</v>
      </c>
      <c r="U119" s="29">
        <v>596.89121493705898</v>
      </c>
      <c r="V119" s="30"/>
      <c r="W119" s="29">
        <v>1841.4124293130701</v>
      </c>
      <c r="X119" s="30"/>
      <c r="Y119" s="29">
        <v>9787.3130378676105</v>
      </c>
      <c r="Z119" s="30"/>
      <c r="AA119" s="29">
        <v>84633.514681853398</v>
      </c>
      <c r="AB119" s="30">
        <v>0.15933050432399301</v>
      </c>
      <c r="AC119" s="29">
        <v>60576.617862396801</v>
      </c>
      <c r="AD119" s="30">
        <v>0.19549275761135301</v>
      </c>
      <c r="AE119" s="29">
        <v>53563.849090520198</v>
      </c>
      <c r="AF119" s="30">
        <v>0.182922258830298</v>
      </c>
      <c r="AG119" s="29">
        <v>46112.175675452003</v>
      </c>
      <c r="AH119" s="30">
        <v>0.14541820320009299</v>
      </c>
      <c r="AI119" s="29">
        <v>24056.8968194566</v>
      </c>
      <c r="AJ119" s="30">
        <v>7.7276261771304103E-2</v>
      </c>
      <c r="AK119" s="29">
        <v>74846.201643985798</v>
      </c>
      <c r="AL119" s="30">
        <v>0.124553282948091</v>
      </c>
      <c r="AM119" s="29">
        <v>54298.907270313997</v>
      </c>
      <c r="AN119" s="30">
        <v>0.152253640468452</v>
      </c>
      <c r="AO119" s="29">
        <v>47227.262585575998</v>
      </c>
      <c r="AP119" s="30">
        <v>0.149288020474211</v>
      </c>
      <c r="AQ119" s="29">
        <v>43487.327513481097</v>
      </c>
      <c r="AR119" s="30">
        <v>0.11692471959419</v>
      </c>
      <c r="AS119" s="29">
        <v>20547.294373671801</v>
      </c>
      <c r="AT119" s="30">
        <v>5.7378800179418703E-2</v>
      </c>
      <c r="AU119" s="29">
        <v>209720.958729151</v>
      </c>
      <c r="AV119" s="30">
        <v>7.4109385680193804E-2</v>
      </c>
      <c r="AW119" s="29">
        <v>134057.611374817</v>
      </c>
      <c r="AX119" s="30">
        <v>3.8995282433449401E-2</v>
      </c>
      <c r="AY119" s="29">
        <v>75663.3473543336</v>
      </c>
      <c r="AZ119" s="30">
        <v>0.142522388233882</v>
      </c>
      <c r="BA119" s="29">
        <v>51606.450534877004</v>
      </c>
      <c r="BB119" s="30">
        <v>0.17571687915526901</v>
      </c>
      <c r="BC119" s="29">
        <v>64034.621887152898</v>
      </c>
      <c r="BD119" s="30">
        <v>9.7099983775574397E-2</v>
      </c>
      <c r="BE119" s="29"/>
      <c r="BF119" s="30"/>
    </row>
    <row r="120" spans="1:58" x14ac:dyDescent="0.2">
      <c r="A120" s="28">
        <v>2007</v>
      </c>
      <c r="B120" s="28">
        <v>1</v>
      </c>
      <c r="C120" s="29">
        <v>144908.386882494</v>
      </c>
      <c r="D120" s="30">
        <v>6.1670897704406702E-2</v>
      </c>
      <c r="E120" s="29">
        <v>131124.45502133001</v>
      </c>
      <c r="F120" s="30">
        <v>2.5818230882389302E-2</v>
      </c>
      <c r="G120" s="29">
        <v>93567.552665719704</v>
      </c>
      <c r="H120" s="30">
        <v>2.7876245769668899E-2</v>
      </c>
      <c r="I120" s="29">
        <v>77673.868815982903</v>
      </c>
      <c r="J120" s="30">
        <v>3.0061906954260701E-2</v>
      </c>
      <c r="K120" s="29">
        <v>15893.683849736701</v>
      </c>
      <c r="L120" s="30">
        <v>1.7326782646954801E-2</v>
      </c>
      <c r="M120" s="29">
        <v>37556.902355610298</v>
      </c>
      <c r="N120" s="30">
        <v>2.0726650065444201E-2</v>
      </c>
      <c r="O120" s="29">
        <v>38340.341302136701</v>
      </c>
      <c r="P120" s="30">
        <v>7.1043543436783499E-2</v>
      </c>
      <c r="Q120" s="29">
        <v>11380.716783193</v>
      </c>
      <c r="R120" s="30">
        <v>3.1109078319879701E-2</v>
      </c>
      <c r="S120" s="29">
        <v>26959.624518943601</v>
      </c>
      <c r="T120" s="30">
        <v>8.8845398377817006E-2</v>
      </c>
      <c r="U120" s="29">
        <v>302.32943861949002</v>
      </c>
      <c r="V120" s="30"/>
      <c r="W120" s="29">
        <v>-1085.7683851458301</v>
      </c>
      <c r="X120" s="30"/>
      <c r="Y120" s="29">
        <v>13783.931861164199</v>
      </c>
      <c r="Z120" s="30"/>
      <c r="AA120" s="29">
        <v>86672.822381710997</v>
      </c>
      <c r="AB120" s="30">
        <v>0.13994805637572999</v>
      </c>
      <c r="AC120" s="29">
        <v>60153.502571478297</v>
      </c>
      <c r="AD120" s="30">
        <v>0.139774331246902</v>
      </c>
      <c r="AE120" s="29">
        <v>53697.622463240703</v>
      </c>
      <c r="AF120" s="30">
        <v>0.113671676444842</v>
      </c>
      <c r="AG120" s="29">
        <v>46706.937916249</v>
      </c>
      <c r="AH120" s="30">
        <v>0.128189995411434</v>
      </c>
      <c r="AI120" s="29">
        <v>26519.319810232599</v>
      </c>
      <c r="AJ120" s="30">
        <v>0.140342311683328</v>
      </c>
      <c r="AK120" s="29">
        <v>72888.890520546702</v>
      </c>
      <c r="AL120" s="30">
        <v>8.1989094782079594E-2</v>
      </c>
      <c r="AM120" s="29">
        <v>51781.1196882117</v>
      </c>
      <c r="AN120" s="30">
        <v>7.4410711429699197E-2</v>
      </c>
      <c r="AO120" s="29">
        <v>46433.867786082701</v>
      </c>
      <c r="AP120" s="30">
        <v>9.36313667060647E-2</v>
      </c>
      <c r="AQ120" s="29">
        <v>44590.912108712801</v>
      </c>
      <c r="AR120" s="30">
        <v>0.113445344673984</v>
      </c>
      <c r="AS120" s="29">
        <v>21107.7708323351</v>
      </c>
      <c r="AT120" s="30">
        <v>0.10104101726197701</v>
      </c>
      <c r="AU120" s="29">
        <v>210304.740384923</v>
      </c>
      <c r="AV120" s="30">
        <v>6.8392463107804599E-2</v>
      </c>
      <c r="AW120" s="29">
        <v>131907.89396785601</v>
      </c>
      <c r="AX120" s="30">
        <v>4.0060289174491399E-2</v>
      </c>
      <c r="AY120" s="29">
        <v>78396.846417066205</v>
      </c>
      <c r="AZ120" s="30">
        <v>0.119714127902756</v>
      </c>
      <c r="BA120" s="29">
        <v>51877.526606833599</v>
      </c>
      <c r="BB120" s="30">
        <v>0.109454809952853</v>
      </c>
      <c r="BC120" s="29">
        <v>65698.682941047897</v>
      </c>
      <c r="BD120" s="30">
        <v>0.109429700546394</v>
      </c>
      <c r="BE120" s="29"/>
      <c r="BF120" s="30"/>
    </row>
    <row r="121" spans="1:58" x14ac:dyDescent="0.2">
      <c r="A121" s="28">
        <v>2007</v>
      </c>
      <c r="B121" s="28">
        <v>2</v>
      </c>
      <c r="C121" s="29">
        <v>148779.38369032301</v>
      </c>
      <c r="D121" s="30">
        <v>6.97957011980221E-2</v>
      </c>
      <c r="E121" s="29">
        <v>133293.317928762</v>
      </c>
      <c r="F121" s="30">
        <v>1.63320613156199E-2</v>
      </c>
      <c r="G121" s="29">
        <v>93640.336214459603</v>
      </c>
      <c r="H121" s="30">
        <v>3.4424539974142299E-2</v>
      </c>
      <c r="I121" s="29">
        <v>77658.465687257194</v>
      </c>
      <c r="J121" s="30">
        <v>3.4966173276312698E-2</v>
      </c>
      <c r="K121" s="29">
        <v>15981.8705272024</v>
      </c>
      <c r="L121" s="30">
        <v>3.1800706778713397E-2</v>
      </c>
      <c r="M121" s="29">
        <v>39652.981714302201</v>
      </c>
      <c r="N121" s="30">
        <v>-2.39808985306319E-2</v>
      </c>
      <c r="O121" s="29">
        <v>41238.759775442697</v>
      </c>
      <c r="P121" s="30">
        <v>8.9069254303840495E-2</v>
      </c>
      <c r="Q121" s="29">
        <v>12709.328459025501</v>
      </c>
      <c r="R121" s="30">
        <v>4.1361235880395001E-3</v>
      </c>
      <c r="S121" s="29">
        <v>28529.4313164171</v>
      </c>
      <c r="T121" s="30">
        <v>0.13171248886707099</v>
      </c>
      <c r="U121" s="29">
        <v>404.42915221437602</v>
      </c>
      <c r="V121" s="30"/>
      <c r="W121" s="29">
        <v>-1990.20721335489</v>
      </c>
      <c r="X121" s="30"/>
      <c r="Y121" s="29">
        <v>15486.0657615613</v>
      </c>
      <c r="Z121" s="30"/>
      <c r="AA121" s="29">
        <v>92244.539638637099</v>
      </c>
      <c r="AB121" s="30">
        <v>0.202816845367041</v>
      </c>
      <c r="AC121" s="29">
        <v>64760.271488723098</v>
      </c>
      <c r="AD121" s="30">
        <v>0.20952402449861099</v>
      </c>
      <c r="AE121" s="29">
        <v>55487.820648814799</v>
      </c>
      <c r="AF121" s="30">
        <v>0.15865805361423699</v>
      </c>
      <c r="AG121" s="29">
        <v>47831.285652905601</v>
      </c>
      <c r="AH121" s="30">
        <v>0.124224382955889</v>
      </c>
      <c r="AI121" s="29">
        <v>27484.2681499141</v>
      </c>
      <c r="AJ121" s="30">
        <v>0.18730328220034401</v>
      </c>
      <c r="AK121" s="29">
        <v>76758.473877075798</v>
      </c>
      <c r="AL121" s="30">
        <v>0.11617731326642899</v>
      </c>
      <c r="AM121" s="29">
        <v>54518.3670481714</v>
      </c>
      <c r="AN121" s="30">
        <v>0.118257846508252</v>
      </c>
      <c r="AO121" s="29">
        <v>47132.9604697131</v>
      </c>
      <c r="AP121" s="30">
        <v>0.100265534828352</v>
      </c>
      <c r="AQ121" s="29">
        <v>45201.923968200499</v>
      </c>
      <c r="AR121" s="30">
        <v>0.116347937695838</v>
      </c>
      <c r="AS121" s="29">
        <v>22240.106828904401</v>
      </c>
      <c r="AT121" s="30">
        <v>0.111109791184546</v>
      </c>
      <c r="AU121" s="29">
        <v>215816.98533521401</v>
      </c>
      <c r="AV121" s="30">
        <v>8.9629034184729894E-2</v>
      </c>
      <c r="AW121" s="29">
        <v>134879.09598990201</v>
      </c>
      <c r="AX121" s="30">
        <v>5.0540885533511201E-2</v>
      </c>
      <c r="AY121" s="29">
        <v>80937.889345311298</v>
      </c>
      <c r="AZ121" s="30">
        <v>0.16165729662874201</v>
      </c>
      <c r="BA121" s="29">
        <v>53453.621195397202</v>
      </c>
      <c r="BB121" s="30">
        <v>0.14889743309148201</v>
      </c>
      <c r="BC121" s="29">
        <v>67442.030797104802</v>
      </c>
      <c r="BD121" s="30">
        <v>0.11461512417353099</v>
      </c>
      <c r="BE121" s="29"/>
      <c r="BF121" s="30"/>
    </row>
    <row r="122" spans="1:58" x14ac:dyDescent="0.2">
      <c r="A122" s="28">
        <v>2007</v>
      </c>
      <c r="B122" s="28">
        <v>3</v>
      </c>
      <c r="C122" s="29">
        <v>150101.205238341</v>
      </c>
      <c r="D122" s="30">
        <v>6.9761073273057098E-2</v>
      </c>
      <c r="E122" s="29">
        <v>132739.15445403001</v>
      </c>
      <c r="F122" s="30">
        <v>2.4392004162430599E-2</v>
      </c>
      <c r="G122" s="29">
        <v>94877.175440110295</v>
      </c>
      <c r="H122" s="30">
        <v>3.5124758712962403E-2</v>
      </c>
      <c r="I122" s="29">
        <v>78791.297704891098</v>
      </c>
      <c r="J122" s="30">
        <v>3.6802446938595003E-2</v>
      </c>
      <c r="K122" s="29">
        <v>16085.877735219199</v>
      </c>
      <c r="L122" s="30">
        <v>2.6984975785158301E-2</v>
      </c>
      <c r="M122" s="29">
        <v>37861.979013919699</v>
      </c>
      <c r="N122" s="30">
        <v>-1.5499845284289201E-3</v>
      </c>
      <c r="O122" s="29">
        <v>40684.3375812511</v>
      </c>
      <c r="P122" s="30">
        <v>7.8165225011930003E-2</v>
      </c>
      <c r="Q122" s="29">
        <v>13051.797375255899</v>
      </c>
      <c r="R122" s="30">
        <v>1.3437533719614E-2</v>
      </c>
      <c r="S122" s="29">
        <v>27632.540205995199</v>
      </c>
      <c r="T122" s="30">
        <v>0.11170277508732999</v>
      </c>
      <c r="U122" s="29">
        <v>-734.94651394191897</v>
      </c>
      <c r="V122" s="30"/>
      <c r="W122" s="29">
        <v>-2087.4120533894002</v>
      </c>
      <c r="X122" s="30"/>
      <c r="Y122" s="29">
        <v>17362.050784311199</v>
      </c>
      <c r="Z122" s="30"/>
      <c r="AA122" s="29">
        <v>95896.667939357299</v>
      </c>
      <c r="AB122" s="30">
        <v>0.222017939524911</v>
      </c>
      <c r="AC122" s="29">
        <v>67570.023630146301</v>
      </c>
      <c r="AD122" s="30">
        <v>0.25024432504320199</v>
      </c>
      <c r="AE122" s="29">
        <v>56080.256787227103</v>
      </c>
      <c r="AF122" s="30">
        <v>0.17157571268486599</v>
      </c>
      <c r="AG122" s="29">
        <v>47475.837779439396</v>
      </c>
      <c r="AH122" s="30">
        <v>0.12684850968793601</v>
      </c>
      <c r="AI122" s="29">
        <v>28326.644309210998</v>
      </c>
      <c r="AJ122" s="30">
        <v>0.159570248868213</v>
      </c>
      <c r="AK122" s="29">
        <v>78534.6171550461</v>
      </c>
      <c r="AL122" s="30">
        <v>0.159359302200967</v>
      </c>
      <c r="AM122" s="29">
        <v>55512.883675972298</v>
      </c>
      <c r="AN122" s="30">
        <v>0.19004835182765201</v>
      </c>
      <c r="AO122" s="29">
        <v>46268.6328551236</v>
      </c>
      <c r="AP122" s="30">
        <v>0.12251916511438</v>
      </c>
      <c r="AQ122" s="29">
        <v>44407.363129220903</v>
      </c>
      <c r="AR122" s="30">
        <v>0.130211989323263</v>
      </c>
      <c r="AS122" s="29">
        <v>23021.733479073799</v>
      </c>
      <c r="AT122" s="30">
        <v>9.1486913895258995E-2</v>
      </c>
      <c r="AU122" s="29">
        <v>218265.248360578</v>
      </c>
      <c r="AV122" s="30">
        <v>9.1565844596031204E-2</v>
      </c>
      <c r="AW122" s="29">
        <v>135561.513021361</v>
      </c>
      <c r="AX122" s="30">
        <v>4.76766671179698E-2</v>
      </c>
      <c r="AY122" s="29">
        <v>82703.735339216495</v>
      </c>
      <c r="AZ122" s="30">
        <v>0.17204546339321999</v>
      </c>
      <c r="BA122" s="29">
        <v>54377.091030005497</v>
      </c>
      <c r="BB122" s="30">
        <v>0.178651110774701</v>
      </c>
      <c r="BC122" s="29">
        <v>67429.096608294698</v>
      </c>
      <c r="BD122" s="30">
        <v>0.116685186029682</v>
      </c>
      <c r="BE122" s="29"/>
      <c r="BF122" s="30"/>
    </row>
    <row r="123" spans="1:58" x14ac:dyDescent="0.2">
      <c r="A123" s="28">
        <v>2007</v>
      </c>
      <c r="B123" s="28">
        <v>4</v>
      </c>
      <c r="C123" s="29">
        <v>155203.23635531301</v>
      </c>
      <c r="D123" s="30">
        <v>6.0977655585409997E-2</v>
      </c>
      <c r="E123" s="29">
        <v>145175.16004312399</v>
      </c>
      <c r="F123" s="30">
        <v>6.3586115546710301E-2</v>
      </c>
      <c r="G123" s="29">
        <v>97349.692167483503</v>
      </c>
      <c r="H123" s="30">
        <v>4.3513686359279997E-2</v>
      </c>
      <c r="I123" s="29">
        <v>81102.697265081806</v>
      </c>
      <c r="J123" s="30">
        <v>4.6451567369535401E-2</v>
      </c>
      <c r="K123" s="29">
        <v>16246.994902401701</v>
      </c>
      <c r="L123" s="30">
        <v>2.9091493090390701E-2</v>
      </c>
      <c r="M123" s="29">
        <v>47825.467875640097</v>
      </c>
      <c r="N123" s="30">
        <v>0.10692682875767399</v>
      </c>
      <c r="O123" s="29">
        <v>42849.795112289597</v>
      </c>
      <c r="P123" s="30">
        <v>5.1081881246277903E-2</v>
      </c>
      <c r="Q123" s="29">
        <v>14004.9769700915</v>
      </c>
      <c r="R123" s="30">
        <v>1.8819515946325398E-2</v>
      </c>
      <c r="S123" s="29">
        <v>28844.818142198201</v>
      </c>
      <c r="T123" s="30">
        <v>6.7494550175765097E-2</v>
      </c>
      <c r="U123" s="29">
        <v>1995.91179578632</v>
      </c>
      <c r="V123" s="30"/>
      <c r="W123" s="29">
        <v>2979.7609675641602</v>
      </c>
      <c r="X123" s="30"/>
      <c r="Y123" s="29">
        <v>10028.076312189</v>
      </c>
      <c r="Z123" s="30"/>
      <c r="AA123" s="29">
        <v>91078.009191163597</v>
      </c>
      <c r="AB123" s="30">
        <v>7.6145892481669794E-2</v>
      </c>
      <c r="AC123" s="29">
        <v>62318.6395843301</v>
      </c>
      <c r="AD123" s="30">
        <v>2.8757328873830101E-2</v>
      </c>
      <c r="AE123" s="29">
        <v>56416.371993394998</v>
      </c>
      <c r="AF123" s="30">
        <v>5.3254628845924801E-2</v>
      </c>
      <c r="AG123" s="29">
        <v>49511.3050641058</v>
      </c>
      <c r="AH123" s="30">
        <v>7.3714357192288499E-2</v>
      </c>
      <c r="AI123" s="29">
        <v>28759.369606833501</v>
      </c>
      <c r="AJ123" s="30">
        <v>0.19547295824013899</v>
      </c>
      <c r="AK123" s="29">
        <v>81049.932878974607</v>
      </c>
      <c r="AL123" s="30">
        <v>8.2886387000606201E-2</v>
      </c>
      <c r="AM123" s="29">
        <v>58025.752642516498</v>
      </c>
      <c r="AN123" s="30">
        <v>6.8635734300312598E-2</v>
      </c>
      <c r="AO123" s="29">
        <v>49972.353045711403</v>
      </c>
      <c r="AP123" s="30">
        <v>5.8125123283638599E-2</v>
      </c>
      <c r="AQ123" s="29">
        <v>47454.812902063699</v>
      </c>
      <c r="AR123" s="30">
        <v>9.1233138834588001E-2</v>
      </c>
      <c r="AS123" s="29">
        <v>23024.180236458</v>
      </c>
      <c r="AT123" s="30">
        <v>0.120545596794486</v>
      </c>
      <c r="AU123" s="29">
        <v>223686.31769804799</v>
      </c>
      <c r="AV123" s="30">
        <v>6.6590192289428099E-2</v>
      </c>
      <c r="AW123" s="29">
        <v>140199.48727977299</v>
      </c>
      <c r="AX123" s="30">
        <v>4.5815197227285102E-2</v>
      </c>
      <c r="AY123" s="29">
        <v>83486.830418275</v>
      </c>
      <c r="AZ123" s="30">
        <v>0.10339858514722899</v>
      </c>
      <c r="BA123" s="29">
        <v>54727.4608114414</v>
      </c>
      <c r="BB123" s="30">
        <v>6.0477135013483403E-2</v>
      </c>
      <c r="BC123" s="29">
        <v>70478.993138521793</v>
      </c>
      <c r="BD123" s="30">
        <v>0.100638858502603</v>
      </c>
      <c r="BE123" s="29"/>
      <c r="BF123" s="30"/>
    </row>
    <row r="124" spans="1:58" x14ac:dyDescent="0.2">
      <c r="A124" s="28">
        <v>2008</v>
      </c>
      <c r="B124" s="28">
        <v>1</v>
      </c>
      <c r="C124" s="29">
        <v>152278.99435676599</v>
      </c>
      <c r="D124" s="30">
        <v>5.0863912247181203E-2</v>
      </c>
      <c r="E124" s="29">
        <v>141710.43856001299</v>
      </c>
      <c r="F124" s="30">
        <v>8.0732335832859506E-2</v>
      </c>
      <c r="G124" s="29">
        <v>97528.277681712294</v>
      </c>
      <c r="H124" s="30">
        <v>4.2330112342926302E-2</v>
      </c>
      <c r="I124" s="29">
        <v>80940.145452898505</v>
      </c>
      <c r="J124" s="30">
        <v>4.2051164525532599E-2</v>
      </c>
      <c r="K124" s="29">
        <v>16588.1322288138</v>
      </c>
      <c r="L124" s="30">
        <v>4.3693355526797102E-2</v>
      </c>
      <c r="M124" s="29">
        <v>44182.160878300398</v>
      </c>
      <c r="N124" s="30">
        <v>0.176405882997442</v>
      </c>
      <c r="O124" s="29">
        <v>39881.314666266597</v>
      </c>
      <c r="P124" s="30">
        <v>4.0191957395122199E-2</v>
      </c>
      <c r="Q124" s="29">
        <v>11731.503586790501</v>
      </c>
      <c r="R124" s="30">
        <v>3.0822909512653499E-2</v>
      </c>
      <c r="S124" s="29">
        <v>28149.811079476101</v>
      </c>
      <c r="T124" s="30">
        <v>4.4147000626663498E-2</v>
      </c>
      <c r="U124" s="29">
        <v>538.31798981168004</v>
      </c>
      <c r="V124" s="30"/>
      <c r="W124" s="29">
        <v>3762.5282222221999</v>
      </c>
      <c r="X124" s="30"/>
      <c r="Y124" s="29">
        <v>10568.5557967533</v>
      </c>
      <c r="Z124" s="30"/>
      <c r="AA124" s="29">
        <v>95104.046326005497</v>
      </c>
      <c r="AB124" s="30">
        <v>9.7276443902599902E-2</v>
      </c>
      <c r="AC124" s="29">
        <v>68466.919178796394</v>
      </c>
      <c r="AD124" s="30">
        <v>0.13820336725096799</v>
      </c>
      <c r="AE124" s="29">
        <v>57610.796729392699</v>
      </c>
      <c r="AF124" s="30">
        <v>7.2874255630792598E-2</v>
      </c>
      <c r="AG124" s="29">
        <v>48952.154271589403</v>
      </c>
      <c r="AH124" s="30">
        <v>4.80702965235347E-2</v>
      </c>
      <c r="AI124" s="29">
        <v>26637.127147209099</v>
      </c>
      <c r="AJ124" s="30">
        <v>4.4423212140973804E-3</v>
      </c>
      <c r="AK124" s="29">
        <v>84535.490529252202</v>
      </c>
      <c r="AL124" s="30">
        <v>0.159785667274252</v>
      </c>
      <c r="AM124" s="29">
        <v>62916.715933868298</v>
      </c>
      <c r="AN124" s="30">
        <v>0.21505128341579199</v>
      </c>
      <c r="AO124" s="29">
        <v>48364.485957991499</v>
      </c>
      <c r="AP124" s="30">
        <v>4.15778022370017E-2</v>
      </c>
      <c r="AQ124" s="29">
        <v>46213.185721259499</v>
      </c>
      <c r="AR124" s="30">
        <v>3.6381261019995198E-2</v>
      </c>
      <c r="AS124" s="29">
        <v>21618.7745953839</v>
      </c>
      <c r="AT124" s="30">
        <v>2.4209271888910401E-2</v>
      </c>
      <c r="AU124" s="29">
        <v>219572.63668359799</v>
      </c>
      <c r="AV124" s="30">
        <v>4.4068889182963901E-2</v>
      </c>
      <c r="AW124" s="29">
        <v>137409.59234797899</v>
      </c>
      <c r="AX124" s="30">
        <v>4.1708636341833701E-2</v>
      </c>
      <c r="AY124" s="29">
        <v>82163.044335618804</v>
      </c>
      <c r="AZ124" s="30">
        <v>4.8040171137965201E-2</v>
      </c>
      <c r="BA124" s="29">
        <v>55525.917188409803</v>
      </c>
      <c r="BB124" s="30">
        <v>7.0326995525950897E-2</v>
      </c>
      <c r="BC124" s="29">
        <v>67831.960316643395</v>
      </c>
      <c r="BD124" s="30">
        <v>3.2470626199763597E-2</v>
      </c>
      <c r="BE124" s="29"/>
      <c r="BF124" s="30"/>
    </row>
    <row r="125" spans="1:58" x14ac:dyDescent="0.2">
      <c r="A125" s="28">
        <v>2008</v>
      </c>
      <c r="B125" s="28">
        <v>2</v>
      </c>
      <c r="C125" s="29">
        <v>156633.56639887099</v>
      </c>
      <c r="D125" s="30">
        <v>5.2790800134618898E-2</v>
      </c>
      <c r="E125" s="29">
        <v>136780.36225053601</v>
      </c>
      <c r="F125" s="30">
        <v>2.6160683640851199E-2</v>
      </c>
      <c r="G125" s="29">
        <v>97239.562707791003</v>
      </c>
      <c r="H125" s="30">
        <v>3.8436710490746998E-2</v>
      </c>
      <c r="I125" s="29">
        <v>80441.738931740605</v>
      </c>
      <c r="J125" s="30">
        <v>3.58399206043045E-2</v>
      </c>
      <c r="K125" s="29">
        <v>16797.823776050402</v>
      </c>
      <c r="L125" s="30">
        <v>5.1054927986007297E-2</v>
      </c>
      <c r="M125" s="29">
        <v>39540.799542744498</v>
      </c>
      <c r="N125" s="30">
        <v>-2.8290980074567899E-3</v>
      </c>
      <c r="O125" s="29">
        <v>43049.200134963503</v>
      </c>
      <c r="P125" s="30">
        <v>4.39014259735062E-2</v>
      </c>
      <c r="Q125" s="29">
        <v>13254.0813193136</v>
      </c>
      <c r="R125" s="30">
        <v>4.2862442499956202E-2</v>
      </c>
      <c r="S125" s="29">
        <v>29795.118815649901</v>
      </c>
      <c r="T125" s="30">
        <v>4.4364273693196003E-2</v>
      </c>
      <c r="U125" s="29">
        <v>-2223.1223290142402</v>
      </c>
      <c r="V125" s="30"/>
      <c r="W125" s="29">
        <v>-1285.2782632047299</v>
      </c>
      <c r="X125" s="30"/>
      <c r="Y125" s="29">
        <v>19853.2041483352</v>
      </c>
      <c r="Z125" s="30"/>
      <c r="AA125" s="29">
        <v>101248.4103035</v>
      </c>
      <c r="AB125" s="30">
        <v>9.7608711584827396E-2</v>
      </c>
      <c r="AC125" s="29">
        <v>74564.858953423201</v>
      </c>
      <c r="AD125" s="30">
        <v>0.151398183474377</v>
      </c>
      <c r="AE125" s="29">
        <v>64466.881586156298</v>
      </c>
      <c r="AF125" s="30">
        <v>0.16182039287811301</v>
      </c>
      <c r="AG125" s="29">
        <v>53227.997289743602</v>
      </c>
      <c r="AH125" s="30">
        <v>0.11282806981188</v>
      </c>
      <c r="AI125" s="29">
        <v>26683.551350076799</v>
      </c>
      <c r="AJ125" s="30">
        <v>-2.9133640942144899E-2</v>
      </c>
      <c r="AK125" s="29">
        <v>81395.206155164793</v>
      </c>
      <c r="AL125" s="30">
        <v>6.0406780435922701E-2</v>
      </c>
      <c r="AM125" s="29">
        <v>59245.914118573499</v>
      </c>
      <c r="AN125" s="30">
        <v>8.6714759197113994E-2</v>
      </c>
      <c r="AO125" s="29">
        <v>51021.743345146002</v>
      </c>
      <c r="AP125" s="30">
        <v>8.2506654296239407E-2</v>
      </c>
      <c r="AQ125" s="29">
        <v>48579.484935670203</v>
      </c>
      <c r="AR125" s="30">
        <v>7.4721619589597402E-2</v>
      </c>
      <c r="AS125" s="29">
        <v>22149.292036591301</v>
      </c>
      <c r="AT125" s="30">
        <v>-4.0833793205979898E-3</v>
      </c>
      <c r="AU125" s="29">
        <v>229585.465700147</v>
      </c>
      <c r="AV125" s="30">
        <v>6.3797019236217195E-2</v>
      </c>
      <c r="AW125" s="29">
        <v>140288.76284275399</v>
      </c>
      <c r="AX125" s="30">
        <v>4.0107526026547498E-2</v>
      </c>
      <c r="AY125" s="29">
        <v>89296.702857392098</v>
      </c>
      <c r="AZ125" s="30">
        <v>0.103274419183567</v>
      </c>
      <c r="BA125" s="29">
        <v>62613.151507315197</v>
      </c>
      <c r="BB125" s="30">
        <v>0.17135472035534899</v>
      </c>
      <c r="BC125" s="29">
        <v>70728.776972261607</v>
      </c>
      <c r="BD125" s="30">
        <v>4.8734389168154403E-2</v>
      </c>
      <c r="BE125" s="29"/>
      <c r="BF125" s="30"/>
    </row>
    <row r="126" spans="1:58" x14ac:dyDescent="0.2">
      <c r="A126" s="28">
        <v>2008</v>
      </c>
      <c r="B126" s="28">
        <v>3</v>
      </c>
      <c r="C126" s="29">
        <v>156659.61218394901</v>
      </c>
      <c r="D126" s="30">
        <v>4.36932330769364E-2</v>
      </c>
      <c r="E126" s="29">
        <v>135812.70755428201</v>
      </c>
      <c r="F126" s="30">
        <v>2.3154834102216301E-2</v>
      </c>
      <c r="G126" s="29">
        <v>98581.971561754894</v>
      </c>
      <c r="H126" s="30">
        <v>3.9048339123283198E-2</v>
      </c>
      <c r="I126" s="29">
        <v>81555.145987413605</v>
      </c>
      <c r="J126" s="30">
        <v>3.5078090639836898E-2</v>
      </c>
      <c r="K126" s="29">
        <v>17026.825574341299</v>
      </c>
      <c r="L126" s="30">
        <v>5.8495274837378999E-2</v>
      </c>
      <c r="M126" s="29">
        <v>37230.735992526599</v>
      </c>
      <c r="N126" s="30">
        <v>-1.6672214127028701E-2</v>
      </c>
      <c r="O126" s="29">
        <v>42131.7142650768</v>
      </c>
      <c r="P126" s="30">
        <v>3.5575771165874202E-2</v>
      </c>
      <c r="Q126" s="29">
        <v>13688.003926019401</v>
      </c>
      <c r="R126" s="30">
        <v>4.8744746219376002E-2</v>
      </c>
      <c r="S126" s="29">
        <v>28443.710339057401</v>
      </c>
      <c r="T126" s="30">
        <v>2.9355612152016399E-2</v>
      </c>
      <c r="U126" s="29">
        <v>-3069.2728980019201</v>
      </c>
      <c r="V126" s="30"/>
      <c r="W126" s="29">
        <v>-1831.7053745482999</v>
      </c>
      <c r="X126" s="30"/>
      <c r="Y126" s="29">
        <v>20846.904629667599</v>
      </c>
      <c r="Z126" s="30"/>
      <c r="AA126" s="29">
        <v>104089.000137771</v>
      </c>
      <c r="AB126" s="30">
        <v>8.5428747155164894E-2</v>
      </c>
      <c r="AC126" s="29">
        <v>76325.920192251506</v>
      </c>
      <c r="AD126" s="30">
        <v>0.12958255882862901</v>
      </c>
      <c r="AE126" s="29">
        <v>62788.203949773</v>
      </c>
      <c r="AF126" s="30">
        <v>0.119613346065734</v>
      </c>
      <c r="AG126" s="29">
        <v>50651.814006850604</v>
      </c>
      <c r="AH126" s="30">
        <v>6.68966863136993E-2</v>
      </c>
      <c r="AI126" s="29">
        <v>27763.079945519901</v>
      </c>
      <c r="AJ126" s="30">
        <v>-1.9895203877285401E-2</v>
      </c>
      <c r="AK126" s="29">
        <v>83242.095508103899</v>
      </c>
      <c r="AL126" s="30">
        <v>5.9941443959217397E-2</v>
      </c>
      <c r="AM126" s="29">
        <v>60501.124579978998</v>
      </c>
      <c r="AN126" s="30">
        <v>8.9857355152417995E-2</v>
      </c>
      <c r="AO126" s="29">
        <v>49179.732792805698</v>
      </c>
      <c r="AP126" s="30">
        <v>6.2917353680998406E-2</v>
      </c>
      <c r="AQ126" s="29">
        <v>46536.039728766802</v>
      </c>
      <c r="AR126" s="30">
        <v>4.7935217260067602E-2</v>
      </c>
      <c r="AS126" s="29">
        <v>22740.970928124902</v>
      </c>
      <c r="AT126" s="30">
        <v>-1.2195543450458601E-2</v>
      </c>
      <c r="AU126" s="29">
        <v>229005.89573884301</v>
      </c>
      <c r="AV126" s="30">
        <v>4.9209150146161597E-2</v>
      </c>
      <c r="AW126" s="29">
        <v>140713.68582683199</v>
      </c>
      <c r="AX126" s="30">
        <v>3.8006161857005602E-2</v>
      </c>
      <c r="AY126" s="29">
        <v>88292.209912011007</v>
      </c>
      <c r="AZ126" s="30">
        <v>6.7572214844624501E-2</v>
      </c>
      <c r="BA126" s="29">
        <v>60529.129966491098</v>
      </c>
      <c r="BB126" s="30">
        <v>0.11313659520864899</v>
      </c>
      <c r="BC126" s="29">
        <v>69277.010656891696</v>
      </c>
      <c r="BD126" s="30">
        <v>2.7405291506896499E-2</v>
      </c>
      <c r="BE126" s="29"/>
      <c r="BF126" s="30"/>
    </row>
    <row r="127" spans="1:58" x14ac:dyDescent="0.2">
      <c r="A127" s="28">
        <v>2008</v>
      </c>
      <c r="B127" s="28">
        <v>4</v>
      </c>
      <c r="C127" s="29">
        <v>156889.67045506899</v>
      </c>
      <c r="D127" s="30">
        <v>1.0865972510366801E-2</v>
      </c>
      <c r="E127" s="29">
        <v>150839.53761080399</v>
      </c>
      <c r="F127" s="30">
        <v>3.9017539681013999E-2</v>
      </c>
      <c r="G127" s="29">
        <v>99760.799422570693</v>
      </c>
      <c r="H127" s="30">
        <v>2.47674872041612E-2</v>
      </c>
      <c r="I127" s="29">
        <v>82464.971044636201</v>
      </c>
      <c r="J127" s="30">
        <v>1.6796898568019102E-2</v>
      </c>
      <c r="K127" s="29">
        <v>17295.8283779345</v>
      </c>
      <c r="L127" s="30">
        <v>6.4555536690528798E-2</v>
      </c>
      <c r="M127" s="29">
        <v>51078.738188233103</v>
      </c>
      <c r="N127" s="30">
        <v>6.8023805246451505E-2</v>
      </c>
      <c r="O127" s="29">
        <v>42366.658193655698</v>
      </c>
      <c r="P127" s="30">
        <v>-1.12751278592542E-2</v>
      </c>
      <c r="Q127" s="29">
        <v>14420.5060207145</v>
      </c>
      <c r="R127" s="30">
        <v>2.9670098816328299E-2</v>
      </c>
      <c r="S127" s="29">
        <v>27946.152172941202</v>
      </c>
      <c r="T127" s="30">
        <v>-3.11551962236934E-2</v>
      </c>
      <c r="U127" s="29">
        <v>2415.4807356022902</v>
      </c>
      <c r="V127" s="30"/>
      <c r="W127" s="29">
        <v>6296.5992589750704</v>
      </c>
      <c r="X127" s="30"/>
      <c r="Y127" s="29">
        <v>6050.1328442656804</v>
      </c>
      <c r="Z127" s="30"/>
      <c r="AA127" s="29">
        <v>90312.217929674007</v>
      </c>
      <c r="AB127" s="30">
        <v>-8.4080808121566007E-3</v>
      </c>
      <c r="AC127" s="29">
        <v>62101.515074247902</v>
      </c>
      <c r="AD127" s="30">
        <v>-3.4841022129248299E-3</v>
      </c>
      <c r="AE127" s="29">
        <v>53559.730568396997</v>
      </c>
      <c r="AF127" s="30">
        <v>-5.0634972155467098E-2</v>
      </c>
      <c r="AG127" s="29">
        <v>47084.832369156298</v>
      </c>
      <c r="AH127" s="30">
        <v>-4.9008457599890802E-2</v>
      </c>
      <c r="AI127" s="29">
        <v>28210.702855426101</v>
      </c>
      <c r="AJ127" s="30">
        <v>-1.90778434613901E-2</v>
      </c>
      <c r="AK127" s="29">
        <v>84262.085085408296</v>
      </c>
      <c r="AL127" s="30">
        <v>3.9631768865621801E-2</v>
      </c>
      <c r="AM127" s="29">
        <v>60997.155797150997</v>
      </c>
      <c r="AN127" s="30">
        <v>5.1208351797530097E-2</v>
      </c>
      <c r="AO127" s="29">
        <v>46110.023590479599</v>
      </c>
      <c r="AP127" s="30">
        <v>-7.72893253935584E-2</v>
      </c>
      <c r="AQ127" s="29">
        <v>44259.135323430899</v>
      </c>
      <c r="AR127" s="30">
        <v>-6.7341485156162506E-2</v>
      </c>
      <c r="AS127" s="29">
        <v>23264.929288257299</v>
      </c>
      <c r="AT127" s="30">
        <v>1.0456357156986699E-2</v>
      </c>
      <c r="AU127" s="29">
        <v>221998.25433115501</v>
      </c>
      <c r="AV127" s="30">
        <v>-7.5465651375754596E-3</v>
      </c>
      <c r="AW127" s="29">
        <v>142127.45761622599</v>
      </c>
      <c r="AX127" s="30">
        <v>1.37516218772322E-2</v>
      </c>
      <c r="AY127" s="29">
        <v>79870.796714929005</v>
      </c>
      <c r="AZ127" s="30">
        <v>-4.3312624101662499E-2</v>
      </c>
      <c r="BA127" s="29">
        <v>51660.0938595029</v>
      </c>
      <c r="BB127" s="30">
        <v>-5.6048040717746599E-2</v>
      </c>
      <c r="BC127" s="29">
        <v>67524.064611688198</v>
      </c>
      <c r="BD127" s="30">
        <v>-4.1926372600497301E-2</v>
      </c>
      <c r="BE127" s="29"/>
      <c r="BF127" s="30"/>
    </row>
    <row r="128" spans="1:58" x14ac:dyDescent="0.2">
      <c r="A128" s="28">
        <v>2009</v>
      </c>
      <c r="B128" s="28">
        <v>1</v>
      </c>
      <c r="C128" s="29">
        <v>149995.820481392</v>
      </c>
      <c r="D128" s="30">
        <v>-1.49933606077336E-2</v>
      </c>
      <c r="E128" s="29">
        <v>151683.477268477</v>
      </c>
      <c r="F128" s="30">
        <v>7.0376175600083093E-2</v>
      </c>
      <c r="G128" s="29">
        <v>98808.451097037905</v>
      </c>
      <c r="H128" s="30">
        <v>1.31261767946271E-2</v>
      </c>
      <c r="I128" s="29">
        <v>81224.407072310307</v>
      </c>
      <c r="J128" s="30">
        <v>3.51199788215428E-3</v>
      </c>
      <c r="K128" s="29">
        <v>17584.044024727598</v>
      </c>
      <c r="L128" s="30">
        <v>6.0037608946949601E-2</v>
      </c>
      <c r="M128" s="29">
        <v>52875.026171439</v>
      </c>
      <c r="N128" s="30">
        <v>0.196750569015469</v>
      </c>
      <c r="O128" s="29">
        <v>37453.428021389198</v>
      </c>
      <c r="P128" s="30">
        <v>-6.0877798668232397E-2</v>
      </c>
      <c r="Q128" s="29">
        <v>11824.891238503</v>
      </c>
      <c r="R128" s="30">
        <v>7.9604162434621095E-3</v>
      </c>
      <c r="S128" s="29">
        <v>25628.536782886102</v>
      </c>
      <c r="T128" s="30">
        <v>-8.9566295470742005E-2</v>
      </c>
      <c r="U128" s="29">
        <v>1649.56911316881</v>
      </c>
      <c r="V128" s="30"/>
      <c r="W128" s="29">
        <v>13772.0290368811</v>
      </c>
      <c r="X128" s="30"/>
      <c r="Y128" s="29">
        <v>-1687.6567870850099</v>
      </c>
      <c r="Z128" s="30"/>
      <c r="AA128" s="29">
        <v>83630.185545393702</v>
      </c>
      <c r="AB128" s="30">
        <v>-0.120645348161957</v>
      </c>
      <c r="AC128" s="29">
        <v>57398.976331510697</v>
      </c>
      <c r="AD128" s="30">
        <v>-0.16165387577002799</v>
      </c>
      <c r="AE128" s="29">
        <v>50901.030677339499</v>
      </c>
      <c r="AF128" s="30">
        <v>-0.116467162979365</v>
      </c>
      <c r="AG128" s="29">
        <v>42835.064165419397</v>
      </c>
      <c r="AH128" s="30">
        <v>-0.124960590543821</v>
      </c>
      <c r="AI128" s="29">
        <v>26231.209213882899</v>
      </c>
      <c r="AJ128" s="30">
        <v>-1.5238803009155101E-2</v>
      </c>
      <c r="AK128" s="29">
        <v>85317.8423324787</v>
      </c>
      <c r="AL128" s="30">
        <v>9.2547141836922808E-3</v>
      </c>
      <c r="AM128" s="29">
        <v>62834.514465212</v>
      </c>
      <c r="AN128" s="30">
        <v>-1.30651238603607E-3</v>
      </c>
      <c r="AO128" s="29">
        <v>43114.946970913501</v>
      </c>
      <c r="AP128" s="30">
        <v>-0.10854119263539</v>
      </c>
      <c r="AQ128" s="29">
        <v>41134.367238863801</v>
      </c>
      <c r="AR128" s="30">
        <v>-0.10989977001432499</v>
      </c>
      <c r="AS128" s="29">
        <v>22483.327867266598</v>
      </c>
      <c r="AT128" s="30">
        <v>3.9990854618900298E-2</v>
      </c>
      <c r="AU128" s="29">
        <v>211963.94647435399</v>
      </c>
      <c r="AV128" s="30">
        <v>-3.4652269627786801E-2</v>
      </c>
      <c r="AW128" s="29">
        <v>136261.87911842699</v>
      </c>
      <c r="AX128" s="30">
        <v>-8.3524971578785596E-3</v>
      </c>
      <c r="AY128" s="29">
        <v>75702.067355926498</v>
      </c>
      <c r="AZ128" s="30">
        <v>-7.8636046557630096E-2</v>
      </c>
      <c r="BA128" s="29">
        <v>49470.858142043602</v>
      </c>
      <c r="BB128" s="30">
        <v>-0.109049239579785</v>
      </c>
      <c r="BC128" s="29">
        <v>63617.695106130501</v>
      </c>
      <c r="BD128" s="30">
        <v>-6.2128017395347401E-2</v>
      </c>
      <c r="BE128" s="29"/>
      <c r="BF128" s="30"/>
    </row>
    <row r="129" spans="1:58" x14ac:dyDescent="0.2">
      <c r="A129" s="28">
        <v>2009</v>
      </c>
      <c r="B129" s="28">
        <v>2</v>
      </c>
      <c r="C129" s="29">
        <v>151707.932561897</v>
      </c>
      <c r="D129" s="30">
        <v>-3.1446860019969797E-2</v>
      </c>
      <c r="E129" s="29">
        <v>138567.86525666999</v>
      </c>
      <c r="F129" s="30">
        <v>1.3068418424425901E-2</v>
      </c>
      <c r="G129" s="29">
        <v>98483.976685654299</v>
      </c>
      <c r="H129" s="30">
        <v>1.2797404093669799E-2</v>
      </c>
      <c r="I129" s="29">
        <v>80741.508778378193</v>
      </c>
      <c r="J129" s="30">
        <v>3.72654607693135E-3</v>
      </c>
      <c r="K129" s="29">
        <v>17742.467907276099</v>
      </c>
      <c r="L129" s="30">
        <v>5.62361019986743E-2</v>
      </c>
      <c r="M129" s="29">
        <v>40083.888571015697</v>
      </c>
      <c r="N129" s="30">
        <v>1.3734902545006601E-2</v>
      </c>
      <c r="O129" s="29">
        <v>38619.320492461396</v>
      </c>
      <c r="P129" s="30">
        <v>-0.102902716626882</v>
      </c>
      <c r="Q129" s="29">
        <v>13458.735668149</v>
      </c>
      <c r="R129" s="30">
        <v>1.5440855077384401E-2</v>
      </c>
      <c r="S129" s="29">
        <v>25160.584824312398</v>
      </c>
      <c r="T129" s="30">
        <v>-0.155546753144786</v>
      </c>
      <c r="U129" s="29">
        <v>121.841033334204</v>
      </c>
      <c r="V129" s="30"/>
      <c r="W129" s="29">
        <v>1342.7270452201301</v>
      </c>
      <c r="X129" s="30"/>
      <c r="Y129" s="29">
        <v>13140.067305226699</v>
      </c>
      <c r="Z129" s="30"/>
      <c r="AA129" s="29">
        <v>87004.422860063103</v>
      </c>
      <c r="AB129" s="30">
        <v>-0.14068356629738099</v>
      </c>
      <c r="AC129" s="29">
        <v>60714.630528196802</v>
      </c>
      <c r="AD129" s="30">
        <v>-0.185747396556841</v>
      </c>
      <c r="AE129" s="29">
        <v>50940.732958679</v>
      </c>
      <c r="AF129" s="30">
        <v>-0.20981546329956099</v>
      </c>
      <c r="AG129" s="29">
        <v>42777.637024337899</v>
      </c>
      <c r="AH129" s="30">
        <v>-0.19633202069429301</v>
      </c>
      <c r="AI129" s="29">
        <v>26289.792331866302</v>
      </c>
      <c r="AJ129" s="30">
        <v>-1.47566196509815E-2</v>
      </c>
      <c r="AK129" s="29">
        <v>73864.355554836395</v>
      </c>
      <c r="AL129" s="30">
        <v>-9.2522040990623403E-2</v>
      </c>
      <c r="AM129" s="29">
        <v>50783.379339740401</v>
      </c>
      <c r="AN129" s="30">
        <v>-0.14283744127732201</v>
      </c>
      <c r="AO129" s="29">
        <v>40031.894119161399</v>
      </c>
      <c r="AP129" s="30">
        <v>-0.21539540802519699</v>
      </c>
      <c r="AQ129" s="29">
        <v>38268.364636698701</v>
      </c>
      <c r="AR129" s="30">
        <v>-0.21225256530870401</v>
      </c>
      <c r="AS129" s="29">
        <v>23080.976215096001</v>
      </c>
      <c r="AT129" s="30">
        <v>4.20638355828915E-2</v>
      </c>
      <c r="AU129" s="29">
        <v>212935.432380357</v>
      </c>
      <c r="AV129" s="30">
        <v>-7.2522157572184096E-2</v>
      </c>
      <c r="AW129" s="29">
        <v>137103.29717811599</v>
      </c>
      <c r="AX129" s="30">
        <v>-2.27064919533808E-2</v>
      </c>
      <c r="AY129" s="29">
        <v>75832.135202241494</v>
      </c>
      <c r="AZ129" s="30">
        <v>-0.150784600374928</v>
      </c>
      <c r="BA129" s="29">
        <v>49542.3428703752</v>
      </c>
      <c r="BB129" s="30">
        <v>-0.20875500309887701</v>
      </c>
      <c r="BC129" s="29">
        <v>61349.340851794703</v>
      </c>
      <c r="BD129" s="30">
        <v>-0.13261131496937001</v>
      </c>
      <c r="BE129" s="29"/>
      <c r="BF129" s="30"/>
    </row>
    <row r="130" spans="1:58" x14ac:dyDescent="0.2">
      <c r="A130" s="28">
        <v>2009</v>
      </c>
      <c r="B130" s="28">
        <v>3</v>
      </c>
      <c r="C130" s="29">
        <v>153572.466931078</v>
      </c>
      <c r="D130" s="30">
        <v>-1.9706069802129501E-2</v>
      </c>
      <c r="E130" s="29">
        <v>140157.66070056599</v>
      </c>
      <c r="F130" s="30">
        <v>3.1992243027388498E-2</v>
      </c>
      <c r="G130" s="29">
        <v>99914.827173914804</v>
      </c>
      <c r="H130" s="30">
        <v>1.3520277501499501E-2</v>
      </c>
      <c r="I130" s="29">
        <v>81923.022770996802</v>
      </c>
      <c r="J130" s="30">
        <v>4.5107734052727303E-3</v>
      </c>
      <c r="K130" s="29">
        <v>17991.804402917998</v>
      </c>
      <c r="L130" s="30">
        <v>5.6674030303739201E-2</v>
      </c>
      <c r="M130" s="29">
        <v>40242.833526650997</v>
      </c>
      <c r="N130" s="30">
        <v>8.0903518392141993E-2</v>
      </c>
      <c r="O130" s="29">
        <v>39239.786780626499</v>
      </c>
      <c r="P130" s="30">
        <v>-6.8640157062097501E-2</v>
      </c>
      <c r="Q130" s="29">
        <v>14225.0376820036</v>
      </c>
      <c r="R130" s="30">
        <v>3.9233898447629298E-2</v>
      </c>
      <c r="S130" s="29">
        <v>25014.749098622899</v>
      </c>
      <c r="T130" s="30">
        <v>-0.120552529876034</v>
      </c>
      <c r="U130" s="29">
        <v>-3838.9753991235898</v>
      </c>
      <c r="V130" s="30"/>
      <c r="W130" s="29">
        <v>4842.0221451480502</v>
      </c>
      <c r="X130" s="30"/>
      <c r="Y130" s="29">
        <v>13414.8062305119</v>
      </c>
      <c r="Z130" s="30"/>
      <c r="AA130" s="29">
        <v>88781.878859849894</v>
      </c>
      <c r="AB130" s="30">
        <v>-0.14705801052619499</v>
      </c>
      <c r="AC130" s="29">
        <v>60737.364595000399</v>
      </c>
      <c r="AD130" s="30">
        <v>-0.20423672008128199</v>
      </c>
      <c r="AE130" s="29">
        <v>53815.487699499798</v>
      </c>
      <c r="AF130" s="30">
        <v>-0.142904489790006</v>
      </c>
      <c r="AG130" s="29">
        <v>43398.139380196299</v>
      </c>
      <c r="AH130" s="30">
        <v>-0.14320661103417201</v>
      </c>
      <c r="AI130" s="29">
        <v>28044.514264849498</v>
      </c>
      <c r="AJ130" s="30">
        <v>1.0136999204766401E-2</v>
      </c>
      <c r="AK130" s="29">
        <v>75367.072629337999</v>
      </c>
      <c r="AL130" s="30">
        <v>-9.4603851941703995E-2</v>
      </c>
      <c r="AM130" s="29">
        <v>51743.904569589897</v>
      </c>
      <c r="AN130" s="30">
        <v>-0.14474474765857501</v>
      </c>
      <c r="AO130" s="29">
        <v>40381.292691902701</v>
      </c>
      <c r="AP130" s="30">
        <v>-0.17890378009923</v>
      </c>
      <c r="AQ130" s="29">
        <v>38601.4674315956</v>
      </c>
      <c r="AR130" s="30">
        <v>-0.170503814751266</v>
      </c>
      <c r="AS130" s="29">
        <v>23623.168059748099</v>
      </c>
      <c r="AT130" s="30">
        <v>3.8793292265818298E-2</v>
      </c>
      <c r="AU130" s="29">
        <v>219636.07782154501</v>
      </c>
      <c r="AV130" s="30">
        <v>-4.0915182061439299E-2</v>
      </c>
      <c r="AW130" s="29">
        <v>139154.61395454101</v>
      </c>
      <c r="AX130" s="30">
        <v>-1.1079745819529301E-2</v>
      </c>
      <c r="AY130" s="29">
        <v>80481.463867003695</v>
      </c>
      <c r="AZ130" s="30">
        <v>-8.8464724722501206E-2</v>
      </c>
      <c r="BA130" s="29">
        <v>52436.949602154098</v>
      </c>
      <c r="BB130" s="30">
        <v>-0.133690677014799</v>
      </c>
      <c r="BC130" s="29">
        <v>62224.635491343703</v>
      </c>
      <c r="BD130" s="30">
        <v>-0.10179964606839501</v>
      </c>
      <c r="BE130" s="29"/>
      <c r="BF130" s="30"/>
    </row>
    <row r="131" spans="1:58" x14ac:dyDescent="0.2">
      <c r="A131" s="28">
        <v>2009</v>
      </c>
      <c r="B131" s="28">
        <v>4</v>
      </c>
      <c r="C131" s="29">
        <v>158041.74536334901</v>
      </c>
      <c r="D131" s="30">
        <v>7.3432170833020996E-3</v>
      </c>
      <c r="E131" s="29">
        <v>145145.59143418499</v>
      </c>
      <c r="F131" s="30">
        <v>-3.7748366686924599E-2</v>
      </c>
      <c r="G131" s="29">
        <v>101890.90686415799</v>
      </c>
      <c r="H131" s="30">
        <v>2.1352148879284001E-2</v>
      </c>
      <c r="I131" s="29">
        <v>83751.311061779503</v>
      </c>
      <c r="J131" s="30">
        <v>1.5598623280266699E-2</v>
      </c>
      <c r="K131" s="29">
        <v>18139.595802378299</v>
      </c>
      <c r="L131" s="30">
        <v>4.8784447093623597E-2</v>
      </c>
      <c r="M131" s="29">
        <v>43254.684570027202</v>
      </c>
      <c r="N131" s="30">
        <v>-0.15317632924629199</v>
      </c>
      <c r="O131" s="29">
        <v>40299.345050212098</v>
      </c>
      <c r="P131" s="30">
        <v>-4.8795756653595E-2</v>
      </c>
      <c r="Q131" s="29">
        <v>14638.40481532</v>
      </c>
      <c r="R131" s="30">
        <v>1.51103431663546E-2</v>
      </c>
      <c r="S131" s="29">
        <v>25660.940234892099</v>
      </c>
      <c r="T131" s="30">
        <v>-8.1771970749582798E-2</v>
      </c>
      <c r="U131" s="29">
        <v>-299.89368359791098</v>
      </c>
      <c r="V131" s="30"/>
      <c r="W131" s="29">
        <v>3255.23320341304</v>
      </c>
      <c r="X131" s="30"/>
      <c r="Y131" s="29">
        <v>12896.1539291638</v>
      </c>
      <c r="Z131" s="30"/>
      <c r="AA131" s="29">
        <v>93915.860186195801</v>
      </c>
      <c r="AB131" s="30">
        <v>3.9902045804345102E-2</v>
      </c>
      <c r="AC131" s="29">
        <v>66689.737814703694</v>
      </c>
      <c r="AD131" s="30">
        <v>7.3882621623162906E-2</v>
      </c>
      <c r="AE131" s="29">
        <v>55171.259528893301</v>
      </c>
      <c r="AF131" s="30">
        <v>3.0088444123862201E-2</v>
      </c>
      <c r="AG131" s="29">
        <v>45469.0641470462</v>
      </c>
      <c r="AH131" s="30">
        <v>-3.43161086237306E-2</v>
      </c>
      <c r="AI131" s="29">
        <v>27226.1223714921</v>
      </c>
      <c r="AJ131" s="30">
        <v>-3.4900955462886601E-2</v>
      </c>
      <c r="AK131" s="29">
        <v>81019.706257031998</v>
      </c>
      <c r="AL131" s="30">
        <v>-3.8479688997605503E-2</v>
      </c>
      <c r="AM131" s="29">
        <v>56685.688111734897</v>
      </c>
      <c r="AN131" s="30">
        <v>-7.0683093811030398E-2</v>
      </c>
      <c r="AO131" s="29">
        <v>42498.427283626901</v>
      </c>
      <c r="AP131" s="30">
        <v>-7.8325622622289107E-2</v>
      </c>
      <c r="AQ131" s="29">
        <v>40603.352917456898</v>
      </c>
      <c r="AR131" s="30">
        <v>-8.2599499047118802E-2</v>
      </c>
      <c r="AS131" s="29">
        <v>24334.018145297101</v>
      </c>
      <c r="AT131" s="30">
        <v>4.5952809217408401E-2</v>
      </c>
      <c r="AU131" s="29">
        <v>223279.01010970099</v>
      </c>
      <c r="AV131" s="30">
        <v>5.7692155391220199E-3</v>
      </c>
      <c r="AW131" s="29">
        <v>142190.25191436999</v>
      </c>
      <c r="AX131" s="30">
        <v>4.4181679737786999E-4</v>
      </c>
      <c r="AY131" s="29">
        <v>81088.758195330796</v>
      </c>
      <c r="AZ131" s="30">
        <v>1.5249146502806401E-2</v>
      </c>
      <c r="BA131" s="29">
        <v>53862.635823838697</v>
      </c>
      <c r="BB131" s="30">
        <v>4.2635268343218999E-2</v>
      </c>
      <c r="BC131" s="29">
        <v>64937.371062753999</v>
      </c>
      <c r="BD131" s="30">
        <v>-3.8307728715822997E-2</v>
      </c>
      <c r="BE131" s="29"/>
      <c r="BF131" s="30"/>
    </row>
    <row r="132" spans="1:58" x14ac:dyDescent="0.2">
      <c r="A132" s="28">
        <v>2010</v>
      </c>
      <c r="B132" s="28">
        <v>1</v>
      </c>
      <c r="C132" s="29">
        <v>155143.31367032399</v>
      </c>
      <c r="D132" s="30">
        <v>3.4317577465907502E-2</v>
      </c>
      <c r="E132" s="29">
        <v>136762.78648425499</v>
      </c>
      <c r="F132" s="30">
        <v>-9.83672780510709E-2</v>
      </c>
      <c r="G132" s="29">
        <v>101469.08593180899</v>
      </c>
      <c r="H132" s="30">
        <v>2.6927199093098601E-2</v>
      </c>
      <c r="I132" s="29">
        <v>83426.721609740795</v>
      </c>
      <c r="J132" s="30">
        <v>2.7113950311386598E-2</v>
      </c>
      <c r="K132" s="29">
        <v>18042.364322067799</v>
      </c>
      <c r="L132" s="30">
        <v>2.6064555837989899E-2</v>
      </c>
      <c r="M132" s="29">
        <v>35293.700552446797</v>
      </c>
      <c r="N132" s="30">
        <v>-0.33250717573145999</v>
      </c>
      <c r="O132" s="29">
        <v>38021.2893029552</v>
      </c>
      <c r="P132" s="30">
        <v>1.5161797239007201E-2</v>
      </c>
      <c r="Q132" s="29">
        <v>12177.559991925</v>
      </c>
      <c r="R132" s="30">
        <v>2.98242703724521E-2</v>
      </c>
      <c r="S132" s="29">
        <v>25843.729311030202</v>
      </c>
      <c r="T132" s="30">
        <v>8.39659829069128E-3</v>
      </c>
      <c r="U132" s="29">
        <v>753.41178557017702</v>
      </c>
      <c r="V132" s="30"/>
      <c r="W132" s="29">
        <v>-3481.0005360785899</v>
      </c>
      <c r="X132" s="30"/>
      <c r="Y132" s="29">
        <v>18380.527186069099</v>
      </c>
      <c r="Z132" s="30"/>
      <c r="AA132" s="29">
        <v>100067.986361038</v>
      </c>
      <c r="AB132" s="30">
        <v>0.19655344189953999</v>
      </c>
      <c r="AC132" s="29">
        <v>73890.866275966997</v>
      </c>
      <c r="AD132" s="30">
        <v>0.28732027988106401</v>
      </c>
      <c r="AE132" s="29">
        <v>56012.200537558703</v>
      </c>
      <c r="AF132" s="30">
        <v>0.100413877522811</v>
      </c>
      <c r="AG132" s="29">
        <v>45834.274869671302</v>
      </c>
      <c r="AH132" s="30">
        <v>7.00176540571915E-2</v>
      </c>
      <c r="AI132" s="29">
        <v>26177.120085070899</v>
      </c>
      <c r="AJ132" s="30">
        <v>-2.06201431169062E-3</v>
      </c>
      <c r="AK132" s="29">
        <v>81687.459174968899</v>
      </c>
      <c r="AL132" s="30">
        <v>-4.25512771802459E-2</v>
      </c>
      <c r="AM132" s="29">
        <v>58831.177558375297</v>
      </c>
      <c r="AN132" s="30">
        <v>-6.3712387067988097E-2</v>
      </c>
      <c r="AO132" s="29">
        <v>43708.660119675798</v>
      </c>
      <c r="AP132" s="30">
        <v>1.3770471506385299E-2</v>
      </c>
      <c r="AQ132" s="29">
        <v>41583.1722605553</v>
      </c>
      <c r="AR132" s="30">
        <v>1.09107068326915E-2</v>
      </c>
      <c r="AS132" s="29">
        <v>22856.2816165935</v>
      </c>
      <c r="AT132" s="30">
        <v>1.6588013639646602E-2</v>
      </c>
      <c r="AU132" s="29">
        <v>218829.35576190299</v>
      </c>
      <c r="AV132" s="30">
        <v>3.2389514357245699E-2</v>
      </c>
      <c r="AW132" s="29">
        <v>139490.37523476401</v>
      </c>
      <c r="AX132" s="30">
        <v>2.3693318609900899E-2</v>
      </c>
      <c r="AY132" s="29">
        <v>79338.980527139298</v>
      </c>
      <c r="AZ132" s="30">
        <v>4.8042455090602197E-2</v>
      </c>
      <c r="BA132" s="29">
        <v>53161.860442068399</v>
      </c>
      <c r="BB132" s="30">
        <v>7.4609627539247395E-2</v>
      </c>
      <c r="BC132" s="29">
        <v>64439.453877148801</v>
      </c>
      <c r="BD132" s="30">
        <v>1.29171415224565E-2</v>
      </c>
      <c r="BE132" s="29"/>
      <c r="BF132" s="30"/>
    </row>
    <row r="133" spans="1:58" x14ac:dyDescent="0.2">
      <c r="A133" s="28">
        <v>2010</v>
      </c>
      <c r="B133" s="28">
        <v>2</v>
      </c>
      <c r="C133" s="29">
        <v>158410.55206158699</v>
      </c>
      <c r="D133" s="30">
        <v>4.4181074690710101E-2</v>
      </c>
      <c r="E133" s="29">
        <v>146362.67944845799</v>
      </c>
      <c r="F133" s="30">
        <v>5.6252682953222201E-2</v>
      </c>
      <c r="G133" s="29">
        <v>100880.547375294</v>
      </c>
      <c r="H133" s="30">
        <v>2.4334625492322699E-2</v>
      </c>
      <c r="I133" s="29">
        <v>82845.238902482495</v>
      </c>
      <c r="J133" s="30">
        <v>2.6055125250120201E-2</v>
      </c>
      <c r="K133" s="29">
        <v>18035.308472811801</v>
      </c>
      <c r="L133" s="30">
        <v>1.65050638426474E-2</v>
      </c>
      <c r="M133" s="29">
        <v>45482.132073164001</v>
      </c>
      <c r="N133" s="30">
        <v>0.13467364805648199</v>
      </c>
      <c r="O133" s="29">
        <v>40677.823313275803</v>
      </c>
      <c r="P133" s="30">
        <v>5.3302409119711201E-2</v>
      </c>
      <c r="Q133" s="29">
        <v>14153.3901895537</v>
      </c>
      <c r="R133" s="30">
        <v>5.1613653654606802E-2</v>
      </c>
      <c r="S133" s="29">
        <v>26524.433123722101</v>
      </c>
      <c r="T133" s="30">
        <v>5.42057471610045E-2</v>
      </c>
      <c r="U133" s="29">
        <v>-961.80331602331705</v>
      </c>
      <c r="V133" s="30"/>
      <c r="W133" s="29">
        <v>5766.1120759114701</v>
      </c>
      <c r="X133" s="30"/>
      <c r="Y133" s="29">
        <v>12047.8726131288</v>
      </c>
      <c r="Z133" s="30"/>
      <c r="AA133" s="29">
        <v>101596.097715863</v>
      </c>
      <c r="AB133" s="30">
        <v>0.167711874593654</v>
      </c>
      <c r="AC133" s="29">
        <v>74974.418408339901</v>
      </c>
      <c r="AD133" s="30">
        <v>0.23486576062619099</v>
      </c>
      <c r="AE133" s="29">
        <v>62355.591338935003</v>
      </c>
      <c r="AF133" s="30">
        <v>0.22408115700877901</v>
      </c>
      <c r="AG133" s="29">
        <v>46950.404220019998</v>
      </c>
      <c r="AH133" s="30">
        <v>9.7545528129757503E-2</v>
      </c>
      <c r="AI133" s="29">
        <v>26621.679307523402</v>
      </c>
      <c r="AJ133" s="30">
        <v>1.26241763901187E-2</v>
      </c>
      <c r="AK133" s="29">
        <v>89548.225102734403</v>
      </c>
      <c r="AL133" s="30">
        <v>0.212333397212874</v>
      </c>
      <c r="AM133" s="29">
        <v>65307.017398663796</v>
      </c>
      <c r="AN133" s="30">
        <v>0.28599195736385102</v>
      </c>
      <c r="AO133" s="29">
        <v>46167.069415562997</v>
      </c>
      <c r="AP133" s="30">
        <v>0.15325718233914301</v>
      </c>
      <c r="AQ133" s="29">
        <v>44249.786908735703</v>
      </c>
      <c r="AR133" s="30">
        <v>0.156302008952348</v>
      </c>
      <c r="AS133" s="29">
        <v>24241.207704070701</v>
      </c>
      <c r="AT133" s="30">
        <v>5.0267869008758098E-2</v>
      </c>
      <c r="AU133" s="29">
        <v>227863.34999041699</v>
      </c>
      <c r="AV133" s="30">
        <v>7.0105371582285705E-2</v>
      </c>
      <c r="AW133" s="29">
        <v>141558.37068856999</v>
      </c>
      <c r="AX133" s="30">
        <v>3.2494284252454701E-2</v>
      </c>
      <c r="AY133" s="29">
        <v>86304.979301846703</v>
      </c>
      <c r="AZ133" s="30">
        <v>0.13810562068013099</v>
      </c>
      <c r="BA133" s="29">
        <v>59683.299994323301</v>
      </c>
      <c r="BB133" s="30">
        <v>0.204692724170945</v>
      </c>
      <c r="BC133" s="29">
        <v>68490.994612806404</v>
      </c>
      <c r="BD133" s="30">
        <v>0.11640962497485099</v>
      </c>
      <c r="BE133" s="29"/>
      <c r="BF133" s="30"/>
    </row>
    <row r="134" spans="1:58" x14ac:dyDescent="0.2">
      <c r="A134" s="28">
        <v>2010</v>
      </c>
      <c r="B134" s="28">
        <v>3</v>
      </c>
      <c r="C134" s="29">
        <v>158633.93463064599</v>
      </c>
      <c r="D134" s="30">
        <v>3.2958171479006398E-2</v>
      </c>
      <c r="E134" s="29">
        <v>145920.014327618</v>
      </c>
      <c r="F134" s="30">
        <v>4.1113369032054002E-2</v>
      </c>
      <c r="G134" s="29">
        <v>101689.55394935</v>
      </c>
      <c r="H134" s="30">
        <v>1.7762396489420899E-2</v>
      </c>
      <c r="I134" s="29">
        <v>83515.611270382899</v>
      </c>
      <c r="J134" s="30">
        <v>1.9440060260446299E-2</v>
      </c>
      <c r="K134" s="29">
        <v>18173.942678966901</v>
      </c>
      <c r="L134" s="30">
        <v>1.0123402409788301E-2</v>
      </c>
      <c r="M134" s="29">
        <v>44230.4603782677</v>
      </c>
      <c r="N134" s="30">
        <v>9.9089117295280194E-2</v>
      </c>
      <c r="O134" s="29">
        <v>40403.291245308101</v>
      </c>
      <c r="P134" s="30">
        <v>2.9651141357781401E-2</v>
      </c>
      <c r="Q134" s="29">
        <v>14567.612126914801</v>
      </c>
      <c r="R134" s="30">
        <v>2.4082498237918901E-2</v>
      </c>
      <c r="S134" s="29">
        <v>25835.679118393298</v>
      </c>
      <c r="T134" s="30">
        <v>3.2817839448790402E-2</v>
      </c>
      <c r="U134" s="29">
        <v>1684.37951299263</v>
      </c>
      <c r="V134" s="30"/>
      <c r="W134" s="29">
        <v>2142.7896199670199</v>
      </c>
      <c r="X134" s="30"/>
      <c r="Y134" s="29">
        <v>12713.920303028601</v>
      </c>
      <c r="Z134" s="30"/>
      <c r="AA134" s="29">
        <v>98804.607930323997</v>
      </c>
      <c r="AB134" s="30">
        <v>0.11289160805321399</v>
      </c>
      <c r="AC134" s="29">
        <v>71584.250746784499</v>
      </c>
      <c r="AD134" s="30">
        <v>0.178586710571188</v>
      </c>
      <c r="AE134" s="29">
        <v>56500.7270760514</v>
      </c>
      <c r="AF134" s="30">
        <v>4.9897148410987399E-2</v>
      </c>
      <c r="AG134" s="29">
        <v>46203.223952522298</v>
      </c>
      <c r="AH134" s="30">
        <v>6.4636056116405396E-2</v>
      </c>
      <c r="AI134" s="29">
        <v>27220.357183539501</v>
      </c>
      <c r="AJ134" s="30">
        <v>-2.9387461431021802E-2</v>
      </c>
      <c r="AK134" s="29">
        <v>86090.687627295396</v>
      </c>
      <c r="AL134" s="30">
        <v>0.14228514686641799</v>
      </c>
      <c r="AM134" s="29">
        <v>61606.601932777798</v>
      </c>
      <c r="AN134" s="30">
        <v>0.19060597465975099</v>
      </c>
      <c r="AO134" s="29">
        <v>44749.835762989002</v>
      </c>
      <c r="AP134" s="30">
        <v>0.1081823483071</v>
      </c>
      <c r="AQ134" s="29">
        <v>42785.682843443901</v>
      </c>
      <c r="AR134" s="30">
        <v>0.10839524220842101</v>
      </c>
      <c r="AS134" s="29">
        <v>24484.085694517598</v>
      </c>
      <c r="AT134" s="30">
        <v>3.6443784025582897E-2</v>
      </c>
      <c r="AU134" s="29">
        <v>224219.32365561501</v>
      </c>
      <c r="AV134" s="30">
        <v>2.0867454379667E-2</v>
      </c>
      <c r="AW134" s="29">
        <v>142092.845194658</v>
      </c>
      <c r="AX134" s="30">
        <v>2.1114867531998999E-2</v>
      </c>
      <c r="AY134" s="29">
        <v>82126.478460957107</v>
      </c>
      <c r="AZ134" s="30">
        <v>2.0439670390089801E-2</v>
      </c>
      <c r="BA134" s="29">
        <v>54906.121277417602</v>
      </c>
      <c r="BB134" s="30">
        <v>4.7088392707764097E-2</v>
      </c>
      <c r="BC134" s="29">
        <v>67269.7685379615</v>
      </c>
      <c r="BD134" s="30">
        <v>8.1079350755210805E-2</v>
      </c>
      <c r="BE134" s="29"/>
      <c r="BF134" s="30"/>
    </row>
    <row r="135" spans="1:58" x14ac:dyDescent="0.2">
      <c r="A135" s="28">
        <v>2010</v>
      </c>
      <c r="B135" s="28">
        <v>4</v>
      </c>
      <c r="C135" s="29">
        <v>163984.21962084901</v>
      </c>
      <c r="D135" s="30">
        <v>3.7600662051900297E-2</v>
      </c>
      <c r="E135" s="29">
        <v>146498.480724419</v>
      </c>
      <c r="F135" s="30">
        <v>9.3209120364292596E-3</v>
      </c>
      <c r="G135" s="29">
        <v>103829.40532144401</v>
      </c>
      <c r="H135" s="30">
        <v>1.9025235096499699E-2</v>
      </c>
      <c r="I135" s="29">
        <v>85486.745738060505</v>
      </c>
      <c r="J135" s="30">
        <v>2.07212836943034E-2</v>
      </c>
      <c r="K135" s="29">
        <v>18342.6595833834</v>
      </c>
      <c r="L135" s="30">
        <v>1.11945041784527E-2</v>
      </c>
      <c r="M135" s="29">
        <v>42669.075402974602</v>
      </c>
      <c r="N135" s="30">
        <v>-1.3538629928152799E-2</v>
      </c>
      <c r="O135" s="29">
        <v>42283.480555150803</v>
      </c>
      <c r="P135" s="30">
        <v>4.9234931795206799E-2</v>
      </c>
      <c r="Q135" s="29">
        <v>15364.874043891799</v>
      </c>
      <c r="R135" s="30">
        <v>4.96276225269809E-2</v>
      </c>
      <c r="S135" s="29">
        <v>26918.606511258899</v>
      </c>
      <c r="T135" s="30">
        <v>4.9010919508582801E-2</v>
      </c>
      <c r="U135" s="29">
        <v>-1142.00645107843</v>
      </c>
      <c r="V135" s="30"/>
      <c r="W135" s="29">
        <v>1527.6012989022699</v>
      </c>
      <c r="X135" s="30"/>
      <c r="Y135" s="29">
        <v>17485.738896430001</v>
      </c>
      <c r="Z135" s="30"/>
      <c r="AA135" s="29">
        <v>109011.687575998</v>
      </c>
      <c r="AB135" s="30">
        <v>0.16073778550155199</v>
      </c>
      <c r="AC135" s="29">
        <v>82235.416301833306</v>
      </c>
      <c r="AD135" s="30">
        <v>0.23310450747794301</v>
      </c>
      <c r="AE135" s="29">
        <v>63724.161118379503</v>
      </c>
      <c r="AF135" s="30">
        <v>0.15502458458478799</v>
      </c>
      <c r="AG135" s="29">
        <v>48436.0386497863</v>
      </c>
      <c r="AH135" s="30">
        <v>6.5252596647798394E-2</v>
      </c>
      <c r="AI135" s="29">
        <v>26776.271274164999</v>
      </c>
      <c r="AJ135" s="30">
        <v>-1.65227751197577E-2</v>
      </c>
      <c r="AK135" s="29">
        <v>91525.948679568304</v>
      </c>
      <c r="AL135" s="30">
        <v>0.12967514828066201</v>
      </c>
      <c r="AM135" s="29">
        <v>66604.668661988195</v>
      </c>
      <c r="AN135" s="30">
        <v>0.174982096551455</v>
      </c>
      <c r="AO135" s="29">
        <v>47125.758962203203</v>
      </c>
      <c r="AP135" s="30">
        <v>0.108882421641026</v>
      </c>
      <c r="AQ135" s="29">
        <v>44903.804424367998</v>
      </c>
      <c r="AR135" s="30">
        <v>0.10591370411339</v>
      </c>
      <c r="AS135" s="29">
        <v>24921.280017580099</v>
      </c>
      <c r="AT135" s="30">
        <v>2.4133370361464599E-2</v>
      </c>
      <c r="AU135" s="29">
        <v>234951.31051387501</v>
      </c>
      <c r="AV135" s="30">
        <v>5.2276747368413999E-2</v>
      </c>
      <c r="AW135" s="29">
        <v>146112.88587659501</v>
      </c>
      <c r="AX135" s="30">
        <v>2.75872214122466E-2</v>
      </c>
      <c r="AY135" s="29">
        <v>88838.424637280303</v>
      </c>
      <c r="AZ135" s="30">
        <v>9.5570170445596694E-2</v>
      </c>
      <c r="BA135" s="29">
        <v>62062.153363115402</v>
      </c>
      <c r="BB135" s="30">
        <v>0.15223015758259201</v>
      </c>
      <c r="BC135" s="29">
        <v>69825.0844419481</v>
      </c>
      <c r="BD135" s="30">
        <v>7.5268112940247295E-2</v>
      </c>
      <c r="BE135" s="29"/>
      <c r="BF135" s="30"/>
    </row>
    <row r="136" spans="1:58" x14ac:dyDescent="0.2">
      <c r="A136" s="28">
        <v>2011</v>
      </c>
      <c r="B136" s="28">
        <v>1</v>
      </c>
      <c r="C136" s="29">
        <v>159594.45750254299</v>
      </c>
      <c r="D136" s="30">
        <v>2.8690529594315398E-2</v>
      </c>
      <c r="E136" s="29">
        <v>139551.003450508</v>
      </c>
      <c r="F136" s="30">
        <v>2.0387248884938799E-2</v>
      </c>
      <c r="G136" s="29">
        <v>102957.70495190501</v>
      </c>
      <c r="H136" s="30">
        <v>1.4670665517737999E-2</v>
      </c>
      <c r="I136" s="29">
        <v>84575.331946484905</v>
      </c>
      <c r="J136" s="30">
        <v>1.3767894921212101E-2</v>
      </c>
      <c r="K136" s="29">
        <v>18382.373005419799</v>
      </c>
      <c r="L136" s="30">
        <v>1.8845018162956501E-2</v>
      </c>
      <c r="M136" s="29">
        <v>36593.298498602897</v>
      </c>
      <c r="N136" s="30">
        <v>3.6822376962848201E-2</v>
      </c>
      <c r="O136" s="29">
        <v>39877.965978180102</v>
      </c>
      <c r="P136" s="30">
        <v>4.8832554320576801E-2</v>
      </c>
      <c r="Q136" s="29">
        <v>12997.4183351019</v>
      </c>
      <c r="R136" s="30">
        <v>6.7325338057915504E-2</v>
      </c>
      <c r="S136" s="29">
        <v>26880.547643078298</v>
      </c>
      <c r="T136" s="30">
        <v>4.0118758386991298E-2</v>
      </c>
      <c r="U136" s="29">
        <v>-5072.5370795731997</v>
      </c>
      <c r="V136" s="30"/>
      <c r="W136" s="29">
        <v>1787.86959999593</v>
      </c>
      <c r="X136" s="30"/>
      <c r="Y136" s="29">
        <v>20043.454052035398</v>
      </c>
      <c r="Z136" s="30"/>
      <c r="AA136" s="29">
        <v>113672.000288216</v>
      </c>
      <c r="AB136" s="30">
        <v>0.135947713368548</v>
      </c>
      <c r="AC136" s="29">
        <v>87175.037024609104</v>
      </c>
      <c r="AD136" s="30">
        <v>0.17978095829907401</v>
      </c>
      <c r="AE136" s="29">
        <v>66407.717652392195</v>
      </c>
      <c r="AF136" s="30">
        <v>0.18559379947700499</v>
      </c>
      <c r="AG136" s="29">
        <v>48528.593492821499</v>
      </c>
      <c r="AH136" s="30">
        <v>5.8783926020679701E-2</v>
      </c>
      <c r="AI136" s="29">
        <v>26496.963263606998</v>
      </c>
      <c r="AJ136" s="30">
        <v>1.22184250023172E-2</v>
      </c>
      <c r="AK136" s="29">
        <v>93628.5462361807</v>
      </c>
      <c r="AL136" s="30">
        <v>0.14618017480057599</v>
      </c>
      <c r="AM136" s="29">
        <v>69605.850991244602</v>
      </c>
      <c r="AN136" s="30">
        <v>0.18314563603929401</v>
      </c>
      <c r="AO136" s="29">
        <v>46768.358527026103</v>
      </c>
      <c r="AP136" s="30">
        <v>7.0002109398291698E-2</v>
      </c>
      <c r="AQ136" s="29">
        <v>44878.287003483703</v>
      </c>
      <c r="AR136" s="30">
        <v>7.9241543244501902E-2</v>
      </c>
      <c r="AS136" s="29">
        <v>24022.695244936102</v>
      </c>
      <c r="AT136" s="30">
        <v>5.1032519108259497E-2</v>
      </c>
      <c r="AU136" s="29">
        <v>233567.976830536</v>
      </c>
      <c r="AV136" s="30">
        <v>6.7352120182034597E-2</v>
      </c>
      <c r="AW136" s="29">
        <v>142835.67093008501</v>
      </c>
      <c r="AX136" s="30">
        <v>2.39822689536171E-2</v>
      </c>
      <c r="AY136" s="29">
        <v>90732.305900451101</v>
      </c>
      <c r="AZ136" s="30">
        <v>0.14360312292410299</v>
      </c>
      <c r="BA136" s="29">
        <v>64235.3426368441</v>
      </c>
      <c r="BB136" s="30">
        <v>0.208297491899154</v>
      </c>
      <c r="BC136" s="29">
        <v>68900.982248419794</v>
      </c>
      <c r="BD136" s="30">
        <v>6.9235974280239101E-2</v>
      </c>
      <c r="BE136" s="29"/>
      <c r="BF136" s="30"/>
    </row>
    <row r="137" spans="1:58" x14ac:dyDescent="0.2">
      <c r="A137" s="28">
        <v>2011</v>
      </c>
      <c r="B137" s="28">
        <v>2</v>
      </c>
      <c r="C137" s="29">
        <v>161873.23598254501</v>
      </c>
      <c r="D137" s="30">
        <v>2.18589221228889E-2</v>
      </c>
      <c r="E137" s="29">
        <v>144580.33246663801</v>
      </c>
      <c r="F137" s="30">
        <v>-1.2177605579079201E-2</v>
      </c>
      <c r="G137" s="29">
        <v>102426.848434292</v>
      </c>
      <c r="H137" s="30">
        <v>1.53280399366282E-2</v>
      </c>
      <c r="I137" s="29">
        <v>83897.453671309704</v>
      </c>
      <c r="J137" s="30">
        <v>1.2700968489761899E-2</v>
      </c>
      <c r="K137" s="29">
        <v>18529.394762982101</v>
      </c>
      <c r="L137" s="30">
        <v>2.7395499828297899E-2</v>
      </c>
      <c r="M137" s="29">
        <v>42153.484032346001</v>
      </c>
      <c r="N137" s="30">
        <v>-7.3185840001155397E-2</v>
      </c>
      <c r="O137" s="29">
        <v>41632.831107191101</v>
      </c>
      <c r="P137" s="30">
        <v>2.3477357344329899E-2</v>
      </c>
      <c r="Q137" s="29">
        <v>14939.7230700202</v>
      </c>
      <c r="R137" s="30">
        <v>5.5557917215262299E-2</v>
      </c>
      <c r="S137" s="29">
        <v>26693.108037170899</v>
      </c>
      <c r="T137" s="30">
        <v>6.3592278357838001E-3</v>
      </c>
      <c r="U137" s="29">
        <v>-1243.95468316248</v>
      </c>
      <c r="V137" s="30"/>
      <c r="W137" s="29">
        <v>1764.60760831734</v>
      </c>
      <c r="X137" s="30"/>
      <c r="Y137" s="29">
        <v>17292.903515907499</v>
      </c>
      <c r="Z137" s="30"/>
      <c r="AA137" s="29">
        <v>107509.127981225</v>
      </c>
      <c r="AB137" s="30">
        <v>5.82013522005429E-2</v>
      </c>
      <c r="AC137" s="29">
        <v>81323.200131614794</v>
      </c>
      <c r="AD137" s="30">
        <v>8.4679306062729498E-2</v>
      </c>
      <c r="AE137" s="29">
        <v>63876.046202960002</v>
      </c>
      <c r="AF137" s="30">
        <v>2.4383617112385899E-2</v>
      </c>
      <c r="AG137" s="29">
        <v>48863.179074696098</v>
      </c>
      <c r="AH137" s="30">
        <v>4.0740327723535398E-2</v>
      </c>
      <c r="AI137" s="29">
        <v>26185.927849610202</v>
      </c>
      <c r="AJ137" s="30">
        <v>-1.6368293407774299E-2</v>
      </c>
      <c r="AK137" s="29">
        <v>90216.2244653175</v>
      </c>
      <c r="AL137" s="30">
        <v>7.4596605551560096E-3</v>
      </c>
      <c r="AM137" s="29">
        <v>65572.5446964234</v>
      </c>
      <c r="AN137" s="30">
        <v>4.0658310291328296E-3</v>
      </c>
      <c r="AO137" s="29">
        <v>46474.808514609897</v>
      </c>
      <c r="AP137" s="30">
        <v>6.6657707093520403E-3</v>
      </c>
      <c r="AQ137" s="29">
        <v>44064.3491009875</v>
      </c>
      <c r="AR137" s="30">
        <v>-4.1907051017155998E-3</v>
      </c>
      <c r="AS137" s="29">
        <v>24643.679768894199</v>
      </c>
      <c r="AT137" s="30">
        <v>1.6602805839409901E-2</v>
      </c>
      <c r="AU137" s="29">
        <v>231825.21953558901</v>
      </c>
      <c r="AV137" s="30">
        <v>1.7387041599006899E-2</v>
      </c>
      <c r="AW137" s="29">
        <v>144059.679541483</v>
      </c>
      <c r="AX137" s="30">
        <v>1.7669805330096801E-2</v>
      </c>
      <c r="AY137" s="29">
        <v>87765.539994106395</v>
      </c>
      <c r="AZ137" s="30">
        <v>1.6923249435603301E-2</v>
      </c>
      <c r="BA137" s="29">
        <v>61579.612144496197</v>
      </c>
      <c r="BB137" s="30">
        <v>3.1772910518575802E-2</v>
      </c>
      <c r="BC137" s="29">
        <v>68708.0288698816</v>
      </c>
      <c r="BD137" s="30">
        <v>3.1687999028509098E-3</v>
      </c>
      <c r="BE137" s="29"/>
      <c r="BF137" s="30"/>
    </row>
    <row r="138" spans="1:58" x14ac:dyDescent="0.2">
      <c r="A138" s="28">
        <v>2011</v>
      </c>
      <c r="B138" s="28">
        <v>3</v>
      </c>
      <c r="C138" s="29">
        <v>160149.85257960501</v>
      </c>
      <c r="D138" s="30">
        <v>9.5560760847834807E-3</v>
      </c>
      <c r="E138" s="29">
        <v>153017.76573610501</v>
      </c>
      <c r="F138" s="30">
        <v>4.8641383714176097E-2</v>
      </c>
      <c r="G138" s="29">
        <v>102466.635480777</v>
      </c>
      <c r="H138" s="30">
        <v>7.6417045925321102E-3</v>
      </c>
      <c r="I138" s="29">
        <v>83816.881412552495</v>
      </c>
      <c r="J138" s="30">
        <v>3.6073512195729002E-3</v>
      </c>
      <c r="K138" s="29">
        <v>18649.7540682246</v>
      </c>
      <c r="L138" s="30">
        <v>2.61809667644839E-2</v>
      </c>
      <c r="M138" s="29">
        <v>50551.1302553282</v>
      </c>
      <c r="N138" s="30">
        <v>0.142903099425257</v>
      </c>
      <c r="O138" s="29">
        <v>40995.759827782298</v>
      </c>
      <c r="P138" s="30">
        <v>1.46638693089898E-2</v>
      </c>
      <c r="Q138" s="29">
        <v>15205.5598684243</v>
      </c>
      <c r="R138" s="30">
        <v>4.3792197098031498E-2</v>
      </c>
      <c r="S138" s="29">
        <v>25790.199959358</v>
      </c>
      <c r="T138" s="30">
        <v>-1.7603237300971601E-3</v>
      </c>
      <c r="U138" s="29">
        <v>4579.9445232305698</v>
      </c>
      <c r="V138" s="30"/>
      <c r="W138" s="29">
        <v>4975.4259043152597</v>
      </c>
      <c r="X138" s="30"/>
      <c r="Y138" s="29">
        <v>7132.0868434998702</v>
      </c>
      <c r="Z138" s="30"/>
      <c r="AA138" s="29">
        <v>100680.798239134</v>
      </c>
      <c r="AB138" s="30">
        <v>1.8988894831029501E-2</v>
      </c>
      <c r="AC138" s="29">
        <v>74392.644478475006</v>
      </c>
      <c r="AD138" s="30">
        <v>3.9232005677124301E-2</v>
      </c>
      <c r="AE138" s="29">
        <v>55209.0692985719</v>
      </c>
      <c r="AF138" s="30">
        <v>-2.28609054134985E-2</v>
      </c>
      <c r="AG138" s="29">
        <v>45545.282431078202</v>
      </c>
      <c r="AH138" s="30">
        <v>-1.42401647582036E-2</v>
      </c>
      <c r="AI138" s="29">
        <v>26288.153760658999</v>
      </c>
      <c r="AJ138" s="30">
        <v>-3.4246553658165001E-2</v>
      </c>
      <c r="AK138" s="29">
        <v>93548.711395634105</v>
      </c>
      <c r="AL138" s="30">
        <v>8.6629854794819203E-2</v>
      </c>
      <c r="AM138" s="29">
        <v>69091.802215521893</v>
      </c>
      <c r="AN138" s="30">
        <v>0.121499969936851</v>
      </c>
      <c r="AO138" s="29">
        <v>44672.236038579402</v>
      </c>
      <c r="AP138" s="30">
        <v>-1.7340784180897E-3</v>
      </c>
      <c r="AQ138" s="29">
        <v>42435.603679991298</v>
      </c>
      <c r="AR138" s="30">
        <v>-8.1821567446648293E-3</v>
      </c>
      <c r="AS138" s="29">
        <v>24456.9091801123</v>
      </c>
      <c r="AT138" s="30">
        <v>-1.10996647963135E-3</v>
      </c>
      <c r="AU138" s="29">
        <v>222462.420916478</v>
      </c>
      <c r="AV138" s="30">
        <v>-7.8356437370907805E-3</v>
      </c>
      <c r="AW138" s="29">
        <v>143462.395308559</v>
      </c>
      <c r="AX138" s="30">
        <v>9.6384171351156008E-3</v>
      </c>
      <c r="AY138" s="29">
        <v>79000.025607918695</v>
      </c>
      <c r="AZ138" s="30">
        <v>-3.8068755797494698E-2</v>
      </c>
      <c r="BA138" s="29">
        <v>52711.871847259703</v>
      </c>
      <c r="BB138" s="30">
        <v>-3.9963657586942897E-2</v>
      </c>
      <c r="BC138" s="29">
        <v>66892.512860103598</v>
      </c>
      <c r="BD138" s="30">
        <v>-5.6081013218445301E-3</v>
      </c>
      <c r="BE138" s="29"/>
      <c r="BF138" s="30"/>
    </row>
    <row r="139" spans="1:58" x14ac:dyDescent="0.2">
      <c r="A139" s="28">
        <v>2011</v>
      </c>
      <c r="B139" s="28">
        <v>4</v>
      </c>
      <c r="C139" s="29">
        <v>164194.71197013301</v>
      </c>
      <c r="D139" s="30">
        <v>1.28361344629147E-3</v>
      </c>
      <c r="E139" s="29">
        <v>161155.29193293999</v>
      </c>
      <c r="F139" s="30">
        <v>0.10004753043202599</v>
      </c>
      <c r="G139" s="29">
        <v>104820.139076914</v>
      </c>
      <c r="H139" s="30">
        <v>9.5419380704593292E-3</v>
      </c>
      <c r="I139" s="29">
        <v>86104.799611540293</v>
      </c>
      <c r="J139" s="30">
        <v>7.2298210458676699E-3</v>
      </c>
      <c r="K139" s="29">
        <v>18715.339465373501</v>
      </c>
      <c r="L139" s="30">
        <v>2.0317657878124101E-2</v>
      </c>
      <c r="M139" s="29">
        <v>56335.1528560265</v>
      </c>
      <c r="N139" s="30">
        <v>0.32028060894188498</v>
      </c>
      <c r="O139" s="29">
        <v>42901.548642894602</v>
      </c>
      <c r="P139" s="30">
        <v>1.46172471998292E-2</v>
      </c>
      <c r="Q139" s="29">
        <v>15838.185560296501</v>
      </c>
      <c r="R139" s="30">
        <v>3.08047768600355E-2</v>
      </c>
      <c r="S139" s="29">
        <v>27063.363082598102</v>
      </c>
      <c r="T139" s="30">
        <v>5.3775655615242402E-3</v>
      </c>
      <c r="U139" s="29">
        <v>4819.5792315361596</v>
      </c>
      <c r="V139" s="30"/>
      <c r="W139" s="29">
        <v>8614.0249815957504</v>
      </c>
      <c r="X139" s="30"/>
      <c r="Y139" s="29">
        <v>3039.4200371931802</v>
      </c>
      <c r="Z139" s="30"/>
      <c r="AA139" s="29">
        <v>105677.619505011</v>
      </c>
      <c r="AB139" s="30">
        <v>-3.0584501030342201E-2</v>
      </c>
      <c r="AC139" s="29">
        <v>78595.698319546893</v>
      </c>
      <c r="AD139" s="30">
        <v>-4.42597380297481E-2</v>
      </c>
      <c r="AE139" s="29">
        <v>57736.7914763218</v>
      </c>
      <c r="AF139" s="30">
        <v>-9.3957606298419802E-2</v>
      </c>
      <c r="AG139" s="29">
        <v>48889.276901404301</v>
      </c>
      <c r="AH139" s="30">
        <v>9.3574591203686702E-3</v>
      </c>
      <c r="AI139" s="29">
        <v>27081.9211854639</v>
      </c>
      <c r="AJ139" s="30">
        <v>1.14149542394975E-2</v>
      </c>
      <c r="AK139" s="29">
        <v>102638.19946781801</v>
      </c>
      <c r="AL139" s="30">
        <v>0.12141093262145</v>
      </c>
      <c r="AM139" s="29">
        <v>75854.970037952007</v>
      </c>
      <c r="AN139" s="30">
        <v>0.138883678303515</v>
      </c>
      <c r="AO139" s="29">
        <v>46651.749971827099</v>
      </c>
      <c r="AP139" s="30">
        <v>-1.00583842215957E-2</v>
      </c>
      <c r="AQ139" s="29">
        <v>44161.072598455103</v>
      </c>
      <c r="AR139" s="30">
        <v>-1.6540509995402401E-2</v>
      </c>
      <c r="AS139" s="29">
        <v>26783.2294298657</v>
      </c>
      <c r="AT139" s="30">
        <v>7.4713233468429105E-2</v>
      </c>
      <c r="AU139" s="29">
        <v>230319.43476691801</v>
      </c>
      <c r="AV139" s="30">
        <v>-1.9714194131653699E-2</v>
      </c>
      <c r="AW139" s="29">
        <v>147721.68771980799</v>
      </c>
      <c r="AX139" s="30">
        <v>1.10106773510203E-2</v>
      </c>
      <c r="AY139" s="29">
        <v>82597.747047109704</v>
      </c>
      <c r="AZ139" s="30">
        <v>-7.0247504001233294E-2</v>
      </c>
      <c r="BA139" s="29">
        <v>55515.825861645797</v>
      </c>
      <c r="BB139" s="30">
        <v>-0.10548018634107199</v>
      </c>
      <c r="BC139" s="29">
        <v>70944.302028320802</v>
      </c>
      <c r="BD139" s="30">
        <v>1.6028875515406101E-2</v>
      </c>
      <c r="BE139" s="29"/>
      <c r="BF139" s="30"/>
    </row>
    <row r="140" spans="1:58" x14ac:dyDescent="0.2">
      <c r="A140" s="28">
        <v>2012</v>
      </c>
      <c r="B140" s="28">
        <v>1</v>
      </c>
      <c r="C140" s="29">
        <v>161049.09992459501</v>
      </c>
      <c r="D140" s="30">
        <v>9.1146174172667092E-3</v>
      </c>
      <c r="E140" s="29">
        <v>148005.463172522</v>
      </c>
      <c r="F140" s="30">
        <v>6.05832958056318E-2</v>
      </c>
      <c r="G140" s="29">
        <v>104454.273337828</v>
      </c>
      <c r="H140" s="30">
        <v>1.4535758995622801E-2</v>
      </c>
      <c r="I140" s="29">
        <v>85755.736369118895</v>
      </c>
      <c r="J140" s="30">
        <v>1.39568405522894E-2</v>
      </c>
      <c r="K140" s="29">
        <v>18698.536968709101</v>
      </c>
      <c r="L140" s="30">
        <v>1.7199300829989099E-2</v>
      </c>
      <c r="M140" s="29">
        <v>43551.1898346944</v>
      </c>
      <c r="N140" s="30">
        <v>0.19014113571525099</v>
      </c>
      <c r="O140" s="29">
        <v>40744.048985149297</v>
      </c>
      <c r="P140" s="30">
        <v>2.1718334567091001E-2</v>
      </c>
      <c r="Q140" s="29">
        <v>13256.521960316601</v>
      </c>
      <c r="R140" s="30">
        <v>1.9935006978652602E-2</v>
      </c>
      <c r="S140" s="29">
        <v>27487.5270248327</v>
      </c>
      <c r="T140" s="30">
        <v>2.25806181411916E-2</v>
      </c>
      <c r="U140" s="29">
        <v>-143.185431845544</v>
      </c>
      <c r="V140" s="30"/>
      <c r="W140" s="29">
        <v>2950.3262813906299</v>
      </c>
      <c r="X140" s="30"/>
      <c r="Y140" s="29">
        <v>13043.6367520725</v>
      </c>
      <c r="Z140" s="30"/>
      <c r="AA140" s="29">
        <v>107851.250087384</v>
      </c>
      <c r="AB140" s="30">
        <v>-5.1206543265479999E-2</v>
      </c>
      <c r="AC140" s="29">
        <v>80159.652878337598</v>
      </c>
      <c r="AD140" s="30">
        <v>-8.0474690756839398E-2</v>
      </c>
      <c r="AE140" s="29">
        <v>60770.642724213103</v>
      </c>
      <c r="AF140" s="30">
        <v>-8.4885840493511999E-2</v>
      </c>
      <c r="AG140" s="29">
        <v>48683.959231513603</v>
      </c>
      <c r="AH140" s="30">
        <v>3.2015298097405301E-3</v>
      </c>
      <c r="AI140" s="29">
        <v>27691.5972090463</v>
      </c>
      <c r="AJ140" s="30">
        <v>4.50856927850318E-2</v>
      </c>
      <c r="AK140" s="29">
        <v>94807.613335311398</v>
      </c>
      <c r="AL140" s="30">
        <v>1.25930300803403E-2</v>
      </c>
      <c r="AM140" s="29">
        <v>69823.963412082798</v>
      </c>
      <c r="AN140" s="30">
        <v>3.1335357262649599E-3</v>
      </c>
      <c r="AO140" s="29">
        <v>47316.897910595901</v>
      </c>
      <c r="AP140" s="30">
        <v>1.1728856877728301E-2</v>
      </c>
      <c r="AQ140" s="29">
        <v>45458.482927436999</v>
      </c>
      <c r="AR140" s="30">
        <v>1.29282101143535E-2</v>
      </c>
      <c r="AS140" s="29">
        <v>24983.649923228699</v>
      </c>
      <c r="AT140" s="30">
        <v>4.0001951009023297E-2</v>
      </c>
      <c r="AU140" s="29">
        <v>231634.41820710601</v>
      </c>
      <c r="AV140" s="30">
        <v>-8.2783549768584708E-3</v>
      </c>
      <c r="AW140" s="29">
        <v>145198.32232297701</v>
      </c>
      <c r="AX140" s="30">
        <v>1.6541045927168901E-2</v>
      </c>
      <c r="AY140" s="29">
        <v>86436.095884128794</v>
      </c>
      <c r="AZ140" s="30">
        <v>-4.7350389408553399E-2</v>
      </c>
      <c r="BA140" s="29">
        <v>58744.498675082497</v>
      </c>
      <c r="BB140" s="30">
        <v>-8.5480106999727606E-2</v>
      </c>
      <c r="BC140" s="29">
        <v>70442.132850665701</v>
      </c>
      <c r="BD140" s="30">
        <v>2.2367614393207901E-2</v>
      </c>
      <c r="BE140" s="29"/>
      <c r="BF140" s="30"/>
    </row>
    <row r="141" spans="1:58" x14ac:dyDescent="0.2">
      <c r="A141" s="28">
        <v>2012</v>
      </c>
      <c r="B141" s="28">
        <v>2</v>
      </c>
      <c r="C141" s="29">
        <v>162852.00941157801</v>
      </c>
      <c r="D141" s="30">
        <v>6.0465426732942999E-3</v>
      </c>
      <c r="E141" s="29">
        <v>147327.16573202799</v>
      </c>
      <c r="F141" s="30">
        <v>1.8998664745939298E-2</v>
      </c>
      <c r="G141" s="29">
        <v>103594.846261589</v>
      </c>
      <c r="H141" s="30">
        <v>1.14032389471257E-2</v>
      </c>
      <c r="I141" s="29">
        <v>84836.145624872705</v>
      </c>
      <c r="J141" s="30">
        <v>1.11885630908486E-2</v>
      </c>
      <c r="K141" s="29">
        <v>18758.700636716301</v>
      </c>
      <c r="L141" s="30">
        <v>1.2375248985053299E-2</v>
      </c>
      <c r="M141" s="29">
        <v>43732.319470438801</v>
      </c>
      <c r="N141" s="30">
        <v>3.74544471076537E-2</v>
      </c>
      <c r="O141" s="29">
        <v>42773.9625269471</v>
      </c>
      <c r="P141" s="30">
        <v>2.7409411981085301E-2</v>
      </c>
      <c r="Q141" s="29">
        <v>15418.166198877299</v>
      </c>
      <c r="R141" s="30">
        <v>3.2024899431850599E-2</v>
      </c>
      <c r="S141" s="29">
        <v>27355.7963280697</v>
      </c>
      <c r="T141" s="30">
        <v>2.4826194460983601E-2</v>
      </c>
      <c r="U141" s="29">
        <v>86.688894415274305</v>
      </c>
      <c r="V141" s="30"/>
      <c r="W141" s="29">
        <v>871.66804907645599</v>
      </c>
      <c r="X141" s="30"/>
      <c r="Y141" s="29">
        <v>15524.8436795501</v>
      </c>
      <c r="Z141" s="30"/>
      <c r="AA141" s="29">
        <v>107341.48074951999</v>
      </c>
      <c r="AB141" s="30">
        <v>-1.55937672319306E-3</v>
      </c>
      <c r="AC141" s="29">
        <v>78917.956014046795</v>
      </c>
      <c r="AD141" s="30">
        <v>-2.9576358452143899E-2</v>
      </c>
      <c r="AE141" s="29">
        <v>61393.060971185398</v>
      </c>
      <c r="AF141" s="30">
        <v>-3.88719305494446E-2</v>
      </c>
      <c r="AG141" s="29">
        <v>48269.0788666812</v>
      </c>
      <c r="AH141" s="30">
        <v>-1.21584436228906E-2</v>
      </c>
      <c r="AI141" s="29">
        <v>28423.5247354735</v>
      </c>
      <c r="AJ141" s="30">
        <v>8.5450357104557506E-2</v>
      </c>
      <c r="AK141" s="29">
        <v>91816.637069970195</v>
      </c>
      <c r="AL141" s="30">
        <v>1.7739742647597999E-2</v>
      </c>
      <c r="AM141" s="29">
        <v>65422.082269236198</v>
      </c>
      <c r="AN141" s="30">
        <v>-2.2945949083377202E-3</v>
      </c>
      <c r="AO141" s="29">
        <v>46188.237093959702</v>
      </c>
      <c r="AP141" s="30">
        <v>-6.1661667860365404E-3</v>
      </c>
      <c r="AQ141" s="29">
        <v>44540.869745964701</v>
      </c>
      <c r="AR141" s="30">
        <v>1.0814199113327301E-2</v>
      </c>
      <c r="AS141" s="29">
        <v>26394.554800734</v>
      </c>
      <c r="AT141" s="30">
        <v>7.1047629585327496E-2</v>
      </c>
      <c r="AU141" s="29">
        <v>233700.74506386099</v>
      </c>
      <c r="AV141" s="30">
        <v>8.09025666849017E-3</v>
      </c>
      <c r="AW141" s="29">
        <v>146368.808788536</v>
      </c>
      <c r="AX141" s="30">
        <v>1.6028976701897301E-2</v>
      </c>
      <c r="AY141" s="29">
        <v>87331.936275325206</v>
      </c>
      <c r="AZ141" s="30">
        <v>-4.9404779918211803E-3</v>
      </c>
      <c r="BA141" s="29">
        <v>58908.411539851702</v>
      </c>
      <c r="BB141" s="30">
        <v>-4.3378003069856799E-2</v>
      </c>
      <c r="BC141" s="29">
        <v>70935.424546698705</v>
      </c>
      <c r="BD141" s="30">
        <v>3.2418273576662701E-2</v>
      </c>
      <c r="BE141" s="29"/>
      <c r="BF141" s="30"/>
    </row>
    <row r="142" spans="1:58" x14ac:dyDescent="0.2">
      <c r="A142" s="28">
        <v>2012</v>
      </c>
      <c r="B142" s="28">
        <v>3</v>
      </c>
      <c r="C142" s="29">
        <v>163082.65734558701</v>
      </c>
      <c r="D142" s="30">
        <v>1.8312878337020101E-2</v>
      </c>
      <c r="E142" s="29">
        <v>149165.705872227</v>
      </c>
      <c r="F142" s="30">
        <v>-2.5173938760294699E-2</v>
      </c>
      <c r="G142" s="29">
        <v>103968.72162662</v>
      </c>
      <c r="H142" s="30">
        <v>1.46592706864521E-2</v>
      </c>
      <c r="I142" s="29">
        <v>85105.257513377306</v>
      </c>
      <c r="J142" s="30">
        <v>1.53713199430949E-2</v>
      </c>
      <c r="K142" s="29">
        <v>18863.464113242499</v>
      </c>
      <c r="L142" s="30">
        <v>1.1459134755136701E-2</v>
      </c>
      <c r="M142" s="29">
        <v>45196.9842456076</v>
      </c>
      <c r="N142" s="30">
        <v>-0.105915455948806</v>
      </c>
      <c r="O142" s="29">
        <v>42593.7297034453</v>
      </c>
      <c r="P142" s="30">
        <v>3.89789061692178E-2</v>
      </c>
      <c r="Q142" s="29">
        <v>15748.5327273531</v>
      </c>
      <c r="R142" s="30">
        <v>3.5708837006149803E-2</v>
      </c>
      <c r="S142" s="29">
        <v>26845.196976092098</v>
      </c>
      <c r="T142" s="30">
        <v>4.0906895580361799E-2</v>
      </c>
      <c r="U142" s="29">
        <v>1414.6961037031699</v>
      </c>
      <c r="V142" s="30"/>
      <c r="W142" s="29">
        <v>1188.5584384592401</v>
      </c>
      <c r="X142" s="30"/>
      <c r="Y142" s="29">
        <v>13916.951473359701</v>
      </c>
      <c r="Z142" s="30"/>
      <c r="AA142" s="29">
        <v>113426.750839168</v>
      </c>
      <c r="AB142" s="30">
        <v>0.126597651418699</v>
      </c>
      <c r="AC142" s="29">
        <v>83542.796035829902</v>
      </c>
      <c r="AD142" s="30">
        <v>0.12299806817598</v>
      </c>
      <c r="AE142" s="29">
        <v>59072.177421300701</v>
      </c>
      <c r="AF142" s="30">
        <v>6.9972346424407098E-2</v>
      </c>
      <c r="AG142" s="29">
        <v>47805.434672095602</v>
      </c>
      <c r="AH142" s="30">
        <v>4.9624288628301802E-2</v>
      </c>
      <c r="AI142" s="29">
        <v>29883.954803338402</v>
      </c>
      <c r="AJ142" s="30">
        <v>0.13678408439852399</v>
      </c>
      <c r="AK142" s="29">
        <v>99509.799365808605</v>
      </c>
      <c r="AL142" s="30">
        <v>6.3721753953017504E-2</v>
      </c>
      <c r="AM142" s="29">
        <v>72067.059266903801</v>
      </c>
      <c r="AN142" s="30">
        <v>4.30623743479885E-2</v>
      </c>
      <c r="AO142" s="29">
        <v>46261.303059491504</v>
      </c>
      <c r="AP142" s="30">
        <v>3.5571691990967401E-2</v>
      </c>
      <c r="AQ142" s="29">
        <v>44322.8110030065</v>
      </c>
      <c r="AR142" s="30">
        <v>4.4472262896191099E-2</v>
      </c>
      <c r="AS142" s="29">
        <v>27442.740098904698</v>
      </c>
      <c r="AT142" s="30">
        <v>0.122085374599193</v>
      </c>
      <c r="AU142" s="29">
        <v>233433.51234379501</v>
      </c>
      <c r="AV142" s="30">
        <v>4.9316605393933302E-2</v>
      </c>
      <c r="AW142" s="29">
        <v>146562.451330065</v>
      </c>
      <c r="AX142" s="30">
        <v>2.16088405246408E-2</v>
      </c>
      <c r="AY142" s="29">
        <v>86871.061013730097</v>
      </c>
      <c r="AZ142" s="30">
        <v>9.9633327271003297E-2</v>
      </c>
      <c r="BA142" s="29">
        <v>56987.106210391801</v>
      </c>
      <c r="BB142" s="30">
        <v>8.1105720842548301E-2</v>
      </c>
      <c r="BC142" s="29">
        <v>71765.551101911202</v>
      </c>
      <c r="BD142" s="30">
        <v>7.2848784317594506E-2</v>
      </c>
      <c r="BE142" s="29"/>
      <c r="BF142" s="30"/>
    </row>
    <row r="143" spans="1:58" x14ac:dyDescent="0.2">
      <c r="A143" s="28">
        <v>2012</v>
      </c>
      <c r="B143" s="28">
        <v>4</v>
      </c>
      <c r="C143" s="29">
        <v>167409.85727373799</v>
      </c>
      <c r="D143" s="30">
        <v>1.95812962855333E-2</v>
      </c>
      <c r="E143" s="29">
        <v>151050.90431357501</v>
      </c>
      <c r="F143" s="30">
        <v>-6.2699694798542399E-2</v>
      </c>
      <c r="G143" s="29">
        <v>106170.956433535</v>
      </c>
      <c r="H143" s="30">
        <v>1.28870021402123E-2</v>
      </c>
      <c r="I143" s="29">
        <v>87221.410764173299</v>
      </c>
      <c r="J143" s="30">
        <v>1.29680477472871E-2</v>
      </c>
      <c r="K143" s="29">
        <v>18949.545669362</v>
      </c>
      <c r="L143" s="30">
        <v>1.2514130690593799E-2</v>
      </c>
      <c r="M143" s="29">
        <v>44879.947880039603</v>
      </c>
      <c r="N143" s="30">
        <v>-0.20334026616138801</v>
      </c>
      <c r="O143" s="29">
        <v>45038.552911341503</v>
      </c>
      <c r="P143" s="30">
        <v>4.9811821159067203E-2</v>
      </c>
      <c r="Q143" s="29">
        <v>16520.161179293402</v>
      </c>
      <c r="R143" s="30">
        <v>4.30589486655946E-2</v>
      </c>
      <c r="S143" s="29">
        <v>28518.391732048</v>
      </c>
      <c r="T143" s="30">
        <v>5.3763778175281801E-2</v>
      </c>
      <c r="U143" s="29">
        <v>1561.6308430583999</v>
      </c>
      <c r="V143" s="30"/>
      <c r="W143" s="29">
        <v>-1720.2358743602499</v>
      </c>
      <c r="X143" s="30"/>
      <c r="Y143" s="29">
        <v>16358.9529601635</v>
      </c>
      <c r="Z143" s="30"/>
      <c r="AA143" s="29">
        <v>112632.055690404</v>
      </c>
      <c r="AB143" s="30">
        <v>6.5808032182850501E-2</v>
      </c>
      <c r="AC143" s="29">
        <v>81394.330364409907</v>
      </c>
      <c r="AD143" s="30">
        <v>3.5607954438989099E-2</v>
      </c>
      <c r="AE143" s="29">
        <v>61628.176434925001</v>
      </c>
      <c r="AF143" s="30">
        <v>6.7398704692467795E-2</v>
      </c>
      <c r="AG143" s="29">
        <v>49270.615761069799</v>
      </c>
      <c r="AH143" s="30">
        <v>7.80005113257487E-3</v>
      </c>
      <c r="AI143" s="29">
        <v>31237.725325993801</v>
      </c>
      <c r="AJ143" s="30">
        <v>0.153453077131043</v>
      </c>
      <c r="AK143" s="29">
        <v>96273.102730240105</v>
      </c>
      <c r="AL143" s="30">
        <v>-6.2014890855264203E-2</v>
      </c>
      <c r="AM143" s="29">
        <v>66331.712611672396</v>
      </c>
      <c r="AN143" s="30">
        <v>-0.12554559604354101</v>
      </c>
      <c r="AO143" s="29">
        <v>46866.905434943503</v>
      </c>
      <c r="AP143" s="30">
        <v>4.6119483887818698E-3</v>
      </c>
      <c r="AQ143" s="29">
        <v>45023.456634920898</v>
      </c>
      <c r="AR143" s="30">
        <v>1.95281496966178E-2</v>
      </c>
      <c r="AS143" s="29">
        <v>29941.390118567699</v>
      </c>
      <c r="AT143" s="30">
        <v>0.11791560450064401</v>
      </c>
      <c r="AU143" s="29">
        <v>240813.07318416901</v>
      </c>
      <c r="AV143" s="30">
        <v>4.5561237278435099E-2</v>
      </c>
      <c r="AW143" s="29">
        <v>151209.50934487701</v>
      </c>
      <c r="AX143" s="30">
        <v>2.3610762095298998E-2</v>
      </c>
      <c r="AY143" s="29">
        <v>89603.563839291906</v>
      </c>
      <c r="AZ143" s="30">
        <v>8.4818497388148298E-2</v>
      </c>
      <c r="BA143" s="29">
        <v>58365.8385132982</v>
      </c>
      <c r="BB143" s="30">
        <v>5.1336940546558199E-2</v>
      </c>
      <c r="BC143" s="29">
        <v>74964.846753488702</v>
      </c>
      <c r="BD143" s="30">
        <v>5.6671848340447403E-2</v>
      </c>
      <c r="BE143" s="29"/>
      <c r="BF143" s="30"/>
    </row>
    <row r="144" spans="1:58" x14ac:dyDescent="0.2">
      <c r="A144" s="28">
        <v>2013</v>
      </c>
      <c r="B144" s="28">
        <v>1</v>
      </c>
      <c r="C144" s="29">
        <v>162562.98520024499</v>
      </c>
      <c r="D144" s="30">
        <v>9.4001473858538204E-3</v>
      </c>
      <c r="E144" s="29">
        <v>150343.24269749399</v>
      </c>
      <c r="F144" s="30">
        <v>1.5795224546858899E-2</v>
      </c>
      <c r="G144" s="29">
        <v>105776.66154542701</v>
      </c>
      <c r="H144" s="30">
        <v>1.26599723050334E-2</v>
      </c>
      <c r="I144" s="29">
        <v>86760.968089211601</v>
      </c>
      <c r="J144" s="30">
        <v>1.1722034730900201E-2</v>
      </c>
      <c r="K144" s="29">
        <v>19015.6934562157</v>
      </c>
      <c r="L144" s="30">
        <v>1.6961566995176799E-2</v>
      </c>
      <c r="M144" s="29">
        <v>44566.581152066901</v>
      </c>
      <c r="N144" s="30">
        <v>2.33148926866662E-2</v>
      </c>
      <c r="O144" s="29">
        <v>41326.477054986302</v>
      </c>
      <c r="P144" s="30">
        <v>1.4294800942569E-2</v>
      </c>
      <c r="Q144" s="29">
        <v>13817.1425749994</v>
      </c>
      <c r="R144" s="30">
        <v>4.2290173573503301E-2</v>
      </c>
      <c r="S144" s="29">
        <v>27509.334479986999</v>
      </c>
      <c r="T144" s="30">
        <v>7.9335820696235803E-4</v>
      </c>
      <c r="U144" s="29">
        <v>1637.3257433292999</v>
      </c>
      <c r="V144" s="30"/>
      <c r="W144" s="29">
        <v>1602.7783537513001</v>
      </c>
      <c r="X144" s="30"/>
      <c r="Y144" s="29">
        <v>12219.7425027509</v>
      </c>
      <c r="Z144" s="30"/>
      <c r="AA144" s="29">
        <v>112354.77638341</v>
      </c>
      <c r="AB144" s="30">
        <v>4.1756829822343397E-2</v>
      </c>
      <c r="AC144" s="29">
        <v>84488.322685450999</v>
      </c>
      <c r="AD144" s="30">
        <v>5.4000605687293299E-2</v>
      </c>
      <c r="AE144" s="29">
        <v>58497.179659759997</v>
      </c>
      <c r="AF144" s="30">
        <v>-3.7410548293365799E-2</v>
      </c>
      <c r="AG144" s="29">
        <v>46919.708331239999</v>
      </c>
      <c r="AH144" s="30">
        <v>-3.6238854195974099E-2</v>
      </c>
      <c r="AI144" s="29">
        <v>27866.453697958801</v>
      </c>
      <c r="AJ144" s="30">
        <v>6.3144241046286798E-3</v>
      </c>
      <c r="AK144" s="29">
        <v>100135.033880659</v>
      </c>
      <c r="AL144" s="30">
        <v>5.6191906513938003E-2</v>
      </c>
      <c r="AM144" s="29">
        <v>74104.790870807803</v>
      </c>
      <c r="AN144" s="30">
        <v>6.1308858012839598E-2</v>
      </c>
      <c r="AO144" s="29">
        <v>46108.738605099199</v>
      </c>
      <c r="AP144" s="30">
        <v>-2.5533358247184501E-2</v>
      </c>
      <c r="AQ144" s="29">
        <v>43982.859832814203</v>
      </c>
      <c r="AR144" s="30">
        <v>-3.2460896175929503E-2</v>
      </c>
      <c r="AS144" s="29">
        <v>26030.243009851001</v>
      </c>
      <c r="AT144" s="30">
        <v>4.1891120386266897E-2</v>
      </c>
      <c r="AU144" s="29">
        <v>230938.76229958099</v>
      </c>
      <c r="AV144" s="30">
        <v>-3.0032493137659398E-3</v>
      </c>
      <c r="AW144" s="29">
        <v>147103.13860041401</v>
      </c>
      <c r="AX144" s="30">
        <v>1.31187209808061E-2</v>
      </c>
      <c r="AY144" s="29">
        <v>83835.623699167496</v>
      </c>
      <c r="AZ144" s="30">
        <v>-3.0085488688051901E-2</v>
      </c>
      <c r="BA144" s="29">
        <v>55969.170001208702</v>
      </c>
      <c r="BB144" s="30">
        <v>-4.72440609158013E-2</v>
      </c>
      <c r="BC144" s="29">
        <v>70013.102842665205</v>
      </c>
      <c r="BD144" s="30">
        <v>-6.0905312011209096E-3</v>
      </c>
      <c r="BE144" s="29"/>
      <c r="BF144" s="30"/>
    </row>
    <row r="145" spans="1:58" x14ac:dyDescent="0.2">
      <c r="A145" s="28">
        <v>2013</v>
      </c>
      <c r="B145" s="28">
        <v>2</v>
      </c>
      <c r="C145" s="29">
        <v>166526.41382985801</v>
      </c>
      <c r="D145" s="30">
        <v>2.25628435998819E-2</v>
      </c>
      <c r="E145" s="29">
        <v>142891.32682995201</v>
      </c>
      <c r="F145" s="30">
        <v>-3.0108764259700702E-2</v>
      </c>
      <c r="G145" s="29">
        <v>105578.413327763</v>
      </c>
      <c r="H145" s="30">
        <v>1.9147352766619899E-2</v>
      </c>
      <c r="I145" s="29">
        <v>86469.882945002901</v>
      </c>
      <c r="J145" s="30">
        <v>1.9257561834011599E-2</v>
      </c>
      <c r="K145" s="29">
        <v>19108.530382760498</v>
      </c>
      <c r="L145" s="30">
        <v>1.86489327176254E-2</v>
      </c>
      <c r="M145" s="29">
        <v>37312.913502188901</v>
      </c>
      <c r="N145" s="30">
        <v>-0.14678860042146</v>
      </c>
      <c r="O145" s="29">
        <v>43934.4169503093</v>
      </c>
      <c r="P145" s="30">
        <v>2.7129925655850401E-2</v>
      </c>
      <c r="Q145" s="29">
        <v>15978.6432628739</v>
      </c>
      <c r="R145" s="30">
        <v>3.6351733193626903E-2</v>
      </c>
      <c r="S145" s="29">
        <v>27955.7736874353</v>
      </c>
      <c r="T145" s="30">
        <v>2.1932366807029501E-2</v>
      </c>
      <c r="U145" s="29">
        <v>3536.23666054965</v>
      </c>
      <c r="V145" s="30"/>
      <c r="W145" s="29">
        <v>-10157.740108669999</v>
      </c>
      <c r="X145" s="30"/>
      <c r="Y145" s="29">
        <v>23635.086999905499</v>
      </c>
      <c r="Z145" s="30"/>
      <c r="AA145" s="29">
        <v>133398.35221629101</v>
      </c>
      <c r="AB145" s="30">
        <v>0.242747456852902</v>
      </c>
      <c r="AC145" s="29">
        <v>104167.723519675</v>
      </c>
      <c r="AD145" s="30">
        <v>0.31994958791297601</v>
      </c>
      <c r="AE145" s="29">
        <v>61123.272244341999</v>
      </c>
      <c r="AF145" s="30">
        <v>-4.3944498380700204E-3</v>
      </c>
      <c r="AG145" s="29">
        <v>49387.340489859002</v>
      </c>
      <c r="AH145" s="30">
        <v>2.31672459767975E-2</v>
      </c>
      <c r="AI145" s="29">
        <v>29230.6286966158</v>
      </c>
      <c r="AJ145" s="30">
        <v>2.8395632443676301E-2</v>
      </c>
      <c r="AK145" s="29">
        <v>109763.265216386</v>
      </c>
      <c r="AL145" s="30">
        <v>0.19546161479143401</v>
      </c>
      <c r="AM145" s="29">
        <v>81835.819485553002</v>
      </c>
      <c r="AN145" s="30">
        <v>0.25088986236739003</v>
      </c>
      <c r="AO145" s="29">
        <v>47455.332973556899</v>
      </c>
      <c r="AP145" s="30">
        <v>2.74333024882405E-2</v>
      </c>
      <c r="AQ145" s="29">
        <v>45543.679341350602</v>
      </c>
      <c r="AR145" s="30">
        <v>2.25143694118548E-2</v>
      </c>
      <c r="AS145" s="29">
        <v>27927.445730832598</v>
      </c>
      <c r="AT145" s="30">
        <v>5.80760290018612E-2</v>
      </c>
      <c r="AU145" s="29">
        <v>236461.302241492</v>
      </c>
      <c r="AV145" s="30">
        <v>1.18123593353363E-2</v>
      </c>
      <c r="AW145" s="29">
        <v>149512.830278073</v>
      </c>
      <c r="AX145" s="30">
        <v>2.14801330663206E-2</v>
      </c>
      <c r="AY145" s="29">
        <v>86948.471963418793</v>
      </c>
      <c r="AZ145" s="30">
        <v>-4.3908829720379298E-3</v>
      </c>
      <c r="BA145" s="29">
        <v>57717.843266803</v>
      </c>
      <c r="BB145" s="30">
        <v>-2.02104969719521E-2</v>
      </c>
      <c r="BC145" s="29">
        <v>73471.125072183306</v>
      </c>
      <c r="BD145" s="30">
        <v>3.5746603924464701E-2</v>
      </c>
      <c r="BE145" s="29"/>
      <c r="BF145" s="30"/>
    </row>
    <row r="146" spans="1:58" x14ac:dyDescent="0.2">
      <c r="A146" s="28">
        <v>2013</v>
      </c>
      <c r="B146" s="28">
        <v>3</v>
      </c>
      <c r="C146" s="29">
        <v>166468.15152563399</v>
      </c>
      <c r="D146" s="30">
        <v>2.0759375859766199E-2</v>
      </c>
      <c r="E146" s="29">
        <v>149111.937795445</v>
      </c>
      <c r="F146" s="30">
        <v>-3.6045870240908302E-4</v>
      </c>
      <c r="G146" s="29">
        <v>106433.01514758699</v>
      </c>
      <c r="H146" s="30">
        <v>2.3702258548654199E-2</v>
      </c>
      <c r="I146" s="29">
        <v>87091.831481441201</v>
      </c>
      <c r="J146" s="30">
        <v>2.3342552811754302E-2</v>
      </c>
      <c r="K146" s="29">
        <v>19341.1836661458</v>
      </c>
      <c r="L146" s="30">
        <v>2.5325123213602301E-2</v>
      </c>
      <c r="M146" s="29">
        <v>42678.922647857798</v>
      </c>
      <c r="N146" s="30">
        <v>-5.5713044570989599E-2</v>
      </c>
      <c r="O146" s="29">
        <v>43186.977832990196</v>
      </c>
      <c r="P146" s="30">
        <v>1.3928062502986499E-2</v>
      </c>
      <c r="Q146" s="29">
        <v>16276.9728206284</v>
      </c>
      <c r="R146" s="30">
        <v>3.3554877932050899E-2</v>
      </c>
      <c r="S146" s="29">
        <v>26910.005012361798</v>
      </c>
      <c r="T146" s="30">
        <v>2.4141389734397799E-3</v>
      </c>
      <c r="U146" s="29">
        <v>1252.8634626464</v>
      </c>
      <c r="V146" s="30"/>
      <c r="W146" s="29">
        <v>-1760.91864777877</v>
      </c>
      <c r="X146" s="30"/>
      <c r="Y146" s="29">
        <v>17356.213730188902</v>
      </c>
      <c r="Z146" s="30"/>
      <c r="AA146" s="29">
        <v>118096.374423532</v>
      </c>
      <c r="AB146" s="30">
        <v>4.1168626887544003E-2</v>
      </c>
      <c r="AC146" s="29">
        <v>87592.914761828302</v>
      </c>
      <c r="AD146" s="30">
        <v>4.8479568774085498E-2</v>
      </c>
      <c r="AE146" s="29">
        <v>59791.660276914597</v>
      </c>
      <c r="AF146" s="30">
        <v>1.2179724652480401E-2</v>
      </c>
      <c r="AG146" s="29">
        <v>48132.168205474998</v>
      </c>
      <c r="AH146" s="30">
        <v>6.8346524954872E-3</v>
      </c>
      <c r="AI146" s="29">
        <v>30503.459661704099</v>
      </c>
      <c r="AJ146" s="30">
        <v>2.07303505323371E-2</v>
      </c>
      <c r="AK146" s="29">
        <v>100740.16069334401</v>
      </c>
      <c r="AL146" s="30">
        <v>1.2364222773799701E-2</v>
      </c>
      <c r="AM146" s="29">
        <v>71966.802363215902</v>
      </c>
      <c r="AN146" s="30">
        <v>-1.3911612976556E-3</v>
      </c>
      <c r="AO146" s="29">
        <v>45639.709193820599</v>
      </c>
      <c r="AP146" s="30">
        <v>-1.34365835928039E-2</v>
      </c>
      <c r="AQ146" s="29">
        <v>44164.433464053</v>
      </c>
      <c r="AR146" s="30">
        <v>-3.57327379219508E-3</v>
      </c>
      <c r="AS146" s="29">
        <v>28773.358330127699</v>
      </c>
      <c r="AT146" s="30">
        <v>4.8487076233179903E-2</v>
      </c>
      <c r="AU146" s="29">
        <v>238153.07985716799</v>
      </c>
      <c r="AV146" s="30">
        <v>2.0218037530197901E-2</v>
      </c>
      <c r="AW146" s="29">
        <v>149619.99298057699</v>
      </c>
      <c r="AX146" s="30">
        <v>2.0861698359741401E-2</v>
      </c>
      <c r="AY146" s="29">
        <v>88533.086876590794</v>
      </c>
      <c r="AZ146" s="30">
        <v>1.91321004194707E-2</v>
      </c>
      <c r="BA146" s="29">
        <v>58029.627214886699</v>
      </c>
      <c r="BB146" s="30">
        <v>1.82939804075333E-2</v>
      </c>
      <c r="BC146" s="29">
        <v>72937.791794180695</v>
      </c>
      <c r="BD146" s="30">
        <v>1.6334309069888201E-2</v>
      </c>
      <c r="BE146" s="29"/>
      <c r="BF146" s="30"/>
    </row>
    <row r="147" spans="1:58" x14ac:dyDescent="0.2">
      <c r="A147" s="28">
        <v>2013</v>
      </c>
      <c r="B147" s="28">
        <v>4</v>
      </c>
      <c r="C147" s="29">
        <v>170652.893581574</v>
      </c>
      <c r="D147" s="30">
        <v>1.9371836047458801E-2</v>
      </c>
      <c r="E147" s="29">
        <v>155397.09889483999</v>
      </c>
      <c r="F147" s="30">
        <v>2.8773045755774E-2</v>
      </c>
      <c r="G147" s="29">
        <v>108507.49361325</v>
      </c>
      <c r="H147" s="30">
        <v>2.2007310268297799E-2</v>
      </c>
      <c r="I147" s="29">
        <v>88974.838974622093</v>
      </c>
      <c r="J147" s="30">
        <v>2.01031856179168E-2</v>
      </c>
      <c r="K147" s="29">
        <v>19532.654638627999</v>
      </c>
      <c r="L147" s="30">
        <v>3.0771659618668502E-2</v>
      </c>
      <c r="M147" s="29">
        <v>46889.605281590397</v>
      </c>
      <c r="N147" s="30">
        <v>4.4778514603502698E-2</v>
      </c>
      <c r="O147" s="29">
        <v>45781.946609560902</v>
      </c>
      <c r="P147" s="30">
        <v>1.65057189933E-2</v>
      </c>
      <c r="Q147" s="29">
        <v>17139.862267323901</v>
      </c>
      <c r="R147" s="30">
        <v>3.7511806410657197E-2</v>
      </c>
      <c r="S147" s="29">
        <v>28642.084342237002</v>
      </c>
      <c r="T147" s="30">
        <v>4.3372926268476801E-3</v>
      </c>
      <c r="U147" s="29">
        <v>5055.65082513986</v>
      </c>
      <c r="V147" s="30"/>
      <c r="W147" s="29">
        <v>-3947.9921531104001</v>
      </c>
      <c r="X147" s="30"/>
      <c r="Y147" s="29">
        <v>15255.794686733299</v>
      </c>
      <c r="Z147" s="30"/>
      <c r="AA147" s="29">
        <v>112749.433524698</v>
      </c>
      <c r="AB147" s="30">
        <v>1.0421352391631899E-3</v>
      </c>
      <c r="AC147" s="29">
        <v>81909.929113128193</v>
      </c>
      <c r="AD147" s="30">
        <v>6.3345781752854897E-3</v>
      </c>
      <c r="AE147" s="29">
        <v>58962.839358066398</v>
      </c>
      <c r="AF147" s="30">
        <v>-4.3248676677509701E-2</v>
      </c>
      <c r="AG147" s="29">
        <v>49221.9900632473</v>
      </c>
      <c r="AH147" s="30">
        <v>-9.8691069862732995E-4</v>
      </c>
      <c r="AI147" s="29">
        <v>30839.504411569698</v>
      </c>
      <c r="AJ147" s="30">
        <v>-1.2748076573061E-2</v>
      </c>
      <c r="AK147" s="29">
        <v>97493.638837964696</v>
      </c>
      <c r="AL147" s="30">
        <v>1.26778515817083E-2</v>
      </c>
      <c r="AM147" s="29">
        <v>67803.895192933094</v>
      </c>
      <c r="AN147" s="30">
        <v>2.2194249527061099E-2</v>
      </c>
      <c r="AO147" s="29">
        <v>48494.574477761103</v>
      </c>
      <c r="AP147" s="30">
        <v>3.4729603495520497E-2</v>
      </c>
      <c r="AQ147" s="29">
        <v>46854.669888099903</v>
      </c>
      <c r="AR147" s="30">
        <v>4.0672426997943899E-2</v>
      </c>
      <c r="AS147" s="29">
        <v>29689.7436450315</v>
      </c>
      <c r="AT147" s="30">
        <v>-8.4046356077551697E-3</v>
      </c>
      <c r="AU147" s="29">
        <v>242141.656289565</v>
      </c>
      <c r="AV147" s="30">
        <v>5.5170721748172297E-3</v>
      </c>
      <c r="AW147" s="29">
        <v>154289.44022281101</v>
      </c>
      <c r="AX147" s="30">
        <v>2.03686321798024E-2</v>
      </c>
      <c r="AY147" s="29">
        <v>87852.216066754307</v>
      </c>
      <c r="AZ147" s="30">
        <v>-1.95455146815228E-2</v>
      </c>
      <c r="BA147" s="29">
        <v>57012.711655184597</v>
      </c>
      <c r="BB147" s="30">
        <v>-2.3183541821391401E-2</v>
      </c>
      <c r="BC147" s="29">
        <v>76544.413533131403</v>
      </c>
      <c r="BD147" s="30">
        <v>2.1070766473209698E-2</v>
      </c>
      <c r="BE147" s="29"/>
      <c r="BF147" s="30"/>
    </row>
    <row r="148" spans="1:58" x14ac:dyDescent="0.2">
      <c r="A148" s="28">
        <v>2014</v>
      </c>
      <c r="B148" s="28">
        <v>1</v>
      </c>
      <c r="C148" s="29">
        <v>166468.75723177099</v>
      </c>
      <c r="D148" s="30">
        <v>2.40262076063316E-2</v>
      </c>
      <c r="E148" s="29">
        <v>149112.41462045099</v>
      </c>
      <c r="F148" s="30">
        <v>-8.1867868150185003E-3</v>
      </c>
      <c r="G148" s="29">
        <v>107021.19186217</v>
      </c>
      <c r="H148" s="30">
        <v>1.1765641858608299E-2</v>
      </c>
      <c r="I148" s="29">
        <v>87456.7456935519</v>
      </c>
      <c r="J148" s="30">
        <v>8.0194771873085494E-3</v>
      </c>
      <c r="K148" s="29">
        <v>19564.4461686182</v>
      </c>
      <c r="L148" s="30">
        <v>2.88578859175448E-2</v>
      </c>
      <c r="M148" s="29">
        <v>42091.222758281197</v>
      </c>
      <c r="N148" s="30">
        <v>-5.55429276780161E-2</v>
      </c>
      <c r="O148" s="29">
        <v>42557.3270213133</v>
      </c>
      <c r="P148" s="30">
        <v>2.9783568647510299E-2</v>
      </c>
      <c r="Q148" s="29">
        <v>14724.356329182499</v>
      </c>
      <c r="R148" s="30">
        <v>6.5658565022313403E-2</v>
      </c>
      <c r="S148" s="29">
        <v>27832.970692130701</v>
      </c>
      <c r="T148" s="30">
        <v>1.1764596209305599E-2</v>
      </c>
      <c r="U148" s="29">
        <v>-176.27816053593401</v>
      </c>
      <c r="V148" s="30"/>
      <c r="W148" s="29">
        <v>-289.82610249606699</v>
      </c>
      <c r="X148" s="30"/>
      <c r="Y148" s="29">
        <v>17356.34261132</v>
      </c>
      <c r="Z148" s="30"/>
      <c r="AA148" s="29">
        <v>112999.81061061499</v>
      </c>
      <c r="AB148" s="30">
        <v>5.7410485603592897E-3</v>
      </c>
      <c r="AC148" s="29">
        <v>82473.015352299801</v>
      </c>
      <c r="AD148" s="30">
        <v>-2.3853087256261001E-2</v>
      </c>
      <c r="AE148" s="29">
        <v>62329.7775900462</v>
      </c>
      <c r="AF148" s="30">
        <v>6.55176532027337E-2</v>
      </c>
      <c r="AG148" s="29">
        <v>48985.8893516807</v>
      </c>
      <c r="AH148" s="30">
        <v>4.4036527376812899E-2</v>
      </c>
      <c r="AI148" s="29">
        <v>30526.7952583154</v>
      </c>
      <c r="AJ148" s="30">
        <v>9.5467532007904601E-2</v>
      </c>
      <c r="AK148" s="29">
        <v>95643.467999295302</v>
      </c>
      <c r="AL148" s="30">
        <v>-4.4855089245954001E-2</v>
      </c>
      <c r="AM148" s="29">
        <v>67371.325188461196</v>
      </c>
      <c r="AN148" s="30">
        <v>-9.0864107478361905E-2</v>
      </c>
      <c r="AO148" s="29">
        <v>46888.034013231802</v>
      </c>
      <c r="AP148" s="30">
        <v>1.69012519472043E-2</v>
      </c>
      <c r="AQ148" s="29">
        <v>45120.948171373297</v>
      </c>
      <c r="AR148" s="30">
        <v>2.5875723927119499E-2</v>
      </c>
      <c r="AS148" s="29">
        <v>28272.142810834001</v>
      </c>
      <c r="AT148" s="30">
        <v>8.6126733435972505E-2</v>
      </c>
      <c r="AU148" s="29">
        <v>240038.12637451501</v>
      </c>
      <c r="AV148" s="30">
        <v>3.9401631776000902E-2</v>
      </c>
      <c r="AW148" s="29">
        <v>149578.51888348299</v>
      </c>
      <c r="AX148" s="30">
        <v>1.6827515079699901E-2</v>
      </c>
      <c r="AY148" s="29">
        <v>90459.607491031304</v>
      </c>
      <c r="AZ148" s="30">
        <v>7.9011564530527795E-2</v>
      </c>
      <c r="BA148" s="29">
        <v>59932.8122327159</v>
      </c>
      <c r="BB148" s="30">
        <v>7.0818313571945998E-2</v>
      </c>
      <c r="BC148" s="29">
        <v>73393.090982207301</v>
      </c>
      <c r="BD148" s="30">
        <v>4.82765082864232E-2</v>
      </c>
      <c r="BE148" s="29"/>
      <c r="BF148" s="30"/>
    </row>
    <row r="149" spans="1:58" x14ac:dyDescent="0.2">
      <c r="A149" s="28">
        <v>2014</v>
      </c>
      <c r="B149" s="28">
        <v>2</v>
      </c>
      <c r="C149" s="29">
        <v>169560.74810188499</v>
      </c>
      <c r="D149" s="30">
        <v>1.82213391992436E-2</v>
      </c>
      <c r="E149" s="29">
        <v>151148.99970871999</v>
      </c>
      <c r="F149" s="30">
        <v>5.7789881737148899E-2</v>
      </c>
      <c r="G149" s="29">
        <v>106796.439053724</v>
      </c>
      <c r="H149" s="30">
        <v>1.15366928481753E-2</v>
      </c>
      <c r="I149" s="29">
        <v>87173.084406467999</v>
      </c>
      <c r="J149" s="30">
        <v>8.1323281299261509E-3</v>
      </c>
      <c r="K149" s="29">
        <v>19623.354647255499</v>
      </c>
      <c r="L149" s="30">
        <v>2.6942117168754501E-2</v>
      </c>
      <c r="M149" s="29">
        <v>44352.560654996101</v>
      </c>
      <c r="N149" s="30">
        <v>0.188665169563727</v>
      </c>
      <c r="O149" s="29">
        <v>44632.2496436156</v>
      </c>
      <c r="P149" s="30">
        <v>1.5883508687405599E-2</v>
      </c>
      <c r="Q149" s="29">
        <v>16392.388987263501</v>
      </c>
      <c r="R149" s="30">
        <v>2.5893670544039599E-2</v>
      </c>
      <c r="S149" s="29">
        <v>28239.860656352099</v>
      </c>
      <c r="T149" s="30">
        <v>1.01620141904506E-2</v>
      </c>
      <c r="U149" s="29">
        <v>1090.30403707863</v>
      </c>
      <c r="V149" s="30"/>
      <c r="W149" s="29">
        <v>-1369.99302569818</v>
      </c>
      <c r="X149" s="30"/>
      <c r="Y149" s="29">
        <v>18411.748393165701</v>
      </c>
      <c r="Z149" s="30"/>
      <c r="AA149" s="29">
        <v>105221.85932352299</v>
      </c>
      <c r="AB149" s="30">
        <v>-0.211220696692587</v>
      </c>
      <c r="AC149" s="29">
        <v>75444.654896556298</v>
      </c>
      <c r="AD149" s="30">
        <v>-0.27573866119569901</v>
      </c>
      <c r="AE149" s="29">
        <v>63481.467307845502</v>
      </c>
      <c r="AF149" s="30">
        <v>3.8580968866924303E-2</v>
      </c>
      <c r="AG149" s="29">
        <v>49469.224769361201</v>
      </c>
      <c r="AH149" s="30">
        <v>1.6580013965126199E-3</v>
      </c>
      <c r="AI149" s="29">
        <v>29777.204426966699</v>
      </c>
      <c r="AJ149" s="30">
        <v>1.8698733305528199E-2</v>
      </c>
      <c r="AK149" s="29">
        <v>86810.110930357303</v>
      </c>
      <c r="AL149" s="30">
        <v>-0.20911508272625501</v>
      </c>
      <c r="AM149" s="29">
        <v>58310.0381890399</v>
      </c>
      <c r="AN149" s="30">
        <v>-0.28747535546663899</v>
      </c>
      <c r="AO149" s="29">
        <v>47014.257044675403</v>
      </c>
      <c r="AP149" s="30">
        <v>-9.2945492370116699E-3</v>
      </c>
      <c r="AQ149" s="29">
        <v>45458.306496267898</v>
      </c>
      <c r="AR149" s="30">
        <v>-1.87452674701372E-3</v>
      </c>
      <c r="AS149" s="29">
        <v>28500.072741317301</v>
      </c>
      <c r="AT149" s="30">
        <v>2.0504095362095201E-2</v>
      </c>
      <c r="AU149" s="29">
        <v>242428.823302392</v>
      </c>
      <c r="AV149" s="30">
        <v>2.5236776607133499E-2</v>
      </c>
      <c r="AW149" s="29">
        <v>151428.68869733901</v>
      </c>
      <c r="AX149" s="30">
        <v>1.2814006769206399E-2</v>
      </c>
      <c r="AY149" s="29">
        <v>91000.134605052794</v>
      </c>
      <c r="AZ149" s="30">
        <v>4.6598434108636302E-2</v>
      </c>
      <c r="BA149" s="29">
        <v>61222.930178086099</v>
      </c>
      <c r="BB149" s="30">
        <v>6.07279605906383E-2</v>
      </c>
      <c r="BC149" s="29">
        <v>73958.379237585206</v>
      </c>
      <c r="BD149" s="30">
        <v>6.6319137609944798E-3</v>
      </c>
      <c r="BE149" s="29"/>
      <c r="BF149" s="30"/>
    </row>
    <row r="150" spans="1:58" x14ac:dyDescent="0.2">
      <c r="A150" s="28">
        <v>2014</v>
      </c>
      <c r="B150" s="28">
        <v>3</v>
      </c>
      <c r="C150" s="29">
        <v>169455.62759426501</v>
      </c>
      <c r="D150" s="30">
        <v>1.7946232004454301E-2</v>
      </c>
      <c r="E150" s="29">
        <v>153821.34230749999</v>
      </c>
      <c r="F150" s="30">
        <v>3.1583014624323398E-2</v>
      </c>
      <c r="G150" s="29">
        <v>107469.486867395</v>
      </c>
      <c r="H150" s="30">
        <v>9.7382538526251707E-3</v>
      </c>
      <c r="I150" s="29">
        <v>87752.362023944705</v>
      </c>
      <c r="J150" s="30">
        <v>7.5842995981112403E-3</v>
      </c>
      <c r="K150" s="29">
        <v>19717.124843449801</v>
      </c>
      <c r="L150" s="30">
        <v>1.9437340743631199E-2</v>
      </c>
      <c r="M150" s="29">
        <v>46351.855440104999</v>
      </c>
      <c r="N150" s="30">
        <v>8.6059641724147498E-2</v>
      </c>
      <c r="O150" s="29">
        <v>44509.676692111098</v>
      </c>
      <c r="P150" s="30">
        <v>3.0627261398933601E-2</v>
      </c>
      <c r="Q150" s="29">
        <v>16753.9830481996</v>
      </c>
      <c r="R150" s="30">
        <v>2.9305831792426199E-2</v>
      </c>
      <c r="S150" s="29">
        <v>27755.693643911502</v>
      </c>
      <c r="T150" s="30">
        <v>3.1426550502730202E-2</v>
      </c>
      <c r="U150" s="29">
        <v>2309.5577356583999</v>
      </c>
      <c r="V150" s="30"/>
      <c r="W150" s="29">
        <v>-467.37898766447302</v>
      </c>
      <c r="X150" s="30"/>
      <c r="Y150" s="29">
        <v>15634.2852867658</v>
      </c>
      <c r="Z150" s="30"/>
      <c r="AA150" s="29">
        <v>105846.60998767101</v>
      </c>
      <c r="AB150" s="30">
        <v>-0.10372684593965199</v>
      </c>
      <c r="AC150" s="29">
        <v>74512.248073026698</v>
      </c>
      <c r="AD150" s="30">
        <v>-0.14933475754710199</v>
      </c>
      <c r="AE150" s="29">
        <v>61522.379332313998</v>
      </c>
      <c r="AF150" s="30">
        <v>2.89458270164091E-2</v>
      </c>
      <c r="AG150" s="29">
        <v>49943.769261237503</v>
      </c>
      <c r="AH150" s="30">
        <v>3.7638052124075103E-2</v>
      </c>
      <c r="AI150" s="29">
        <v>31334.361914644502</v>
      </c>
      <c r="AJ150" s="30">
        <v>2.7239606987385499E-2</v>
      </c>
      <c r="AK150" s="29">
        <v>90212.324700905301</v>
      </c>
      <c r="AL150" s="30">
        <v>-0.10450485605721101</v>
      </c>
      <c r="AM150" s="29">
        <v>59712.688119526902</v>
      </c>
      <c r="AN150" s="30">
        <v>-0.17027454105633999</v>
      </c>
      <c r="AO150" s="29">
        <v>46398.883834064603</v>
      </c>
      <c r="AP150" s="30">
        <v>1.66340814534978E-2</v>
      </c>
      <c r="AQ150" s="29">
        <v>45076.682319979998</v>
      </c>
      <c r="AR150" s="30">
        <v>2.0655735495157999E-2</v>
      </c>
      <c r="AS150" s="29">
        <v>30499.6365813784</v>
      </c>
      <c r="AT150" s="30">
        <v>5.9995716573799901E-2</v>
      </c>
      <c r="AU150" s="29">
        <v>242722.38875996499</v>
      </c>
      <c r="AV150" s="30">
        <v>1.9186436327163402E-2</v>
      </c>
      <c r="AW150" s="29">
        <v>151979.16355950601</v>
      </c>
      <c r="AX150" s="30">
        <v>1.5767749562952502E-2</v>
      </c>
      <c r="AY150" s="29">
        <v>90743.225200459696</v>
      </c>
      <c r="AZ150" s="30">
        <v>2.49639812847566E-2</v>
      </c>
      <c r="BA150" s="29">
        <v>59408.8632858153</v>
      </c>
      <c r="BB150" s="30">
        <v>2.3767791335642899E-2</v>
      </c>
      <c r="BC150" s="29">
        <v>75576.318901358405</v>
      </c>
      <c r="BD150" s="30">
        <v>3.6175034125288899E-2</v>
      </c>
      <c r="BE150" s="29"/>
      <c r="BF150" s="30"/>
    </row>
    <row r="151" spans="1:58" x14ac:dyDescent="0.2">
      <c r="A151" s="28">
        <v>2014</v>
      </c>
      <c r="B151" s="28">
        <v>4</v>
      </c>
      <c r="C151" s="29">
        <v>173536.81628387599</v>
      </c>
      <c r="D151" s="30">
        <v>1.68993483894491E-2</v>
      </c>
      <c r="E151" s="29">
        <v>155455.681390785</v>
      </c>
      <c r="F151" s="30">
        <v>3.7698577618861E-4</v>
      </c>
      <c r="G151" s="29">
        <v>109456.93117621999</v>
      </c>
      <c r="H151" s="30">
        <v>8.7499722955017793E-3</v>
      </c>
      <c r="I151" s="29">
        <v>89563.544074603895</v>
      </c>
      <c r="J151" s="30">
        <v>6.6165345929960501E-3</v>
      </c>
      <c r="K151" s="29">
        <v>19893.387101616499</v>
      </c>
      <c r="L151" s="30">
        <v>1.8468173920152198E-2</v>
      </c>
      <c r="M151" s="29">
        <v>45998.750214564403</v>
      </c>
      <c r="N151" s="30">
        <v>-1.8998988404275399E-2</v>
      </c>
      <c r="O151" s="29">
        <v>47043.541864311002</v>
      </c>
      <c r="P151" s="30">
        <v>2.75566101526705E-2</v>
      </c>
      <c r="Q151" s="29">
        <v>17389.287925685701</v>
      </c>
      <c r="R151" s="30">
        <v>1.45523723861718E-2</v>
      </c>
      <c r="S151" s="29">
        <v>29654.253938625301</v>
      </c>
      <c r="T151" s="30">
        <v>3.5338545347960902E-2</v>
      </c>
      <c r="U151" s="29">
        <v>3615.8993470338501</v>
      </c>
      <c r="V151" s="30"/>
      <c r="W151" s="29">
        <v>-4660.6909967804204</v>
      </c>
      <c r="X151" s="30"/>
      <c r="Y151" s="29">
        <v>18081.134893091599</v>
      </c>
      <c r="Z151" s="30"/>
      <c r="AA151" s="29">
        <v>115474.212670443</v>
      </c>
      <c r="AB151" s="30">
        <v>2.41666770338873E-2</v>
      </c>
      <c r="AC151" s="29">
        <v>83732.5293758138</v>
      </c>
      <c r="AD151" s="30">
        <v>2.2251273837245799E-2</v>
      </c>
      <c r="AE151" s="29">
        <v>62442.484326491001</v>
      </c>
      <c r="AF151" s="30">
        <v>5.90142029506684E-2</v>
      </c>
      <c r="AG151" s="29">
        <v>51285.871564670197</v>
      </c>
      <c r="AH151" s="30">
        <v>4.1930070254595303E-2</v>
      </c>
      <c r="AI151" s="29">
        <v>31741.6832946293</v>
      </c>
      <c r="AJ151" s="30">
        <v>2.92540006810573E-2</v>
      </c>
      <c r="AK151" s="29">
        <v>97393.0777773515</v>
      </c>
      <c r="AL151" s="30">
        <v>-1.03146278887267E-3</v>
      </c>
      <c r="AM151" s="29">
        <v>64457.348303929299</v>
      </c>
      <c r="AN151" s="30">
        <v>-4.9356263080187403E-2</v>
      </c>
      <c r="AO151" s="29">
        <v>47038.890871799798</v>
      </c>
      <c r="AP151" s="30">
        <v>-3.00174529138083E-2</v>
      </c>
      <c r="AQ151" s="29">
        <v>45669.673655975297</v>
      </c>
      <c r="AR151" s="30">
        <v>-2.5290888505981799E-2</v>
      </c>
      <c r="AS151" s="29">
        <v>32935.729473422201</v>
      </c>
      <c r="AT151" s="30">
        <v>0.10933020733353201</v>
      </c>
      <c r="AU151" s="29">
        <v>248526.32006624</v>
      </c>
      <c r="AV151" s="30">
        <v>2.63674737940989E-2</v>
      </c>
      <c r="AW151" s="29">
        <v>156500.47304053101</v>
      </c>
      <c r="AX151" s="30">
        <v>1.43304221891489E-2</v>
      </c>
      <c r="AY151" s="29">
        <v>92025.847025708805</v>
      </c>
      <c r="AZ151" s="30">
        <v>4.75074067088204E-2</v>
      </c>
      <c r="BA151" s="29">
        <v>60284.163731079498</v>
      </c>
      <c r="BB151" s="30">
        <v>5.7381099423595497E-2</v>
      </c>
      <c r="BC151" s="29">
        <v>78605.4031293976</v>
      </c>
      <c r="BD151" s="30">
        <v>2.6925408414999501E-2</v>
      </c>
      <c r="BE151" s="29"/>
      <c r="BF151" s="30"/>
    </row>
    <row r="152" spans="1:58" x14ac:dyDescent="0.2">
      <c r="A152" s="28">
        <v>2015</v>
      </c>
      <c r="B152" s="28">
        <v>1</v>
      </c>
      <c r="C152" s="29">
        <v>167337.95286155201</v>
      </c>
      <c r="D152" s="30">
        <v>5.2213739336732798E-3</v>
      </c>
      <c r="E152" s="29">
        <v>152360.12208764901</v>
      </c>
      <c r="F152" s="30">
        <v>2.1780262062444801E-2</v>
      </c>
      <c r="G152" s="29">
        <v>107829.13747766201</v>
      </c>
      <c r="H152" s="30">
        <v>7.5493984082379796E-3</v>
      </c>
      <c r="I152" s="29">
        <v>88034.588808540997</v>
      </c>
      <c r="J152" s="30">
        <v>6.6071874777264804E-3</v>
      </c>
      <c r="K152" s="29">
        <v>19794.548669120999</v>
      </c>
      <c r="L152" s="30">
        <v>1.1761258075985199E-2</v>
      </c>
      <c r="M152" s="29">
        <v>44530.984609986597</v>
      </c>
      <c r="N152" s="30">
        <v>5.79636725147257E-2</v>
      </c>
      <c r="O152" s="29">
        <v>42877.666785807298</v>
      </c>
      <c r="P152" s="30">
        <v>7.5272529295280499E-3</v>
      </c>
      <c r="Q152" s="29">
        <v>14996.2438968932</v>
      </c>
      <c r="R152" s="30">
        <v>1.84651581116504E-2</v>
      </c>
      <c r="S152" s="29">
        <v>27881.4228889142</v>
      </c>
      <c r="T152" s="30">
        <v>1.74082017041499E-3</v>
      </c>
      <c r="U152" s="29">
        <v>660.896838675661</v>
      </c>
      <c r="V152" s="30"/>
      <c r="W152" s="29">
        <v>992.42098550363198</v>
      </c>
      <c r="X152" s="30"/>
      <c r="Y152" s="29">
        <v>14977.830773903601</v>
      </c>
      <c r="Z152" s="30"/>
      <c r="AA152" s="29">
        <v>106959.432175505</v>
      </c>
      <c r="AB152" s="30">
        <v>-5.3454766007744098E-2</v>
      </c>
      <c r="AC152" s="29">
        <v>77918.599036037704</v>
      </c>
      <c r="AD152" s="30">
        <v>-5.5223108998829401E-2</v>
      </c>
      <c r="AE152" s="29">
        <v>59666.363314204697</v>
      </c>
      <c r="AF152" s="30">
        <v>-4.2731008818275802E-2</v>
      </c>
      <c r="AG152" s="29">
        <v>47814.214257398999</v>
      </c>
      <c r="AH152" s="30">
        <v>-2.39186245220545E-2</v>
      </c>
      <c r="AI152" s="29">
        <v>29040.833139467799</v>
      </c>
      <c r="AJ152" s="30">
        <v>-4.8677304848857003E-2</v>
      </c>
      <c r="AK152" s="29">
        <v>91981.601401601802</v>
      </c>
      <c r="AL152" s="30">
        <v>-3.8286635504689401E-2</v>
      </c>
      <c r="AM152" s="29">
        <v>63259.795096191097</v>
      </c>
      <c r="AN152" s="30">
        <v>-6.1027894000433701E-2</v>
      </c>
      <c r="AO152" s="29">
        <v>44363.784373154696</v>
      </c>
      <c r="AP152" s="30">
        <v>-5.38356894930739E-2</v>
      </c>
      <c r="AQ152" s="29">
        <v>42583.812947202801</v>
      </c>
      <c r="AR152" s="30">
        <v>-5.6229652234573498E-2</v>
      </c>
      <c r="AS152" s="29">
        <v>28721.806305410799</v>
      </c>
      <c r="AT152" s="30">
        <v>1.5904825381838801E-2</v>
      </c>
      <c r="AU152" s="29">
        <v>237982.67527549001</v>
      </c>
      <c r="AV152" s="30">
        <v>-8.5630192589383203E-3</v>
      </c>
      <c r="AW152" s="29">
        <v>150706.80426346901</v>
      </c>
      <c r="AX152" s="30">
        <v>7.54309768814454E-3</v>
      </c>
      <c r="AY152" s="29">
        <v>87275.871012020798</v>
      </c>
      <c r="AZ152" s="30">
        <v>-3.5195117106009803E-2</v>
      </c>
      <c r="BA152" s="29">
        <v>58235.037872553003</v>
      </c>
      <c r="BB152" s="30">
        <v>-2.8327960876764698E-2</v>
      </c>
      <c r="BC152" s="29">
        <v>71305.619252613498</v>
      </c>
      <c r="BD152" s="30">
        <v>-2.8442346570467798E-2</v>
      </c>
      <c r="BE152" s="29"/>
      <c r="BF152" s="30"/>
    </row>
    <row r="153" spans="1:58" x14ac:dyDescent="0.2">
      <c r="A153" s="28">
        <v>2015</v>
      </c>
      <c r="B153" s="28">
        <v>2</v>
      </c>
      <c r="C153" s="29">
        <v>169153.90686676701</v>
      </c>
      <c r="D153" s="30">
        <v>-2.3993833459229302E-3</v>
      </c>
      <c r="E153" s="29">
        <v>152822.940904483</v>
      </c>
      <c r="F153" s="30">
        <v>1.10747752151124E-2</v>
      </c>
      <c r="G153" s="29">
        <v>107765.535141231</v>
      </c>
      <c r="H153" s="30">
        <v>9.0742359585551692E-3</v>
      </c>
      <c r="I153" s="29">
        <v>87958.160710236203</v>
      </c>
      <c r="J153" s="30">
        <v>9.0059484428428593E-3</v>
      </c>
      <c r="K153" s="29">
        <v>19807.374430994299</v>
      </c>
      <c r="L153" s="30">
        <v>9.3775904806594496E-3</v>
      </c>
      <c r="M153" s="29">
        <v>45057.405763252304</v>
      </c>
      <c r="N153" s="30">
        <v>1.58918695526729E-2</v>
      </c>
      <c r="O153" s="29">
        <v>45178.969624506899</v>
      </c>
      <c r="P153" s="30">
        <v>1.2249438136254299E-2</v>
      </c>
      <c r="Q153" s="29">
        <v>16625.487516135301</v>
      </c>
      <c r="R153" s="30">
        <v>1.4219924200972799E-2</v>
      </c>
      <c r="S153" s="29">
        <v>28553.4821083717</v>
      </c>
      <c r="T153" s="30">
        <v>1.1105630294568699E-2</v>
      </c>
      <c r="U153" s="29">
        <v>-269.692076882202</v>
      </c>
      <c r="V153" s="30"/>
      <c r="W153" s="29">
        <v>148.12821562755599</v>
      </c>
      <c r="X153" s="30"/>
      <c r="Y153" s="29">
        <v>16330.965962284699</v>
      </c>
      <c r="Z153" s="30"/>
      <c r="AA153" s="29">
        <v>101390.148443895</v>
      </c>
      <c r="AB153" s="30">
        <v>-3.6415540499497197E-2</v>
      </c>
      <c r="AC153" s="29">
        <v>72528.005606457504</v>
      </c>
      <c r="AD153" s="30">
        <v>-3.8659455651270297E-2</v>
      </c>
      <c r="AE153" s="29">
        <v>59515.0859950917</v>
      </c>
      <c r="AF153" s="30">
        <v>-6.2480933112640497E-2</v>
      </c>
      <c r="AG153" s="29">
        <v>47265.722537116802</v>
      </c>
      <c r="AH153" s="30">
        <v>-4.4542889898067199E-2</v>
      </c>
      <c r="AI153" s="29">
        <v>28862.142837437401</v>
      </c>
      <c r="AJ153" s="30">
        <v>-3.07302719358254E-2</v>
      </c>
      <c r="AK153" s="29">
        <v>85059.182481610202</v>
      </c>
      <c r="AL153" s="30">
        <v>-2.01696372690017E-2</v>
      </c>
      <c r="AM153" s="29">
        <v>55450.651506774797</v>
      </c>
      <c r="AN153" s="30">
        <v>-4.9037640362970002E-2</v>
      </c>
      <c r="AO153" s="29">
        <v>41894.1461164231</v>
      </c>
      <c r="AP153" s="30">
        <v>-0.10890549484567701</v>
      </c>
      <c r="AQ153" s="29">
        <v>40441.701979274098</v>
      </c>
      <c r="AR153" s="30">
        <v>-0.110356168182501</v>
      </c>
      <c r="AS153" s="29">
        <v>29608.530974835401</v>
      </c>
      <c r="AT153" s="30">
        <v>3.8893172083421398E-2</v>
      </c>
      <c r="AU153" s="29">
        <v>239473.831897759</v>
      </c>
      <c r="AV153" s="30">
        <v>-1.21891092172108E-2</v>
      </c>
      <c r="AW153" s="29">
        <v>152944.50476573699</v>
      </c>
      <c r="AX153" s="30">
        <v>1.0010098360079701E-2</v>
      </c>
      <c r="AY153" s="29">
        <v>86529.327132021703</v>
      </c>
      <c r="AZ153" s="30">
        <v>-4.9129679779427698E-2</v>
      </c>
      <c r="BA153" s="29">
        <v>57667.184294584396</v>
      </c>
      <c r="BB153" s="30">
        <v>-5.8078662245644098E-2</v>
      </c>
      <c r="BC153" s="29">
        <v>70050.232954109495</v>
      </c>
      <c r="BD153" s="30">
        <v>-5.28425084995593E-2</v>
      </c>
      <c r="BE153" s="29"/>
      <c r="BF153" s="30"/>
    </row>
    <row r="154" spans="1:58" x14ac:dyDescent="0.2">
      <c r="A154" s="28">
        <v>2015</v>
      </c>
      <c r="B154" s="28">
        <v>3</v>
      </c>
      <c r="C154" s="29">
        <v>169323.059931945</v>
      </c>
      <c r="D154" s="30">
        <v>-7.8231489979008195E-4</v>
      </c>
      <c r="E154" s="29">
        <v>148813.601096634</v>
      </c>
      <c r="F154" s="30">
        <v>-3.2555568269942402E-2</v>
      </c>
      <c r="G154" s="29">
        <v>108569.49506556</v>
      </c>
      <c r="H154" s="30">
        <v>1.02355396887905E-2</v>
      </c>
      <c r="I154" s="29">
        <v>88712.358316340207</v>
      </c>
      <c r="J154" s="30">
        <v>1.09398342136193E-2</v>
      </c>
      <c r="K154" s="29">
        <v>19857.136749219499</v>
      </c>
      <c r="L154" s="30">
        <v>7.1010305448373501E-3</v>
      </c>
      <c r="M154" s="29">
        <v>40244.106031073898</v>
      </c>
      <c r="N154" s="30">
        <v>-0.131769253917429</v>
      </c>
      <c r="O154" s="29">
        <v>44954.778035652504</v>
      </c>
      <c r="P154" s="30">
        <v>1.00001028230399E-2</v>
      </c>
      <c r="Q154" s="29">
        <v>16898.571209377398</v>
      </c>
      <c r="R154" s="30">
        <v>8.6300768457139299E-3</v>
      </c>
      <c r="S154" s="29">
        <v>28056.206826275102</v>
      </c>
      <c r="T154" s="30">
        <v>1.0827082407632201E-2</v>
      </c>
      <c r="U154" s="29">
        <v>-3464.53631642138</v>
      </c>
      <c r="V154" s="30"/>
      <c r="W154" s="29">
        <v>-1246.1356881572101</v>
      </c>
      <c r="X154" s="30"/>
      <c r="Y154" s="29">
        <v>20509.4588353115</v>
      </c>
      <c r="Z154" s="30"/>
      <c r="AA154" s="29">
        <v>108245.980439056</v>
      </c>
      <c r="AB154" s="30">
        <v>2.2668373145486899E-2</v>
      </c>
      <c r="AC154" s="29">
        <v>76342.019722017707</v>
      </c>
      <c r="AD154" s="30">
        <v>2.4556656070793902E-2</v>
      </c>
      <c r="AE154" s="29">
        <v>59382.045786249299</v>
      </c>
      <c r="AF154" s="30">
        <v>-3.4789511870203599E-2</v>
      </c>
      <c r="AG154" s="29">
        <v>47126.114644840498</v>
      </c>
      <c r="AH154" s="30">
        <v>-5.6416539201493601E-2</v>
      </c>
      <c r="AI154" s="29">
        <v>31903.960717038801</v>
      </c>
      <c r="AJ154" s="30">
        <v>1.81780884495415E-2</v>
      </c>
      <c r="AK154" s="29">
        <v>87736.521603745001</v>
      </c>
      <c r="AL154" s="30">
        <v>-2.7444178003047499E-2</v>
      </c>
      <c r="AM154" s="29">
        <v>57721.699229957398</v>
      </c>
      <c r="AN154" s="30">
        <v>-3.3342811256197098E-2</v>
      </c>
      <c r="AO154" s="29">
        <v>41498.242100588999</v>
      </c>
      <c r="AP154" s="30">
        <v>-0.105619819455177</v>
      </c>
      <c r="AQ154" s="29">
        <v>40169.014723519598</v>
      </c>
      <c r="AR154" s="30">
        <v>-0.108873753432496</v>
      </c>
      <c r="AS154" s="29">
        <v>30014.8223737876</v>
      </c>
      <c r="AT154" s="30">
        <v>-1.5895737193367999E-2</v>
      </c>
      <c r="AU154" s="29">
        <v>242971.43334567401</v>
      </c>
      <c r="AV154" s="30">
        <v>1.0260470283791599E-3</v>
      </c>
      <c r="AW154" s="29">
        <v>153524.27310121199</v>
      </c>
      <c r="AX154" s="30">
        <v>1.01665880079778E-2</v>
      </c>
      <c r="AY154" s="29">
        <v>89447.160244461498</v>
      </c>
      <c r="AZ154" s="30">
        <v>-1.4282773762285501E-2</v>
      </c>
      <c r="BA154" s="29">
        <v>57543.199527422599</v>
      </c>
      <c r="BB154" s="30">
        <v>-3.14037949087995E-2</v>
      </c>
      <c r="BC154" s="29">
        <v>70183.8370973071</v>
      </c>
      <c r="BD154" s="30">
        <v>-7.1351474674090795E-2</v>
      </c>
      <c r="BE154" s="29"/>
      <c r="BF154" s="30"/>
    </row>
    <row r="155" spans="1:58" x14ac:dyDescent="0.2">
      <c r="A155" s="28">
        <v>2015</v>
      </c>
      <c r="B155" s="28">
        <v>4</v>
      </c>
      <c r="C155" s="29">
        <v>173817.82002561999</v>
      </c>
      <c r="D155" s="30">
        <v>1.61927450186794E-3</v>
      </c>
      <c r="E155" s="29">
        <v>156727.050849669</v>
      </c>
      <c r="F155" s="30">
        <v>8.1783402672055399E-3</v>
      </c>
      <c r="G155" s="29">
        <v>110255.967177695</v>
      </c>
      <c r="H155" s="30">
        <v>7.3000036899322201E-3</v>
      </c>
      <c r="I155" s="29">
        <v>90253.599795970207</v>
      </c>
      <c r="J155" s="30">
        <v>7.7046495702708401E-3</v>
      </c>
      <c r="K155" s="29">
        <v>20002.367381725198</v>
      </c>
      <c r="L155" s="30">
        <v>5.4782164320272804E-3</v>
      </c>
      <c r="M155" s="29">
        <v>46471.0836719734</v>
      </c>
      <c r="N155" s="30">
        <v>1.02683976239744E-2</v>
      </c>
      <c r="O155" s="29">
        <v>47050.335158202703</v>
      </c>
      <c r="P155" s="30">
        <v>1.44404388413788E-4</v>
      </c>
      <c r="Q155" s="29">
        <v>17513.1266631078</v>
      </c>
      <c r="R155" s="30">
        <v>7.1215531050667904E-3</v>
      </c>
      <c r="S155" s="29">
        <v>29537.208495094899</v>
      </c>
      <c r="T155" s="30">
        <v>-3.9470034812741899E-3</v>
      </c>
      <c r="U155" s="29">
        <v>966.32080551274703</v>
      </c>
      <c r="V155" s="30"/>
      <c r="W155" s="29">
        <v>-1545.57229174193</v>
      </c>
      <c r="X155" s="30"/>
      <c r="Y155" s="29">
        <v>17090.7691759513</v>
      </c>
      <c r="Z155" s="30"/>
      <c r="AA155" s="29">
        <v>113303.32895336401</v>
      </c>
      <c r="AB155" s="30">
        <v>-1.8799727375279799E-2</v>
      </c>
      <c r="AC155" s="29">
        <v>79988.588800962199</v>
      </c>
      <c r="AD155" s="30">
        <v>-4.4713095409405698E-2</v>
      </c>
      <c r="AE155" s="29">
        <v>61087.4833709292</v>
      </c>
      <c r="AF155" s="30">
        <v>-2.16999847167655E-2</v>
      </c>
      <c r="AG155" s="29">
        <v>50783.731001142201</v>
      </c>
      <c r="AH155" s="30">
        <v>-9.7910116023833798E-3</v>
      </c>
      <c r="AI155" s="29">
        <v>33314.7401524015</v>
      </c>
      <c r="AJ155" s="30">
        <v>4.9558079298156699E-2</v>
      </c>
      <c r="AK155" s="29">
        <v>96212.559777412403</v>
      </c>
      <c r="AL155" s="30">
        <v>-1.21211694596802E-2</v>
      </c>
      <c r="AM155" s="29">
        <v>62816.619996547997</v>
      </c>
      <c r="AN155" s="30">
        <v>-2.5454480374291301E-2</v>
      </c>
      <c r="AO155" s="29">
        <v>45083.227700224299</v>
      </c>
      <c r="AP155" s="30">
        <v>-4.15754524677351E-2</v>
      </c>
      <c r="AQ155" s="29">
        <v>43706.946058242902</v>
      </c>
      <c r="AR155" s="30">
        <v>-4.2976606588378298E-2</v>
      </c>
      <c r="AS155" s="29">
        <v>33395.939780864399</v>
      </c>
      <c r="AT155" s="30">
        <v>1.3972980553338E-2</v>
      </c>
      <c r="AU155" s="29">
        <v>249954.38505921501</v>
      </c>
      <c r="AV155" s="30">
        <v>5.7461318084699496E-3</v>
      </c>
      <c r="AW155" s="29">
        <v>157306.30233589801</v>
      </c>
      <c r="AX155" s="30">
        <v>5.1490534163312097E-3</v>
      </c>
      <c r="AY155" s="29">
        <v>92648.082723316606</v>
      </c>
      <c r="AZ155" s="30">
        <v>6.7615318708664799E-3</v>
      </c>
      <c r="BA155" s="29">
        <v>59333.342570915098</v>
      </c>
      <c r="BB155" s="30">
        <v>-1.57723206447038E-2</v>
      </c>
      <c r="BC155" s="29">
        <v>77102.885839107199</v>
      </c>
      <c r="BD155" s="30">
        <v>-1.9114682076204599E-2</v>
      </c>
      <c r="BE155" s="29"/>
      <c r="BF155" s="30"/>
    </row>
    <row r="156" spans="1:58" x14ac:dyDescent="0.2">
      <c r="A156" s="28">
        <v>2016</v>
      </c>
      <c r="B156" s="28">
        <v>1</v>
      </c>
      <c r="C156" s="29">
        <v>168900.67024464501</v>
      </c>
      <c r="D156" s="30">
        <v>9.3386906937085196E-3</v>
      </c>
      <c r="E156" s="29">
        <v>159702.47041309401</v>
      </c>
      <c r="F156" s="30">
        <v>4.81907485032151E-2</v>
      </c>
      <c r="G156" s="29">
        <v>108870.53784525</v>
      </c>
      <c r="H156" s="30">
        <v>9.6578753382268196E-3</v>
      </c>
      <c r="I156" s="29">
        <v>88846.389703258494</v>
      </c>
      <c r="J156" s="30">
        <v>9.2213856587999299E-3</v>
      </c>
      <c r="K156" s="29">
        <v>20024.1481419913</v>
      </c>
      <c r="L156" s="30">
        <v>1.15991264417414E-2</v>
      </c>
      <c r="M156" s="29">
        <v>50831.932567843898</v>
      </c>
      <c r="N156" s="30">
        <v>0.14149581494868199</v>
      </c>
      <c r="O156" s="29">
        <v>44048.076818940797</v>
      </c>
      <c r="P156" s="30">
        <v>2.72964953755572E-2</v>
      </c>
      <c r="Q156" s="29">
        <v>14979.4612855945</v>
      </c>
      <c r="R156" s="30">
        <v>-1.1191209888311601E-3</v>
      </c>
      <c r="S156" s="29">
        <v>29068.615533346299</v>
      </c>
      <c r="T156" s="30">
        <v>4.2580059459739902E-2</v>
      </c>
      <c r="U156" s="29">
        <v>-344.102117553732</v>
      </c>
      <c r="V156" s="30"/>
      <c r="W156" s="29">
        <v>7127.9578664567798</v>
      </c>
      <c r="X156" s="30"/>
      <c r="Y156" s="29">
        <v>9198.1998315510009</v>
      </c>
      <c r="Z156" s="30"/>
      <c r="AA156" s="29">
        <v>103967.37189634101</v>
      </c>
      <c r="AB156" s="30">
        <v>-2.7973786119724901E-2</v>
      </c>
      <c r="AC156" s="29">
        <v>74471.625211209903</v>
      </c>
      <c r="AD156" s="30">
        <v>-4.4238139128162497E-2</v>
      </c>
      <c r="AE156" s="29">
        <v>61160.132957482303</v>
      </c>
      <c r="AF156" s="30">
        <v>2.5035372700885201E-2</v>
      </c>
      <c r="AG156" s="29">
        <v>48960.838104556598</v>
      </c>
      <c r="AH156" s="30">
        <v>2.39808154325203E-2</v>
      </c>
      <c r="AI156" s="29">
        <v>29495.7466851307</v>
      </c>
      <c r="AJ156" s="30">
        <v>1.5664617591314E-2</v>
      </c>
      <c r="AK156" s="29">
        <v>94769.1720647896</v>
      </c>
      <c r="AL156" s="30">
        <v>3.0305741808266E-2</v>
      </c>
      <c r="AM156" s="29">
        <v>64309.106121044701</v>
      </c>
      <c r="AN156" s="30">
        <v>1.6587328859635399E-2</v>
      </c>
      <c r="AO156" s="29">
        <v>44137.232434302103</v>
      </c>
      <c r="AP156" s="30">
        <v>-5.1066865023745604E-3</v>
      </c>
      <c r="AQ156" s="29">
        <v>42133.080071398697</v>
      </c>
      <c r="AR156" s="30">
        <v>-1.05846058539405E-2</v>
      </c>
      <c r="AS156" s="29">
        <v>30460.065943744899</v>
      </c>
      <c r="AT156" s="30">
        <v>6.0520554308126903E-2</v>
      </c>
      <c r="AU156" s="29">
        <v>241837.91837734199</v>
      </c>
      <c r="AV156" s="30">
        <v>1.61996796505837E-2</v>
      </c>
      <c r="AW156" s="29">
        <v>152918.614664191</v>
      </c>
      <c r="AX156" s="30">
        <v>1.4676247774815E-2</v>
      </c>
      <c r="AY156" s="29">
        <v>88919.303713151399</v>
      </c>
      <c r="AZ156" s="30">
        <v>1.88303213943775E-2</v>
      </c>
      <c r="BA156" s="29">
        <v>59423.557028020703</v>
      </c>
      <c r="BB156" s="30">
        <v>2.04090045939136E-2</v>
      </c>
      <c r="BC156" s="29">
        <v>72593.146015143604</v>
      </c>
      <c r="BD156" s="30">
        <v>1.8056455802855299E-2</v>
      </c>
      <c r="BE156" s="29"/>
      <c r="BF156" s="30"/>
    </row>
    <row r="157" spans="1:58" x14ac:dyDescent="0.2">
      <c r="A157" s="28">
        <v>2016</v>
      </c>
      <c r="B157" s="28">
        <v>2</v>
      </c>
      <c r="C157" s="29">
        <v>172752.52254261501</v>
      </c>
      <c r="D157" s="30">
        <v>2.1274209638457699E-2</v>
      </c>
      <c r="E157" s="29">
        <v>154414.15593255201</v>
      </c>
      <c r="F157" s="30">
        <v>1.0412147670050101E-2</v>
      </c>
      <c r="G157" s="29">
        <v>109055.47329310801</v>
      </c>
      <c r="H157" s="30">
        <v>1.19698579901883E-2</v>
      </c>
      <c r="I157" s="29">
        <v>88960.176337713696</v>
      </c>
      <c r="J157" s="30">
        <v>1.1391957487361101E-2</v>
      </c>
      <c r="K157" s="29">
        <v>20095.296955393998</v>
      </c>
      <c r="L157" s="30">
        <v>1.45361277135834E-2</v>
      </c>
      <c r="M157" s="29">
        <v>45358.682639443898</v>
      </c>
      <c r="N157" s="30">
        <v>6.6865118194914296E-3</v>
      </c>
      <c r="O157" s="29">
        <v>46272.042763379497</v>
      </c>
      <c r="P157" s="30">
        <v>2.4194291015428901E-2</v>
      </c>
      <c r="Q157" s="29">
        <v>16470.6457664105</v>
      </c>
      <c r="R157" s="30">
        <v>-9.3135163449762394E-3</v>
      </c>
      <c r="S157" s="29">
        <v>29801.396996968899</v>
      </c>
      <c r="T157" s="30">
        <v>4.3704473025774702E-2</v>
      </c>
      <c r="U157" s="29">
        <v>-417.850697833288</v>
      </c>
      <c r="V157" s="30"/>
      <c r="W157" s="29">
        <v>-495.50942610227497</v>
      </c>
      <c r="X157" s="30"/>
      <c r="Y157" s="29">
        <v>18338.3666100636</v>
      </c>
      <c r="Z157" s="30"/>
      <c r="AA157" s="29">
        <v>114371.765729076</v>
      </c>
      <c r="AB157" s="30">
        <v>0.12803627851836999</v>
      </c>
      <c r="AC157" s="29">
        <v>83886.252617888997</v>
      </c>
      <c r="AD157" s="30">
        <v>0.15660498198533401</v>
      </c>
      <c r="AE157" s="29">
        <v>64477.853781625803</v>
      </c>
      <c r="AF157" s="30">
        <v>8.3386719578013094E-2</v>
      </c>
      <c r="AG157" s="29">
        <v>51346.725380901997</v>
      </c>
      <c r="AH157" s="30">
        <v>8.6341700173533403E-2</v>
      </c>
      <c r="AI157" s="29">
        <v>30485.513111187302</v>
      </c>
      <c r="AJ157" s="30">
        <v>5.6245660029241799E-2</v>
      </c>
      <c r="AK157" s="29">
        <v>96033.399119012596</v>
      </c>
      <c r="AL157" s="30">
        <v>0.129018599958624</v>
      </c>
      <c r="AM157" s="29">
        <v>65076.959435746503</v>
      </c>
      <c r="AN157" s="30">
        <v>0.17360134944123501</v>
      </c>
      <c r="AO157" s="29">
        <v>46659.872710371099</v>
      </c>
      <c r="AP157" s="30">
        <v>0.113756384500692</v>
      </c>
      <c r="AQ157" s="29">
        <v>44367.614544111297</v>
      </c>
      <c r="AR157" s="30">
        <v>9.7075849252071106E-2</v>
      </c>
      <c r="AS157" s="29">
        <v>30956.4396832661</v>
      </c>
      <c r="AT157" s="30">
        <v>4.5524335860373001E-2</v>
      </c>
      <c r="AU157" s="29">
        <v>248494.427467826</v>
      </c>
      <c r="AV157" s="30">
        <v>3.7668397831116501E-2</v>
      </c>
      <c r="AW157" s="29">
        <v>155327.51605648699</v>
      </c>
      <c r="AX157" s="30">
        <v>1.5580888600082599E-2</v>
      </c>
      <c r="AY157" s="29">
        <v>93166.911411338704</v>
      </c>
      <c r="AZ157" s="30">
        <v>7.6709070777699603E-2</v>
      </c>
      <c r="BA157" s="29">
        <v>62681.398300151399</v>
      </c>
      <c r="BB157" s="30">
        <v>8.6950907468495306E-2</v>
      </c>
      <c r="BC157" s="29">
        <v>75324.054227377303</v>
      </c>
      <c r="BD157" s="30">
        <v>7.5286277444969907E-2</v>
      </c>
      <c r="BE157" s="29"/>
      <c r="BF157" s="30"/>
    </row>
    <row r="158" spans="1:58" x14ac:dyDescent="0.2">
      <c r="A158" s="28">
        <v>2016</v>
      </c>
      <c r="B158" s="28">
        <v>3</v>
      </c>
      <c r="C158" s="29">
        <v>171875.29729059199</v>
      </c>
      <c r="D158" s="30">
        <v>1.5073182351374999E-2</v>
      </c>
      <c r="E158" s="29">
        <v>153059.60874530001</v>
      </c>
      <c r="F158" s="30">
        <v>2.8532389629552599E-2</v>
      </c>
      <c r="G158" s="29">
        <v>109567.010133074</v>
      </c>
      <c r="H158" s="30">
        <v>9.1878024017004699E-3</v>
      </c>
      <c r="I158" s="29">
        <v>89406.110485154393</v>
      </c>
      <c r="J158" s="30">
        <v>7.8202426581917006E-3</v>
      </c>
      <c r="K158" s="29">
        <v>20160.89964792</v>
      </c>
      <c r="L158" s="30">
        <v>1.5297416870156099E-2</v>
      </c>
      <c r="M158" s="29">
        <v>43492.598612225098</v>
      </c>
      <c r="N158" s="30">
        <v>8.0719710325854302E-2</v>
      </c>
      <c r="O158" s="29">
        <v>45604.085022405699</v>
      </c>
      <c r="P158" s="30">
        <v>1.4443558952472501E-2</v>
      </c>
      <c r="Q158" s="29">
        <v>16803.986277815198</v>
      </c>
      <c r="R158" s="30">
        <v>-5.5972147224925299E-3</v>
      </c>
      <c r="S158" s="29">
        <v>28800.098744590599</v>
      </c>
      <c r="T158" s="30">
        <v>2.6514343971074699E-2</v>
      </c>
      <c r="U158" s="29">
        <v>53.371909634996001</v>
      </c>
      <c r="V158" s="30"/>
      <c r="W158" s="29">
        <v>-2164.8583198156298</v>
      </c>
      <c r="X158" s="30"/>
      <c r="Y158" s="29">
        <v>18815.6885452926</v>
      </c>
      <c r="Z158" s="30"/>
      <c r="AA158" s="29">
        <v>113267.950755408</v>
      </c>
      <c r="AB158" s="30">
        <v>4.6394058199498198E-2</v>
      </c>
      <c r="AC158" s="29">
        <v>81543.203674105898</v>
      </c>
      <c r="AD158" s="30">
        <v>6.8130028142131802E-2</v>
      </c>
      <c r="AE158" s="29">
        <v>60321.774916918701</v>
      </c>
      <c r="AF158" s="30">
        <v>1.58251390336401E-2</v>
      </c>
      <c r="AG158" s="29">
        <v>50090.499172452699</v>
      </c>
      <c r="AH158" s="30">
        <v>6.2903223615035295E-2</v>
      </c>
      <c r="AI158" s="29">
        <v>31724.747081301899</v>
      </c>
      <c r="AJ158" s="30">
        <v>-5.61728486711643E-3</v>
      </c>
      <c r="AK158" s="29">
        <v>94452.262210115296</v>
      </c>
      <c r="AL158" s="30">
        <v>7.6544413701530103E-2</v>
      </c>
      <c r="AM158" s="29">
        <v>62746.073262513099</v>
      </c>
      <c r="AN158" s="30">
        <v>8.7044804632986597E-2</v>
      </c>
      <c r="AO158" s="29">
        <v>44056.194755472403</v>
      </c>
      <c r="AP158" s="30">
        <v>6.1640024381831797E-2</v>
      </c>
      <c r="AQ158" s="29">
        <v>42634.693203023999</v>
      </c>
      <c r="AR158" s="30">
        <v>6.1382597917214503E-2</v>
      </c>
      <c r="AS158" s="29">
        <v>31706.188947602201</v>
      </c>
      <c r="AT158" s="30">
        <v>5.6351043919278303E-2</v>
      </c>
      <c r="AU158" s="29">
        <v>246162.80753158301</v>
      </c>
      <c r="AV158" s="30">
        <v>1.31347712032031E-2</v>
      </c>
      <c r="AW158" s="29">
        <v>155171.09515548</v>
      </c>
      <c r="AX158" s="30">
        <v>1.07267862013083E-2</v>
      </c>
      <c r="AY158" s="29">
        <v>90991.712376103198</v>
      </c>
      <c r="AZ158" s="30">
        <v>1.72677604008942E-2</v>
      </c>
      <c r="BA158" s="29">
        <v>59266.965294801303</v>
      </c>
      <c r="BB158" s="30">
        <v>2.9956029236038101E-2</v>
      </c>
      <c r="BC158" s="29">
        <v>74340.882150626203</v>
      </c>
      <c r="BD158" s="30">
        <v>5.9230803348006199E-2</v>
      </c>
      <c r="BE158" s="29"/>
      <c r="BF158" s="30"/>
    </row>
    <row r="159" spans="1:58" x14ac:dyDescent="0.2">
      <c r="A159" s="28">
        <v>2016</v>
      </c>
      <c r="B159" s="28">
        <v>4</v>
      </c>
      <c r="C159" s="29">
        <v>174875.699207117</v>
      </c>
      <c r="D159" s="30">
        <v>6.0861376660978897E-3</v>
      </c>
      <c r="E159" s="29">
        <v>155603.43713862699</v>
      </c>
      <c r="F159" s="30">
        <v>-7.1692391642061998E-3</v>
      </c>
      <c r="G159" s="29">
        <v>112026.25652941701</v>
      </c>
      <c r="H159" s="30">
        <v>1.6056177248607001E-2</v>
      </c>
      <c r="I159" s="29">
        <v>91706.983848462405</v>
      </c>
      <c r="J159" s="30">
        <v>1.6103336108230299E-2</v>
      </c>
      <c r="K159" s="29">
        <v>20319.272680954698</v>
      </c>
      <c r="L159" s="30">
        <v>1.5843389593922699E-2</v>
      </c>
      <c r="M159" s="29">
        <v>43577.180609209798</v>
      </c>
      <c r="N159" s="30">
        <v>-6.2273199462936697E-2</v>
      </c>
      <c r="O159" s="29">
        <v>48114.5721259286</v>
      </c>
      <c r="P159" s="30">
        <v>2.2619115552471099E-2</v>
      </c>
      <c r="Q159" s="29">
        <v>17303.542771885699</v>
      </c>
      <c r="R159" s="30">
        <v>-1.19672457839085E-2</v>
      </c>
      <c r="S159" s="29">
        <v>30811.029354042901</v>
      </c>
      <c r="T159" s="30">
        <v>4.3125973097950097E-2</v>
      </c>
      <c r="U159" s="29">
        <v>-1844.3314391475899</v>
      </c>
      <c r="V159" s="30"/>
      <c r="W159" s="29">
        <v>-2693.06007757116</v>
      </c>
      <c r="X159" s="30"/>
      <c r="Y159" s="29">
        <v>19272.262068490199</v>
      </c>
      <c r="Z159" s="30"/>
      <c r="AA159" s="29">
        <v>124373.197610831</v>
      </c>
      <c r="AB159" s="30">
        <v>9.7701177535780101E-2</v>
      </c>
      <c r="AC159" s="29">
        <v>89174.582326350603</v>
      </c>
      <c r="AD159" s="30">
        <v>0.114841300029009</v>
      </c>
      <c r="AE159" s="29">
        <v>63956.882239528597</v>
      </c>
      <c r="AF159" s="30">
        <v>4.6971960707172397E-2</v>
      </c>
      <c r="AG159" s="29">
        <v>50695.685037464398</v>
      </c>
      <c r="AH159" s="30">
        <v>-1.7337435029309799E-3</v>
      </c>
      <c r="AI159" s="29">
        <v>35198.615284480598</v>
      </c>
      <c r="AJ159" s="30">
        <v>5.6547796064479301E-2</v>
      </c>
      <c r="AK159" s="29">
        <v>105100.935542341</v>
      </c>
      <c r="AL159" s="30">
        <v>9.2382697077094497E-2</v>
      </c>
      <c r="AM159" s="29">
        <v>69255.950151792698</v>
      </c>
      <c r="AN159" s="30">
        <v>0.102509975156232</v>
      </c>
      <c r="AO159" s="29">
        <v>46311.7441010244</v>
      </c>
      <c r="AP159" s="30">
        <v>2.7249965529729799E-2</v>
      </c>
      <c r="AQ159" s="29">
        <v>44628.694377595202</v>
      </c>
      <c r="AR159" s="30">
        <v>2.108928677204E-2</v>
      </c>
      <c r="AS159" s="29">
        <v>35844.985390548303</v>
      </c>
      <c r="AT159" s="30">
        <v>7.3333633542099097E-2</v>
      </c>
      <c r="AU159" s="29">
        <v>257193.71041440801</v>
      </c>
      <c r="AV159" s="30">
        <v>2.8962585927342601E-2</v>
      </c>
      <c r="AW159" s="29">
        <v>160140.82865534601</v>
      </c>
      <c r="AX159" s="30">
        <v>1.8019152935112099E-2</v>
      </c>
      <c r="AY159" s="29">
        <v>97052.881759062599</v>
      </c>
      <c r="AZ159" s="30">
        <v>4.75433371773109E-2</v>
      </c>
      <c r="BA159" s="29">
        <v>61854.266474582</v>
      </c>
      <c r="BB159" s="30">
        <v>4.2487474907618901E-2</v>
      </c>
      <c r="BC159" s="29">
        <v>80473.679768143498</v>
      </c>
      <c r="BD159" s="30">
        <v>4.3718129254853202E-2</v>
      </c>
      <c r="BE159" s="29"/>
      <c r="BF159" s="30"/>
    </row>
    <row r="160" spans="1:58" x14ac:dyDescent="0.2">
      <c r="A160" s="28">
        <v>2017</v>
      </c>
      <c r="B160" s="28">
        <v>1</v>
      </c>
      <c r="C160" s="29">
        <v>170357.82306401501</v>
      </c>
      <c r="D160" s="30">
        <v>8.6272767139394801E-3</v>
      </c>
      <c r="E160" s="29">
        <v>160366.47281824201</v>
      </c>
      <c r="F160" s="30">
        <v>4.1577466111222296E-3</v>
      </c>
      <c r="G160" s="29">
        <v>111338.570801547</v>
      </c>
      <c r="H160" s="30">
        <v>2.26694292610705E-2</v>
      </c>
      <c r="I160" s="29">
        <v>91018.712199881207</v>
      </c>
      <c r="J160" s="30">
        <v>2.4450318171375801E-2</v>
      </c>
      <c r="K160" s="29">
        <v>20319.858601666201</v>
      </c>
      <c r="L160" s="30">
        <v>1.47676923671356E-2</v>
      </c>
      <c r="M160" s="29">
        <v>49027.902016694199</v>
      </c>
      <c r="N160" s="30">
        <v>-3.5490103563186902E-2</v>
      </c>
      <c r="O160" s="29">
        <v>45395.367708176702</v>
      </c>
      <c r="P160" s="30">
        <v>3.05868266343137E-2</v>
      </c>
      <c r="Q160" s="29">
        <v>14937.052285172</v>
      </c>
      <c r="R160" s="30">
        <v>-2.8311432309834402E-3</v>
      </c>
      <c r="S160" s="29">
        <v>30458.3154230047</v>
      </c>
      <c r="T160" s="30">
        <v>4.7807570610446402E-2</v>
      </c>
      <c r="U160" s="29">
        <v>-1688.7370737220001</v>
      </c>
      <c r="V160" s="30"/>
      <c r="W160" s="29">
        <v>5321.2713822394899</v>
      </c>
      <c r="X160" s="30"/>
      <c r="Y160" s="29">
        <v>9991.3502457734994</v>
      </c>
      <c r="Z160" s="30"/>
      <c r="AA160" s="29">
        <v>107407.723210949</v>
      </c>
      <c r="AB160" s="30">
        <v>3.3090682700326099E-2</v>
      </c>
      <c r="AC160" s="29">
        <v>77885.224400623803</v>
      </c>
      <c r="AD160" s="30">
        <v>4.5837581491373798E-2</v>
      </c>
      <c r="AE160" s="29">
        <v>64011.653730227597</v>
      </c>
      <c r="AF160" s="30">
        <v>4.6623848491755798E-2</v>
      </c>
      <c r="AG160" s="29">
        <v>52453.051421148601</v>
      </c>
      <c r="AH160" s="30">
        <v>7.1326665387841007E-2</v>
      </c>
      <c r="AI160" s="29">
        <v>29522.4988103254</v>
      </c>
      <c r="AJ160" s="30">
        <v>9.0698247039844304E-4</v>
      </c>
      <c r="AK160" s="29">
        <v>97416.372965175702</v>
      </c>
      <c r="AL160" s="30">
        <v>2.7933143687024299E-2</v>
      </c>
      <c r="AM160" s="29">
        <v>65321.181132432699</v>
      </c>
      <c r="AN160" s="30">
        <v>1.5737662555642001E-2</v>
      </c>
      <c r="AO160" s="29">
        <v>45940.6497236875</v>
      </c>
      <c r="AP160" s="30">
        <v>4.0859319670073301E-2</v>
      </c>
      <c r="AQ160" s="29">
        <v>43992.645539833102</v>
      </c>
      <c r="AR160" s="30">
        <v>4.4135521668085903E-2</v>
      </c>
      <c r="AS160" s="29">
        <v>32095.191832742999</v>
      </c>
      <c r="AT160" s="30">
        <v>5.3680970094351202E-2</v>
      </c>
      <c r="AU160" s="29">
        <v>248134.39751031299</v>
      </c>
      <c r="AV160" s="30">
        <v>2.6035946617547E-2</v>
      </c>
      <c r="AW160" s="29">
        <v>156733.93850972399</v>
      </c>
      <c r="AX160" s="30">
        <v>2.4950028836658901E-2</v>
      </c>
      <c r="AY160" s="29">
        <v>91400.459000589093</v>
      </c>
      <c r="AZ160" s="30">
        <v>2.7903449350456199E-2</v>
      </c>
      <c r="BA160" s="29">
        <v>61877.9601902637</v>
      </c>
      <c r="BB160" s="30">
        <v>4.1303538276674899E-2</v>
      </c>
      <c r="BC160" s="29">
        <v>76087.837372576105</v>
      </c>
      <c r="BD160" s="30">
        <v>4.8140789444550698E-2</v>
      </c>
      <c r="BE160" s="29"/>
      <c r="BF160" s="30"/>
    </row>
    <row r="161" spans="1:58" x14ac:dyDescent="0.2">
      <c r="A161" s="28">
        <v>2017</v>
      </c>
      <c r="B161" s="28">
        <v>2</v>
      </c>
      <c r="C161" s="29">
        <v>172105.55431778901</v>
      </c>
      <c r="D161" s="30">
        <v>-3.7450580477990099E-3</v>
      </c>
      <c r="E161" s="29">
        <v>155774.856988502</v>
      </c>
      <c r="F161" s="30">
        <v>8.8120227561543397E-3</v>
      </c>
      <c r="G161" s="29">
        <v>111193.12630189399</v>
      </c>
      <c r="H161" s="30">
        <v>1.96015197058594E-2</v>
      </c>
      <c r="I161" s="29">
        <v>90826.399645124198</v>
      </c>
      <c r="J161" s="30">
        <v>2.09781880414204E-2</v>
      </c>
      <c r="K161" s="29">
        <v>20366.726656770199</v>
      </c>
      <c r="L161" s="30">
        <v>1.35071256711807E-2</v>
      </c>
      <c r="M161" s="29">
        <v>44581.730686607203</v>
      </c>
      <c r="N161" s="30">
        <v>-1.71290678570328E-2</v>
      </c>
      <c r="O161" s="29">
        <v>47566.953609349199</v>
      </c>
      <c r="P161" s="30">
        <v>2.7984734812584299E-2</v>
      </c>
      <c r="Q161" s="29">
        <v>16593.416205167501</v>
      </c>
      <c r="R161" s="30">
        <v>7.4538934598036297E-3</v>
      </c>
      <c r="S161" s="29">
        <v>30973.537404181701</v>
      </c>
      <c r="T161" s="30">
        <v>3.9331726876158199E-2</v>
      </c>
      <c r="U161" s="29">
        <v>-497.31030323193397</v>
      </c>
      <c r="V161" s="30"/>
      <c r="W161" s="29">
        <v>-2487.9126195100398</v>
      </c>
      <c r="X161" s="30"/>
      <c r="Y161" s="29">
        <v>16330.697329287799</v>
      </c>
      <c r="Z161" s="30"/>
      <c r="AA161" s="29">
        <v>113334.1108498</v>
      </c>
      <c r="AB161" s="30">
        <v>-9.0726489414698595E-3</v>
      </c>
      <c r="AC161" s="29">
        <v>83485.619570512004</v>
      </c>
      <c r="AD161" s="30">
        <v>-4.7759082671374698E-3</v>
      </c>
      <c r="AE161" s="29">
        <v>65272.708473472201</v>
      </c>
      <c r="AF161" s="30">
        <v>1.23275612513172E-2</v>
      </c>
      <c r="AG161" s="29">
        <v>52182.914474907397</v>
      </c>
      <c r="AH161" s="30">
        <v>1.6285149399544799E-2</v>
      </c>
      <c r="AI161" s="29">
        <v>29848.491279288301</v>
      </c>
      <c r="AJ161" s="30">
        <v>-2.08958868291187E-2</v>
      </c>
      <c r="AK161" s="29">
        <v>97003.413520512506</v>
      </c>
      <c r="AL161" s="30">
        <v>1.01008025374352E-2</v>
      </c>
      <c r="AM161" s="29">
        <v>63905.7273221695</v>
      </c>
      <c r="AN161" s="30">
        <v>-1.7997646536228699E-2</v>
      </c>
      <c r="AO161" s="29">
        <v>48259.8916188066</v>
      </c>
      <c r="AP161" s="30">
        <v>3.4291111730355699E-2</v>
      </c>
      <c r="AQ161" s="29">
        <v>46321.724662317698</v>
      </c>
      <c r="AR161" s="30">
        <v>4.4043614656443603E-2</v>
      </c>
      <c r="AS161" s="29">
        <v>33097.686198342999</v>
      </c>
      <c r="AT161" s="30">
        <v>6.9169663468579903E-2</v>
      </c>
      <c r="AU161" s="29">
        <v>252022.27548168201</v>
      </c>
      <c r="AV161" s="30">
        <v>1.41968898449967E-2</v>
      </c>
      <c r="AW161" s="29">
        <v>158760.07991124401</v>
      </c>
      <c r="AX161" s="30">
        <v>2.2098878176279601E-2</v>
      </c>
      <c r="AY161" s="29">
        <v>93262.195570438504</v>
      </c>
      <c r="AZ161" s="30">
        <v>1.0227253179953E-3</v>
      </c>
      <c r="BA161" s="29">
        <v>63413.704291150199</v>
      </c>
      <c r="BB161" s="30">
        <v>1.1682987470893901E-2</v>
      </c>
      <c r="BC161" s="29">
        <v>79419.410860660704</v>
      </c>
      <c r="BD161" s="30">
        <v>5.4369838098742101E-2</v>
      </c>
      <c r="BE161" s="29"/>
      <c r="BF161" s="30"/>
    </row>
    <row r="162" spans="1:58" x14ac:dyDescent="0.2">
      <c r="A162" s="28">
        <v>2017</v>
      </c>
      <c r="B162" s="28">
        <v>3</v>
      </c>
      <c r="C162" s="29">
        <v>173640.620088089</v>
      </c>
      <c r="D162" s="30">
        <v>1.02709512380506E-2</v>
      </c>
      <c r="E162" s="29">
        <v>160294.2163074</v>
      </c>
      <c r="F162" s="30">
        <v>4.7266601694631503E-2</v>
      </c>
      <c r="G162" s="29">
        <v>112063.598977077</v>
      </c>
      <c r="H162" s="30">
        <v>2.27859539196145E-2</v>
      </c>
      <c r="I162" s="29">
        <v>91570.929381802998</v>
      </c>
      <c r="J162" s="30">
        <v>2.42133214933682E-2</v>
      </c>
      <c r="K162" s="29">
        <v>20492.669595273499</v>
      </c>
      <c r="L162" s="30">
        <v>1.6456108266366599E-2</v>
      </c>
      <c r="M162" s="29">
        <v>48230.617330323097</v>
      </c>
      <c r="N162" s="30">
        <v>0.10893850607414</v>
      </c>
      <c r="O162" s="29">
        <v>47877.576083596097</v>
      </c>
      <c r="P162" s="30">
        <v>4.9852794109856498E-2</v>
      </c>
      <c r="Q162" s="29">
        <v>16917.6240227202</v>
      </c>
      <c r="R162" s="30">
        <v>6.7625468758629702E-3</v>
      </c>
      <c r="S162" s="29">
        <v>30959.952060875901</v>
      </c>
      <c r="T162" s="30">
        <v>7.49946496864351E-2</v>
      </c>
      <c r="U162" s="29">
        <v>-4248.0051522707499</v>
      </c>
      <c r="V162" s="30"/>
      <c r="W162" s="29">
        <v>4601.0463989977598</v>
      </c>
      <c r="X162" s="30"/>
      <c r="Y162" s="29">
        <v>13346.403780689499</v>
      </c>
      <c r="Z162" s="30"/>
      <c r="AA162" s="29">
        <v>114274.97980395101</v>
      </c>
      <c r="AB162" s="30">
        <v>8.89067950666389E-3</v>
      </c>
      <c r="AC162" s="29">
        <v>81369.944300039497</v>
      </c>
      <c r="AD162" s="30">
        <v>-2.1247555438083099E-3</v>
      </c>
      <c r="AE162" s="29">
        <v>68007.429530501497</v>
      </c>
      <c r="AF162" s="30">
        <v>0.127410949431913</v>
      </c>
      <c r="AG162" s="29">
        <v>51337.443426403202</v>
      </c>
      <c r="AH162" s="30">
        <v>2.4893827662956398E-2</v>
      </c>
      <c r="AI162" s="29">
        <v>32905.035503911298</v>
      </c>
      <c r="AJ162" s="30">
        <v>3.7204029383894402E-2</v>
      </c>
      <c r="AK162" s="29">
        <v>100928.576023261</v>
      </c>
      <c r="AL162" s="30">
        <v>6.8567058761800997E-2</v>
      </c>
      <c r="AM162" s="29">
        <v>65824.825257527496</v>
      </c>
      <c r="AN162" s="30">
        <v>4.9066847293116202E-2</v>
      </c>
      <c r="AO162" s="29">
        <v>47344.871287715803</v>
      </c>
      <c r="AP162" s="30">
        <v>7.4647312381306299E-2</v>
      </c>
      <c r="AQ162" s="29">
        <v>45459.007070550499</v>
      </c>
      <c r="AR162" s="30">
        <v>6.6244498443490701E-2</v>
      </c>
      <c r="AS162" s="29">
        <v>35103.750765733799</v>
      </c>
      <c r="AT162" s="30">
        <v>0.10715768532592899</v>
      </c>
      <c r="AU162" s="29">
        <v>258451.38307664401</v>
      </c>
      <c r="AV162" s="30">
        <v>4.9920520765446098E-2</v>
      </c>
      <c r="AW162" s="29">
        <v>159941.17506067301</v>
      </c>
      <c r="AX162" s="30">
        <v>3.0740776176213701E-2</v>
      </c>
      <c r="AY162" s="29">
        <v>98510.208015971497</v>
      </c>
      <c r="AZ162" s="30">
        <v>8.2628356402301206E-2</v>
      </c>
      <c r="BA162" s="29">
        <v>65605.172512060206</v>
      </c>
      <c r="BB162" s="30">
        <v>0.10694333994885601</v>
      </c>
      <c r="BC162" s="29">
        <v>80562.757836284305</v>
      </c>
      <c r="BD162" s="30">
        <v>8.3693864071340093E-2</v>
      </c>
      <c r="BE162" s="29"/>
      <c r="BF162" s="30"/>
    </row>
    <row r="163" spans="1:58" x14ac:dyDescent="0.2">
      <c r="A163" s="28">
        <v>2017</v>
      </c>
      <c r="B163" s="28">
        <v>4</v>
      </c>
      <c r="C163" s="29">
        <v>179738.65235853201</v>
      </c>
      <c r="D163" s="30">
        <v>2.78080555129325E-2</v>
      </c>
      <c r="E163" s="29">
        <v>161399.418874703</v>
      </c>
      <c r="F163" s="30">
        <v>3.7248417147188503E-2</v>
      </c>
      <c r="G163" s="29">
        <v>114083.98428433501</v>
      </c>
      <c r="H163" s="30">
        <v>1.8368263107829699E-2</v>
      </c>
      <c r="I163" s="29">
        <v>93364.015192624604</v>
      </c>
      <c r="J163" s="30">
        <v>1.80687585026265E-2</v>
      </c>
      <c r="K163" s="29">
        <v>20719.9690917101</v>
      </c>
      <c r="L163" s="30">
        <v>1.9720017396635599E-2</v>
      </c>
      <c r="M163" s="29">
        <v>47315.434590368197</v>
      </c>
      <c r="N163" s="30">
        <v>8.5784668234554898E-2</v>
      </c>
      <c r="O163" s="29">
        <v>50624.240346528903</v>
      </c>
      <c r="P163" s="30">
        <v>5.2160252283484802E-2</v>
      </c>
      <c r="Q163" s="29">
        <v>17681.0204869402</v>
      </c>
      <c r="R163" s="30">
        <v>2.18150537165052E-2</v>
      </c>
      <c r="S163" s="29">
        <v>32943.219859588702</v>
      </c>
      <c r="T163" s="30">
        <v>6.9202183446884794E-2</v>
      </c>
      <c r="U163" s="29">
        <v>2267.2471914380399</v>
      </c>
      <c r="V163" s="30"/>
      <c r="W163" s="29">
        <v>-5576.0529475987996</v>
      </c>
      <c r="X163" s="30"/>
      <c r="Y163" s="29">
        <v>18339.233483828699</v>
      </c>
      <c r="Z163" s="30"/>
      <c r="AA163" s="29">
        <v>121750.715546737</v>
      </c>
      <c r="AB163" s="30">
        <v>-2.1085588490696899E-2</v>
      </c>
      <c r="AC163" s="29">
        <v>88435.712928564593</v>
      </c>
      <c r="AD163" s="30">
        <v>-8.2856502212920197E-3</v>
      </c>
      <c r="AE163" s="29">
        <v>71021.782256538601</v>
      </c>
      <c r="AF163" s="30">
        <v>0.110463483672498</v>
      </c>
      <c r="AG163" s="29">
        <v>54652.888999321098</v>
      </c>
      <c r="AH163" s="30">
        <v>7.8058003534862599E-2</v>
      </c>
      <c r="AI163" s="29">
        <v>33315.002618172497</v>
      </c>
      <c r="AJ163" s="30">
        <v>-5.3513828628896802E-2</v>
      </c>
      <c r="AK163" s="29">
        <v>103411.48206290801</v>
      </c>
      <c r="AL163" s="30">
        <v>-1.6074580789549799E-2</v>
      </c>
      <c r="AM163" s="29">
        <v>65065.501257996701</v>
      </c>
      <c r="AN163" s="30">
        <v>-6.0506698480225003E-2</v>
      </c>
      <c r="AO163" s="29">
        <v>51670.123138241303</v>
      </c>
      <c r="AP163" s="30">
        <v>0.115702380491829</v>
      </c>
      <c r="AQ163" s="29">
        <v>49728.199777296599</v>
      </c>
      <c r="AR163" s="30">
        <v>0.114265171115143</v>
      </c>
      <c r="AS163" s="29">
        <v>38345.980804911698</v>
      </c>
      <c r="AT163" s="30">
        <v>6.97725326740644E-2</v>
      </c>
      <c r="AU163" s="29">
        <v>265545.585749302</v>
      </c>
      <c r="AV163" s="30">
        <v>3.2473093223922098E-2</v>
      </c>
      <c r="AW163" s="29">
        <v>164708.22463086399</v>
      </c>
      <c r="AX163" s="30">
        <v>2.8521121152356801E-2</v>
      </c>
      <c r="AY163" s="29">
        <v>100837.361118438</v>
      </c>
      <c r="AZ163" s="30">
        <v>3.8993992664439599E-2</v>
      </c>
      <c r="BA163" s="29">
        <v>67522.358500265793</v>
      </c>
      <c r="BB163" s="30">
        <v>9.1636233824112803E-2</v>
      </c>
      <c r="BC163" s="29">
        <v>88074.180582208297</v>
      </c>
      <c r="BD163" s="30">
        <v>9.4447039528488E-2</v>
      </c>
      <c r="BE163" s="29"/>
      <c r="BF163" s="30"/>
    </row>
    <row r="164" spans="1:58" x14ac:dyDescent="0.2">
      <c r="A164" s="28">
        <v>2018</v>
      </c>
      <c r="B164" s="28">
        <v>1</v>
      </c>
      <c r="C164" s="29">
        <v>176666.87187394401</v>
      </c>
      <c r="D164" s="30">
        <v>3.7034100908638297E-2</v>
      </c>
      <c r="E164" s="29">
        <v>154816.19782238099</v>
      </c>
      <c r="F164" s="30">
        <v>-3.46099461958694E-2</v>
      </c>
      <c r="G164" s="29">
        <v>113087.660588078</v>
      </c>
      <c r="H164" s="30">
        <v>1.57096482731784E-2</v>
      </c>
      <c r="I164" s="29">
        <v>92434.923000386203</v>
      </c>
      <c r="J164" s="30">
        <v>1.55595565601379E-2</v>
      </c>
      <c r="K164" s="29">
        <v>20652.7375876919</v>
      </c>
      <c r="L164" s="30">
        <v>1.6381953858597899E-2</v>
      </c>
      <c r="M164" s="29">
        <v>41728.537234302799</v>
      </c>
      <c r="N164" s="30">
        <v>-0.14888185058185699</v>
      </c>
      <c r="O164" s="29">
        <v>48000.316469628597</v>
      </c>
      <c r="P164" s="30">
        <v>5.73835810340328E-2</v>
      </c>
      <c r="Q164" s="29">
        <v>15061.7058708109</v>
      </c>
      <c r="R164" s="30">
        <v>8.3452600458957492E-3</v>
      </c>
      <c r="S164" s="29">
        <v>32938.610598817599</v>
      </c>
      <c r="T164" s="30">
        <v>8.1432447637588001E-2</v>
      </c>
      <c r="U164" s="29">
        <v>-3283.5910519648801</v>
      </c>
      <c r="V164" s="30"/>
      <c r="W164" s="29">
        <v>-2988.18818336085</v>
      </c>
      <c r="X164" s="30"/>
      <c r="Y164" s="29">
        <v>21850.674051562899</v>
      </c>
      <c r="Z164" s="30"/>
      <c r="AA164" s="29">
        <v>122490.564894799</v>
      </c>
      <c r="AB164" s="30">
        <v>0.14042604417027901</v>
      </c>
      <c r="AC164" s="29">
        <v>88981.535706197494</v>
      </c>
      <c r="AD164" s="30">
        <v>0.142470043464173</v>
      </c>
      <c r="AE164" s="29">
        <v>73536.584725178807</v>
      </c>
      <c r="AF164" s="30">
        <v>0.14879995188209599</v>
      </c>
      <c r="AG164" s="29">
        <v>54885.105901107403</v>
      </c>
      <c r="AH164" s="30">
        <v>4.636631071149E-2</v>
      </c>
      <c r="AI164" s="29">
        <v>33509.029188601598</v>
      </c>
      <c r="AJ164" s="30">
        <v>0.13503363668125101</v>
      </c>
      <c r="AK164" s="29">
        <v>100639.890843236</v>
      </c>
      <c r="AL164" s="30">
        <v>3.3090103644207898E-2</v>
      </c>
      <c r="AM164" s="29">
        <v>65731.424029364804</v>
      </c>
      <c r="AN164" s="30">
        <v>6.2803961872692797E-3</v>
      </c>
      <c r="AO164" s="29">
        <v>52355.533126902497</v>
      </c>
      <c r="AP164" s="30">
        <v>0.13963414626910101</v>
      </c>
      <c r="AQ164" s="29">
        <v>50513.563470201698</v>
      </c>
      <c r="AR164" s="30">
        <v>0.14822745598384601</v>
      </c>
      <c r="AS164" s="29">
        <v>34908.466813871397</v>
      </c>
      <c r="AT164" s="30">
        <v>8.7654094600499596E-2</v>
      </c>
      <c r="AU164" s="29">
        <v>265372.493209982</v>
      </c>
      <c r="AV164" s="30">
        <v>6.9470802406393903E-2</v>
      </c>
      <c r="AW164" s="29">
        <v>161087.977057707</v>
      </c>
      <c r="AX164" s="30">
        <v>2.7779806909608198E-2</v>
      </c>
      <c r="AY164" s="29">
        <v>104284.516152275</v>
      </c>
      <c r="AZ164" s="30">
        <v>0.14096271826821999</v>
      </c>
      <c r="BA164" s="29">
        <v>70775.486963673597</v>
      </c>
      <c r="BB164" s="30">
        <v>0.14379153330283601</v>
      </c>
      <c r="BC164" s="29">
        <v>85422.030284073102</v>
      </c>
      <c r="BD164" s="30">
        <v>0.122676543765998</v>
      </c>
      <c r="BE164" s="29"/>
      <c r="BF164" s="30"/>
    </row>
    <row r="165" spans="1:58" x14ac:dyDescent="0.2">
      <c r="A165" s="28">
        <v>2018</v>
      </c>
      <c r="B165" s="28">
        <v>2</v>
      </c>
      <c r="C165" s="29">
        <v>182224.97170210199</v>
      </c>
      <c r="D165" s="30">
        <v>5.8797738541473701E-2</v>
      </c>
      <c r="E165" s="29">
        <v>163009.962034809</v>
      </c>
      <c r="F165" s="30">
        <v>4.6445910374620598E-2</v>
      </c>
      <c r="G165" s="29">
        <v>112867.41048190701</v>
      </c>
      <c r="H165" s="30">
        <v>1.5057443168444E-2</v>
      </c>
      <c r="I165" s="29">
        <v>92176.150394654804</v>
      </c>
      <c r="J165" s="30">
        <v>1.48607756643924E-2</v>
      </c>
      <c r="K165" s="29">
        <v>20691.2600872519</v>
      </c>
      <c r="L165" s="30">
        <v>1.5934491386414801E-2</v>
      </c>
      <c r="M165" s="29">
        <v>50142.5515529021</v>
      </c>
      <c r="N165" s="30">
        <v>0.124733176138571</v>
      </c>
      <c r="O165" s="29">
        <v>49458.881490213796</v>
      </c>
      <c r="P165" s="30">
        <v>3.9773997225097397E-2</v>
      </c>
      <c r="Q165" s="29">
        <v>16929.211111008699</v>
      </c>
      <c r="R165" s="30">
        <v>2.0236634921299498E-2</v>
      </c>
      <c r="S165" s="29">
        <v>32529.670379205101</v>
      </c>
      <c r="T165" s="30">
        <v>5.0240725000734197E-2</v>
      </c>
      <c r="U165" s="29">
        <v>2085.5241038490799</v>
      </c>
      <c r="V165" s="30"/>
      <c r="W165" s="29">
        <v>-1401.8540411607501</v>
      </c>
      <c r="X165" s="30"/>
      <c r="Y165" s="29">
        <v>19215.0096672933</v>
      </c>
      <c r="Z165" s="30"/>
      <c r="AA165" s="29">
        <v>122883.417071327</v>
      </c>
      <c r="AB165" s="30">
        <v>8.4258006260638396E-2</v>
      </c>
      <c r="AC165" s="29">
        <v>88722.492524648304</v>
      </c>
      <c r="AD165" s="30">
        <v>6.27278444009534E-2</v>
      </c>
      <c r="AE165" s="29">
        <v>74452.243497402407</v>
      </c>
      <c r="AF165" s="30">
        <v>0.14063358543886501</v>
      </c>
      <c r="AG165" s="29">
        <v>56939.775808212202</v>
      </c>
      <c r="AH165" s="30">
        <v>9.1157448394189905E-2</v>
      </c>
      <c r="AI165" s="29">
        <v>34160.924546678398</v>
      </c>
      <c r="AJ165" s="30">
        <v>0.14447742859226101</v>
      </c>
      <c r="AK165" s="29">
        <v>103668.407404033</v>
      </c>
      <c r="AL165" s="30">
        <v>6.8708859220830504E-2</v>
      </c>
      <c r="AM165" s="29">
        <v>68542.778808375093</v>
      </c>
      <c r="AN165" s="30">
        <v>7.2560812317005396E-2</v>
      </c>
      <c r="AO165" s="29">
        <v>53908.117131884799</v>
      </c>
      <c r="AP165" s="30">
        <v>0.117037675046852</v>
      </c>
      <c r="AQ165" s="29">
        <v>52042.755059921801</v>
      </c>
      <c r="AR165" s="30">
        <v>0.12350642035265399</v>
      </c>
      <c r="AS165" s="29">
        <v>35125.6285956582</v>
      </c>
      <c r="AT165" s="30">
        <v>6.1271424992141797E-2</v>
      </c>
      <c r="AU165" s="29">
        <v>267307.83125383302</v>
      </c>
      <c r="AV165" s="30">
        <v>6.0651606065123903E-2</v>
      </c>
      <c r="AW165" s="29">
        <v>162326.29197212099</v>
      </c>
      <c r="AX165" s="30">
        <v>2.2462901649273E-2</v>
      </c>
      <c r="AY165" s="29">
        <v>104981.53928171301</v>
      </c>
      <c r="AZ165" s="30">
        <v>0.125660173874234</v>
      </c>
      <c r="BA165" s="29">
        <v>70820.614735034207</v>
      </c>
      <c r="BB165" s="30">
        <v>0.11680299277072299</v>
      </c>
      <c r="BC165" s="29">
        <v>87168.383655580095</v>
      </c>
      <c r="BD165" s="30">
        <v>9.7570262873326097E-2</v>
      </c>
      <c r="BE165" s="29"/>
      <c r="BF165" s="30"/>
    </row>
    <row r="166" spans="1:58" x14ac:dyDescent="0.2">
      <c r="A166" s="28">
        <v>2018</v>
      </c>
      <c r="B166" s="28">
        <v>3</v>
      </c>
      <c r="C166" s="29">
        <v>180280.021769232</v>
      </c>
      <c r="D166" s="30">
        <v>3.8236454567917202E-2</v>
      </c>
      <c r="E166" s="29">
        <v>164485.517391845</v>
      </c>
      <c r="F166" s="30">
        <v>2.6147550304670399E-2</v>
      </c>
      <c r="G166" s="29">
        <v>113131.29872531501</v>
      </c>
      <c r="H166" s="30">
        <v>9.5276232245336007E-3</v>
      </c>
      <c r="I166" s="29">
        <v>92352.398081812207</v>
      </c>
      <c r="J166" s="30">
        <v>8.5340260854056497E-3</v>
      </c>
      <c r="K166" s="29">
        <v>20778.900643503199</v>
      </c>
      <c r="L166" s="30">
        <v>1.3967484660742701E-2</v>
      </c>
      <c r="M166" s="29">
        <v>51354.2186665298</v>
      </c>
      <c r="N166" s="30">
        <v>6.4763868038711897E-2</v>
      </c>
      <c r="O166" s="29">
        <v>48088.515927112298</v>
      </c>
      <c r="P166" s="30">
        <v>4.4058171020993101E-3</v>
      </c>
      <c r="Q166" s="29">
        <v>16990.921156330001</v>
      </c>
      <c r="R166" s="30">
        <v>4.33259029230926E-3</v>
      </c>
      <c r="S166" s="29">
        <v>31097.5947707823</v>
      </c>
      <c r="T166" s="30">
        <v>4.4458308474040198E-3</v>
      </c>
      <c r="U166" s="29">
        <v>2695.4416849977001</v>
      </c>
      <c r="V166" s="30"/>
      <c r="W166" s="29">
        <v>570.26105441985396</v>
      </c>
      <c r="X166" s="30"/>
      <c r="Y166" s="29">
        <v>15794.5043773872</v>
      </c>
      <c r="Z166" s="30"/>
      <c r="AA166" s="29">
        <v>118676.007399316</v>
      </c>
      <c r="AB166" s="30">
        <v>3.85126088222996E-2</v>
      </c>
      <c r="AC166" s="29">
        <v>84381.2202554627</v>
      </c>
      <c r="AD166" s="30">
        <v>3.7007226455994899E-2</v>
      </c>
      <c r="AE166" s="29">
        <v>69133.982847123902</v>
      </c>
      <c r="AF166" s="30">
        <v>1.6565150666622501E-2</v>
      </c>
      <c r="AG166" s="29">
        <v>52199.764930620098</v>
      </c>
      <c r="AH166" s="30">
        <v>1.67971259701147E-2</v>
      </c>
      <c r="AI166" s="29">
        <v>34294.787143853799</v>
      </c>
      <c r="AJ166" s="30">
        <v>4.2235226878186899E-2</v>
      </c>
      <c r="AK166" s="29">
        <v>102881.50302192901</v>
      </c>
      <c r="AL166" s="30">
        <v>1.9349594293472699E-2</v>
      </c>
      <c r="AM166" s="29">
        <v>67744.716697456301</v>
      </c>
      <c r="AN166" s="30">
        <v>2.9166677350340099E-2</v>
      </c>
      <c r="AO166" s="29">
        <v>49609.450129598401</v>
      </c>
      <c r="AP166" s="30">
        <v>4.7831555568514698E-2</v>
      </c>
      <c r="AQ166" s="29">
        <v>48213.024832647301</v>
      </c>
      <c r="AR166" s="30">
        <v>6.0582444262865499E-2</v>
      </c>
      <c r="AS166" s="29">
        <v>35136.786324473003</v>
      </c>
      <c r="AT166" s="30">
        <v>9.4108344603016604E-4</v>
      </c>
      <c r="AU166" s="29">
        <v>260934.39124135501</v>
      </c>
      <c r="AV166" s="30">
        <v>9.6072543127945203E-3</v>
      </c>
      <c r="AW166" s="29">
        <v>161219.814652428</v>
      </c>
      <c r="AX166" s="30">
        <v>7.9944366500366293E-3</v>
      </c>
      <c r="AY166" s="29">
        <v>99714.576588927303</v>
      </c>
      <c r="AZ166" s="30">
        <v>1.22258250917564E-2</v>
      </c>
      <c r="BA166" s="29">
        <v>65419.789445073497</v>
      </c>
      <c r="BB166" s="30">
        <v>-2.8257385795702498E-3</v>
      </c>
      <c r="BC166" s="29">
        <v>83349.811157120304</v>
      </c>
      <c r="BD166" s="30">
        <v>3.4594810253389702E-2</v>
      </c>
      <c r="BE166" s="29"/>
      <c r="BF166" s="30"/>
    </row>
    <row r="167" spans="1:58" x14ac:dyDescent="0.2">
      <c r="A167" s="28">
        <v>2018</v>
      </c>
      <c r="B167" s="28">
        <v>4</v>
      </c>
      <c r="C167" s="29">
        <v>185211.37954587699</v>
      </c>
      <c r="D167" s="30">
        <v>3.0448248696273199E-2</v>
      </c>
      <c r="E167" s="29">
        <v>169712.95621438301</v>
      </c>
      <c r="F167" s="30">
        <v>5.15090909102578E-2</v>
      </c>
      <c r="G167" s="29">
        <v>115236.294429249</v>
      </c>
      <c r="H167" s="30">
        <v>1.0100542614665199E-2</v>
      </c>
      <c r="I167" s="29">
        <v>94266.325883646496</v>
      </c>
      <c r="J167" s="30">
        <v>9.6644375154633106E-3</v>
      </c>
      <c r="K167" s="29">
        <v>20969.9685456029</v>
      </c>
      <c r="L167" s="30">
        <v>1.20656287075667E-2</v>
      </c>
      <c r="M167" s="29">
        <v>54476.661785133299</v>
      </c>
      <c r="N167" s="30">
        <v>0.15135076443370399</v>
      </c>
      <c r="O167" s="29">
        <v>50035.289507096699</v>
      </c>
      <c r="P167" s="30">
        <v>-1.1633771398855099E-2</v>
      </c>
      <c r="Q167" s="29">
        <v>17508.108713532201</v>
      </c>
      <c r="R167" s="30">
        <v>-9.7795132094177194E-3</v>
      </c>
      <c r="S167" s="29">
        <v>32527.180793564501</v>
      </c>
      <c r="T167" s="30">
        <v>-1.2628973967858999E-2</v>
      </c>
      <c r="U167" s="29">
        <v>3702.73413045809</v>
      </c>
      <c r="V167" s="30"/>
      <c r="W167" s="29">
        <v>738.63814757851696</v>
      </c>
      <c r="X167" s="30"/>
      <c r="Y167" s="29">
        <v>15498.423331494399</v>
      </c>
      <c r="Z167" s="30"/>
      <c r="AA167" s="29">
        <v>119435.353275036</v>
      </c>
      <c r="AB167" s="30">
        <v>-1.90172374864752E-2</v>
      </c>
      <c r="AC167" s="29">
        <v>84927.392699467397</v>
      </c>
      <c r="AD167" s="30">
        <v>-3.9670853696075703E-2</v>
      </c>
      <c r="AE167" s="29">
        <v>74507.306413070706</v>
      </c>
      <c r="AF167" s="30">
        <v>4.9076833131868697E-2</v>
      </c>
      <c r="AG167" s="29">
        <v>58256.992409360297</v>
      </c>
      <c r="AH167" s="30">
        <v>6.5945341152669396E-2</v>
      </c>
      <c r="AI167" s="29">
        <v>34507.960575569101</v>
      </c>
      <c r="AJ167" s="30">
        <v>3.5808430546120401E-2</v>
      </c>
      <c r="AK167" s="29">
        <v>103936.929943542</v>
      </c>
      <c r="AL167" s="30">
        <v>5.08113673793087E-3</v>
      </c>
      <c r="AM167" s="29">
        <v>65301.1634281765</v>
      </c>
      <c r="AN167" s="30">
        <v>3.6219219958877301E-3</v>
      </c>
      <c r="AO167" s="29">
        <v>52881.917134537704</v>
      </c>
      <c r="AP167" s="30">
        <v>2.3452508387765001E-2</v>
      </c>
      <c r="AQ167" s="29">
        <v>50557.683814125099</v>
      </c>
      <c r="AR167" s="30">
        <v>1.6680355221851999E-2</v>
      </c>
      <c r="AS167" s="29">
        <v>38635.766515365598</v>
      </c>
      <c r="AT167" s="30">
        <v>7.5571338735138703E-3</v>
      </c>
      <c r="AU167" s="29">
        <v>270702.09574491001</v>
      </c>
      <c r="AV167" s="30">
        <v>1.9418549101682898E-2</v>
      </c>
      <c r="AW167" s="29">
        <v>165271.583936346</v>
      </c>
      <c r="AX167" s="30">
        <v>3.42034714262196E-3</v>
      </c>
      <c r="AY167" s="29">
        <v>105430.511808564</v>
      </c>
      <c r="AZ167" s="30">
        <v>4.5550088173475403E-2</v>
      </c>
      <c r="BA167" s="29">
        <v>70922.551232994505</v>
      </c>
      <c r="BB167" s="30">
        <v>5.0356545716859102E-2</v>
      </c>
      <c r="BC167" s="29">
        <v>89193.450329490704</v>
      </c>
      <c r="BD167" s="30">
        <v>1.2708261829784699E-2</v>
      </c>
      <c r="BE167" s="29"/>
      <c r="BF167" s="30"/>
    </row>
    <row r="168" spans="1:58" x14ac:dyDescent="0.2">
      <c r="A168" s="28">
        <v>2019</v>
      </c>
      <c r="B168" s="28">
        <v>1</v>
      </c>
      <c r="C168" s="29">
        <v>180335.30761935201</v>
      </c>
      <c r="D168" s="30">
        <v>2.0764706515130599E-2</v>
      </c>
      <c r="E168" s="29">
        <v>161115.64846717101</v>
      </c>
      <c r="F168" s="30">
        <v>4.0689867942741202E-2</v>
      </c>
      <c r="G168" s="29">
        <v>114134.086681691</v>
      </c>
      <c r="H168" s="30">
        <v>9.2532296465508406E-3</v>
      </c>
      <c r="I168" s="29">
        <v>93093.458693199398</v>
      </c>
      <c r="J168" s="30">
        <v>7.1243169944594804E-3</v>
      </c>
      <c r="K168" s="29">
        <v>21040.6279884914</v>
      </c>
      <c r="L168" s="30">
        <v>1.87815488940637E-2</v>
      </c>
      <c r="M168" s="29">
        <v>46981.56178548</v>
      </c>
      <c r="N168" s="30">
        <v>0.12588566241088001</v>
      </c>
      <c r="O168" s="29">
        <v>47306.869508403601</v>
      </c>
      <c r="P168" s="30">
        <v>-1.44467164432905E-2</v>
      </c>
      <c r="Q168" s="29">
        <v>15090.1138794953</v>
      </c>
      <c r="R168" s="30">
        <v>1.8861083152244E-3</v>
      </c>
      <c r="S168" s="29">
        <v>32216.7556289083</v>
      </c>
      <c r="T168" s="30">
        <v>-2.1915161471177599E-2</v>
      </c>
      <c r="U168" s="29">
        <v>568.52236007264605</v>
      </c>
      <c r="V168" s="30"/>
      <c r="W168" s="29">
        <v>-893.83008299625396</v>
      </c>
      <c r="X168" s="30"/>
      <c r="Y168" s="29">
        <v>19219.659152181499</v>
      </c>
      <c r="Z168" s="30"/>
      <c r="AA168" s="29">
        <v>116388.96784802301</v>
      </c>
      <c r="AB168" s="30">
        <v>-4.9812792128247699E-2</v>
      </c>
      <c r="AC168" s="29">
        <v>82437.897313293695</v>
      </c>
      <c r="AD168" s="30">
        <v>-7.3539283638684894E-2</v>
      </c>
      <c r="AE168" s="29">
        <v>73235.045258211496</v>
      </c>
      <c r="AF168" s="30">
        <v>-4.1005367341200296E-3</v>
      </c>
      <c r="AG168" s="29">
        <v>57745.948394889398</v>
      </c>
      <c r="AH168" s="30">
        <v>5.2124204678346803E-2</v>
      </c>
      <c r="AI168" s="29">
        <v>33951.0705347291</v>
      </c>
      <c r="AJ168" s="30">
        <v>1.31917085284561E-2</v>
      </c>
      <c r="AK168" s="29">
        <v>97169.308695841304</v>
      </c>
      <c r="AL168" s="30">
        <v>-3.4485154130393103E-2</v>
      </c>
      <c r="AM168" s="29">
        <v>63017.398142876402</v>
      </c>
      <c r="AN168" s="30">
        <v>-4.1289625572022801E-2</v>
      </c>
      <c r="AO168" s="29">
        <v>53353.657637444798</v>
      </c>
      <c r="AP168" s="30">
        <v>1.90643557792269E-2</v>
      </c>
      <c r="AQ168" s="29">
        <v>51562.080760552803</v>
      </c>
      <c r="AR168" s="30">
        <v>2.07571435931195E-2</v>
      </c>
      <c r="AS168" s="29">
        <v>34151.9105529648</v>
      </c>
      <c r="AT168" s="30">
        <v>-2.1672572013560099E-2</v>
      </c>
      <c r="AU168" s="29">
        <v>265480.77657279698</v>
      </c>
      <c r="AV168" s="30">
        <v>4.0804290416773798E-4</v>
      </c>
      <c r="AW168" s="29">
        <v>161440.956190094</v>
      </c>
      <c r="AX168" s="30">
        <v>2.1912195983524499E-3</v>
      </c>
      <c r="AY168" s="29">
        <v>104039.82038270299</v>
      </c>
      <c r="AZ168" s="30">
        <v>-2.34642474837676E-3</v>
      </c>
      <c r="BA168" s="29">
        <v>70088.749847973799</v>
      </c>
      <c r="BB168" s="30">
        <v>-9.7030362511278893E-3</v>
      </c>
      <c r="BC168" s="29">
        <v>85713.991313517603</v>
      </c>
      <c r="BD168" s="30">
        <v>3.4178657247270201E-3</v>
      </c>
      <c r="BE168" s="29"/>
      <c r="BF168" s="30"/>
    </row>
    <row r="169" spans="1:58" x14ac:dyDescent="0.2">
      <c r="A169" s="28">
        <v>2019</v>
      </c>
      <c r="B169" s="28">
        <v>2</v>
      </c>
      <c r="C169" s="29">
        <v>182717.05128259401</v>
      </c>
      <c r="D169" s="30">
        <v>2.7003959769929002E-3</v>
      </c>
      <c r="E169" s="29">
        <v>165830.31857846901</v>
      </c>
      <c r="F169" s="30">
        <v>1.7301743454539099E-2</v>
      </c>
      <c r="G169" s="29">
        <v>114528.244407922</v>
      </c>
      <c r="H169" s="30">
        <v>1.4714911230119899E-2</v>
      </c>
      <c r="I169" s="29">
        <v>93436.178746847305</v>
      </c>
      <c r="J169" s="30">
        <v>1.36697871065092E-2</v>
      </c>
      <c r="K169" s="29">
        <v>21092.065661074201</v>
      </c>
      <c r="L169" s="30">
        <v>1.9370766793908499E-2</v>
      </c>
      <c r="M169" s="29">
        <v>51302.074170547698</v>
      </c>
      <c r="N169" s="30">
        <v>2.3124523617875401E-2</v>
      </c>
      <c r="O169" s="29">
        <v>48821.502569060904</v>
      </c>
      <c r="P169" s="30">
        <v>-1.28870468144124E-2</v>
      </c>
      <c r="Q169" s="29">
        <v>16717.796659222</v>
      </c>
      <c r="R169" s="30">
        <v>-1.2488145513717399E-2</v>
      </c>
      <c r="S169" s="29">
        <v>32103.705909838998</v>
      </c>
      <c r="T169" s="30">
        <v>-1.30946445014839E-2</v>
      </c>
      <c r="U169" s="29">
        <v>1254.8688105154399</v>
      </c>
      <c r="V169" s="30"/>
      <c r="W169" s="29">
        <v>1225.70279097138</v>
      </c>
      <c r="X169" s="30"/>
      <c r="Y169" s="29">
        <v>16886.732704124901</v>
      </c>
      <c r="Z169" s="30"/>
      <c r="AA169" s="29">
        <v>121336.176385007</v>
      </c>
      <c r="AB169" s="30">
        <v>-1.2591126802909899E-2</v>
      </c>
      <c r="AC169" s="29">
        <v>88066.461849114407</v>
      </c>
      <c r="AD169" s="30">
        <v>-7.3941867148473702E-3</v>
      </c>
      <c r="AE169" s="29">
        <v>75603.286945557003</v>
      </c>
      <c r="AF169" s="30">
        <v>1.54601580030933E-2</v>
      </c>
      <c r="AG169" s="29">
        <v>58248.027512601097</v>
      </c>
      <c r="AH169" s="30">
        <v>2.2976059983014201E-2</v>
      </c>
      <c r="AI169" s="29">
        <v>33269.714535892403</v>
      </c>
      <c r="AJ169" s="30">
        <v>-2.6088579937825301E-2</v>
      </c>
      <c r="AK169" s="29">
        <v>104449.443680882</v>
      </c>
      <c r="AL169" s="30">
        <v>7.5339854870586399E-3</v>
      </c>
      <c r="AM169" s="29">
        <v>68884.8368822013</v>
      </c>
      <c r="AN169" s="30">
        <v>4.9904319575722099E-3</v>
      </c>
      <c r="AO169" s="29">
        <v>54059.389279325798</v>
      </c>
      <c r="AP169" s="30">
        <v>2.8061107582535399E-3</v>
      </c>
      <c r="AQ169" s="29">
        <v>51886.863095831402</v>
      </c>
      <c r="AR169" s="30">
        <v>-2.9954594815550001E-3</v>
      </c>
      <c r="AS169" s="29">
        <v>35564.606798680601</v>
      </c>
      <c r="AT169" s="30">
        <v>1.2497376433474599E-2</v>
      </c>
      <c r="AU169" s="29">
        <v>268913.65236659098</v>
      </c>
      <c r="AV169" s="30">
        <v>6.0073852128657004E-3</v>
      </c>
      <c r="AW169" s="29">
        <v>163349.74697698199</v>
      </c>
      <c r="AX169" s="30">
        <v>6.3049244360098297E-3</v>
      </c>
      <c r="AY169" s="29">
        <v>105563.905389608</v>
      </c>
      <c r="AZ169" s="30">
        <v>5.5473191942143601E-3</v>
      </c>
      <c r="BA169" s="29">
        <v>72294.190853715903</v>
      </c>
      <c r="BB169" s="30">
        <v>2.0807163623118002E-2</v>
      </c>
      <c r="BC169" s="29">
        <v>87451.469894511902</v>
      </c>
      <c r="BD169" s="30">
        <v>3.2475793063961901E-3</v>
      </c>
      <c r="BE169" s="29"/>
      <c r="BF169" s="30"/>
    </row>
    <row r="170" spans="1:58" x14ac:dyDescent="0.2">
      <c r="A170" s="28">
        <v>2019</v>
      </c>
      <c r="B170" s="28">
        <v>3</v>
      </c>
      <c r="C170" s="29">
        <v>182267.73681068499</v>
      </c>
      <c r="D170" s="30">
        <v>1.10257089052124E-2</v>
      </c>
      <c r="E170" s="29">
        <v>164723.04094538401</v>
      </c>
      <c r="F170" s="30">
        <v>1.4440393130377099E-3</v>
      </c>
      <c r="G170" s="29">
        <v>114582.22593630799</v>
      </c>
      <c r="H170" s="30">
        <v>1.2825161801734999E-2</v>
      </c>
      <c r="I170" s="29">
        <v>93344.745310764702</v>
      </c>
      <c r="J170" s="30">
        <v>1.0745224266655499E-2</v>
      </c>
      <c r="K170" s="29">
        <v>21237.4806255433</v>
      </c>
      <c r="L170" s="30">
        <v>2.2069501650148E-2</v>
      </c>
      <c r="M170" s="29">
        <v>50140.815009076403</v>
      </c>
      <c r="N170" s="30">
        <v>-2.36281203172941E-2</v>
      </c>
      <c r="O170" s="29">
        <v>48768.1724547056</v>
      </c>
      <c r="P170" s="30">
        <v>1.41334477575366E-2</v>
      </c>
      <c r="Q170" s="29">
        <v>16902.0263584852</v>
      </c>
      <c r="R170" s="30">
        <v>-5.2318998497446999E-3</v>
      </c>
      <c r="S170" s="29">
        <v>31866.1460962204</v>
      </c>
      <c r="T170" s="30">
        <v>2.4714172626631101E-2</v>
      </c>
      <c r="U170" s="29">
        <v>2778.6645533471601</v>
      </c>
      <c r="V170" s="30"/>
      <c r="W170" s="29">
        <v>-1406.02199897636</v>
      </c>
      <c r="X170" s="30"/>
      <c r="Y170" s="29">
        <v>17544.695865301001</v>
      </c>
      <c r="Z170" s="30"/>
      <c r="AA170" s="29">
        <v>125536.124866347</v>
      </c>
      <c r="AB170" s="30">
        <v>5.78054285559828E-2</v>
      </c>
      <c r="AC170" s="29">
        <v>91948.065276547204</v>
      </c>
      <c r="AD170" s="30">
        <v>8.9674515231896096E-2</v>
      </c>
      <c r="AE170" s="29">
        <v>73019.441560682098</v>
      </c>
      <c r="AF170" s="30">
        <v>5.6201864170766003E-2</v>
      </c>
      <c r="AG170" s="29">
        <v>56623.4105460715</v>
      </c>
      <c r="AH170" s="30">
        <v>8.4744550503837293E-2</v>
      </c>
      <c r="AI170" s="29">
        <v>33588.059589799799</v>
      </c>
      <c r="AJ170" s="30">
        <v>-2.0607433750486098E-2</v>
      </c>
      <c r="AK170" s="29">
        <v>107991.429001046</v>
      </c>
      <c r="AL170" s="30">
        <v>4.9668072773271198E-2</v>
      </c>
      <c r="AM170" s="29">
        <v>71292.281702680193</v>
      </c>
      <c r="AN170" s="30">
        <v>5.2366666777382997E-2</v>
      </c>
      <c r="AO170" s="29">
        <v>52176.654327573997</v>
      </c>
      <c r="AP170" s="30">
        <v>5.1748289716356803E-2</v>
      </c>
      <c r="AQ170" s="29">
        <v>50191.050852037901</v>
      </c>
      <c r="AR170" s="30">
        <v>4.1026797763811199E-2</v>
      </c>
      <c r="AS170" s="29">
        <v>36699.147298365802</v>
      </c>
      <c r="AT170" s="30">
        <v>4.4465107294249198E-2</v>
      </c>
      <c r="AU170" s="29">
        <v>266379.27040774201</v>
      </c>
      <c r="AV170" s="30">
        <v>2.0866851396949399E-2</v>
      </c>
      <c r="AW170" s="29">
        <v>163350.39839101399</v>
      </c>
      <c r="AX170" s="30">
        <v>1.3215396278548199E-2</v>
      </c>
      <c r="AY170" s="29">
        <v>103028.872016728</v>
      </c>
      <c r="AZ170" s="30">
        <v>3.3237822805628002E-2</v>
      </c>
      <c r="BA170" s="29">
        <v>69440.812426928504</v>
      </c>
      <c r="BB170" s="30">
        <v>6.1464933103018399E-2</v>
      </c>
      <c r="BC170" s="29">
        <v>86890.198150403696</v>
      </c>
      <c r="BD170" s="30">
        <v>4.2476244926452598E-2</v>
      </c>
      <c r="BE170" s="29"/>
      <c r="BF170" s="30"/>
    </row>
    <row r="171" spans="1:58" x14ac:dyDescent="0.2">
      <c r="A171" s="28">
        <v>2019</v>
      </c>
      <c r="B171" s="28">
        <v>4</v>
      </c>
      <c r="C171" s="29">
        <v>186480.67279025799</v>
      </c>
      <c r="D171" s="30">
        <v>6.85321413561857E-3</v>
      </c>
      <c r="E171" s="29">
        <v>172261.692724597</v>
      </c>
      <c r="F171" s="30">
        <v>1.5017925366847399E-2</v>
      </c>
      <c r="G171" s="29">
        <v>116579.07273347701</v>
      </c>
      <c r="H171" s="30">
        <v>1.16523905153123E-2</v>
      </c>
      <c r="I171" s="29">
        <v>95129.568141525393</v>
      </c>
      <c r="J171" s="30">
        <v>9.1574827997904507E-3</v>
      </c>
      <c r="K171" s="29">
        <v>21449.504591951099</v>
      </c>
      <c r="L171" s="30">
        <v>2.2867752295639299E-2</v>
      </c>
      <c r="M171" s="29">
        <v>55682.619991120802</v>
      </c>
      <c r="N171" s="30">
        <v>2.21371531674244E-2</v>
      </c>
      <c r="O171" s="29">
        <v>52703.407415984497</v>
      </c>
      <c r="P171" s="30">
        <v>5.3324722114565203E-2</v>
      </c>
      <c r="Q171" s="29">
        <v>17593.311494286099</v>
      </c>
      <c r="R171" s="30">
        <v>4.8664754227891703E-3</v>
      </c>
      <c r="S171" s="29">
        <v>35110.095921698397</v>
      </c>
      <c r="T171" s="30">
        <v>7.9407900258139402E-2</v>
      </c>
      <c r="U171" s="29">
        <v>4507.1260754250698</v>
      </c>
      <c r="V171" s="30"/>
      <c r="W171" s="29">
        <v>-1527.9135002887899</v>
      </c>
      <c r="X171" s="30"/>
      <c r="Y171" s="29">
        <v>14218.980065661101</v>
      </c>
      <c r="Z171" s="30"/>
      <c r="AA171" s="29">
        <v>120813.60131793001</v>
      </c>
      <c r="AB171" s="30">
        <v>1.15396991351431E-2</v>
      </c>
      <c r="AC171" s="29">
        <v>86889.826379987804</v>
      </c>
      <c r="AD171" s="30">
        <v>2.31071933111726E-2</v>
      </c>
      <c r="AE171" s="29">
        <v>73762.263659492499</v>
      </c>
      <c r="AF171" s="30">
        <v>-9.9995931868431791E-3</v>
      </c>
      <c r="AG171" s="29">
        <v>57541.172547438102</v>
      </c>
      <c r="AH171" s="30">
        <v>-1.22872780127787E-2</v>
      </c>
      <c r="AI171" s="29">
        <v>33923.7749379421</v>
      </c>
      <c r="AJ171" s="30">
        <v>-1.6929010810352099E-2</v>
      </c>
      <c r="AK171" s="29">
        <v>106594.621252269</v>
      </c>
      <c r="AL171" s="30">
        <v>2.5570231006153899E-2</v>
      </c>
      <c r="AM171" s="29">
        <v>66539.079385824007</v>
      </c>
      <c r="AN171" s="30">
        <v>1.8957027603483601E-2</v>
      </c>
      <c r="AO171" s="29">
        <v>52754.113215455</v>
      </c>
      <c r="AP171" s="30">
        <v>-2.4167792320689599E-3</v>
      </c>
      <c r="AQ171" s="29">
        <v>50863.925229449902</v>
      </c>
      <c r="AR171" s="30">
        <v>6.0572675055807802E-3</v>
      </c>
      <c r="AS171" s="29">
        <v>40055.541866444903</v>
      </c>
      <c r="AT171" s="30">
        <v>3.6747694665630902E-2</v>
      </c>
      <c r="AU171" s="29">
        <v>272893.01381072798</v>
      </c>
      <c r="AV171" s="30">
        <v>8.0934654746180907E-3</v>
      </c>
      <c r="AW171" s="29">
        <v>169282.48014946099</v>
      </c>
      <c r="AX171" s="30">
        <v>2.4268516810849201E-2</v>
      </c>
      <c r="AY171" s="29">
        <v>103610.53366126701</v>
      </c>
      <c r="AZ171" s="30">
        <v>-1.7262347645635098E-2</v>
      </c>
      <c r="BA171" s="29">
        <v>69686.758723324907</v>
      </c>
      <c r="BB171" s="30">
        <v>-1.7424535471232801E-2</v>
      </c>
      <c r="BC171" s="29">
        <v>90919.467095894695</v>
      </c>
      <c r="BD171" s="30">
        <v>1.9351384659164E-2</v>
      </c>
      <c r="BE171" s="29"/>
      <c r="BF171" s="30"/>
    </row>
    <row r="172" spans="1:58" x14ac:dyDescent="0.2">
      <c r="A172" s="28">
        <v>2020</v>
      </c>
      <c r="B172" s="28">
        <v>1</v>
      </c>
      <c r="C172" s="29">
        <v>178413.50497224601</v>
      </c>
      <c r="D172" s="30">
        <v>-1.0656829616323599E-2</v>
      </c>
      <c r="E172" s="29">
        <v>166973.210442282</v>
      </c>
      <c r="F172" s="30">
        <v>3.6356257327199798E-2</v>
      </c>
      <c r="G172" s="29">
        <v>113170.39790200201</v>
      </c>
      <c r="H172" s="30">
        <v>-8.4434791367451502E-3</v>
      </c>
      <c r="I172" s="29">
        <v>91437.201157119795</v>
      </c>
      <c r="J172" s="30">
        <v>-1.77913417261455E-2</v>
      </c>
      <c r="K172" s="29">
        <v>21733.1967448826</v>
      </c>
      <c r="L172" s="30">
        <v>3.29157835388754E-2</v>
      </c>
      <c r="M172" s="29">
        <v>53802.812540279498</v>
      </c>
      <c r="N172" s="30">
        <v>0.14518995315535899</v>
      </c>
      <c r="O172" s="29">
        <v>48678.806942771902</v>
      </c>
      <c r="P172" s="30">
        <v>2.90008078874151E-2</v>
      </c>
      <c r="Q172" s="29">
        <v>15338.5998505711</v>
      </c>
      <c r="R172" s="30">
        <v>1.64668055562813E-2</v>
      </c>
      <c r="S172" s="29">
        <v>33340.207092200697</v>
      </c>
      <c r="T172" s="30">
        <v>3.4871651144299499E-2</v>
      </c>
      <c r="U172" s="29">
        <v>3783.82096520308</v>
      </c>
      <c r="V172" s="30"/>
      <c r="W172" s="29">
        <v>1340.18463230456</v>
      </c>
      <c r="X172" s="30"/>
      <c r="Y172" s="29">
        <v>11440.294529963699</v>
      </c>
      <c r="Z172" s="30"/>
      <c r="AA172" s="29">
        <v>113127.359823294</v>
      </c>
      <c r="AB172" s="30">
        <v>-2.8023343492383598E-2</v>
      </c>
      <c r="AC172" s="29">
        <v>83231.594840265097</v>
      </c>
      <c r="AD172" s="30">
        <v>9.6278235233859793E-3</v>
      </c>
      <c r="AE172" s="29">
        <v>72070.704427058605</v>
      </c>
      <c r="AF172" s="30">
        <v>-1.58986838479807E-2</v>
      </c>
      <c r="AG172" s="29">
        <v>58481.625370454698</v>
      </c>
      <c r="AH172" s="30">
        <v>1.27398890487418E-2</v>
      </c>
      <c r="AI172" s="29">
        <v>29895.764983028599</v>
      </c>
      <c r="AJ172" s="30">
        <v>-0.119445587070731</v>
      </c>
      <c r="AK172" s="29">
        <v>101687.06529333</v>
      </c>
      <c r="AL172" s="30">
        <v>4.6493657906224298E-2</v>
      </c>
      <c r="AM172" s="29">
        <v>64955.547676271803</v>
      </c>
      <c r="AN172" s="30">
        <v>3.0755784759648901E-2</v>
      </c>
      <c r="AO172" s="29">
        <v>50733.182702268103</v>
      </c>
      <c r="AP172" s="30">
        <v>-4.9115188184168199E-2</v>
      </c>
      <c r="AQ172" s="29">
        <v>49251.425592289401</v>
      </c>
      <c r="AR172" s="30">
        <v>-4.4813070655425502E-2</v>
      </c>
      <c r="AS172" s="29">
        <v>36731.517617058198</v>
      </c>
      <c r="AT172" s="30">
        <v>7.5533316359936806E-2</v>
      </c>
      <c r="AU172" s="29">
        <v>260612.62721639001</v>
      </c>
      <c r="AV172" s="30">
        <v>-1.8337106811469502E-2</v>
      </c>
      <c r="AW172" s="29">
        <v>161849.20484477401</v>
      </c>
      <c r="AX172" s="30">
        <v>2.52877995964784E-3</v>
      </c>
      <c r="AY172" s="29">
        <v>98763.422371615801</v>
      </c>
      <c r="AZ172" s="30">
        <v>-5.07151780124021E-2</v>
      </c>
      <c r="BA172" s="29">
        <v>68867.657388587206</v>
      </c>
      <c r="BB172" s="30">
        <v>-1.7422089308701001E-2</v>
      </c>
      <c r="BC172" s="29">
        <v>85982.943209347606</v>
      </c>
      <c r="BD172" s="30">
        <v>3.1377828952825499E-3</v>
      </c>
      <c r="BE172" s="29"/>
      <c r="BF172" s="30"/>
    </row>
    <row r="173" spans="1:58" x14ac:dyDescent="0.2">
      <c r="A173" s="28">
        <v>2020</v>
      </c>
      <c r="B173" s="28">
        <v>2</v>
      </c>
      <c r="C173" s="29">
        <v>168021.05899440401</v>
      </c>
      <c r="D173" s="30">
        <v>-8.0430327574961893E-2</v>
      </c>
      <c r="E173" s="29">
        <v>159638.81308170501</v>
      </c>
      <c r="F173" s="30">
        <v>-3.7336390292434102E-2</v>
      </c>
      <c r="G173" s="29">
        <v>106200.34563821901</v>
      </c>
      <c r="H173" s="30">
        <v>-7.2714803346160498E-2</v>
      </c>
      <c r="I173" s="29">
        <v>84439.200268215805</v>
      </c>
      <c r="J173" s="30">
        <v>-9.6290094471945295E-2</v>
      </c>
      <c r="K173" s="29">
        <v>21761.145370002701</v>
      </c>
      <c r="L173" s="30">
        <v>3.1721867344803902E-2</v>
      </c>
      <c r="M173" s="29">
        <v>53438.467443486399</v>
      </c>
      <c r="N173" s="30">
        <v>4.1643409306150597E-2</v>
      </c>
      <c r="O173" s="29">
        <v>45714.329164374903</v>
      </c>
      <c r="P173" s="30">
        <v>-6.3643543135337793E-2</v>
      </c>
      <c r="Q173" s="29">
        <v>16180.3381416836</v>
      </c>
      <c r="R173" s="30">
        <v>-3.2148884718124299E-2</v>
      </c>
      <c r="S173" s="29">
        <v>29533.991022691302</v>
      </c>
      <c r="T173" s="30">
        <v>-8.0044182262463306E-2</v>
      </c>
      <c r="U173" s="29">
        <v>2788.4408761541999</v>
      </c>
      <c r="V173" s="30"/>
      <c r="W173" s="29">
        <v>4935.6974029572302</v>
      </c>
      <c r="X173" s="30"/>
      <c r="Y173" s="29">
        <v>8382.2459126991707</v>
      </c>
      <c r="Z173" s="30"/>
      <c r="AA173" s="29">
        <v>108077.35387592899</v>
      </c>
      <c r="AB173" s="30">
        <v>-0.10927344922265</v>
      </c>
      <c r="AC173" s="29">
        <v>82760.225731838305</v>
      </c>
      <c r="AD173" s="30">
        <v>-6.0252631999311398E-2</v>
      </c>
      <c r="AE173" s="29">
        <v>63082.922506396899</v>
      </c>
      <c r="AF173" s="30">
        <v>-0.165606085991687</v>
      </c>
      <c r="AG173" s="29">
        <v>48933.444337342902</v>
      </c>
      <c r="AH173" s="30">
        <v>-0.159912422326114</v>
      </c>
      <c r="AI173" s="29">
        <v>25317.128144090901</v>
      </c>
      <c r="AJ173" s="30">
        <v>-0.239033803046972</v>
      </c>
      <c r="AK173" s="29">
        <v>99695.107963229995</v>
      </c>
      <c r="AL173" s="30">
        <v>-4.5518056871394E-2</v>
      </c>
      <c r="AM173" s="29">
        <v>68643.714500956805</v>
      </c>
      <c r="AN173" s="30">
        <v>-3.5003694885246098E-3</v>
      </c>
      <c r="AO173" s="29">
        <v>43456.248910074202</v>
      </c>
      <c r="AP173" s="30">
        <v>-0.19613873761068701</v>
      </c>
      <c r="AQ173" s="29">
        <v>42255.5122298926</v>
      </c>
      <c r="AR173" s="30">
        <v>-0.185622145785732</v>
      </c>
      <c r="AS173" s="29">
        <v>31051.393462273201</v>
      </c>
      <c r="AT173" s="30">
        <v>-0.12690182017068799</v>
      </c>
      <c r="AU173" s="29">
        <v>238539.52381041599</v>
      </c>
      <c r="AV173" s="30">
        <v>-0.11295123281717299</v>
      </c>
      <c r="AW173" s="29">
        <v>151914.67480259301</v>
      </c>
      <c r="AX173" s="30">
        <v>-7.0003611184046396E-2</v>
      </c>
      <c r="AY173" s="29">
        <v>86624.849007822195</v>
      </c>
      <c r="AZ173" s="30">
        <v>-0.179408447535993</v>
      </c>
      <c r="BA173" s="29">
        <v>61307.720863731302</v>
      </c>
      <c r="BB173" s="30">
        <v>-0.15196891839089999</v>
      </c>
      <c r="BC173" s="29">
        <v>73306.905692165805</v>
      </c>
      <c r="BD173" s="30">
        <v>-0.16174186916935701</v>
      </c>
      <c r="BE173" s="29"/>
      <c r="BF173" s="30"/>
    </row>
    <row r="174" spans="1:58" x14ac:dyDescent="0.2">
      <c r="A174" s="28">
        <v>2020</v>
      </c>
      <c r="B174" s="28">
        <v>3</v>
      </c>
      <c r="C174" s="29">
        <v>178486.955131447</v>
      </c>
      <c r="D174" s="30">
        <v>-2.0743011052829399E-2</v>
      </c>
      <c r="E174" s="29">
        <v>169617.25333977901</v>
      </c>
      <c r="F174" s="30">
        <v>2.9711765678353E-2</v>
      </c>
      <c r="G174" s="29">
        <v>113469.463463216</v>
      </c>
      <c r="H174" s="30">
        <v>-9.7114754404449295E-3</v>
      </c>
      <c r="I174" s="29">
        <v>91531.747957823696</v>
      </c>
      <c r="J174" s="30">
        <v>-1.9422596814690701E-2</v>
      </c>
      <c r="K174" s="29">
        <v>21937.715505392302</v>
      </c>
      <c r="L174" s="30">
        <v>3.2971654792556503E-2</v>
      </c>
      <c r="M174" s="29">
        <v>56147.789876563402</v>
      </c>
      <c r="N174" s="30">
        <v>0.11980209867748701</v>
      </c>
      <c r="O174" s="29">
        <v>49707.235734761001</v>
      </c>
      <c r="P174" s="30">
        <v>1.9255658614797801E-2</v>
      </c>
      <c r="Q174" s="29">
        <v>16878.606603455399</v>
      </c>
      <c r="R174" s="30">
        <v>-1.3856181816930299E-3</v>
      </c>
      <c r="S174" s="29">
        <v>32828.629131305599</v>
      </c>
      <c r="T174" s="30">
        <v>3.02039359318487E-2</v>
      </c>
      <c r="U174" s="29">
        <v>868.57994490899705</v>
      </c>
      <c r="V174" s="30"/>
      <c r="W174" s="29">
        <v>5571.9741968934004</v>
      </c>
      <c r="X174" s="30"/>
      <c r="Y174" s="29">
        <v>8869.7017916676996</v>
      </c>
      <c r="Z174" s="30"/>
      <c r="AA174" s="29">
        <v>113777.40154881</v>
      </c>
      <c r="AB174" s="30">
        <v>-9.3668044398025799E-2</v>
      </c>
      <c r="AC174" s="29">
        <v>87865.946460981198</v>
      </c>
      <c r="AD174" s="30">
        <v>-4.4395918536060501E-2</v>
      </c>
      <c r="AE174" s="29">
        <v>69430.651462279799</v>
      </c>
      <c r="AF174" s="30">
        <v>-4.9148418855269403E-2</v>
      </c>
      <c r="AG174" s="29">
        <v>52745.733372672497</v>
      </c>
      <c r="AH174" s="30">
        <v>-6.8481872356379897E-2</v>
      </c>
      <c r="AI174" s="29">
        <v>25911.455087828701</v>
      </c>
      <c r="AJ174" s="30">
        <v>-0.22855159231354899</v>
      </c>
      <c r="AK174" s="29">
        <v>104907.69975714201</v>
      </c>
      <c r="AL174" s="30">
        <v>-2.85553147358939E-2</v>
      </c>
      <c r="AM174" s="29">
        <v>71877.634024044994</v>
      </c>
      <c r="AN174" s="30">
        <v>8.2105987827128003E-3</v>
      </c>
      <c r="AO174" s="29">
        <v>48180.308301868099</v>
      </c>
      <c r="AP174" s="30">
        <v>-7.6592607885821798E-2</v>
      </c>
      <c r="AQ174" s="29">
        <v>45848.738540276201</v>
      </c>
      <c r="AR174" s="30">
        <v>-8.6515668392017006E-2</v>
      </c>
      <c r="AS174" s="29">
        <v>33030.065733097101</v>
      </c>
      <c r="AT174" s="30">
        <v>-9.9977297440696694E-2</v>
      </c>
      <c r="AU174" s="29">
        <v>256497.17945991101</v>
      </c>
      <c r="AV174" s="30">
        <v>-3.7097822712346101E-2</v>
      </c>
      <c r="AW174" s="29">
        <v>163176.699197977</v>
      </c>
      <c r="AX174" s="30">
        <v>-1.0633533480632899E-3</v>
      </c>
      <c r="AY174" s="29">
        <v>93320.480261934397</v>
      </c>
      <c r="AZ174" s="30">
        <v>-9.4229816989723506E-2</v>
      </c>
      <c r="BA174" s="29">
        <v>67409.0251741057</v>
      </c>
      <c r="BB174" s="30">
        <v>-2.9259266731086302E-2</v>
      </c>
      <c r="BC174" s="29">
        <v>78878.804273373302</v>
      </c>
      <c r="BD174" s="30">
        <v>-9.2201353519334797E-2</v>
      </c>
      <c r="BE174" s="29"/>
      <c r="BF174" s="30"/>
    </row>
    <row r="175" spans="1:58" x14ac:dyDescent="0.2">
      <c r="A175" s="28">
        <v>2020</v>
      </c>
      <c r="B175" s="28">
        <v>4</v>
      </c>
      <c r="C175" s="29">
        <v>184933.07880181799</v>
      </c>
      <c r="D175" s="30">
        <v>-8.2989511206935703E-3</v>
      </c>
      <c r="E175" s="29">
        <v>173267.58358807</v>
      </c>
      <c r="F175" s="30">
        <v>5.8393183508345103E-3</v>
      </c>
      <c r="G175" s="29">
        <v>114460.478297348</v>
      </c>
      <c r="H175" s="30">
        <v>-1.8173025281919102E-2</v>
      </c>
      <c r="I175" s="29">
        <v>92084.398686435903</v>
      </c>
      <c r="J175" s="30">
        <v>-3.2010756640449799E-2</v>
      </c>
      <c r="K175" s="29">
        <v>22376.079610912398</v>
      </c>
      <c r="L175" s="30">
        <v>4.3197968278904098E-2</v>
      </c>
      <c r="M175" s="29">
        <v>58807.105290721498</v>
      </c>
      <c r="N175" s="30">
        <v>5.6112397371009599E-2</v>
      </c>
      <c r="O175" s="29">
        <v>52056.519884958201</v>
      </c>
      <c r="P175" s="30">
        <v>-1.22741121066509E-2</v>
      </c>
      <c r="Q175" s="29">
        <v>17275.3998349172</v>
      </c>
      <c r="R175" s="30">
        <v>-1.8070029594608801E-2</v>
      </c>
      <c r="S175" s="29">
        <v>34781.120050040998</v>
      </c>
      <c r="T175" s="30">
        <v>-9.3698368808516896E-3</v>
      </c>
      <c r="U175" s="29">
        <v>4476.2011579372902</v>
      </c>
      <c r="V175" s="30"/>
      <c r="W175" s="29">
        <v>2274.3842478259999</v>
      </c>
      <c r="X175" s="30"/>
      <c r="Y175" s="29">
        <v>11665.4952137481</v>
      </c>
      <c r="Z175" s="30"/>
      <c r="AA175" s="29">
        <v>116259.86449786799</v>
      </c>
      <c r="AB175" s="30">
        <v>-3.7692252944921699E-2</v>
      </c>
      <c r="AC175" s="29">
        <v>85532.195534788902</v>
      </c>
      <c r="AD175" s="30">
        <v>-1.5624738841826399E-2</v>
      </c>
      <c r="AE175" s="29">
        <v>71293.128442138201</v>
      </c>
      <c r="AF175" s="30">
        <v>-3.3474233230593002E-2</v>
      </c>
      <c r="AG175" s="29">
        <v>55844.726066923497</v>
      </c>
      <c r="AH175" s="30">
        <v>-2.9482306414871502E-2</v>
      </c>
      <c r="AI175" s="29">
        <v>30727.6689630787</v>
      </c>
      <c r="AJ175" s="30">
        <v>-9.4214337310931304E-2</v>
      </c>
      <c r="AK175" s="29">
        <v>104594.36928412</v>
      </c>
      <c r="AL175" s="30">
        <v>-1.87650365905003E-2</v>
      </c>
      <c r="AM175" s="29">
        <v>66470.059894131395</v>
      </c>
      <c r="AN175" s="30">
        <v>-1.0372775266755999E-3</v>
      </c>
      <c r="AO175" s="29">
        <v>49167.958407932703</v>
      </c>
      <c r="AP175" s="30">
        <v>-6.7978676712391398E-2</v>
      </c>
      <c r="AQ175" s="29">
        <v>47506.711059965797</v>
      </c>
      <c r="AR175" s="30">
        <v>-6.6003835809751402E-2</v>
      </c>
      <c r="AS175" s="29">
        <v>38124.309389988099</v>
      </c>
      <c r="AT175" s="30">
        <v>-4.8213864710554999E-2</v>
      </c>
      <c r="AU175" s="29">
        <v>266087.89809383499</v>
      </c>
      <c r="AV175" s="30">
        <v>-2.4936936354161599E-2</v>
      </c>
      <c r="AW175" s="29">
        <v>166516.998182307</v>
      </c>
      <c r="AX175" s="30">
        <v>-1.6336492498885798E-2</v>
      </c>
      <c r="AY175" s="29">
        <v>99570.899911528002</v>
      </c>
      <c r="AZ175" s="30">
        <v>-3.8988639542633499E-2</v>
      </c>
      <c r="BA175" s="29">
        <v>68843.230948449302</v>
      </c>
      <c r="BB175" s="30">
        <v>-1.2104563195781201E-2</v>
      </c>
      <c r="BC175" s="29">
        <v>85631.020449953896</v>
      </c>
      <c r="BD175" s="30">
        <v>-5.8166274119963703E-2</v>
      </c>
      <c r="BE175" s="29"/>
      <c r="BF175" s="30"/>
    </row>
    <row r="176" spans="1:58" x14ac:dyDescent="0.2">
      <c r="A176" s="28">
        <v>2021</v>
      </c>
      <c r="B176" s="28">
        <v>1</v>
      </c>
      <c r="C176" s="29">
        <v>181476.62547701801</v>
      </c>
      <c r="D176" s="30">
        <v>1.7168658310080701E-2</v>
      </c>
      <c r="E176" s="29">
        <v>162342.72650082401</v>
      </c>
      <c r="F176" s="30">
        <v>-2.77318974055367E-2</v>
      </c>
      <c r="G176" s="29">
        <v>110729.758195287</v>
      </c>
      <c r="H176" s="30">
        <v>-2.1566061019144999E-2</v>
      </c>
      <c r="I176" s="29">
        <v>87912.161288068004</v>
      </c>
      <c r="J176" s="30">
        <v>-3.8551484783470501E-2</v>
      </c>
      <c r="K176" s="29">
        <v>22817.596907218998</v>
      </c>
      <c r="L176" s="30">
        <v>4.9896026574721898E-2</v>
      </c>
      <c r="M176" s="29">
        <v>51612.968305536502</v>
      </c>
      <c r="N176" s="30">
        <v>-4.0701296667409799E-2</v>
      </c>
      <c r="O176" s="29">
        <v>48316.417092926698</v>
      </c>
      <c r="P176" s="30">
        <v>-7.4445096871662599E-3</v>
      </c>
      <c r="Q176" s="29">
        <v>15008.981323743001</v>
      </c>
      <c r="R176" s="30">
        <v>-2.1489479485695701E-2</v>
      </c>
      <c r="S176" s="29">
        <v>33307.435769183699</v>
      </c>
      <c r="T176" s="30">
        <v>-9.8293699635354503E-4</v>
      </c>
      <c r="U176" s="29">
        <v>311.83789201866603</v>
      </c>
      <c r="V176" s="30"/>
      <c r="W176" s="29">
        <v>2984.7133205912301</v>
      </c>
      <c r="X176" s="30"/>
      <c r="Y176" s="29">
        <v>19133.898976194501</v>
      </c>
      <c r="Z176" s="30"/>
      <c r="AA176" s="29">
        <v>125200.267711319</v>
      </c>
      <c r="AB176" s="30">
        <v>0.106719611479343</v>
      </c>
      <c r="AC176" s="29">
        <v>97194.2973173012</v>
      </c>
      <c r="AD176" s="30">
        <v>0.167757238147758</v>
      </c>
      <c r="AE176" s="29">
        <v>79828.710002584499</v>
      </c>
      <c r="AF176" s="30">
        <v>0.107644370028013</v>
      </c>
      <c r="AG176" s="29">
        <v>59560.081862784602</v>
      </c>
      <c r="AH176" s="30">
        <v>1.84409459466695E-2</v>
      </c>
      <c r="AI176" s="29">
        <v>28005.970394018201</v>
      </c>
      <c r="AJ176" s="30">
        <v>-6.3212785827129594E-2</v>
      </c>
      <c r="AK176" s="29">
        <v>106066.368735125</v>
      </c>
      <c r="AL176" s="30">
        <v>4.3066474867399902E-2</v>
      </c>
      <c r="AM176" s="29">
        <v>72503.295494677805</v>
      </c>
      <c r="AN176" s="30">
        <v>0.116198663369336</v>
      </c>
      <c r="AO176" s="29">
        <v>50454.789494533397</v>
      </c>
      <c r="AP176" s="30">
        <v>-5.4873988365444796E-3</v>
      </c>
      <c r="AQ176" s="29">
        <v>48568.473857638099</v>
      </c>
      <c r="AR176" s="30">
        <v>-1.38666389132536E-2</v>
      </c>
      <c r="AS176" s="29">
        <v>33563.073240447098</v>
      </c>
      <c r="AT176" s="30">
        <v>-8.6259555340008898E-2</v>
      </c>
      <c r="AU176" s="29">
        <v>263296.33468308498</v>
      </c>
      <c r="AV176" s="30">
        <v>1.02976877803627E-2</v>
      </c>
      <c r="AW176" s="29">
        <v>159046.175288214</v>
      </c>
      <c r="AX176" s="30">
        <v>-1.7318772491029501E-2</v>
      </c>
      <c r="AY176" s="29">
        <v>104250.15939487101</v>
      </c>
      <c r="AZ176" s="30">
        <v>5.5554342807302197E-2</v>
      </c>
      <c r="BA176" s="29">
        <v>76244.189000852697</v>
      </c>
      <c r="BB176" s="30">
        <v>0.107111696433106</v>
      </c>
      <c r="BC176" s="29">
        <v>82131.547098085197</v>
      </c>
      <c r="BD176" s="30">
        <v>-4.47925596345915E-2</v>
      </c>
      <c r="BE176" s="29"/>
      <c r="BF176" s="30"/>
    </row>
    <row r="177" spans="1:58" x14ac:dyDescent="0.2">
      <c r="A177" s="28">
        <v>2021</v>
      </c>
      <c r="B177" s="28">
        <v>2</v>
      </c>
      <c r="C177" s="29">
        <v>190516.87552611</v>
      </c>
      <c r="D177" s="30">
        <v>0.13388688695537199</v>
      </c>
      <c r="E177" s="29">
        <v>167664.197702342</v>
      </c>
      <c r="F177" s="30">
        <v>5.0272139122768102E-2</v>
      </c>
      <c r="G177" s="29">
        <v>113991.642199333</v>
      </c>
      <c r="H177" s="30">
        <v>7.3364135627732099E-2</v>
      </c>
      <c r="I177" s="29">
        <v>91024.140574704899</v>
      </c>
      <c r="J177" s="30">
        <v>7.7984399254995798E-2</v>
      </c>
      <c r="K177" s="29">
        <v>22967.501624627901</v>
      </c>
      <c r="L177" s="30">
        <v>5.5436248143818902E-2</v>
      </c>
      <c r="M177" s="29">
        <v>53672.555503009098</v>
      </c>
      <c r="N177" s="30">
        <v>4.3805159601610901E-3</v>
      </c>
      <c r="O177" s="29">
        <v>51461.141282651297</v>
      </c>
      <c r="P177" s="30">
        <v>0.12571139560229899</v>
      </c>
      <c r="Q177" s="29">
        <v>16501.923784977898</v>
      </c>
      <c r="R177" s="30">
        <v>1.9875087929455599E-2</v>
      </c>
      <c r="S177" s="29">
        <v>34959.217497673497</v>
      </c>
      <c r="T177" s="30">
        <v>0.183694322613354</v>
      </c>
      <c r="U177" s="29">
        <v>2246.0206736428099</v>
      </c>
      <c r="V177" s="30"/>
      <c r="W177" s="29">
        <v>-34.606453285057803</v>
      </c>
      <c r="X177" s="30"/>
      <c r="Y177" s="29">
        <v>22852.677823767699</v>
      </c>
      <c r="Z177" s="30"/>
      <c r="AA177" s="29">
        <v>131610.61737751801</v>
      </c>
      <c r="AB177" s="30">
        <v>0.21774463065226801</v>
      </c>
      <c r="AC177" s="29">
        <v>101527.398004246</v>
      </c>
      <c r="AD177" s="30">
        <v>0.226765600340641</v>
      </c>
      <c r="AE177" s="29">
        <v>82959.923847387705</v>
      </c>
      <c r="AF177" s="30">
        <v>0.315093222559167</v>
      </c>
      <c r="AG177" s="29">
        <v>61318.6492360837</v>
      </c>
      <c r="AH177" s="30">
        <v>0.25310306818703099</v>
      </c>
      <c r="AI177" s="29">
        <v>30083.219373272299</v>
      </c>
      <c r="AJ177" s="30">
        <v>0.188255603165393</v>
      </c>
      <c r="AK177" s="29">
        <v>108757.93955374999</v>
      </c>
      <c r="AL177" s="30">
        <v>9.0905479473101902E-2</v>
      </c>
      <c r="AM177" s="29">
        <v>72372.549980965094</v>
      </c>
      <c r="AN177" s="30">
        <v>5.4321586573761599E-2</v>
      </c>
      <c r="AO177" s="29">
        <v>52976.245638697801</v>
      </c>
      <c r="AP177" s="30">
        <v>0.219070834860224</v>
      </c>
      <c r="AQ177" s="29">
        <v>50590.203271055499</v>
      </c>
      <c r="AR177" s="30">
        <v>0.197245059906451</v>
      </c>
      <c r="AS177" s="29">
        <v>36385.389572785003</v>
      </c>
      <c r="AT177" s="30">
        <v>0.17177960522101701</v>
      </c>
      <c r="AU177" s="29">
        <v>275246.44769630698</v>
      </c>
      <c r="AV177" s="30">
        <v>0.15388193662642399</v>
      </c>
      <c r="AW177" s="29">
        <v>165452.78348198399</v>
      </c>
      <c r="AX177" s="30">
        <v>8.9116530032288893E-2</v>
      </c>
      <c r="AY177" s="29">
        <v>109793.664214323</v>
      </c>
      <c r="AZ177" s="30">
        <v>0.26746153640520398</v>
      </c>
      <c r="BA177" s="29">
        <v>79710.444841050907</v>
      </c>
      <c r="BB177" s="30">
        <v>0.30016976194928702</v>
      </c>
      <c r="BC177" s="29">
        <v>86975.592843840495</v>
      </c>
      <c r="BD177" s="30">
        <v>0.18645838373089901</v>
      </c>
      <c r="BE177" s="29"/>
      <c r="BF177" s="30"/>
    </row>
    <row r="178" spans="1:58" x14ac:dyDescent="0.2">
      <c r="A178" s="28">
        <v>2021</v>
      </c>
      <c r="B178" s="28">
        <v>3</v>
      </c>
      <c r="C178" s="29">
        <v>194587.90720722399</v>
      </c>
      <c r="D178" s="30">
        <v>9.0208004634958705E-2</v>
      </c>
      <c r="E178" s="29">
        <v>164559.81982477801</v>
      </c>
      <c r="F178" s="30">
        <v>-2.9816739838781699E-2</v>
      </c>
      <c r="G178" s="29">
        <v>116559.693122153</v>
      </c>
      <c r="H178" s="30">
        <v>2.7234020190272299E-2</v>
      </c>
      <c r="I178" s="29">
        <v>93400.718792804997</v>
      </c>
      <c r="J178" s="30">
        <v>2.04188259995042E-2</v>
      </c>
      <c r="K178" s="29">
        <v>23158.974329347599</v>
      </c>
      <c r="L178" s="30">
        <v>5.5669371027039297E-2</v>
      </c>
      <c r="M178" s="29">
        <v>48000.126702625901</v>
      </c>
      <c r="N178" s="30">
        <v>-0.14511102203398499</v>
      </c>
      <c r="O178" s="29">
        <v>51214.2334242957</v>
      </c>
      <c r="P178" s="30">
        <v>3.0317471234491099E-2</v>
      </c>
      <c r="Q178" s="29">
        <v>16686.865447772201</v>
      </c>
      <c r="R178" s="30">
        <v>-1.1360010940950399E-2</v>
      </c>
      <c r="S178" s="29">
        <v>34527.367976523499</v>
      </c>
      <c r="T178" s="30">
        <v>5.1745652808816697E-2</v>
      </c>
      <c r="U178" s="29">
        <v>-698.72965690796298</v>
      </c>
      <c r="V178" s="30"/>
      <c r="W178" s="29">
        <v>-2515.3770647618499</v>
      </c>
      <c r="X178" s="30"/>
      <c r="Y178" s="29">
        <v>30028.087382445901</v>
      </c>
      <c r="Z178" s="30"/>
      <c r="AA178" s="29">
        <v>136223.624451732</v>
      </c>
      <c r="AB178" s="30">
        <v>0.19728190833478601</v>
      </c>
      <c r="AC178" s="29">
        <v>104146.466612534</v>
      </c>
      <c r="AD178" s="30">
        <v>0.185288166887071</v>
      </c>
      <c r="AE178" s="29">
        <v>86112.976291871499</v>
      </c>
      <c r="AF178" s="30">
        <v>0.24027320035524799</v>
      </c>
      <c r="AG178" s="29">
        <v>62277.275646804097</v>
      </c>
      <c r="AH178" s="30">
        <v>0.180707360854894</v>
      </c>
      <c r="AI178" s="29">
        <v>32077.157839198298</v>
      </c>
      <c r="AJ178" s="30">
        <v>0.23795277920404601</v>
      </c>
      <c r="AK178" s="29">
        <v>106195.537069286</v>
      </c>
      <c r="AL178" s="30">
        <v>1.22759083949562E-2</v>
      </c>
      <c r="AM178" s="29">
        <v>68149.042284109804</v>
      </c>
      <c r="AN178" s="30">
        <v>-5.1874157943038297E-2</v>
      </c>
      <c r="AO178" s="29">
        <v>51755.624062276998</v>
      </c>
      <c r="AP178" s="30">
        <v>7.42069921597064E-2</v>
      </c>
      <c r="AQ178" s="29">
        <v>49993.355442573898</v>
      </c>
      <c r="AR178" s="30">
        <v>9.0397621270581194E-2</v>
      </c>
      <c r="AS178" s="29">
        <v>38046.494785176597</v>
      </c>
      <c r="AT178" s="30">
        <v>0.15187463121070399</v>
      </c>
      <c r="AU178" s="29">
        <v>283326.48709188303</v>
      </c>
      <c r="AV178" s="30">
        <v>0.104598840768792</v>
      </c>
      <c r="AW178" s="29">
        <v>167773.926546448</v>
      </c>
      <c r="AX178" s="30">
        <v>2.8173307654014899E-2</v>
      </c>
      <c r="AY178" s="29">
        <v>115552.560545435</v>
      </c>
      <c r="AZ178" s="30">
        <v>0.23823366769115001</v>
      </c>
      <c r="BA178" s="29">
        <v>83475.4027062362</v>
      </c>
      <c r="BB178" s="30">
        <v>0.23834163883298801</v>
      </c>
      <c r="BC178" s="29">
        <v>88039.850227750503</v>
      </c>
      <c r="BD178" s="30">
        <v>0.116140781275378</v>
      </c>
      <c r="BE178" s="29"/>
      <c r="BF178" s="30"/>
    </row>
    <row r="179" spans="1:58" x14ac:dyDescent="0.2">
      <c r="A179" s="28">
        <v>2021</v>
      </c>
      <c r="B179" s="28">
        <v>4</v>
      </c>
      <c r="C179" s="29">
        <v>201697.94426326401</v>
      </c>
      <c r="D179" s="30">
        <v>9.0653687107064701E-2</v>
      </c>
      <c r="E179" s="29">
        <v>182439.89984175001</v>
      </c>
      <c r="F179" s="30">
        <v>5.29372896172371E-2</v>
      </c>
      <c r="G179" s="29">
        <v>119426.31445186801</v>
      </c>
      <c r="H179" s="30">
        <v>4.3384723079864101E-2</v>
      </c>
      <c r="I179" s="29">
        <v>96127.494177032</v>
      </c>
      <c r="J179" s="30">
        <v>4.3906411382057801E-2</v>
      </c>
      <c r="K179" s="29">
        <v>23298.820274835602</v>
      </c>
      <c r="L179" s="30">
        <v>4.1237816452582003E-2</v>
      </c>
      <c r="M179" s="29">
        <v>63013.585389882697</v>
      </c>
      <c r="N179" s="30">
        <v>7.1530133618479E-2</v>
      </c>
      <c r="O179" s="29">
        <v>54715.151489777098</v>
      </c>
      <c r="P179" s="30">
        <v>5.1072019618182002E-2</v>
      </c>
      <c r="Q179" s="29">
        <v>17243.255301592701</v>
      </c>
      <c r="R179" s="30">
        <v>-1.8607113949126201E-3</v>
      </c>
      <c r="S179" s="29">
        <v>37471.896188184401</v>
      </c>
      <c r="T179" s="30">
        <v>7.7363125002071195E-2</v>
      </c>
      <c r="U179" s="29">
        <v>5157.9156619919204</v>
      </c>
      <c r="V179" s="30"/>
      <c r="W179" s="29">
        <v>3140.5182381138102</v>
      </c>
      <c r="X179" s="30"/>
      <c r="Y179" s="29">
        <v>19258.044421513699</v>
      </c>
      <c r="Z179" s="30"/>
      <c r="AA179" s="29">
        <v>144316.45512645901</v>
      </c>
      <c r="AB179" s="30">
        <v>0.24132653818038899</v>
      </c>
      <c r="AC179" s="29">
        <v>107154.37969540901</v>
      </c>
      <c r="AD179" s="30">
        <v>0.25279585102928698</v>
      </c>
      <c r="AE179" s="29">
        <v>87055.531188646099</v>
      </c>
      <c r="AF179" s="30">
        <v>0.221092875161185</v>
      </c>
      <c r="AG179" s="29">
        <v>66141.408944014402</v>
      </c>
      <c r="AH179" s="30">
        <v>0.184380578118539</v>
      </c>
      <c r="AI179" s="29">
        <v>37162.075431049801</v>
      </c>
      <c r="AJ179" s="30">
        <v>0.20940106051332799</v>
      </c>
      <c r="AK179" s="29">
        <v>125058.410704945</v>
      </c>
      <c r="AL179" s="30">
        <v>0.19565146346680901</v>
      </c>
      <c r="AM179" s="29">
        <v>81504.246342446495</v>
      </c>
      <c r="AN179" s="30">
        <v>0.22617982400287401</v>
      </c>
      <c r="AO179" s="29">
        <v>56649.021493500302</v>
      </c>
      <c r="AP179" s="30">
        <v>0.15215321782326899</v>
      </c>
      <c r="AQ179" s="29">
        <v>54621.035579273499</v>
      </c>
      <c r="AR179" s="30">
        <v>0.14975409495992401</v>
      </c>
      <c r="AS179" s="29">
        <v>43554.164362498799</v>
      </c>
      <c r="AT179" s="30">
        <v>0.14242500544643699</v>
      </c>
      <c r="AU179" s="29">
        <v>294715.228543045</v>
      </c>
      <c r="AV179" s="30">
        <v>0.107585991900747</v>
      </c>
      <c r="AW179" s="29">
        <v>174141.465941645</v>
      </c>
      <c r="AX179" s="30">
        <v>4.5787924611700302E-2</v>
      </c>
      <c r="AY179" s="29">
        <v>120573.7626014</v>
      </c>
      <c r="AZ179" s="30">
        <v>0.21093374377989599</v>
      </c>
      <c r="BA179" s="29">
        <v>83411.687170350095</v>
      </c>
      <c r="BB179" s="30">
        <v>0.21161784566459199</v>
      </c>
      <c r="BC179" s="29">
        <v>98175.1999417724</v>
      </c>
      <c r="BD179" s="30">
        <v>0.14649106627369701</v>
      </c>
      <c r="BE179" s="29"/>
      <c r="BF179" s="30"/>
    </row>
    <row r="180" spans="1:58" x14ac:dyDescent="0.2">
      <c r="A180" s="28">
        <v>2022</v>
      </c>
      <c r="B180" s="28">
        <v>1</v>
      </c>
      <c r="C180" s="29">
        <v>199637.42051132201</v>
      </c>
      <c r="D180" s="30">
        <v>0.100072364617577</v>
      </c>
      <c r="E180" s="29">
        <v>168900.93443828</v>
      </c>
      <c r="F180" s="30">
        <v>4.03973006910383E-2</v>
      </c>
      <c r="G180" s="29">
        <v>120113.337029224</v>
      </c>
      <c r="H180" s="30">
        <v>8.4743062631708305E-2</v>
      </c>
      <c r="I180" s="29">
        <v>96875.011126429396</v>
      </c>
      <c r="J180" s="30">
        <v>0.10195233181666701</v>
      </c>
      <c r="K180" s="29">
        <v>23238.325902794699</v>
      </c>
      <c r="L180" s="30">
        <v>1.8438795167013699E-2</v>
      </c>
      <c r="M180" s="29">
        <v>48787.597409056201</v>
      </c>
      <c r="N180" s="30">
        <v>-5.4741492094676901E-2</v>
      </c>
      <c r="O180" s="29">
        <v>50815.806401170899</v>
      </c>
      <c r="P180" s="30">
        <v>5.1729607835720101E-2</v>
      </c>
      <c r="Q180" s="29">
        <v>15010.5181679954</v>
      </c>
      <c r="R180" s="30">
        <v>1.0239497400133E-4</v>
      </c>
      <c r="S180" s="29">
        <v>35805.288233175503</v>
      </c>
      <c r="T180" s="30">
        <v>7.4993838652172004E-2</v>
      </c>
      <c r="U180" s="29">
        <v>-2419.93647081463</v>
      </c>
      <c r="V180" s="30"/>
      <c r="W180" s="29">
        <v>391.72747869996198</v>
      </c>
      <c r="X180" s="30"/>
      <c r="Y180" s="29">
        <v>30736.486073041298</v>
      </c>
      <c r="Z180" s="30"/>
      <c r="AA180" s="29">
        <v>154940.04895437101</v>
      </c>
      <c r="AB180" s="30">
        <v>0.237537680922732</v>
      </c>
      <c r="AC180" s="29">
        <v>122185.154306985</v>
      </c>
      <c r="AD180" s="30">
        <v>0.25712266747603901</v>
      </c>
      <c r="AE180" s="29">
        <v>100289.037899128</v>
      </c>
      <c r="AF180" s="30">
        <v>0.256302875192159</v>
      </c>
      <c r="AG180" s="29">
        <v>68424.731518617205</v>
      </c>
      <c r="AH180" s="30">
        <v>0.148835417591519</v>
      </c>
      <c r="AI180" s="29">
        <v>32754.8946473865</v>
      </c>
      <c r="AJ180" s="30">
        <v>0.169568280854236</v>
      </c>
      <c r="AK180" s="29">
        <v>124203.56288133</v>
      </c>
      <c r="AL180" s="30">
        <v>0.17099853952291499</v>
      </c>
      <c r="AM180" s="29">
        <v>86518.073891206106</v>
      </c>
      <c r="AN180" s="30">
        <v>0.19329850182543901</v>
      </c>
      <c r="AO180" s="29">
        <v>63030.883349165299</v>
      </c>
      <c r="AP180" s="30">
        <v>0.24925470863364599</v>
      </c>
      <c r="AQ180" s="29">
        <v>60013.492365016602</v>
      </c>
      <c r="AR180" s="30">
        <v>0.23564706893870399</v>
      </c>
      <c r="AS180" s="29">
        <v>37685.488990124002</v>
      </c>
      <c r="AT180" s="30">
        <v>0.122825931944426</v>
      </c>
      <c r="AU180" s="29">
        <v>299756.338337277</v>
      </c>
      <c r="AV180" s="30">
        <v>0.13847516600668699</v>
      </c>
      <c r="AW180" s="29">
        <v>170929.14343039499</v>
      </c>
      <c r="AX180" s="30">
        <v>7.4713950968313E-2</v>
      </c>
      <c r="AY180" s="29">
        <v>128827.194906882</v>
      </c>
      <c r="AZ180" s="30">
        <v>0.23575057970818</v>
      </c>
      <c r="BA180" s="29">
        <v>96072.300259495401</v>
      </c>
      <c r="BB180" s="30">
        <v>0.260060622566539</v>
      </c>
      <c r="BC180" s="29">
        <v>97698.981355140597</v>
      </c>
      <c r="BD180" s="30">
        <v>0.189542688614694</v>
      </c>
      <c r="BE180" s="29"/>
      <c r="BF180" s="30"/>
    </row>
    <row r="181" spans="1:58" x14ac:dyDescent="0.2">
      <c r="A181" s="28">
        <v>2022</v>
      </c>
      <c r="B181" s="28">
        <v>2</v>
      </c>
      <c r="C181" s="29">
        <v>204207.29051331399</v>
      </c>
      <c r="D181" s="30">
        <v>7.1859329780621595E-2</v>
      </c>
      <c r="E181" s="29">
        <v>184605.70745857601</v>
      </c>
      <c r="F181" s="30">
        <v>0.101044289647993</v>
      </c>
      <c r="G181" s="29">
        <v>121122.14442418001</v>
      </c>
      <c r="H181" s="30">
        <v>6.2552851132523304E-2</v>
      </c>
      <c r="I181" s="29">
        <v>97946.439389121399</v>
      </c>
      <c r="J181" s="30">
        <v>7.6049043371469796E-2</v>
      </c>
      <c r="K181" s="29">
        <v>23175.705035058101</v>
      </c>
      <c r="L181" s="30">
        <v>9.0651309764995195E-3</v>
      </c>
      <c r="M181" s="29">
        <v>63483.563034396102</v>
      </c>
      <c r="N181" s="30">
        <v>0.18279374699863099</v>
      </c>
      <c r="O181" s="29">
        <v>53714.663646185603</v>
      </c>
      <c r="P181" s="30">
        <v>4.37907575962369E-2</v>
      </c>
      <c r="Q181" s="29">
        <v>16759.3587842956</v>
      </c>
      <c r="R181" s="30">
        <v>1.56003022842759E-2</v>
      </c>
      <c r="S181" s="29">
        <v>36955.304861889999</v>
      </c>
      <c r="T181" s="30">
        <v>5.7097598490280198E-2</v>
      </c>
      <c r="U181" s="29">
        <v>10177.044935701801</v>
      </c>
      <c r="V181" s="30"/>
      <c r="W181" s="29">
        <v>-408.14554749132401</v>
      </c>
      <c r="X181" s="30"/>
      <c r="Y181" s="29">
        <v>19601.583054738399</v>
      </c>
      <c r="Z181" s="30"/>
      <c r="AA181" s="29">
        <v>139358.48898865</v>
      </c>
      <c r="AB181" s="30">
        <v>5.8869654785585798E-2</v>
      </c>
      <c r="AC181" s="29">
        <v>102595.400541512</v>
      </c>
      <c r="AD181" s="30">
        <v>1.05193529851111E-2</v>
      </c>
      <c r="AE181" s="29">
        <v>86885.287037312301</v>
      </c>
      <c r="AF181" s="30">
        <v>4.7316378895738302E-2</v>
      </c>
      <c r="AG181" s="29">
        <v>66813.417733585593</v>
      </c>
      <c r="AH181" s="30">
        <v>8.9610070768950403E-2</v>
      </c>
      <c r="AI181" s="29">
        <v>36763.088447137998</v>
      </c>
      <c r="AJ181" s="30">
        <v>0.22204635052459101</v>
      </c>
      <c r="AK181" s="29">
        <v>119756.905933912</v>
      </c>
      <c r="AL181" s="30">
        <v>0.10113253731444299</v>
      </c>
      <c r="AM181" s="29">
        <v>79183.111704494702</v>
      </c>
      <c r="AN181" s="30">
        <v>9.41042111314421E-2</v>
      </c>
      <c r="AO181" s="29">
        <v>62048.509485292299</v>
      </c>
      <c r="AP181" s="30">
        <v>0.17125154372901499</v>
      </c>
      <c r="AQ181" s="29">
        <v>59579.312623476602</v>
      </c>
      <c r="AR181" s="30">
        <v>0.17768478423102099</v>
      </c>
      <c r="AS181" s="29">
        <v>40573.794229416999</v>
      </c>
      <c r="AT181" s="30">
        <v>0.115112266374215</v>
      </c>
      <c r="AU181" s="29">
        <v>294183.35243050603</v>
      </c>
      <c r="AV181" s="30">
        <v>6.8799815193591102E-2</v>
      </c>
      <c r="AW181" s="29">
        <v>174836.80807036499</v>
      </c>
      <c r="AX181" s="30">
        <v>5.6717236125573001E-2</v>
      </c>
      <c r="AY181" s="29">
        <v>119346.54436014099</v>
      </c>
      <c r="AZ181" s="30">
        <v>8.7007572014080395E-2</v>
      </c>
      <c r="BA181" s="29">
        <v>82583.455913002603</v>
      </c>
      <c r="BB181" s="30">
        <v>3.6043094197764303E-2</v>
      </c>
      <c r="BC181" s="29">
        <v>100153.10685289399</v>
      </c>
      <c r="BD181" s="30">
        <v>0.15150818267732299</v>
      </c>
      <c r="BE181" s="29"/>
      <c r="BF181" s="30"/>
    </row>
    <row r="182" spans="1:58" x14ac:dyDescent="0.2">
      <c r="A182" s="28">
        <v>2022</v>
      </c>
      <c r="B182" s="28">
        <v>3</v>
      </c>
      <c r="C182" s="29">
        <v>205117.94364216799</v>
      </c>
      <c r="D182" s="30">
        <v>5.4114546921610697E-2</v>
      </c>
      <c r="E182" s="29">
        <v>169743.01852612899</v>
      </c>
      <c r="F182" s="30">
        <v>3.1497352797719598E-2</v>
      </c>
      <c r="G182" s="29">
        <v>122545.246772563</v>
      </c>
      <c r="H182" s="30">
        <v>5.1351830895242097E-2</v>
      </c>
      <c r="I182" s="29">
        <v>99156.287012140194</v>
      </c>
      <c r="J182" s="30">
        <v>6.1622311837909997E-2</v>
      </c>
      <c r="K182" s="29">
        <v>23388.959760422498</v>
      </c>
      <c r="L182" s="30">
        <v>9.9307261109351508E-3</v>
      </c>
      <c r="M182" s="29">
        <v>47197.771753565998</v>
      </c>
      <c r="N182" s="30">
        <v>-1.67156839820586E-2</v>
      </c>
      <c r="O182" s="29">
        <v>54183.606417200703</v>
      </c>
      <c r="P182" s="30">
        <v>5.7979448180051303E-2</v>
      </c>
      <c r="Q182" s="29">
        <v>16508.176309439801</v>
      </c>
      <c r="R182" s="30">
        <v>-1.0708370537989601E-2</v>
      </c>
      <c r="S182" s="29">
        <v>37675.430107760898</v>
      </c>
      <c r="T182" s="30">
        <v>9.1175850223446306E-2</v>
      </c>
      <c r="U182" s="29">
        <v>-3032.0953644608999</v>
      </c>
      <c r="V182" s="30"/>
      <c r="W182" s="29">
        <v>-3953.7392991738502</v>
      </c>
      <c r="X182" s="30"/>
      <c r="Y182" s="29">
        <v>35374.9251160391</v>
      </c>
      <c r="Z182" s="30"/>
      <c r="AA182" s="29">
        <v>160501.01921855699</v>
      </c>
      <c r="AB182" s="30">
        <v>0.178217213530587</v>
      </c>
      <c r="AC182" s="29">
        <v>121877.681254535</v>
      </c>
      <c r="AD182" s="30">
        <v>0.170252676050622</v>
      </c>
      <c r="AE182" s="29">
        <v>95283.620490924397</v>
      </c>
      <c r="AF182" s="30">
        <v>0.106495496892012</v>
      </c>
      <c r="AG182" s="29">
        <v>66984.340947149496</v>
      </c>
      <c r="AH182" s="30">
        <v>7.5582389426293001E-2</v>
      </c>
      <c r="AI182" s="29">
        <v>38623.337964022503</v>
      </c>
      <c r="AJ182" s="30">
        <v>0.20407606427102701</v>
      </c>
      <c r="AK182" s="29">
        <v>125126.09410251801</v>
      </c>
      <c r="AL182" s="30">
        <v>0.178261323928147</v>
      </c>
      <c r="AM182" s="29">
        <v>85264.413929968796</v>
      </c>
      <c r="AN182" s="30">
        <v>0.25114618008138601</v>
      </c>
      <c r="AO182" s="29">
        <v>60750.001752152297</v>
      </c>
      <c r="AP182" s="30">
        <v>0.17378551322369101</v>
      </c>
      <c r="AQ182" s="29">
        <v>59152.703206066697</v>
      </c>
      <c r="AR182" s="30">
        <v>0.18321130243025699</v>
      </c>
      <c r="AS182" s="29">
        <v>39861.680172549197</v>
      </c>
      <c r="AT182" s="30">
        <v>4.7709661497643302E-2</v>
      </c>
      <c r="AU182" s="29">
        <v>307164.42238524498</v>
      </c>
      <c r="AV182" s="30">
        <v>8.4135922264235705E-2</v>
      </c>
      <c r="AW182" s="29">
        <v>176728.853189763</v>
      </c>
      <c r="AX182" s="30">
        <v>5.3374960148148798E-2</v>
      </c>
      <c r="AY182" s="29">
        <v>130435.569195481</v>
      </c>
      <c r="AZ182" s="30">
        <v>0.12879860541207699</v>
      </c>
      <c r="BA182" s="29">
        <v>91812.231231458703</v>
      </c>
      <c r="BB182" s="30">
        <v>9.9871677823000701E-2</v>
      </c>
      <c r="BC182" s="29">
        <v>99014.383378615894</v>
      </c>
      <c r="BD182" s="30">
        <v>0.124654155163546</v>
      </c>
      <c r="BE182" s="29"/>
      <c r="BF182" s="30"/>
    </row>
    <row r="183" spans="1:58" x14ac:dyDescent="0.2">
      <c r="A183" s="28">
        <v>2022</v>
      </c>
      <c r="B183" s="28">
        <v>4</v>
      </c>
      <c r="C183" s="29">
        <v>210741.03205271999</v>
      </c>
      <c r="D183" s="30">
        <v>4.4834803956418999E-2</v>
      </c>
      <c r="E183" s="29">
        <v>184204.477044425</v>
      </c>
      <c r="F183" s="30">
        <v>9.6721013561449406E-3</v>
      </c>
      <c r="G183" s="29">
        <v>125145.075317314</v>
      </c>
      <c r="H183" s="30">
        <v>4.7885266255549598E-2</v>
      </c>
      <c r="I183" s="29">
        <v>101381.97507453999</v>
      </c>
      <c r="J183" s="30">
        <v>5.4661581917766898E-2</v>
      </c>
      <c r="K183" s="29">
        <v>23763.100242774799</v>
      </c>
      <c r="L183" s="30">
        <v>1.99271878345109E-2</v>
      </c>
      <c r="M183" s="29">
        <v>59059.401727110402</v>
      </c>
      <c r="N183" s="30">
        <v>-6.2751288286592599E-2</v>
      </c>
      <c r="O183" s="29">
        <v>56508.894286394498</v>
      </c>
      <c r="P183" s="30">
        <v>3.2783292155420099E-2</v>
      </c>
      <c r="Q183" s="29">
        <v>17435.154044939602</v>
      </c>
      <c r="R183" s="30">
        <v>1.11289162046591E-2</v>
      </c>
      <c r="S183" s="29">
        <v>39073.740241454798</v>
      </c>
      <c r="T183" s="30">
        <v>4.2747878175846098E-2</v>
      </c>
      <c r="U183" s="29">
        <v>2093.38719903631</v>
      </c>
      <c r="V183" s="30"/>
      <c r="W183" s="29">
        <v>457.12024167959999</v>
      </c>
      <c r="X183" s="30"/>
      <c r="Y183" s="29">
        <v>26536.555008295501</v>
      </c>
      <c r="Z183" s="30"/>
      <c r="AA183" s="29">
        <v>159690.44638861701</v>
      </c>
      <c r="AB183" s="30">
        <v>0.106529717963805</v>
      </c>
      <c r="AC183" s="29">
        <v>118906.087669833</v>
      </c>
      <c r="AD183" s="30">
        <v>0.10967081334265801</v>
      </c>
      <c r="AE183" s="29">
        <v>94900.817249499698</v>
      </c>
      <c r="AF183" s="30">
        <v>9.0118180358386604E-2</v>
      </c>
      <c r="AG183" s="29">
        <v>65187.125571136698</v>
      </c>
      <c r="AH183" s="30">
        <v>-1.442792628874E-2</v>
      </c>
      <c r="AI183" s="29">
        <v>40784.358718784097</v>
      </c>
      <c r="AJ183" s="30">
        <v>9.7472577775021593E-2</v>
      </c>
      <c r="AK183" s="29">
        <v>133153.891380321</v>
      </c>
      <c r="AL183" s="30">
        <v>6.4733596323048398E-2</v>
      </c>
      <c r="AM183" s="29">
        <v>88463.422817690502</v>
      </c>
      <c r="AN183" s="30">
        <v>8.5384219688437596E-2</v>
      </c>
      <c r="AO183" s="29">
        <v>62365.174078616103</v>
      </c>
      <c r="AP183" s="30">
        <v>0.100904701165432</v>
      </c>
      <c r="AQ183" s="29">
        <v>60149.204636085902</v>
      </c>
      <c r="AR183" s="30">
        <v>0.101209524832042</v>
      </c>
      <c r="AS183" s="29">
        <v>44690.468562630798</v>
      </c>
      <c r="AT183" s="30">
        <v>2.6089450153940399E-2</v>
      </c>
      <c r="AU183" s="29">
        <v>313487.31805240101</v>
      </c>
      <c r="AV183" s="30">
        <v>6.3695688893165694E-2</v>
      </c>
      <c r="AW183" s="29">
        <v>181653.969603709</v>
      </c>
      <c r="AX183" s="30">
        <v>4.3140234414826603E-2</v>
      </c>
      <c r="AY183" s="29">
        <v>131833.34844869201</v>
      </c>
      <c r="AZ183" s="30">
        <v>9.3383382954669303E-2</v>
      </c>
      <c r="BA183" s="29">
        <v>91048.989729907698</v>
      </c>
      <c r="BB183" s="30">
        <v>9.1561540338588099E-2</v>
      </c>
      <c r="BC183" s="29">
        <v>104839.67319871701</v>
      </c>
      <c r="BD183" s="30">
        <v>6.7883470172680899E-2</v>
      </c>
      <c r="BE183" s="29"/>
      <c r="BF183" s="30"/>
    </row>
    <row r="184" spans="1:58" x14ac:dyDescent="0.2">
      <c r="A184" s="28">
        <v>2023</v>
      </c>
      <c r="B184" s="28">
        <v>1</v>
      </c>
      <c r="C184" s="29">
        <v>207392.577930439</v>
      </c>
      <c r="D184" s="30">
        <v>3.8846211292723497E-2</v>
      </c>
      <c r="E184" s="29">
        <v>183163.44938151701</v>
      </c>
      <c r="F184" s="30">
        <v>8.4443078960278403E-2</v>
      </c>
      <c r="G184" s="29">
        <v>125119.419568297</v>
      </c>
      <c r="H184" s="30">
        <v>4.1677990661892303E-2</v>
      </c>
      <c r="I184" s="29">
        <v>101052.61573176</v>
      </c>
      <c r="J184" s="30">
        <v>4.3123655489221598E-2</v>
      </c>
      <c r="K184" s="29">
        <v>24066.803836536699</v>
      </c>
      <c r="L184" s="30">
        <v>3.5651360481283999E-2</v>
      </c>
      <c r="M184" s="29">
        <v>58044.029813219902</v>
      </c>
      <c r="N184" s="30">
        <v>0.18972921184361199</v>
      </c>
      <c r="O184" s="29">
        <v>54792.6701692594</v>
      </c>
      <c r="P184" s="30">
        <v>7.8260369159406401E-2</v>
      </c>
      <c r="Q184" s="29">
        <v>15549.1264983698</v>
      </c>
      <c r="R184" s="30">
        <v>3.5882061121829997E-2</v>
      </c>
      <c r="S184" s="29">
        <v>39243.543670889703</v>
      </c>
      <c r="T184" s="30">
        <v>9.6026470037699194E-2</v>
      </c>
      <c r="U184" s="29">
        <v>2642.8217447156198</v>
      </c>
      <c r="V184" s="30"/>
      <c r="W184" s="29">
        <v>608.53789924489695</v>
      </c>
      <c r="X184" s="30"/>
      <c r="Y184" s="29">
        <v>24229.128548921799</v>
      </c>
      <c r="Z184" s="30"/>
      <c r="AA184" s="29">
        <v>155996.77036443801</v>
      </c>
      <c r="AB184" s="30">
        <v>6.8201954058844097E-3</v>
      </c>
      <c r="AC184" s="29">
        <v>118172.43446008299</v>
      </c>
      <c r="AD184" s="30">
        <v>-3.28413044093755E-2</v>
      </c>
      <c r="AE184" s="29">
        <v>91308.816882145504</v>
      </c>
      <c r="AF184" s="30">
        <v>-8.9543395819738802E-2</v>
      </c>
      <c r="AG184" s="29">
        <v>70973.002516746303</v>
      </c>
      <c r="AH184" s="30">
        <v>3.72419583032748E-2</v>
      </c>
      <c r="AI184" s="29">
        <v>37824.335904354899</v>
      </c>
      <c r="AJ184" s="30">
        <v>0.15476896847148999</v>
      </c>
      <c r="AK184" s="29">
        <v>131767.64181551599</v>
      </c>
      <c r="AL184" s="30">
        <v>6.0900659841881102E-2</v>
      </c>
      <c r="AM184" s="29">
        <v>92121.211514829702</v>
      </c>
      <c r="AN184" s="30">
        <v>6.4762625560404102E-2</v>
      </c>
      <c r="AO184" s="29">
        <v>64433.516243635997</v>
      </c>
      <c r="AP184" s="30">
        <v>2.2253105461028402E-2</v>
      </c>
      <c r="AQ184" s="29">
        <v>61636.513806069997</v>
      </c>
      <c r="AR184" s="30">
        <v>2.70442758302036E-2</v>
      </c>
      <c r="AS184" s="29">
        <v>39646.430300685999</v>
      </c>
      <c r="AT184" s="30">
        <v>5.2034386792112301E-2</v>
      </c>
      <c r="AU184" s="29">
        <v>306032.70029247901</v>
      </c>
      <c r="AV184" s="30">
        <v>2.0938212649702598E-2</v>
      </c>
      <c r="AW184" s="29">
        <v>179912.089737556</v>
      </c>
      <c r="AX184" s="30">
        <v>5.2553626180308302E-2</v>
      </c>
      <c r="AY184" s="29">
        <v>126120.610554923</v>
      </c>
      <c r="AZ184" s="30">
        <v>-2.10094177236065E-2</v>
      </c>
      <c r="BA184" s="29">
        <v>88296.274650567895</v>
      </c>
      <c r="BB184" s="30">
        <v>-8.0939309123692696E-2</v>
      </c>
      <c r="BC184" s="29">
        <v>101282.944106756</v>
      </c>
      <c r="BD184" s="30">
        <v>3.6683726912028397E-2</v>
      </c>
      <c r="BE184" s="29"/>
      <c r="BF184" s="30"/>
    </row>
    <row r="185" spans="1:58" x14ac:dyDescent="0.2">
      <c r="A185" s="28">
        <v>2023</v>
      </c>
      <c r="B185" s="28">
        <v>2</v>
      </c>
      <c r="C185" s="29">
        <v>207764.86587616199</v>
      </c>
      <c r="D185" s="30">
        <v>1.7421392516913499E-2</v>
      </c>
      <c r="E185" s="29">
        <v>183299.56519985199</v>
      </c>
      <c r="F185" s="30">
        <v>-7.0753081077763501E-3</v>
      </c>
      <c r="G185" s="29">
        <v>125010.967409852</v>
      </c>
      <c r="H185" s="30">
        <v>3.2106622650716503E-2</v>
      </c>
      <c r="I185" s="29">
        <v>100784.581368264</v>
      </c>
      <c r="J185" s="30">
        <v>2.89764691482821E-2</v>
      </c>
      <c r="K185" s="29">
        <v>24226.386041587801</v>
      </c>
      <c r="L185" s="30">
        <v>4.5335449555489002E-2</v>
      </c>
      <c r="M185" s="29">
        <v>58288.597789999898</v>
      </c>
      <c r="N185" s="30">
        <v>-8.1831658402372498E-2</v>
      </c>
      <c r="O185" s="29">
        <v>56044.941870690003</v>
      </c>
      <c r="P185" s="30">
        <v>4.3382534047942602E-2</v>
      </c>
      <c r="Q185" s="29">
        <v>16860.753531609302</v>
      </c>
      <c r="R185" s="30">
        <v>6.0500373921630298E-3</v>
      </c>
      <c r="S185" s="29">
        <v>39184.1883390808</v>
      </c>
      <c r="T185" s="30">
        <v>6.0312950617525299E-2</v>
      </c>
      <c r="U185" s="29">
        <v>3776.0862175914799</v>
      </c>
      <c r="V185" s="30"/>
      <c r="W185" s="29">
        <v>-1532.4302982816</v>
      </c>
      <c r="X185" s="30"/>
      <c r="Y185" s="29">
        <v>24465.3006763097</v>
      </c>
      <c r="Z185" s="30"/>
      <c r="AA185" s="29">
        <v>147616.92368511701</v>
      </c>
      <c r="AB185" s="30">
        <v>5.9260363372190199E-2</v>
      </c>
      <c r="AC185" s="29">
        <v>109282.292640978</v>
      </c>
      <c r="AD185" s="30">
        <v>6.5177308769899495E-2</v>
      </c>
      <c r="AE185" s="29">
        <v>86725.174188282996</v>
      </c>
      <c r="AF185" s="30">
        <v>-1.84280738993869E-3</v>
      </c>
      <c r="AG185" s="29">
        <v>65508.010717814497</v>
      </c>
      <c r="AH185" s="30">
        <v>-1.95380966885472E-2</v>
      </c>
      <c r="AI185" s="29">
        <v>38334.631044139198</v>
      </c>
      <c r="AJ185" s="30">
        <v>4.2747839297040201E-2</v>
      </c>
      <c r="AK185" s="29">
        <v>123151.623008807</v>
      </c>
      <c r="AL185" s="30">
        <v>2.83467333129741E-2</v>
      </c>
      <c r="AM185" s="29">
        <v>81346.866054907296</v>
      </c>
      <c r="AN185" s="30">
        <v>2.7325957566400699E-2</v>
      </c>
      <c r="AO185" s="29">
        <v>58570.205565042903</v>
      </c>
      <c r="AP185" s="30">
        <v>-5.6057815878298202E-2</v>
      </c>
      <c r="AQ185" s="29">
        <v>56303.4376528301</v>
      </c>
      <c r="AR185" s="30">
        <v>-5.4983430093411903E-2</v>
      </c>
      <c r="AS185" s="29">
        <v>41804.756953899901</v>
      </c>
      <c r="AT185" s="30">
        <v>3.0338861520385701E-2</v>
      </c>
      <c r="AU185" s="29">
        <v>302096.97426530003</v>
      </c>
      <c r="AV185" s="30">
        <v>2.6900304756925598E-2</v>
      </c>
      <c r="AW185" s="29">
        <v>181055.90928054199</v>
      </c>
      <c r="AX185" s="30">
        <v>3.5570891958140803E-2</v>
      </c>
      <c r="AY185" s="29">
        <v>121041.06498475801</v>
      </c>
      <c r="AZ185" s="30">
        <v>1.41983216498005E-2</v>
      </c>
      <c r="BA185" s="29">
        <v>82706.433940618896</v>
      </c>
      <c r="BB185" s="30">
        <v>1.48913636825632E-3</v>
      </c>
      <c r="BC185" s="29">
        <v>98108.194606730001</v>
      </c>
      <c r="BD185" s="30">
        <v>-2.0417861316745299E-2</v>
      </c>
      <c r="BE185" s="29"/>
      <c r="BF185" s="30"/>
    </row>
    <row r="186" spans="1:58" x14ac:dyDescent="0.2">
      <c r="A186" s="28">
        <v>2023</v>
      </c>
      <c r="B186" s="28">
        <v>3</v>
      </c>
      <c r="C186" s="29">
        <v>207293.36781984899</v>
      </c>
      <c r="D186" s="30">
        <v>1.06057234147996E-2</v>
      </c>
      <c r="E186" s="29">
        <v>183158.15669258501</v>
      </c>
      <c r="F186" s="30">
        <v>7.9032046695876698E-2</v>
      </c>
      <c r="G186" s="29">
        <v>125946.19150389099</v>
      </c>
      <c r="H186" s="30">
        <v>2.7752563407379399E-2</v>
      </c>
      <c r="I186" s="29">
        <v>101337.045375537</v>
      </c>
      <c r="J186" s="30">
        <v>2.1993142634815398E-2</v>
      </c>
      <c r="K186" s="29">
        <v>24609.146128354299</v>
      </c>
      <c r="L186" s="30">
        <v>5.21693303349271E-2</v>
      </c>
      <c r="M186" s="29">
        <v>57211.965188693503</v>
      </c>
      <c r="N186" s="30">
        <v>0.21217513164423801</v>
      </c>
      <c r="O186" s="29">
        <v>55841.137062748297</v>
      </c>
      <c r="P186" s="30">
        <v>3.0590998922903598E-2</v>
      </c>
      <c r="Q186" s="29">
        <v>16783.9808263431</v>
      </c>
      <c r="R186" s="30">
        <v>1.6707146309405101E-2</v>
      </c>
      <c r="S186" s="29">
        <v>39057.156236405201</v>
      </c>
      <c r="T186" s="30">
        <v>3.6674461968776197E-2</v>
      </c>
      <c r="U186" s="29">
        <v>4160.4677911932204</v>
      </c>
      <c r="V186" s="30"/>
      <c r="W186" s="29">
        <v>-2789.6396652479898</v>
      </c>
      <c r="X186" s="30"/>
      <c r="Y186" s="29">
        <v>24135.211127264301</v>
      </c>
      <c r="Z186" s="30"/>
      <c r="AA186" s="29">
        <v>139380.01090699999</v>
      </c>
      <c r="AB186" s="30">
        <v>-0.131594231702644</v>
      </c>
      <c r="AC186" s="29">
        <v>100244.28189138199</v>
      </c>
      <c r="AD186" s="30">
        <v>-0.177500910260776</v>
      </c>
      <c r="AE186" s="29">
        <v>81143.859510349794</v>
      </c>
      <c r="AF186" s="30">
        <v>-0.14839655449408001</v>
      </c>
      <c r="AG186" s="29">
        <v>63833.366616471401</v>
      </c>
      <c r="AH186" s="30">
        <v>-4.70404617873919E-2</v>
      </c>
      <c r="AI186" s="29">
        <v>39135.729015617697</v>
      </c>
      <c r="AJ186" s="30">
        <v>1.3266358595741099E-2</v>
      </c>
      <c r="AK186" s="29">
        <v>115244.799779735</v>
      </c>
      <c r="AL186" s="30">
        <v>-7.8970692673317605E-2</v>
      </c>
      <c r="AM186" s="29">
        <v>73116.905861456995</v>
      </c>
      <c r="AN186" s="30">
        <v>-0.14246867489746801</v>
      </c>
      <c r="AO186" s="29">
        <v>55600.041627869898</v>
      </c>
      <c r="AP186" s="30">
        <v>-8.4773003716003201E-2</v>
      </c>
      <c r="AQ186" s="29">
        <v>54056.245796314601</v>
      </c>
      <c r="AR186" s="30">
        <v>-8.6157641722607897E-2</v>
      </c>
      <c r="AS186" s="29">
        <v>42127.893918278503</v>
      </c>
      <c r="AT186" s="30">
        <v>5.6851937397508899E-2</v>
      </c>
      <c r="AU186" s="29">
        <v>299317.03974324901</v>
      </c>
      <c r="AV186" s="30">
        <v>-2.55478241296885E-2</v>
      </c>
      <c r="AW186" s="29">
        <v>181787.32856664</v>
      </c>
      <c r="AX186" s="30">
        <v>2.8622804287902901E-2</v>
      </c>
      <c r="AY186" s="29">
        <v>117529.71117660899</v>
      </c>
      <c r="AZ186" s="30">
        <v>-9.8944314794455604E-2</v>
      </c>
      <c r="BA186" s="29">
        <v>78393.9821609918</v>
      </c>
      <c r="BB186" s="30">
        <v>-0.14614881797872301</v>
      </c>
      <c r="BC186" s="29">
        <v>96184.139714593199</v>
      </c>
      <c r="BD186" s="30">
        <v>-2.8584166940679199E-2</v>
      </c>
      <c r="BE186" s="29"/>
      <c r="BF186" s="30"/>
    </row>
    <row r="187" spans="1:58" x14ac:dyDescent="0.2">
      <c r="A187" s="28">
        <v>2023</v>
      </c>
      <c r="B187" s="28">
        <v>4</v>
      </c>
      <c r="C187" s="29">
        <v>211738.99966246501</v>
      </c>
      <c r="D187" s="30">
        <v>4.7355163824713796E-3</v>
      </c>
      <c r="E187" s="29">
        <v>193639.59944186499</v>
      </c>
      <c r="F187" s="30">
        <v>5.12209179105063E-2</v>
      </c>
      <c r="G187" s="29">
        <v>128987.697800319</v>
      </c>
      <c r="H187" s="30">
        <v>3.0705343164815699E-2</v>
      </c>
      <c r="I187" s="29">
        <v>103943.538072838</v>
      </c>
      <c r="J187" s="30">
        <v>2.5266453888032499E-2</v>
      </c>
      <c r="K187" s="29">
        <v>25044.159727481099</v>
      </c>
      <c r="L187" s="30">
        <v>5.3909610767048498E-2</v>
      </c>
      <c r="M187" s="29">
        <v>64651.901641545803</v>
      </c>
      <c r="N187" s="30">
        <v>9.4692796589374906E-2</v>
      </c>
      <c r="O187" s="29">
        <v>57652.301382653597</v>
      </c>
      <c r="P187" s="30">
        <v>2.0234108465547702E-2</v>
      </c>
      <c r="Q187" s="29">
        <v>17440.9736285502</v>
      </c>
      <c r="R187" s="30">
        <v>3.3378446761034303E-4</v>
      </c>
      <c r="S187" s="29">
        <v>40211.327754103302</v>
      </c>
      <c r="T187" s="30">
        <v>2.91138628045025E-2</v>
      </c>
      <c r="U187" s="29">
        <v>8287.7480392340804</v>
      </c>
      <c r="V187" s="30"/>
      <c r="W187" s="29">
        <v>-1288.14778034182</v>
      </c>
      <c r="X187" s="30"/>
      <c r="Y187" s="29">
        <v>18099.400220599899</v>
      </c>
      <c r="Z187" s="30"/>
      <c r="AA187" s="29">
        <v>143598.04431767701</v>
      </c>
      <c r="AB187" s="30">
        <v>-0.100772478472368</v>
      </c>
      <c r="AC187" s="29">
        <v>105137.912396111</v>
      </c>
      <c r="AD187" s="30">
        <v>-0.11579033120618699</v>
      </c>
      <c r="AE187" s="29">
        <v>83965.409920775201</v>
      </c>
      <c r="AF187" s="30">
        <v>-0.11522985413260201</v>
      </c>
      <c r="AG187" s="29">
        <v>63911.925964863498</v>
      </c>
      <c r="AH187" s="30">
        <v>-1.9562138920846E-2</v>
      </c>
      <c r="AI187" s="29">
        <v>38460.131921566201</v>
      </c>
      <c r="AJ187" s="30">
        <v>-5.6988190331589701E-2</v>
      </c>
      <c r="AK187" s="29">
        <v>125498.64409707701</v>
      </c>
      <c r="AL187" s="30">
        <v>-5.7491727833764203E-2</v>
      </c>
      <c r="AM187" s="29">
        <v>80619.971969881502</v>
      </c>
      <c r="AN187" s="30">
        <v>-8.8663207888452694E-2</v>
      </c>
      <c r="AO187" s="29">
        <v>60151.474117935002</v>
      </c>
      <c r="AP187" s="30">
        <v>-3.5495771372184598E-2</v>
      </c>
      <c r="AQ187" s="29">
        <v>57573.209501487298</v>
      </c>
      <c r="AR187" s="30">
        <v>-4.2826753074854798E-2</v>
      </c>
      <c r="AS187" s="29">
        <v>44878.672127195699</v>
      </c>
      <c r="AT187" s="30">
        <v>4.2112685460253801E-3</v>
      </c>
      <c r="AU187" s="29">
        <v>305903.133251914</v>
      </c>
      <c r="AV187" s="30">
        <v>-2.4192955707442801E-2</v>
      </c>
      <c r="AW187" s="29">
        <v>186639.999182973</v>
      </c>
      <c r="AX187" s="30">
        <v>2.7447952776046301E-2</v>
      </c>
      <c r="AY187" s="29">
        <v>119263.134068941</v>
      </c>
      <c r="AZ187" s="30">
        <v>-9.5349276398322802E-2</v>
      </c>
      <c r="BA187" s="29">
        <v>80803.002147374893</v>
      </c>
      <c r="BB187" s="30">
        <v>-0.112532688313479</v>
      </c>
      <c r="BC187" s="29">
        <v>102451.881628683</v>
      </c>
      <c r="BD187" s="30">
        <v>-2.27756487327818E-2</v>
      </c>
      <c r="BE187" s="29"/>
      <c r="BF187" s="30"/>
    </row>
    <row r="188" spans="1:58" x14ac:dyDescent="0.2">
      <c r="A188" s="28">
        <v>2024</v>
      </c>
      <c r="B188" s="28">
        <v>1</v>
      </c>
      <c r="C188" s="29">
        <v>208817.70960822399</v>
      </c>
      <c r="D188" s="30">
        <v>6.8716619080901901E-3</v>
      </c>
      <c r="E188" s="29">
        <v>184886.011534597</v>
      </c>
      <c r="F188" s="30">
        <v>9.4045081532210303E-3</v>
      </c>
      <c r="G188" s="29">
        <v>129178.90703508101</v>
      </c>
      <c r="H188" s="30">
        <v>3.2444903283526803E-2</v>
      </c>
      <c r="I188" s="29">
        <v>104004.297678788</v>
      </c>
      <c r="J188" s="30">
        <v>2.9209357181439102E-2</v>
      </c>
      <c r="K188" s="29">
        <v>25174.6093562934</v>
      </c>
      <c r="L188" s="30">
        <v>4.6030437912777403E-2</v>
      </c>
      <c r="M188" s="29">
        <v>55707.104499516099</v>
      </c>
      <c r="N188" s="30">
        <v>-4.0261252039595297E-2</v>
      </c>
      <c r="O188" s="29">
        <v>54836.878909511703</v>
      </c>
      <c r="P188" s="30">
        <v>8.0683675600634597E-4</v>
      </c>
      <c r="Q188" s="29">
        <v>15386.526990701699</v>
      </c>
      <c r="R188" s="30">
        <v>-1.0457147395713601E-2</v>
      </c>
      <c r="S188" s="29">
        <v>39450.351918810004</v>
      </c>
      <c r="T188" s="30">
        <v>5.2698668003763301E-3</v>
      </c>
      <c r="U188" s="29">
        <v>3331.4027816248699</v>
      </c>
      <c r="V188" s="30"/>
      <c r="W188" s="29">
        <v>-2461.1771916204898</v>
      </c>
      <c r="X188" s="30"/>
      <c r="Y188" s="29">
        <v>23931.6980736265</v>
      </c>
      <c r="Z188" s="30"/>
      <c r="AA188" s="29">
        <v>153014.19681152099</v>
      </c>
      <c r="AB188" s="30">
        <v>-1.9119457062785599E-2</v>
      </c>
      <c r="AC188" s="29">
        <v>113858.802011605</v>
      </c>
      <c r="AD188" s="30">
        <v>-3.65028652256029E-2</v>
      </c>
      <c r="AE188" s="29">
        <v>84030.273139285302</v>
      </c>
      <c r="AF188" s="30">
        <v>-7.9713482130151295E-2</v>
      </c>
      <c r="AG188" s="29">
        <v>65525.9081085297</v>
      </c>
      <c r="AH188" s="30">
        <v>-7.6748823003949598E-2</v>
      </c>
      <c r="AI188" s="29">
        <v>39155.394799916598</v>
      </c>
      <c r="AJ188" s="30">
        <v>3.5190542377994599E-2</v>
      </c>
      <c r="AK188" s="29">
        <v>129082.498737895</v>
      </c>
      <c r="AL188" s="30">
        <v>-2.03778639476613E-2</v>
      </c>
      <c r="AM188" s="29">
        <v>86892.926310297</v>
      </c>
      <c r="AN188" s="30">
        <v>-5.6754412133312199E-2</v>
      </c>
      <c r="AO188" s="29">
        <v>59346.938083838999</v>
      </c>
      <c r="AP188" s="30">
        <v>-7.8943047909470404E-2</v>
      </c>
      <c r="AQ188" s="29">
        <v>56982.454182630499</v>
      </c>
      <c r="AR188" s="30">
        <v>-7.55081580065146E-2</v>
      </c>
      <c r="AS188" s="29">
        <v>42189.572427597901</v>
      </c>
      <c r="AT188" s="30">
        <v>6.4145551254533306E-2</v>
      </c>
      <c r="AU188" s="29">
        <v>304658.333436827</v>
      </c>
      <c r="AV188" s="30">
        <v>-4.4909150373082501E-3</v>
      </c>
      <c r="AW188" s="29">
        <v>184015.78594459299</v>
      </c>
      <c r="AX188" s="30">
        <v>2.28094521775766E-2</v>
      </c>
      <c r="AY188" s="29">
        <v>120642.54749223401</v>
      </c>
      <c r="AZ188" s="30">
        <v>-4.3435113726338202E-2</v>
      </c>
      <c r="BA188" s="29">
        <v>81487.152692317904</v>
      </c>
      <c r="BB188" s="30">
        <v>-7.7116752492639495E-2</v>
      </c>
      <c r="BC188" s="29">
        <v>99172.026610228495</v>
      </c>
      <c r="BD188" s="30">
        <v>-2.0841786493711299E-2</v>
      </c>
      <c r="BE188" s="29"/>
      <c r="BF188" s="30"/>
    </row>
    <row r="189" spans="1:58" x14ac:dyDescent="0.2">
      <c r="A189" s="28">
        <v>2024</v>
      </c>
      <c r="B189" s="28">
        <v>2</v>
      </c>
      <c r="C189" s="29">
        <v>213160.36547572399</v>
      </c>
      <c r="D189" s="30">
        <v>2.5969258935138399E-2</v>
      </c>
      <c r="E189" s="29">
        <v>183028.32081555499</v>
      </c>
      <c r="F189" s="30">
        <v>-1.4797873852073801E-3</v>
      </c>
      <c r="G189" s="29">
        <v>129441.74470029199</v>
      </c>
      <c r="H189" s="30">
        <v>3.5443108570736702E-2</v>
      </c>
      <c r="I189" s="29">
        <v>104218.88083856901</v>
      </c>
      <c r="J189" s="30">
        <v>3.4075643552618801E-2</v>
      </c>
      <c r="K189" s="29">
        <v>25222.863861723199</v>
      </c>
      <c r="L189" s="30">
        <v>4.1131921964123297E-2</v>
      </c>
      <c r="M189" s="29">
        <v>53586.576115263</v>
      </c>
      <c r="N189" s="30">
        <v>-8.0667949702224795E-2</v>
      </c>
      <c r="O189" s="29">
        <v>56807.176158011804</v>
      </c>
      <c r="P189" s="30">
        <v>1.36004117745434E-2</v>
      </c>
      <c r="Q189" s="29">
        <v>16699.3685688201</v>
      </c>
      <c r="R189" s="30">
        <v>-9.5716340605214202E-3</v>
      </c>
      <c r="S189" s="29">
        <v>40107.807589191703</v>
      </c>
      <c r="T189" s="30">
        <v>2.3571223221938099E-2</v>
      </c>
      <c r="U189" s="29">
        <v>-374.14122328558</v>
      </c>
      <c r="V189" s="30"/>
      <c r="W189" s="29">
        <v>-2846.4588194631801</v>
      </c>
      <c r="X189" s="30"/>
      <c r="Y189" s="29">
        <v>30132.044660168802</v>
      </c>
      <c r="Z189" s="30"/>
      <c r="AA189" s="29">
        <v>153849.807276462</v>
      </c>
      <c r="AB189" s="30">
        <v>4.2223367319590602E-2</v>
      </c>
      <c r="AC189" s="29">
        <v>111586.26322245901</v>
      </c>
      <c r="AD189" s="30">
        <v>2.10827438352756E-2</v>
      </c>
      <c r="AE189" s="29">
        <v>91603.188917667198</v>
      </c>
      <c r="AF189" s="30">
        <v>5.6246813858151598E-2</v>
      </c>
      <c r="AG189" s="29">
        <v>71333.480263869904</v>
      </c>
      <c r="AH189" s="30">
        <v>8.8927590415612795E-2</v>
      </c>
      <c r="AI189" s="29">
        <v>42263.544054002501</v>
      </c>
      <c r="AJ189" s="30">
        <v>0.102489913241619</v>
      </c>
      <c r="AK189" s="29">
        <v>123717.762616293</v>
      </c>
      <c r="AL189" s="30">
        <v>4.5970941645252497E-3</v>
      </c>
      <c r="AM189" s="29">
        <v>78989.138387428204</v>
      </c>
      <c r="AN189" s="30">
        <v>-2.8983632459640401E-2</v>
      </c>
      <c r="AO189" s="29">
        <v>61119.927042154799</v>
      </c>
      <c r="AP189" s="30">
        <v>4.3532739086605203E-2</v>
      </c>
      <c r="AQ189" s="29">
        <v>58563.033871812302</v>
      </c>
      <c r="AR189" s="30">
        <v>4.0132473489717498E-2</v>
      </c>
      <c r="AS189" s="29">
        <v>44728.624228864501</v>
      </c>
      <c r="AT189" s="30">
        <v>6.99410183914939E-2</v>
      </c>
      <c r="AU189" s="29">
        <v>316826.16479968699</v>
      </c>
      <c r="AV189" s="30">
        <v>4.8756498042416899E-2</v>
      </c>
      <c r="AW189" s="29">
        <v>186248.92085830399</v>
      </c>
      <c r="AX189" s="30">
        <v>2.8681812145194802E-2</v>
      </c>
      <c r="AY189" s="29">
        <v>130577.243941382</v>
      </c>
      <c r="AZ189" s="30">
        <v>7.8784658395273793E-2</v>
      </c>
      <c r="BA189" s="29">
        <v>88313.699887379902</v>
      </c>
      <c r="BB189" s="30">
        <v>6.7797215761797203E-2</v>
      </c>
      <c r="BC189" s="29">
        <v>103291.658100677</v>
      </c>
      <c r="BD189" s="30">
        <v>5.2834154320390098E-2</v>
      </c>
      <c r="BE189" s="29"/>
      <c r="BF189" s="30"/>
    </row>
    <row r="190" spans="1:58" x14ac:dyDescent="0.2">
      <c r="A190" s="28">
        <v>2024</v>
      </c>
      <c r="B190" s="28">
        <v>3</v>
      </c>
      <c r="C190" s="29">
        <v>214032.611491252</v>
      </c>
      <c r="D190" s="30">
        <v>3.2510657443030701E-2</v>
      </c>
      <c r="E190" s="29">
        <v>190467.429440165</v>
      </c>
      <c r="F190" s="30">
        <v>3.9906891833644001E-2</v>
      </c>
      <c r="G190" s="29">
        <v>130766.085959875</v>
      </c>
      <c r="H190" s="30">
        <v>3.8269473641330903E-2</v>
      </c>
      <c r="I190" s="29">
        <v>105280.971575997</v>
      </c>
      <c r="J190" s="30">
        <v>3.8918898669725303E-2</v>
      </c>
      <c r="K190" s="29">
        <v>25485.114383878601</v>
      </c>
      <c r="L190" s="30">
        <v>3.5595231584042202E-2</v>
      </c>
      <c r="M190" s="29">
        <v>59701.343480290001</v>
      </c>
      <c r="N190" s="30">
        <v>4.3511497697834599E-2</v>
      </c>
      <c r="O190" s="29">
        <v>56043.8306875122</v>
      </c>
      <c r="P190" s="30">
        <v>3.6298262432599101E-3</v>
      </c>
      <c r="Q190" s="29">
        <v>16805.104623785199</v>
      </c>
      <c r="R190" s="30">
        <v>1.25856896886467E-3</v>
      </c>
      <c r="S190" s="29">
        <v>39238.726063727001</v>
      </c>
      <c r="T190" s="30">
        <v>4.6488235401156404E-3</v>
      </c>
      <c r="U190" s="29">
        <v>5471.6734248215798</v>
      </c>
      <c r="V190" s="30"/>
      <c r="W190" s="29">
        <v>-1814.16063204381</v>
      </c>
      <c r="X190" s="30"/>
      <c r="Y190" s="29">
        <v>23565.1820510869</v>
      </c>
      <c r="Z190" s="30"/>
      <c r="AA190" s="29">
        <v>143209.61786541701</v>
      </c>
      <c r="AB190" s="30">
        <v>2.7476012761773701E-2</v>
      </c>
      <c r="AC190" s="29">
        <v>101821.04343316299</v>
      </c>
      <c r="AD190" s="30">
        <v>1.5729191850461E-2</v>
      </c>
      <c r="AE190" s="29">
        <v>82220.831632952497</v>
      </c>
      <c r="AF190" s="30">
        <v>1.3272379809163201E-2</v>
      </c>
      <c r="AG190" s="29">
        <v>65291.894944845299</v>
      </c>
      <c r="AH190" s="30">
        <v>2.28489958415805E-2</v>
      </c>
      <c r="AI190" s="29">
        <v>41388.574432253299</v>
      </c>
      <c r="AJ190" s="30">
        <v>5.7564927837082398E-2</v>
      </c>
      <c r="AK190" s="29">
        <v>119644.43581433001</v>
      </c>
      <c r="AL190" s="30">
        <v>3.8176438702684397E-2</v>
      </c>
      <c r="AM190" s="29">
        <v>75158.804950639897</v>
      </c>
      <c r="AN190" s="30">
        <v>2.7926497505952799E-2</v>
      </c>
      <c r="AO190" s="29">
        <v>56156.889375251398</v>
      </c>
      <c r="AP190" s="30">
        <v>1.0015239756625801E-2</v>
      </c>
      <c r="AQ190" s="29">
        <v>54054.674245525697</v>
      </c>
      <c r="AR190" s="30">
        <v>-2.90725107853218E-5</v>
      </c>
      <c r="AS190" s="29">
        <v>44485.630863689803</v>
      </c>
      <c r="AT190" s="30">
        <v>5.5966171724246998E-2</v>
      </c>
      <c r="AU190" s="29">
        <v>307101.243175646</v>
      </c>
      <c r="AV190" s="30">
        <v>2.6006549573904799E-2</v>
      </c>
      <c r="AW190" s="29">
        <v>186809.91664738799</v>
      </c>
      <c r="AX190" s="30">
        <v>2.7628922875704499E-2</v>
      </c>
      <c r="AY190" s="29">
        <v>120291.326528259</v>
      </c>
      <c r="AZ190" s="30">
        <v>2.34971678565545E-2</v>
      </c>
      <c r="BA190" s="29">
        <v>78902.752096005293</v>
      </c>
      <c r="BB190" s="30">
        <v>6.4899105899314203E-3</v>
      </c>
      <c r="BC190" s="29">
        <v>98540.305109215493</v>
      </c>
      <c r="BD190" s="30">
        <v>2.4496402438216401E-2</v>
      </c>
      <c r="BE190" s="29"/>
      <c r="BF190" s="30"/>
    </row>
    <row r="191" spans="1:58" x14ac:dyDescent="0.2">
      <c r="A191" s="28">
        <v>2024</v>
      </c>
      <c r="B191" s="28">
        <v>4</v>
      </c>
      <c r="C191" s="29">
        <v>217946.298203721</v>
      </c>
      <c r="D191" s="30">
        <v>2.9315801770816802E-2</v>
      </c>
      <c r="E191" s="29">
        <v>192672.86782551199</v>
      </c>
      <c r="F191" s="30">
        <v>-4.9924272676627997E-3</v>
      </c>
      <c r="G191" s="29">
        <v>133444.98577552501</v>
      </c>
      <c r="H191" s="30">
        <v>3.4555915418428097E-2</v>
      </c>
      <c r="I191" s="29">
        <v>107582.35403582</v>
      </c>
      <c r="J191" s="30">
        <v>3.5007620776117902E-2</v>
      </c>
      <c r="K191" s="29">
        <v>25862.631739704801</v>
      </c>
      <c r="L191" s="30">
        <v>3.2681152856789901E-2</v>
      </c>
      <c r="M191" s="29">
        <v>59227.882049987398</v>
      </c>
      <c r="N191" s="30">
        <v>-8.3895747129468998E-2</v>
      </c>
      <c r="O191" s="29">
        <v>58185.241554194101</v>
      </c>
      <c r="P191" s="30">
        <v>9.2440398519961792E-3</v>
      </c>
      <c r="Q191" s="29">
        <v>17323.365885882798</v>
      </c>
      <c r="R191" s="30">
        <v>-6.74318677226149E-3</v>
      </c>
      <c r="S191" s="29">
        <v>40861.875668311302</v>
      </c>
      <c r="T191" s="30">
        <v>1.6178225155511199E-2</v>
      </c>
      <c r="U191" s="29">
        <v>4081.3130253888698</v>
      </c>
      <c r="V191" s="30"/>
      <c r="W191" s="29">
        <v>-3038.6725295955498</v>
      </c>
      <c r="X191" s="30"/>
      <c r="Y191" s="29">
        <v>25273.430378208599</v>
      </c>
      <c r="Z191" s="30"/>
      <c r="AA191" s="29">
        <v>157963.303286134</v>
      </c>
      <c r="AB191" s="30">
        <v>0.100037984756096</v>
      </c>
      <c r="AC191" s="29">
        <v>114789.38289305499</v>
      </c>
      <c r="AD191" s="30">
        <v>9.1798194171684999E-2</v>
      </c>
      <c r="AE191" s="29">
        <v>88450.944059376998</v>
      </c>
      <c r="AF191" s="30">
        <v>5.3421214078918297E-2</v>
      </c>
      <c r="AG191" s="29">
        <v>71859.169166979002</v>
      </c>
      <c r="AH191" s="30">
        <v>0.124346795721421</v>
      </c>
      <c r="AI191" s="29">
        <v>43173.920393079403</v>
      </c>
      <c r="AJ191" s="30">
        <v>0.122562982392424</v>
      </c>
      <c r="AK191" s="29">
        <v>132689.87290792601</v>
      </c>
      <c r="AL191" s="30">
        <v>5.7301247057981203E-2</v>
      </c>
      <c r="AM191" s="29">
        <v>85696.361596638395</v>
      </c>
      <c r="AN191" s="30">
        <v>6.2966898929874796E-2</v>
      </c>
      <c r="AO191" s="29">
        <v>60562.6902361596</v>
      </c>
      <c r="AP191" s="30">
        <v>6.8363431529265802E-3</v>
      </c>
      <c r="AQ191" s="29">
        <v>57929.3914247582</v>
      </c>
      <c r="AR191" s="30">
        <v>6.1865914086602896E-3</v>
      </c>
      <c r="AS191" s="29">
        <v>46993.511311287097</v>
      </c>
      <c r="AT191" s="30">
        <v>4.7123479458070799E-2</v>
      </c>
      <c r="AU191" s="29">
        <v>318787.88791437697</v>
      </c>
      <c r="AV191" s="30">
        <v>4.2120374922255802E-2</v>
      </c>
      <c r="AW191" s="29">
        <v>191630.227329719</v>
      </c>
      <c r="AX191" s="30">
        <v>2.6737184786707498E-2</v>
      </c>
      <c r="AY191" s="29">
        <v>127157.66058465801</v>
      </c>
      <c r="AZ191" s="30">
        <v>6.6194189657583294E-2</v>
      </c>
      <c r="BA191" s="29">
        <v>83983.740191578996</v>
      </c>
      <c r="BB191" s="30">
        <v>3.9364107269216998E-2</v>
      </c>
      <c r="BC191" s="29">
        <v>104922.902736045</v>
      </c>
      <c r="BD191" s="30">
        <v>2.41188455309982E-2</v>
      </c>
      <c r="BE191" s="29"/>
      <c r="BF191" s="30"/>
    </row>
    <row r="192" spans="1:58" x14ac:dyDescent="0.2">
      <c r="A192" s="28">
        <v>2025</v>
      </c>
      <c r="B192" s="28">
        <v>1</v>
      </c>
      <c r="C192" s="29">
        <v>216066.59923449601</v>
      </c>
      <c r="D192" s="30">
        <v>3.4713960036591301E-2</v>
      </c>
      <c r="E192" s="29">
        <v>181960.55842225399</v>
      </c>
      <c r="F192" s="30">
        <v>-1.5823009475197498E-2</v>
      </c>
      <c r="G192" s="29">
        <v>132571.38776576601</v>
      </c>
      <c r="H192" s="30">
        <v>2.62618782628605E-2</v>
      </c>
      <c r="I192" s="29">
        <v>106640.3361517</v>
      </c>
      <c r="J192" s="30">
        <v>2.5345476405726399E-2</v>
      </c>
      <c r="K192" s="29">
        <v>25931.051614066298</v>
      </c>
      <c r="L192" s="30">
        <v>3.00478250552756E-2</v>
      </c>
      <c r="M192" s="29">
        <v>49389.170656488001</v>
      </c>
      <c r="N192" s="30">
        <v>-0.11341343083237999</v>
      </c>
      <c r="O192" s="29">
        <v>55172.9581503765</v>
      </c>
      <c r="P192" s="30">
        <v>6.12870840843049E-3</v>
      </c>
      <c r="Q192" s="29">
        <v>15351.727970338899</v>
      </c>
      <c r="R192" s="30">
        <v>-2.2616553029710701E-3</v>
      </c>
      <c r="S192" s="29">
        <v>39821.230180037601</v>
      </c>
      <c r="T192" s="30">
        <v>9.4011394877013803E-3</v>
      </c>
      <c r="U192" s="29">
        <v>2128.77648380963</v>
      </c>
      <c r="V192" s="30"/>
      <c r="W192" s="29">
        <v>-7912.5639776981297</v>
      </c>
      <c r="X192" s="30"/>
      <c r="Y192" s="29">
        <v>34106.040812242303</v>
      </c>
      <c r="Z192" s="30"/>
      <c r="AA192" s="29">
        <v>187228.26695846001</v>
      </c>
      <c r="AB192" s="30">
        <v>0.22360062569281</v>
      </c>
      <c r="AC192" s="29">
        <v>147660.08254939201</v>
      </c>
      <c r="AD192" s="30">
        <v>0.29687015795530503</v>
      </c>
      <c r="AE192" s="29">
        <v>98770.207154473595</v>
      </c>
      <c r="AF192" s="30">
        <v>0.17541218735247899</v>
      </c>
      <c r="AG192" s="29">
        <v>77733.415543922296</v>
      </c>
      <c r="AH192" s="30">
        <v>0.186300469352878</v>
      </c>
      <c r="AI192" s="29">
        <v>39568.184409068497</v>
      </c>
      <c r="AJ192" s="30">
        <v>1.0542343175476299E-2</v>
      </c>
      <c r="AK192" s="29">
        <v>153122.22614621799</v>
      </c>
      <c r="AL192" s="30">
        <v>0.18623537383744301</v>
      </c>
      <c r="AM192" s="29">
        <v>109969.20417319699</v>
      </c>
      <c r="AN192" s="30">
        <v>0.265571420399555</v>
      </c>
      <c r="AO192" s="29">
        <v>67292.219703169103</v>
      </c>
      <c r="AP192" s="30">
        <v>0.13387854328905299</v>
      </c>
      <c r="AQ192" s="29">
        <v>64517.441579383099</v>
      </c>
      <c r="AR192" s="30">
        <v>0.132233465631416</v>
      </c>
      <c r="AS192" s="29">
        <v>43153.021973021598</v>
      </c>
      <c r="AT192" s="30">
        <v>2.28362007478751E-2</v>
      </c>
      <c r="AU192" s="29">
        <v>321608.28630309098</v>
      </c>
      <c r="AV192" s="30">
        <v>5.5635940350138503E-2</v>
      </c>
      <c r="AW192" s="29">
        <v>187744.34591614199</v>
      </c>
      <c r="AX192" s="30">
        <v>2.02621745325271E-2</v>
      </c>
      <c r="AY192" s="29">
        <v>133863.94038694899</v>
      </c>
      <c r="AZ192" s="30">
        <v>0.109591459808701</v>
      </c>
      <c r="BA192" s="29">
        <v>94295.755977880399</v>
      </c>
      <c r="BB192" s="30">
        <v>0.15718555456128899</v>
      </c>
      <c r="BC192" s="29">
        <v>107670.463552405</v>
      </c>
      <c r="BD192" s="30">
        <v>8.5693892044550898E-2</v>
      </c>
      <c r="BE192" s="29"/>
      <c r="BF192" s="30"/>
    </row>
    <row r="193" spans="1:58" x14ac:dyDescent="0.2">
      <c r="A193" s="28">
        <v>2025</v>
      </c>
      <c r="B193" s="28">
        <v>2</v>
      </c>
      <c r="C193" s="29">
        <v>217475.02058619901</v>
      </c>
      <c r="D193" s="30">
        <v>2.0241357256285002E-2</v>
      </c>
      <c r="E193" s="29">
        <v>201380.600817628</v>
      </c>
      <c r="F193" s="30">
        <v>0.100270165405534</v>
      </c>
      <c r="G193" s="29">
        <v>132411.11670630399</v>
      </c>
      <c r="H193" s="30">
        <v>2.29398329950397E-2</v>
      </c>
      <c r="I193" s="29">
        <v>106324.73874228699</v>
      </c>
      <c r="J193" s="30">
        <v>2.0206107442083801E-2</v>
      </c>
      <c r="K193" s="29">
        <v>26086.377964016599</v>
      </c>
      <c r="L193" s="30">
        <v>3.4235371012084799E-2</v>
      </c>
      <c r="M193" s="29">
        <v>68969.484111324695</v>
      </c>
      <c r="N193" s="30">
        <v>0.28706644669690301</v>
      </c>
      <c r="O193" s="29">
        <v>55881.365567838999</v>
      </c>
      <c r="P193" s="30">
        <v>-1.62974231917032E-2</v>
      </c>
      <c r="Q193" s="29">
        <v>16613.926971179699</v>
      </c>
      <c r="R193" s="30">
        <v>-5.1164567862690396E-3</v>
      </c>
      <c r="S193" s="29">
        <v>39267.438596659304</v>
      </c>
      <c r="T193" s="30">
        <v>-2.09527531681605E-2</v>
      </c>
      <c r="U193" s="29">
        <v>4736.9288732231898</v>
      </c>
      <c r="V193" s="30"/>
      <c r="W193" s="29">
        <v>8351.1896702624199</v>
      </c>
      <c r="X193" s="30"/>
      <c r="Y193" s="29">
        <v>16094.4197685703</v>
      </c>
      <c r="Z193" s="30"/>
      <c r="AA193" s="29">
        <v>159254.698451495</v>
      </c>
      <c r="AB193" s="30">
        <v>3.5130958372415803E-2</v>
      </c>
      <c r="AC193" s="29">
        <v>118616.62219943501</v>
      </c>
      <c r="AD193" s="30">
        <v>6.3003803281413098E-2</v>
      </c>
      <c r="AE193" s="29">
        <v>89890.517071077906</v>
      </c>
      <c r="AF193" s="30">
        <v>-1.86966400059345E-2</v>
      </c>
      <c r="AG193" s="29">
        <v>71536.829249889299</v>
      </c>
      <c r="AH193" s="30">
        <v>2.8506808481401102E-3</v>
      </c>
      <c r="AI193" s="29">
        <v>40638.0762520602</v>
      </c>
      <c r="AJ193" s="30">
        <v>-3.8460281510355201E-2</v>
      </c>
      <c r="AK193" s="29">
        <v>143160.27868292501</v>
      </c>
      <c r="AL193" s="30">
        <v>0.15715217973131701</v>
      </c>
      <c r="AM193" s="29">
        <v>101168.418873231</v>
      </c>
      <c r="AN193" s="30">
        <v>0.28078899122834999</v>
      </c>
      <c r="AO193" s="29">
        <v>62726.926078603297</v>
      </c>
      <c r="AP193" s="30">
        <v>2.6292554887053399E-2</v>
      </c>
      <c r="AQ193" s="29">
        <v>58953.723398562797</v>
      </c>
      <c r="AR193" s="30">
        <v>6.6712651466400699E-3</v>
      </c>
      <c r="AS193" s="29">
        <v>41991.859809693997</v>
      </c>
      <c r="AT193" s="30">
        <v>-6.1185973553919297E-2</v>
      </c>
      <c r="AU193" s="29">
        <v>313683.67492123198</v>
      </c>
      <c r="AV193" s="30">
        <v>-9.9186564355920898E-3</v>
      </c>
      <c r="AW193" s="29">
        <v>188292.482274143</v>
      </c>
      <c r="AX193" s="30">
        <v>1.09722054035051E-2</v>
      </c>
      <c r="AY193" s="29">
        <v>125391.19264709001</v>
      </c>
      <c r="AZ193" s="30">
        <v>-3.9716348252999897E-2</v>
      </c>
      <c r="BA193" s="29">
        <v>84753.116395029298</v>
      </c>
      <c r="BB193" s="30">
        <v>-4.0317453542215699E-2</v>
      </c>
      <c r="BC193" s="29">
        <v>100945.583208257</v>
      </c>
      <c r="BD193" s="30">
        <v>-2.2713110967134399E-2</v>
      </c>
      <c r="BE193" s="29"/>
      <c r="BF193" s="30"/>
    </row>
    <row r="194" spans="1:58" x14ac:dyDescent="0.2">
      <c r="A194" s="28">
        <v>2025</v>
      </c>
      <c r="B194" s="28">
        <v>3</v>
      </c>
      <c r="C194" s="29">
        <v>215131.54467071799</v>
      </c>
      <c r="D194" s="30">
        <v>5.1344193382920596E-3</v>
      </c>
      <c r="E194" s="29">
        <v>196553.44408992599</v>
      </c>
      <c r="F194" s="30">
        <v>3.1953046605655698E-2</v>
      </c>
      <c r="G194" s="29">
        <v>133350.69207086301</v>
      </c>
      <c r="H194" s="30">
        <v>1.9765110288465299E-2</v>
      </c>
      <c r="I194" s="29">
        <v>107207.416330127</v>
      </c>
      <c r="J194" s="30">
        <v>1.8298128572454799E-2</v>
      </c>
      <c r="K194" s="29">
        <v>26143.275740735899</v>
      </c>
      <c r="L194" s="30">
        <v>2.5825324812889901E-2</v>
      </c>
      <c r="M194" s="29">
        <v>63202.752019063199</v>
      </c>
      <c r="N194" s="30">
        <v>5.86487394530604E-2</v>
      </c>
      <c r="O194" s="29">
        <v>55699.5375002121</v>
      </c>
      <c r="P194" s="30">
        <v>-6.1432843379275502E-3</v>
      </c>
      <c r="Q194" s="29">
        <v>16703.567085005699</v>
      </c>
      <c r="R194" s="30">
        <v>-6.0420652565136299E-3</v>
      </c>
      <c r="S194" s="29">
        <v>38995.970415206401</v>
      </c>
      <c r="T194" s="30">
        <v>-6.1866342991450099E-3</v>
      </c>
      <c r="U194" s="29">
        <v>3683.4787814238798</v>
      </c>
      <c r="V194" s="30"/>
      <c r="W194" s="29">
        <v>3819.7357374272001</v>
      </c>
      <c r="X194" s="30"/>
      <c r="Y194" s="29">
        <v>18578.100580791699</v>
      </c>
      <c r="Z194" s="30"/>
      <c r="AA194" s="29">
        <v>160820.476187872</v>
      </c>
      <c r="AB194" s="30">
        <v>0.122972594892369</v>
      </c>
      <c r="AC194" s="29">
        <v>118953.07797455401</v>
      </c>
      <c r="AD194" s="30">
        <v>0.16825632466275001</v>
      </c>
      <c r="AE194" s="29">
        <v>85362.341046696107</v>
      </c>
      <c r="AF194" s="30">
        <v>3.8208193122732902E-2</v>
      </c>
      <c r="AG194" s="29">
        <v>64625.016950700003</v>
      </c>
      <c r="AH194" s="30">
        <v>-1.02137944488914E-2</v>
      </c>
      <c r="AI194" s="29">
        <v>41867.398213317902</v>
      </c>
      <c r="AJ194" s="30">
        <v>1.15689846203404E-2</v>
      </c>
      <c r="AK194" s="29">
        <v>142242.37560708</v>
      </c>
      <c r="AL194" s="30">
        <v>0.18887581055435601</v>
      </c>
      <c r="AM194" s="29">
        <v>98284.160468698901</v>
      </c>
      <c r="AN194" s="30">
        <v>0.307686578215905</v>
      </c>
      <c r="AO194" s="29">
        <v>60462.362402664497</v>
      </c>
      <c r="AP194" s="30">
        <v>7.6668652329425296E-2</v>
      </c>
      <c r="AQ194" s="29">
        <v>55885.990936345101</v>
      </c>
      <c r="AR194" s="30">
        <v>3.3878970068365502E-2</v>
      </c>
      <c r="AS194" s="29">
        <v>43958.215138380903</v>
      </c>
      <c r="AT194" s="30">
        <v>-1.1855867053452899E-2</v>
      </c>
      <c r="AU194" s="29">
        <v>311292.27196401998</v>
      </c>
      <c r="AV194" s="30">
        <v>1.36470590123174E-2</v>
      </c>
      <c r="AW194" s="29">
        <v>189050.229571075</v>
      </c>
      <c r="AX194" s="30">
        <v>1.1992473225693299E-2</v>
      </c>
      <c r="AY194" s="29">
        <v>122242.042392945</v>
      </c>
      <c r="AZ194" s="30">
        <v>1.6216596166873699E-2</v>
      </c>
      <c r="BA194" s="29">
        <v>80374.644179626994</v>
      </c>
      <c r="BB194" s="30">
        <v>1.86545088038352E-2</v>
      </c>
      <c r="BC194" s="29">
        <v>99844.206074725997</v>
      </c>
      <c r="BD194" s="30">
        <v>1.3232158801064899E-2</v>
      </c>
      <c r="BE194" s="29"/>
      <c r="BF194" s="30"/>
    </row>
    <row r="195" spans="1:58" x14ac:dyDescent="0.2">
      <c r="A195" s="28">
        <v>2025</v>
      </c>
      <c r="B195" s="28">
        <v>4</v>
      </c>
      <c r="C195" s="29">
        <v>218871.50496101301</v>
      </c>
      <c r="D195" s="30">
        <v>4.2451134289389599E-3</v>
      </c>
      <c r="E195" s="29">
        <v>210061.76657031599</v>
      </c>
      <c r="F195" s="30">
        <v>9.0250894903125295E-2</v>
      </c>
      <c r="G195" s="29">
        <v>135805.634172686</v>
      </c>
      <c r="H195" s="30">
        <v>1.76900494495307E-2</v>
      </c>
      <c r="I195" s="29">
        <v>109492.63402360999</v>
      </c>
      <c r="J195" s="30">
        <v>1.7756443469846901E-2</v>
      </c>
      <c r="K195" s="29">
        <v>26313.0001490756</v>
      </c>
      <c r="L195" s="30">
        <v>1.7413866226129601E-2</v>
      </c>
      <c r="M195" s="29">
        <v>74256.132397630397</v>
      </c>
      <c r="N195" s="30">
        <v>0.25373607543419202</v>
      </c>
      <c r="O195" s="29">
        <v>58778.431157430401</v>
      </c>
      <c r="P195" s="30">
        <v>1.0194846448885001E-2</v>
      </c>
      <c r="Q195" s="29">
        <v>17784.795155830001</v>
      </c>
      <c r="R195" s="30">
        <v>2.6636236455827699E-2</v>
      </c>
      <c r="S195" s="29">
        <v>40993.636001600396</v>
      </c>
      <c r="T195" s="30">
        <v>3.2245297391300101E-3</v>
      </c>
      <c r="U195" s="29">
        <v>11185.4514587332</v>
      </c>
      <c r="V195" s="30"/>
      <c r="W195" s="29">
        <v>4292.2497814668204</v>
      </c>
      <c r="X195" s="30"/>
      <c r="Y195" s="29">
        <v>8809.7383906967607</v>
      </c>
      <c r="Z195" s="30"/>
      <c r="AA195" s="29">
        <v>169838.97348867901</v>
      </c>
      <c r="AB195" s="30">
        <v>7.5179930752864402E-2</v>
      </c>
      <c r="AC195" s="29">
        <v>129180.687418325</v>
      </c>
      <c r="AD195" s="30">
        <v>0.12537139030251601</v>
      </c>
      <c r="AE195" s="29">
        <v>88381.989540720504</v>
      </c>
      <c r="AF195" s="30">
        <v>-7.7957922767013499E-4</v>
      </c>
      <c r="AG195" s="29">
        <v>67145.340840095203</v>
      </c>
      <c r="AH195" s="30">
        <v>-6.5598146785280601E-2</v>
      </c>
      <c r="AI195" s="29">
        <v>40658.286070354603</v>
      </c>
      <c r="AJ195" s="30">
        <v>-5.8267451735238701E-2</v>
      </c>
      <c r="AK195" s="29">
        <v>161029.23509798301</v>
      </c>
      <c r="AL195" s="30">
        <v>0.21357592383649401</v>
      </c>
      <c r="AM195" s="29">
        <v>114717.089783011</v>
      </c>
      <c r="AN195" s="30">
        <v>0.33864597802843799</v>
      </c>
      <c r="AO195" s="29">
        <v>65452.501491701601</v>
      </c>
      <c r="AP195" s="30">
        <v>8.0739663916422802E-2</v>
      </c>
      <c r="AQ195" s="29">
        <v>62174.455100871703</v>
      </c>
      <c r="AR195" s="30">
        <v>7.3279963274379897E-2</v>
      </c>
      <c r="AS195" s="29">
        <v>46312.145314971996</v>
      </c>
      <c r="AT195" s="30">
        <v>-1.4499150569994399E-2</v>
      </c>
      <c r="AU195" s="29">
        <v>316172.65391812299</v>
      </c>
      <c r="AV195" s="30">
        <v>-8.2036805518666007E-3</v>
      </c>
      <c r="AW195" s="29">
        <v>194584.06533011599</v>
      </c>
      <c r="AX195" s="30">
        <v>1.5414259230173101E-2</v>
      </c>
      <c r="AY195" s="29">
        <v>121588.588588007</v>
      </c>
      <c r="AZ195" s="30">
        <v>-4.3796590555732498E-2</v>
      </c>
      <c r="BA195" s="29">
        <v>80930.302517652701</v>
      </c>
      <c r="BB195" s="30">
        <v>-3.6357486186742401E-2</v>
      </c>
      <c r="BC195" s="29">
        <v>108486.600415844</v>
      </c>
      <c r="BD195" s="30">
        <v>3.39649169711169E-2</v>
      </c>
      <c r="BE195" s="29"/>
      <c r="BF195" s="30"/>
    </row>
    <row r="196" spans="1:58" x14ac:dyDescent="0.2">
      <c r="A196" s="28"/>
      <c r="B196" s="28"/>
      <c r="C196" s="29"/>
      <c r="D196" s="30"/>
      <c r="E196" s="29"/>
      <c r="F196" s="30"/>
      <c r="G196" s="29"/>
      <c r="H196" s="30"/>
      <c r="I196" s="29"/>
      <c r="J196" s="30"/>
      <c r="K196" s="29"/>
      <c r="L196" s="30"/>
      <c r="M196" s="29"/>
      <c r="N196" s="30"/>
      <c r="O196" s="29"/>
      <c r="P196" s="30"/>
      <c r="Q196" s="29"/>
      <c r="R196" s="30"/>
      <c r="S196" s="29"/>
      <c r="T196" s="30"/>
      <c r="U196" s="29"/>
      <c r="V196" s="30"/>
      <c r="W196" s="29"/>
      <c r="X196" s="30"/>
      <c r="Y196" s="29"/>
      <c r="Z196" s="30"/>
      <c r="AA196" s="29"/>
      <c r="AB196" s="30"/>
      <c r="AC196" s="29"/>
      <c r="AD196" s="30"/>
      <c r="AE196" s="29"/>
      <c r="AF196" s="30"/>
      <c r="AG196" s="29"/>
      <c r="AH196" s="30"/>
      <c r="AI196" s="29"/>
      <c r="AJ196" s="30"/>
      <c r="AK196" s="29"/>
      <c r="AL196" s="30"/>
      <c r="AM196" s="29"/>
      <c r="AN196" s="30"/>
      <c r="AO196" s="29"/>
      <c r="AP196" s="30"/>
      <c r="AQ196" s="29"/>
      <c r="AR196" s="30"/>
      <c r="AS196" s="29"/>
      <c r="AT196" s="30"/>
      <c r="AU196" s="29"/>
      <c r="AV196" s="30"/>
      <c r="AW196" s="29"/>
      <c r="AX196" s="30"/>
      <c r="AY196" s="29"/>
      <c r="AZ196" s="30"/>
      <c r="BA196" s="29"/>
      <c r="BB196" s="30"/>
      <c r="BC196" s="29"/>
      <c r="BD196" s="30"/>
      <c r="BE196" s="29"/>
      <c r="BF196" s="30"/>
    </row>
  </sheetData>
  <sheetProtection password="DD0B" sheet="1"/>
  <mergeCells count="65">
    <mergeCell ref="BC6:BD10"/>
    <mergeCell ref="BA7:BB10"/>
    <mergeCell ref="AU6:AV10"/>
    <mergeCell ref="AS11:AT11"/>
    <mergeCell ref="AS7:AT10"/>
    <mergeCell ref="AU11:AV11"/>
    <mergeCell ref="AW11:AX11"/>
    <mergeCell ref="AY11:AZ11"/>
    <mergeCell ref="BA11:BB11"/>
    <mergeCell ref="BC11:BD11"/>
    <mergeCell ref="AM11:AN11"/>
    <mergeCell ref="AO11:AP11"/>
    <mergeCell ref="AM8:AN10"/>
    <mergeCell ref="AO8:AP10"/>
    <mergeCell ref="AQ8:AR10"/>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C11:D11"/>
    <mergeCell ref="E11:F11"/>
    <mergeCell ref="G11:H11"/>
    <mergeCell ref="I11:J11"/>
    <mergeCell ref="K11:L11"/>
    <mergeCell ref="M11:N11"/>
    <mergeCell ref="G7:H10"/>
    <mergeCell ref="I7:J10"/>
    <mergeCell ref="K7:L10"/>
    <mergeCell ref="M7:N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Q8:R10"/>
    <mergeCell ref="S8:T10"/>
    <mergeCell ref="AC8:AD10"/>
    <mergeCell ref="AG8:AH10"/>
    <mergeCell ref="O7:T7"/>
    <mergeCell ref="AE8:AF10"/>
    <mergeCell ref="W7:X10"/>
    <mergeCell ref="AA7:AB10"/>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le04"/>
  <dimension ref="A1:BJ196"/>
  <sheetViews>
    <sheetView showGridLines="0" workbookViewId="0">
      <pane xSplit="2" ySplit="11" topLeftCell="C12" activePane="bottomRight" state="frozen"/>
      <selection pane="topRight"/>
      <selection pane="bottomLeft"/>
      <selection pane="bottomRight"/>
    </sheetView>
  </sheetViews>
  <sheetFormatPr baseColWidth="10" defaultRowHeight="10" x14ac:dyDescent="0.2"/>
  <cols>
    <col min="1" max="1" width="9.77734375" customWidth="1"/>
    <col min="2" max="2" width="2.6640625" customWidth="1"/>
    <col min="3" max="58" width="9.77734375" customWidth="1"/>
    <col min="59" max="256" width="10.33203125" customWidth="1"/>
  </cols>
  <sheetData>
    <row r="1" spans="1:62" ht="11.25" customHeight="1" x14ac:dyDescent="0.25">
      <c r="A1" s="6" t="str">
        <f ca="1">IF(INDIRECT("beschriftung!"&amp;ADDRESS(beschriftung!$C$1*12+ROW(beschriftung!$A1)-1,COLUMN(beschriftung!A$1)))="","",INDIRECT("beschriftung!"&amp;ADDRESS(beschriftung!$C$1*12+ROW(beschriftung!$A1)-1,COLUMN(beschriftung!A$1))))</f>
        <v>ESA 2010, Quarterly aggregates of Gross Domestic Product, expenditure approach, raw data</v>
      </c>
      <c r="C1" s="7"/>
      <c r="D1" s="19"/>
      <c r="E1" s="7"/>
      <c r="F1" s="19"/>
      <c r="G1" s="7"/>
      <c r="H1" s="19"/>
      <c r="I1" s="7"/>
      <c r="J1" s="19"/>
      <c r="K1" s="7"/>
      <c r="L1" s="19"/>
      <c r="M1" s="7"/>
      <c r="N1" s="19"/>
      <c r="O1" s="7"/>
      <c r="P1" s="19"/>
      <c r="Q1" s="7"/>
      <c r="R1" s="19"/>
      <c r="S1" s="7"/>
      <c r="T1" s="19"/>
      <c r="U1" s="7"/>
      <c r="V1" s="19"/>
      <c r="W1" s="7"/>
      <c r="X1" s="19"/>
      <c r="Y1" s="7"/>
      <c r="Z1" s="19"/>
      <c r="AA1" s="7"/>
      <c r="AB1" s="19"/>
      <c r="AC1" s="7"/>
      <c r="AD1" s="19"/>
      <c r="AE1" s="7"/>
      <c r="AF1" s="19"/>
      <c r="AG1" s="7"/>
      <c r="AH1" s="19"/>
      <c r="AI1" s="7"/>
      <c r="AJ1" s="19"/>
      <c r="AK1" s="7"/>
      <c r="AL1" s="19"/>
      <c r="AM1" s="7"/>
      <c r="AN1" s="19"/>
      <c r="AO1" s="7"/>
      <c r="AP1" s="19"/>
      <c r="AQ1" s="7"/>
      <c r="AR1" s="19"/>
      <c r="AS1" s="7"/>
      <c r="AT1" s="19"/>
      <c r="AU1" s="7"/>
      <c r="AW1" s="7"/>
      <c r="AY1" s="7"/>
      <c r="BA1" s="7"/>
      <c r="BC1" s="7"/>
    </row>
    <row r="2" spans="1:62" ht="11.25" customHeight="1" x14ac:dyDescent="0.2">
      <c r="A2" s="4" t="str">
        <f ca="1">IF(INDIRECT("beschriftung!"&amp;ADDRESS(beschriftung!$C$1*12+ROW(beschriftung!$A3)-1,COLUMN(beschriftung!A$1)))="","",INDIRECT("beschriftung!"&amp;ADDRESS(beschriftung!$C$1*12+ROW(beschriftung!$A3)-1,COLUMN(beschriftung!A$1))))</f>
        <v>In Mio. Swiss Francs, at prices of preceding year, chained values, reference year 2020, percentage change to previous year</v>
      </c>
      <c r="C2" s="7"/>
      <c r="D2" s="19"/>
      <c r="E2" s="7"/>
      <c r="F2" s="19"/>
      <c r="G2" s="7"/>
      <c r="H2" s="19"/>
      <c r="I2" s="7"/>
      <c r="J2" s="19"/>
      <c r="K2" s="7"/>
      <c r="L2" s="19"/>
      <c r="M2" s="7"/>
      <c r="N2" s="19"/>
      <c r="O2" s="7"/>
      <c r="P2" s="19"/>
      <c r="Q2" s="7"/>
      <c r="R2" s="19"/>
      <c r="S2" s="7"/>
      <c r="T2" s="19"/>
      <c r="U2" s="7"/>
      <c r="V2" s="19"/>
      <c r="W2" s="7"/>
      <c r="X2" s="19"/>
      <c r="Y2" s="7"/>
      <c r="Z2" s="19"/>
      <c r="AA2" s="7"/>
      <c r="AB2" s="19"/>
      <c r="AC2" s="7"/>
      <c r="AD2" s="19"/>
      <c r="AE2" s="7"/>
      <c r="AF2" s="19"/>
      <c r="AG2" s="7"/>
      <c r="AH2" s="19"/>
      <c r="AI2" s="7"/>
      <c r="AJ2" s="19"/>
      <c r="AK2" s="7"/>
      <c r="AL2" s="19"/>
      <c r="AM2" s="7"/>
      <c r="AN2" s="19"/>
      <c r="AO2" s="7"/>
      <c r="AP2" s="19"/>
      <c r="AQ2" s="7"/>
      <c r="AR2" s="19"/>
      <c r="AS2" s="7"/>
      <c r="AT2" s="19"/>
      <c r="AU2" s="7"/>
      <c r="AW2" s="7"/>
      <c r="AY2" s="7"/>
      <c r="BA2" s="7"/>
      <c r="BC2" s="7"/>
    </row>
    <row r="3" spans="1:62" ht="11.25" customHeight="1" x14ac:dyDescent="0.2">
      <c r="A3" s="4" t="str">
        <f ca="1">IF(INDIRECT("beschriftung!"&amp;ADDRESS(beschriftung!$C$1*12+ROW(beschriftung!$A5)-1,COLUMN(beschriftung!A$1)))="","",INDIRECT("beschriftung!"&amp;ADDRESS(beschriftung!$C$1*12+ROW(beschriftung!$A5)-1,COLUMN(beschriftung!A$1))))</f>
        <v/>
      </c>
      <c r="C3" s="7"/>
      <c r="D3" s="19"/>
      <c r="E3" s="7"/>
      <c r="F3" s="19"/>
      <c r="G3" s="7"/>
      <c r="H3" s="19"/>
      <c r="I3" s="7"/>
      <c r="J3" s="19"/>
      <c r="K3" s="7"/>
      <c r="L3" s="19"/>
      <c r="M3" s="7"/>
      <c r="N3" s="19"/>
      <c r="O3" s="7"/>
      <c r="P3" s="19"/>
      <c r="Q3" s="7"/>
      <c r="R3" s="19"/>
      <c r="S3" s="7"/>
      <c r="T3" s="19"/>
      <c r="U3" s="7"/>
      <c r="V3" s="19"/>
      <c r="W3" s="7"/>
      <c r="X3" s="19"/>
      <c r="Y3" s="7"/>
      <c r="Z3" s="19"/>
      <c r="AA3" s="7"/>
      <c r="AB3" s="19"/>
      <c r="AC3" s="7"/>
      <c r="AD3" s="19"/>
      <c r="AE3" s="7"/>
      <c r="AF3" s="19"/>
      <c r="AG3" s="7"/>
      <c r="AH3" s="19"/>
      <c r="AI3" s="7"/>
      <c r="AJ3" s="19"/>
      <c r="AK3" s="7"/>
      <c r="AL3" s="19"/>
      <c r="AM3" s="7"/>
      <c r="AN3" s="19"/>
      <c r="AO3" s="7"/>
      <c r="AP3" s="19"/>
      <c r="AQ3" s="7"/>
      <c r="AR3" s="19"/>
      <c r="AS3" s="7"/>
      <c r="AT3" s="19"/>
      <c r="AU3" s="7"/>
      <c r="AW3" s="7"/>
      <c r="AY3" s="7"/>
      <c r="BA3" s="7"/>
      <c r="BC3" s="7"/>
    </row>
    <row r="4" spans="1:62" ht="11.25" customHeight="1" x14ac:dyDescent="0.2">
      <c r="A4" s="9"/>
      <c r="C4" s="43" t="str">
        <f ca="1">IF(INDIRECT("beschriftung!"&amp;ADDRESS(beschriftung!$C$1*12+ROW(beschriftung!$A5)-1,COLUMN(beschriftung!C$1)))="","",INDIRECT("beschriftung!"&amp;ADDRESS(beschriftung!$C$1*12+ROW(beschriftung!$A5)-1,COLUMN(beschriftung!C$1))))</f>
        <v>Gross domestic product</v>
      </c>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4"/>
      <c r="AU4" s="16"/>
      <c r="AV4" s="12"/>
      <c r="AW4" s="16"/>
      <c r="AX4" s="12"/>
      <c r="AY4" s="16"/>
      <c r="AZ4" s="12"/>
      <c r="BA4" s="16"/>
      <c r="BB4" s="12"/>
      <c r="BC4" s="20"/>
      <c r="BD4" s="5"/>
      <c r="BE4" s="5"/>
      <c r="BF4" s="5"/>
      <c r="BG4" s="5"/>
      <c r="BH4" s="5"/>
      <c r="BI4" s="5"/>
      <c r="BJ4" s="5"/>
    </row>
    <row r="5" spans="1:62" ht="11.25" customHeight="1" x14ac:dyDescent="0.2">
      <c r="A5" s="9"/>
      <c r="C5" s="45"/>
      <c r="D5" s="46"/>
      <c r="E5" s="43" t="str">
        <f ca="1">IF(INDIRECT("beschriftung!"&amp;ADDRESS(beschriftung!$C$1*12+ROW(beschriftung!$A6)-1,COLUMN(beschriftung!E$1)))="","",INDIRECT("beschriftung!"&amp;ADDRESS(beschriftung!$C$1*12+ROW(beschriftung!$A6)-1,COLUMN(beschriftung!E$1))))</f>
        <v>Internal demand</v>
      </c>
      <c r="F5" s="47"/>
      <c r="G5" s="47"/>
      <c r="H5" s="47"/>
      <c r="I5" s="47"/>
      <c r="J5" s="47"/>
      <c r="K5" s="47"/>
      <c r="L5" s="47"/>
      <c r="M5" s="47"/>
      <c r="N5" s="47"/>
      <c r="O5" s="47"/>
      <c r="P5" s="47"/>
      <c r="Q5" s="47"/>
      <c r="R5" s="47"/>
      <c r="S5" s="47"/>
      <c r="T5" s="47"/>
      <c r="U5" s="47"/>
      <c r="V5" s="47"/>
      <c r="W5" s="47"/>
      <c r="X5" s="44"/>
      <c r="Y5" s="43" t="str">
        <f ca="1">IF(INDIRECT("beschriftung!"&amp;ADDRESS(beschriftung!$C$1*12+ROW(beschriftung!$A6)-1,COLUMN(beschriftung!Y$1)))="","",INDIRECT("beschriftung!"&amp;ADDRESS(beschriftung!$C$1*12+ROW(beschriftung!$A6)-1,COLUMN(beschriftung!Y$1))))</f>
        <v>Trade balance (goods and services)</v>
      </c>
      <c r="Z5" s="47"/>
      <c r="AA5" s="47"/>
      <c r="AB5" s="47"/>
      <c r="AC5" s="47"/>
      <c r="AD5" s="47"/>
      <c r="AE5" s="47"/>
      <c r="AF5" s="47"/>
      <c r="AG5" s="47"/>
      <c r="AH5" s="47"/>
      <c r="AI5" s="47"/>
      <c r="AJ5" s="47"/>
      <c r="AK5" s="47"/>
      <c r="AL5" s="47"/>
      <c r="AM5" s="47"/>
      <c r="AN5" s="47"/>
      <c r="AO5" s="47"/>
      <c r="AP5" s="47"/>
      <c r="AQ5" s="47"/>
      <c r="AR5" s="47"/>
      <c r="AS5" s="47"/>
      <c r="AT5" s="47"/>
      <c r="AU5" s="50" t="str">
        <f ca="1">IF(INDIRECT("beschriftung!"&amp;ADDRESS(beschriftung!$C$1*12+ROW(beschriftung!$A6)-1,COLUMN(beschriftung!AU$1)))="","",INDIRECT("beschriftung!"&amp;ADDRESS(beschriftung!$C$1*12+ROW(beschriftung!$A6)-1,COLUMN(beschriftung!AU$1))))</f>
        <v>Global demand excluding inventories change, stat. discrepancies and valuables</v>
      </c>
      <c r="AV5" s="51"/>
      <c r="AW5" s="51"/>
      <c r="AX5" s="51"/>
      <c r="AY5" s="51"/>
      <c r="AZ5" s="51"/>
      <c r="BA5" s="51"/>
      <c r="BB5" s="51"/>
      <c r="BC5" s="17"/>
      <c r="BD5" s="13"/>
      <c r="BE5" s="14"/>
      <c r="BF5" s="14"/>
      <c r="BG5" s="14"/>
      <c r="BH5" s="14"/>
      <c r="BI5" s="14"/>
      <c r="BJ5" s="14"/>
    </row>
    <row r="6" spans="1:62" ht="11.25" customHeight="1" x14ac:dyDescent="0.2">
      <c r="A6" s="9"/>
      <c r="C6" s="45"/>
      <c r="D6" s="46"/>
      <c r="E6" s="45"/>
      <c r="F6" s="46"/>
      <c r="G6" s="43" t="str">
        <f ca="1">IF(INDIRECT("beschriftung!"&amp;ADDRESS(beschriftung!$C$1*12+ROW(beschriftung!$A7)-1,COLUMN(beschriftung!G$1)))="","",INDIRECT("beschriftung!"&amp;ADDRESS(beschriftung!$C$1*12+ROW(beschriftung!$A7)-1,COLUMN(beschriftung!G$1))))</f>
        <v>Final consumption expenditure</v>
      </c>
      <c r="H6" s="47"/>
      <c r="I6" s="47"/>
      <c r="J6" s="47"/>
      <c r="K6" s="47"/>
      <c r="L6" s="44"/>
      <c r="M6" s="43" t="str">
        <f ca="1">IF(INDIRECT("beschriftung!"&amp;ADDRESS(beschriftung!$C$1*12+ROW(beschriftung!$A7)-1,COLUMN(beschriftung!M$1)))="","",INDIRECT("beschriftung!"&amp;ADDRESS(beschriftung!$C$1*12+ROW(beschriftung!$A7)-1,COLUMN(beschriftung!M$1))))</f>
        <v xml:space="preserve">Gross capital formation </v>
      </c>
      <c r="N6" s="47"/>
      <c r="O6" s="47"/>
      <c r="P6" s="47"/>
      <c r="Q6" s="47"/>
      <c r="R6" s="47"/>
      <c r="S6" s="47"/>
      <c r="T6" s="47"/>
      <c r="U6" s="47"/>
      <c r="V6" s="47"/>
      <c r="W6" s="47"/>
      <c r="X6" s="44"/>
      <c r="Y6" s="45"/>
      <c r="Z6" s="46"/>
      <c r="AA6" s="43" t="str">
        <f ca="1">IF(INDIRECT("beschriftung!"&amp;ADDRESS(beschriftung!$C$1*12+ROW(beschriftung!$A7)-1,COLUMN(beschriftung!AA$1)))="","",INDIRECT("beschriftung!"&amp;ADDRESS(beschriftung!$C$1*12+ROW(beschriftung!$A7)-1,COLUMN(beschriftung!AA$1))))</f>
        <v>Exports of goods and services</v>
      </c>
      <c r="AB6" s="47"/>
      <c r="AC6" s="47"/>
      <c r="AD6" s="47"/>
      <c r="AE6" s="47"/>
      <c r="AF6" s="47"/>
      <c r="AG6" s="47"/>
      <c r="AH6" s="47"/>
      <c r="AI6" s="47"/>
      <c r="AJ6" s="44"/>
      <c r="AK6" s="43" t="str">
        <f ca="1">IF(INDIRECT("beschriftung!"&amp;ADDRESS(beschriftung!$C$1*12+ROW(beschriftung!$A7)-1,COLUMN(beschriftung!AK$1)))="","",INDIRECT("beschriftung!"&amp;ADDRESS(beschriftung!$C$1*12+ROW(beschriftung!$A7)-1,COLUMN(beschriftung!AK$1))))</f>
        <v>Imports of goods and services</v>
      </c>
      <c r="AL6" s="47"/>
      <c r="AM6" s="47"/>
      <c r="AN6" s="47"/>
      <c r="AO6" s="47"/>
      <c r="AP6" s="47"/>
      <c r="AQ6" s="47"/>
      <c r="AR6" s="47"/>
      <c r="AS6" s="47"/>
      <c r="AT6" s="47"/>
      <c r="AU6" s="58"/>
      <c r="AV6" s="59"/>
      <c r="AW6" s="52" t="str">
        <f ca="1">IF(INDIRECT("beschriftung!"&amp;ADDRESS(beschriftung!$C$1*12+ROW(beschriftung!$A7)-1,COLUMN(beschriftung!AW$1)))="","",INDIRECT("beschriftung!"&amp;ADDRESS(beschriftung!$C$1*12+ROW(beschriftung!$A7)-1,COLUMN(beschriftung!AW$1))))</f>
        <v>Final domestic demand</v>
      </c>
      <c r="AX6" s="53"/>
      <c r="AY6" s="52" t="str">
        <f ca="1">IF(INDIRECT("beschriftung!"&amp;ADDRESS(beschriftung!$C$1*12+ROW(beschriftung!$A7)-1,COLUMN(beschriftung!AY$1)))="","",INDIRECT("beschriftung!"&amp;ADDRESS(beschriftung!$C$1*12+ROW(beschriftung!$A7)-1,COLUMN(beschriftung!AY$1))))</f>
        <v>Exports of goods and services (excluding valuables)</v>
      </c>
      <c r="AZ6" s="56"/>
      <c r="BA6" s="18"/>
      <c r="BB6" s="15"/>
      <c r="BC6" s="52" t="str">
        <f ca="1">IF(INDIRECT("beschriftung!"&amp;ADDRESS(beschriftung!$C$1*12+ROW(beschriftung!$A7)-1,COLUMN(beschriftung!BC$1)))="","",INDIRECT("beschriftung!"&amp;ADDRESS(beschriftung!$C$1*12+ROW(beschriftung!$A7)-1,COLUMN(beschriftung!BC$1))))</f>
        <v>Imports of goods and services (excluding valuables)</v>
      </c>
      <c r="BD6" s="53"/>
    </row>
    <row r="7" spans="1:62" ht="11.25" customHeight="1" x14ac:dyDescent="0.2">
      <c r="A7" s="10"/>
      <c r="B7" s="10"/>
      <c r="C7" s="45"/>
      <c r="D7" s="46"/>
      <c r="E7" s="45"/>
      <c r="F7" s="46"/>
      <c r="G7" s="45"/>
      <c r="H7" s="46"/>
      <c r="I7" s="43" t="str">
        <f ca="1">IF(INDIRECT("beschriftung!"&amp;ADDRESS(beschriftung!$C$1*12+ROW(beschriftung!$A8)-1,COLUMN(beschriftung!I$1)))="","",INDIRECT("beschriftung!"&amp;ADDRESS(beschriftung!$C$1*12+ROW(beschriftung!$A8)-1,COLUMN(beschriftung!I$1))))</f>
        <v>Households and NPISH</v>
      </c>
      <c r="J7" s="44"/>
      <c r="K7" s="43" t="str">
        <f ca="1">IF(INDIRECT("beschriftung!"&amp;ADDRESS(beschriftung!$C$1*12+ROW(beschriftung!$A8)-1,COLUMN(beschriftung!K$1)))="","",INDIRECT("beschriftung!"&amp;ADDRESS(beschriftung!$C$1*12+ROW(beschriftung!$A8)-1,COLUMN(beschriftung!K$1))))</f>
        <v>General government</v>
      </c>
      <c r="L7" s="44"/>
      <c r="M7" s="45"/>
      <c r="N7" s="46"/>
      <c r="O7" s="43" t="str">
        <f ca="1">IF(INDIRECT("beschriftung!"&amp;ADDRESS(beschriftung!$C$1*12+ROW(beschriftung!$A8)-1,COLUMN(beschriftung!O$1)))="","",INDIRECT("beschriftung!"&amp;ADDRESS(beschriftung!$C$1*12+ROW(beschriftung!$A8)-1,COLUMN(beschriftung!O$1))))</f>
        <v>Gross fixed capital formation</v>
      </c>
      <c r="P7" s="47"/>
      <c r="Q7" s="47"/>
      <c r="R7" s="47"/>
      <c r="S7" s="47"/>
      <c r="T7" s="44"/>
      <c r="U7" s="43" t="str">
        <f ca="1">IF(INDIRECT("beschriftung!"&amp;ADDRESS(beschriftung!$C$1*12+ROW(beschriftung!$A8)-1,COLUMN(beschriftung!U$1)))="","",INDIRECT("beschriftung!"&amp;ADDRESS(beschriftung!$C$1*12+ROW(beschriftung!$A8)-1,COLUMN(beschriftung!U$1))))</f>
        <v>Changes in inventories and statistical discrepancies</v>
      </c>
      <c r="V7" s="44"/>
      <c r="W7" s="43" t="str">
        <f ca="1">IF(INDIRECT("beschriftung!"&amp;ADDRESS(beschriftung!$C$1*12+ROW(beschriftung!$A8)-1,COLUMN(beschriftung!W$1)))="","",INDIRECT("beschriftung!"&amp;ADDRESS(beschriftung!$C$1*12+ROW(beschriftung!$A8)-1,COLUMN(beschriftung!W$1))))</f>
        <v>Acquisitions less disposals of valuables (including non-monetary gold)</v>
      </c>
      <c r="X7" s="44"/>
      <c r="Y7" s="45"/>
      <c r="Z7" s="46"/>
      <c r="AA7" s="45"/>
      <c r="AB7" s="46"/>
      <c r="AC7" s="43" t="str">
        <f ca="1">IF(INDIRECT("beschriftung!"&amp;ADDRESS(beschriftung!$C$1*12+ROW(beschriftung!$A8)-1,COLUMN(beschriftung!AC$1)))="","",INDIRECT("beschriftung!"&amp;ADDRESS(beschriftung!$C$1*12+ROW(beschriftung!$A8)-1,COLUMN(beschriftung!AC$1))))</f>
        <v>Exports (exp.) of goods</v>
      </c>
      <c r="AD7" s="47"/>
      <c r="AE7" s="47"/>
      <c r="AF7" s="47"/>
      <c r="AG7" s="47"/>
      <c r="AH7" s="44"/>
      <c r="AI7" s="43" t="str">
        <f ca="1">IF(INDIRECT("beschriftung!"&amp;ADDRESS(beschriftung!$C$1*12+ROW(beschriftung!$A8)-1,COLUMN(beschriftung!AI$1)))="","",INDIRECT("beschriftung!"&amp;ADDRESS(beschriftung!$C$1*12+ROW(beschriftung!$A8)-1,COLUMN(beschriftung!AI$1))))</f>
        <v>Exports of services</v>
      </c>
      <c r="AJ7" s="44"/>
      <c r="AK7" s="45"/>
      <c r="AL7" s="46"/>
      <c r="AM7" s="43" t="str">
        <f ca="1">IF(INDIRECT("beschriftung!"&amp;ADDRESS(beschriftung!$C$1*12+ROW(beschriftung!$A8)-1,COLUMN(beschriftung!AM$1)))="","",INDIRECT("beschriftung!"&amp;ADDRESS(beschriftung!$C$1*12+ROW(beschriftung!$A8)-1,COLUMN(beschriftung!AM$1))))</f>
        <v>Imports (imp.) of goods</v>
      </c>
      <c r="AN7" s="47"/>
      <c r="AO7" s="47"/>
      <c r="AP7" s="47"/>
      <c r="AQ7" s="47"/>
      <c r="AR7" s="44"/>
      <c r="AS7" s="43" t="str">
        <f ca="1">IF(INDIRECT("beschriftung!"&amp;ADDRESS(beschriftung!$C$1*12+ROW(beschriftung!$A8)-1,COLUMN(beschriftung!AS$1)))="","",INDIRECT("beschriftung!"&amp;ADDRESS(beschriftung!$C$1*12+ROW(beschriftung!$A8)-1,COLUMN(beschriftung!AS$1))))</f>
        <v>Imports of services</v>
      </c>
      <c r="AT7" s="47"/>
      <c r="AU7" s="58"/>
      <c r="AV7" s="59"/>
      <c r="AW7" s="54"/>
      <c r="AX7" s="55"/>
      <c r="AY7" s="54"/>
      <c r="AZ7" s="57"/>
      <c r="BA7" s="52" t="str">
        <f ca="1">IF(INDIRECT("beschriftung!"&amp;ADDRESS(beschriftung!$C$1*12+ROW(beschriftung!$A8)-1,COLUMN(beschriftung!BA$1)))="","",INDIRECT("beschriftung!"&amp;ADDRESS(beschriftung!$C$1*12+ROW(beschriftung!$A8)-1,COLUMN(beschriftung!BA$1))))</f>
        <v>thereof exports of goods excluding valuables</v>
      </c>
      <c r="BB7" s="53"/>
      <c r="BC7" s="54"/>
      <c r="BD7" s="55"/>
    </row>
    <row r="8" spans="1:62" ht="11.25" customHeight="1" x14ac:dyDescent="0.2">
      <c r="A8" s="11"/>
      <c r="B8" s="11"/>
      <c r="C8" s="45"/>
      <c r="D8" s="46"/>
      <c r="E8" s="45"/>
      <c r="F8" s="46"/>
      <c r="G8" s="45"/>
      <c r="H8" s="46"/>
      <c r="I8" s="45"/>
      <c r="J8" s="46"/>
      <c r="K8" s="45"/>
      <c r="L8" s="46"/>
      <c r="M8" s="45"/>
      <c r="N8" s="46"/>
      <c r="O8" s="45"/>
      <c r="P8" s="46"/>
      <c r="Q8" s="43" t="str">
        <f ca="1">IF(INDIRECT("beschriftung!"&amp;ADDRESS(beschriftung!$C$1*12+ROW(beschriftung!$A9)-1,COLUMN(beschriftung!Q$1)))="","",INDIRECT("beschriftung!"&amp;ADDRESS(beschriftung!$C$1*12+ROW(beschriftung!$A9)-1,COLUMN(beschriftung!Q$1))))</f>
        <v>Construction</v>
      </c>
      <c r="R8" s="44"/>
      <c r="S8" s="43" t="str">
        <f ca="1">IF(INDIRECT("beschriftung!"&amp;ADDRESS(beschriftung!$C$1*12+ROW(beschriftung!$A9)-1,COLUMN(beschriftung!S$1)))="","",INDIRECT("beschriftung!"&amp;ADDRESS(beschriftung!$C$1*12+ROW(beschriftung!$A9)-1,COLUMN(beschriftung!S$1))))</f>
        <v>Fixed assets and software</v>
      </c>
      <c r="T8" s="44"/>
      <c r="U8" s="45"/>
      <c r="V8" s="46"/>
      <c r="W8" s="45"/>
      <c r="X8" s="46"/>
      <c r="Y8" s="45"/>
      <c r="Z8" s="46"/>
      <c r="AA8" s="45"/>
      <c r="AB8" s="46"/>
      <c r="AC8" s="45"/>
      <c r="AD8" s="46"/>
      <c r="AE8" s="43" t="str">
        <f ca="1">IF(INDIRECT("beschriftung!"&amp;ADDRESS(beschriftung!$C$1*12+ROW(beschriftung!$A9)-1,COLUMN(beschriftung!AE$1)))="","",INDIRECT("beschriftung!"&amp;ADDRESS(beschriftung!$C$1*12+ROW(beschriftung!$A9)-1,COLUMN(beschriftung!AE$1))))</f>
        <v xml:space="preserve">thereof exp. of goods excluding non-monetary gold </v>
      </c>
      <c r="AF8" s="44"/>
      <c r="AG8" s="43" t="str">
        <f ca="1">IF(INDIRECT("beschriftung!"&amp;ADDRESS(beschriftung!$C$1*12+ROW(beschriftung!$A9)-1,COLUMN(beschriftung!AG$1)))="","",INDIRECT("beschriftung!"&amp;ADDRESS(beschriftung!$C$1*12+ROW(beschriftung!$A9)-1,COLUMN(beschriftung!AG$1))))</f>
        <v>thereof exp. of goods excluding valuables and merchanting</v>
      </c>
      <c r="AH8" s="44"/>
      <c r="AI8" s="45"/>
      <c r="AJ8" s="46"/>
      <c r="AK8" s="45"/>
      <c r="AL8" s="46"/>
      <c r="AM8" s="45"/>
      <c r="AN8" s="46"/>
      <c r="AO8" s="43" t="str">
        <f ca="1">IF(INDIRECT("beschriftung!"&amp;ADDRESS(beschriftung!$C$1*12+ROW(beschriftung!$A9)-1,COLUMN(beschriftung!AO$1)))="","",INDIRECT("beschriftung!"&amp;ADDRESS(beschriftung!$C$1*12+ROW(beschriftung!$A9)-1,COLUMN(beschriftung!AO$1))))</f>
        <v>thereof imp. of goods excluding non-monetary gold</v>
      </c>
      <c r="AP8" s="44"/>
      <c r="AQ8" s="43" t="str">
        <f ca="1">IF(INDIRECT("beschriftung!"&amp;ADDRESS(beschriftung!$C$1*12+ROW(beschriftung!$A9)-1,COLUMN(beschriftung!AQ$1)))="","",INDIRECT("beschriftung!"&amp;ADDRESS(beschriftung!$C$1*12+ROW(beschriftung!$A9)-1,COLUMN(beschriftung!AQ$1))))</f>
        <v>thereof imp. of goods excluding valuables</v>
      </c>
      <c r="AR8" s="44"/>
      <c r="AS8" s="45"/>
      <c r="AT8" s="61"/>
      <c r="AU8" s="58"/>
      <c r="AV8" s="59"/>
      <c r="AW8" s="54"/>
      <c r="AX8" s="55"/>
      <c r="AY8" s="54"/>
      <c r="AZ8" s="57"/>
      <c r="BA8" s="54"/>
      <c r="BB8" s="55"/>
      <c r="BC8" s="54"/>
      <c r="BD8" s="55"/>
    </row>
    <row r="9" spans="1:62" ht="11.25" customHeight="1" x14ac:dyDescent="0.2">
      <c r="A9" s="11"/>
      <c r="B9" s="11"/>
      <c r="C9" s="45"/>
      <c r="D9" s="46"/>
      <c r="E9" s="45"/>
      <c r="F9" s="46"/>
      <c r="G9" s="45"/>
      <c r="H9" s="46"/>
      <c r="I9" s="45"/>
      <c r="J9" s="46"/>
      <c r="K9" s="45"/>
      <c r="L9" s="46"/>
      <c r="M9" s="45"/>
      <c r="N9" s="46"/>
      <c r="O9" s="45"/>
      <c r="P9" s="46"/>
      <c r="Q9" s="45"/>
      <c r="R9" s="46"/>
      <c r="S9" s="45"/>
      <c r="T9" s="46"/>
      <c r="U9" s="45"/>
      <c r="V9" s="46"/>
      <c r="W9" s="45"/>
      <c r="X9" s="46"/>
      <c r="Y9" s="45"/>
      <c r="Z9" s="46"/>
      <c r="AA9" s="45"/>
      <c r="AB9" s="46"/>
      <c r="AC9" s="45"/>
      <c r="AD9" s="46"/>
      <c r="AE9" s="45"/>
      <c r="AF9" s="46"/>
      <c r="AG9" s="45"/>
      <c r="AH9" s="46"/>
      <c r="AI9" s="45"/>
      <c r="AJ9" s="46"/>
      <c r="AK9" s="45"/>
      <c r="AL9" s="46"/>
      <c r="AM9" s="45"/>
      <c r="AN9" s="46"/>
      <c r="AO9" s="45"/>
      <c r="AP9" s="46"/>
      <c r="AQ9" s="45"/>
      <c r="AR9" s="46"/>
      <c r="AS9" s="45"/>
      <c r="AT9" s="61"/>
      <c r="AU9" s="58"/>
      <c r="AV9" s="59"/>
      <c r="AW9" s="54"/>
      <c r="AX9" s="55"/>
      <c r="AY9" s="54"/>
      <c r="AZ9" s="57"/>
      <c r="BA9" s="54"/>
      <c r="BB9" s="55"/>
      <c r="BC9" s="54"/>
      <c r="BD9" s="55"/>
    </row>
    <row r="10" spans="1:62" ht="11.25" customHeight="1" x14ac:dyDescent="0.2">
      <c r="A10" s="11"/>
      <c r="B10" s="10"/>
      <c r="C10" s="45"/>
      <c r="D10" s="46"/>
      <c r="E10" s="45"/>
      <c r="F10" s="46"/>
      <c r="G10" s="45"/>
      <c r="H10" s="46"/>
      <c r="I10" s="45"/>
      <c r="J10" s="46"/>
      <c r="K10" s="45"/>
      <c r="L10" s="46"/>
      <c r="M10" s="45"/>
      <c r="N10" s="46"/>
      <c r="O10" s="45"/>
      <c r="P10" s="46"/>
      <c r="Q10" s="45"/>
      <c r="R10" s="46"/>
      <c r="S10" s="45"/>
      <c r="T10" s="46"/>
      <c r="U10" s="45"/>
      <c r="V10" s="46"/>
      <c r="W10" s="45"/>
      <c r="X10" s="46"/>
      <c r="Y10" s="45"/>
      <c r="Z10" s="46"/>
      <c r="AA10" s="45"/>
      <c r="AB10" s="46"/>
      <c r="AC10" s="45"/>
      <c r="AD10" s="46"/>
      <c r="AE10" s="45"/>
      <c r="AF10" s="46"/>
      <c r="AG10" s="45"/>
      <c r="AH10" s="46"/>
      <c r="AI10" s="45"/>
      <c r="AJ10" s="46"/>
      <c r="AK10" s="45"/>
      <c r="AL10" s="46"/>
      <c r="AM10" s="45"/>
      <c r="AN10" s="46"/>
      <c r="AO10" s="45"/>
      <c r="AP10" s="46"/>
      <c r="AQ10" s="45"/>
      <c r="AR10" s="46"/>
      <c r="AS10" s="45"/>
      <c r="AT10" s="61"/>
      <c r="AU10" s="58"/>
      <c r="AV10" s="59"/>
      <c r="AW10" s="54"/>
      <c r="AX10" s="55"/>
      <c r="AY10" s="54"/>
      <c r="AZ10" s="57"/>
      <c r="BA10" s="54"/>
      <c r="BB10" s="55"/>
      <c r="BC10" s="54"/>
      <c r="BD10" s="55"/>
    </row>
    <row r="11" spans="1:62" ht="11.25" customHeight="1" x14ac:dyDescent="0.2">
      <c r="A11" s="3"/>
      <c r="B11" s="8"/>
      <c r="C11" s="48" t="s">
        <v>167</v>
      </c>
      <c r="D11" s="49"/>
      <c r="E11" s="48" t="s">
        <v>182</v>
      </c>
      <c r="F11" s="49"/>
      <c r="G11" s="48" t="s">
        <v>168</v>
      </c>
      <c r="H11" s="49"/>
      <c r="I11" s="48" t="s">
        <v>184</v>
      </c>
      <c r="J11" s="49"/>
      <c r="K11" s="48" t="s">
        <v>185</v>
      </c>
      <c r="L11" s="49"/>
      <c r="M11" s="48" t="s">
        <v>169</v>
      </c>
      <c r="N11" s="49"/>
      <c r="O11" s="48" t="s">
        <v>170</v>
      </c>
      <c r="P11" s="49"/>
      <c r="Q11" s="48" t="s">
        <v>171</v>
      </c>
      <c r="R11" s="49"/>
      <c r="S11" s="48" t="s">
        <v>172</v>
      </c>
      <c r="T11" s="49"/>
      <c r="U11" s="48" t="s">
        <v>186</v>
      </c>
      <c r="V11" s="49"/>
      <c r="W11" s="48" t="s">
        <v>173</v>
      </c>
      <c r="X11" s="49"/>
      <c r="Y11" s="48" t="s">
        <v>187</v>
      </c>
      <c r="Z11" s="49"/>
      <c r="AA11" s="48" t="s">
        <v>174</v>
      </c>
      <c r="AB11" s="49"/>
      <c r="AC11" s="48" t="s">
        <v>175</v>
      </c>
      <c r="AD11" s="49"/>
      <c r="AE11" s="48" t="s">
        <v>176</v>
      </c>
      <c r="AF11" s="49"/>
      <c r="AG11" s="48"/>
      <c r="AH11" s="49"/>
      <c r="AI11" s="48" t="s">
        <v>177</v>
      </c>
      <c r="AJ11" s="49"/>
      <c r="AK11" s="48" t="s">
        <v>178</v>
      </c>
      <c r="AL11" s="49"/>
      <c r="AM11" s="48" t="s">
        <v>179</v>
      </c>
      <c r="AN11" s="49"/>
      <c r="AO11" s="48" t="s">
        <v>180</v>
      </c>
      <c r="AP11" s="49"/>
      <c r="AQ11" s="48"/>
      <c r="AR11" s="49"/>
      <c r="AS11" s="48" t="s">
        <v>181</v>
      </c>
      <c r="AT11" s="60"/>
      <c r="AU11" s="62" t="s">
        <v>188</v>
      </c>
      <c r="AV11" s="63"/>
      <c r="AW11" s="62" t="s">
        <v>183</v>
      </c>
      <c r="AX11" s="63"/>
      <c r="AY11" s="62"/>
      <c r="AZ11" s="63"/>
      <c r="BA11" s="62"/>
      <c r="BB11" s="63"/>
      <c r="BC11" s="62"/>
      <c r="BD11" s="63"/>
    </row>
    <row r="12" spans="1:62" x14ac:dyDescent="0.2">
      <c r="A12" s="28">
        <v>1980</v>
      </c>
      <c r="B12" s="28">
        <v>1</v>
      </c>
      <c r="C12" s="29">
        <v>89202.399285534106</v>
      </c>
      <c r="D12" s="30"/>
      <c r="E12" s="29">
        <v>92357.382498872103</v>
      </c>
      <c r="F12" s="30"/>
      <c r="G12" s="29">
        <v>60814.337660537698</v>
      </c>
      <c r="H12" s="30"/>
      <c r="I12" s="29">
        <v>50068.0346071151</v>
      </c>
      <c r="J12" s="30"/>
      <c r="K12" s="29">
        <v>10535.1811763031</v>
      </c>
      <c r="L12" s="30"/>
      <c r="M12" s="29">
        <v>31468.771748277701</v>
      </c>
      <c r="N12" s="30"/>
      <c r="O12" s="29">
        <v>20462.884483400099</v>
      </c>
      <c r="P12" s="30"/>
      <c r="Q12" s="29">
        <v>9713.5760505633607</v>
      </c>
      <c r="R12" s="30"/>
      <c r="S12" s="29">
        <v>11334.4330781013</v>
      </c>
      <c r="T12" s="30"/>
      <c r="U12" s="29"/>
      <c r="V12" s="30"/>
      <c r="W12" s="29"/>
      <c r="X12" s="30"/>
      <c r="Y12" s="29"/>
      <c r="Z12" s="30"/>
      <c r="AA12" s="29">
        <v>26200.075933672299</v>
      </c>
      <c r="AB12" s="30"/>
      <c r="AC12" s="29">
        <v>17667.739151165799</v>
      </c>
      <c r="AD12" s="30"/>
      <c r="AE12" s="29">
        <v>13357.215461996</v>
      </c>
      <c r="AF12" s="30"/>
      <c r="AG12" s="29">
        <v>12475.509027137899</v>
      </c>
      <c r="AH12" s="30"/>
      <c r="AI12" s="29">
        <v>8673.1772329202304</v>
      </c>
      <c r="AJ12" s="30"/>
      <c r="AK12" s="29">
        <v>26587.017158323899</v>
      </c>
      <c r="AL12" s="30"/>
      <c r="AM12" s="29">
        <v>21377.173926693999</v>
      </c>
      <c r="AN12" s="30"/>
      <c r="AO12" s="29">
        <v>13558.4438062647</v>
      </c>
      <c r="AP12" s="30"/>
      <c r="AQ12" s="29">
        <v>12525.712368083399</v>
      </c>
      <c r="AR12" s="30"/>
      <c r="AS12" s="29">
        <v>5213.9906562082097</v>
      </c>
      <c r="AT12" s="30"/>
      <c r="AU12" s="29">
        <v>100518.76813752</v>
      </c>
      <c r="AV12" s="30"/>
      <c r="AW12" s="29">
        <v>80947.185222716798</v>
      </c>
      <c r="AX12" s="30"/>
      <c r="AY12" s="29">
        <v>21695.315004521199</v>
      </c>
      <c r="AZ12" s="30"/>
      <c r="BA12" s="29">
        <v>13108.948649531199</v>
      </c>
      <c r="BB12" s="30"/>
      <c r="BC12" s="29">
        <v>18178.392487270699</v>
      </c>
      <c r="BD12" s="30"/>
      <c r="BE12" s="29"/>
      <c r="BF12" s="30"/>
    </row>
    <row r="13" spans="1:62" x14ac:dyDescent="0.2">
      <c r="A13" s="28">
        <v>1980</v>
      </c>
      <c r="B13" s="28">
        <v>2</v>
      </c>
      <c r="C13" s="29">
        <v>91839.6996107304</v>
      </c>
      <c r="D13" s="30"/>
      <c r="E13" s="29">
        <v>90963.011836353893</v>
      </c>
      <c r="F13" s="30"/>
      <c r="G13" s="29">
        <v>60954.519308237803</v>
      </c>
      <c r="H13" s="30"/>
      <c r="I13" s="29">
        <v>50042.452147900301</v>
      </c>
      <c r="J13" s="30"/>
      <c r="K13" s="29">
        <v>10741.307180609299</v>
      </c>
      <c r="L13" s="30"/>
      <c r="M13" s="29">
        <v>30010.4495550764</v>
      </c>
      <c r="N13" s="30"/>
      <c r="O13" s="29">
        <v>22306.056449431599</v>
      </c>
      <c r="P13" s="30"/>
      <c r="Q13" s="29">
        <v>12014.786268862001</v>
      </c>
      <c r="R13" s="30"/>
      <c r="S13" s="29">
        <v>11283.841518167599</v>
      </c>
      <c r="T13" s="30"/>
      <c r="U13" s="29"/>
      <c r="V13" s="30"/>
      <c r="W13" s="29"/>
      <c r="X13" s="30"/>
      <c r="Y13" s="29"/>
      <c r="Z13" s="30"/>
      <c r="AA13" s="29">
        <v>26912.388363284099</v>
      </c>
      <c r="AB13" s="30"/>
      <c r="AC13" s="29">
        <v>18047.760125417299</v>
      </c>
      <c r="AD13" s="30"/>
      <c r="AE13" s="29">
        <v>13305.6865474486</v>
      </c>
      <c r="AF13" s="30"/>
      <c r="AG13" s="29">
        <v>12559.106578839301</v>
      </c>
      <c r="AH13" s="30"/>
      <c r="AI13" s="29">
        <v>9062.7049098567804</v>
      </c>
      <c r="AJ13" s="30"/>
      <c r="AK13" s="29">
        <v>24943.184100754501</v>
      </c>
      <c r="AL13" s="30"/>
      <c r="AM13" s="29">
        <v>19362.379726468</v>
      </c>
      <c r="AN13" s="30"/>
      <c r="AO13" s="29">
        <v>13038.872130530901</v>
      </c>
      <c r="AP13" s="30"/>
      <c r="AQ13" s="29">
        <v>12324.4764419119</v>
      </c>
      <c r="AR13" s="30"/>
      <c r="AS13" s="29">
        <v>5884.8215332376303</v>
      </c>
      <c r="AT13" s="30"/>
      <c r="AU13" s="29">
        <v>103234.15214139401</v>
      </c>
      <c r="AV13" s="30"/>
      <c r="AW13" s="29">
        <v>83333.965197600206</v>
      </c>
      <c r="AX13" s="30"/>
      <c r="AY13" s="29">
        <v>22122.498941995502</v>
      </c>
      <c r="AZ13" s="30"/>
      <c r="BA13" s="29">
        <v>13199.8733975634</v>
      </c>
      <c r="BB13" s="30"/>
      <c r="BC13" s="29">
        <v>18459.328809929</v>
      </c>
      <c r="BD13" s="30"/>
      <c r="BE13" s="29"/>
      <c r="BF13" s="30"/>
    </row>
    <row r="14" spans="1:62" x14ac:dyDescent="0.2">
      <c r="A14" s="28">
        <v>1980</v>
      </c>
      <c r="B14" s="28">
        <v>3</v>
      </c>
      <c r="C14" s="29">
        <v>91077.898977085701</v>
      </c>
      <c r="D14" s="30"/>
      <c r="E14" s="29">
        <v>87721.606500848895</v>
      </c>
      <c r="F14" s="30"/>
      <c r="G14" s="29">
        <v>60916.406219896897</v>
      </c>
      <c r="H14" s="30"/>
      <c r="I14" s="29">
        <v>49915.604705080703</v>
      </c>
      <c r="J14" s="30"/>
      <c r="K14" s="29">
        <v>10857.6576554269</v>
      </c>
      <c r="L14" s="30"/>
      <c r="M14" s="29">
        <v>26994.172823159101</v>
      </c>
      <c r="N14" s="30"/>
      <c r="O14" s="29">
        <v>22278.055595475998</v>
      </c>
      <c r="P14" s="30"/>
      <c r="Q14" s="29">
        <v>12338.989285796401</v>
      </c>
      <c r="R14" s="30"/>
      <c r="S14" s="29">
        <v>11012.2786908832</v>
      </c>
      <c r="T14" s="30"/>
      <c r="U14" s="29"/>
      <c r="V14" s="30"/>
      <c r="W14" s="29"/>
      <c r="X14" s="30"/>
      <c r="Y14" s="29"/>
      <c r="Z14" s="30"/>
      <c r="AA14" s="29">
        <v>27963.7180120995</v>
      </c>
      <c r="AB14" s="30"/>
      <c r="AC14" s="29">
        <v>18069.741097109101</v>
      </c>
      <c r="AD14" s="30"/>
      <c r="AE14" s="29">
        <v>13152.381176798899</v>
      </c>
      <c r="AF14" s="30"/>
      <c r="AG14" s="29">
        <v>12479.405283256699</v>
      </c>
      <c r="AH14" s="30"/>
      <c r="AI14" s="29">
        <v>10537.4405838979</v>
      </c>
      <c r="AJ14" s="30"/>
      <c r="AK14" s="29">
        <v>24361.273075775902</v>
      </c>
      <c r="AL14" s="30"/>
      <c r="AM14" s="29">
        <v>18523.582267024201</v>
      </c>
      <c r="AN14" s="30"/>
      <c r="AO14" s="29">
        <v>13039.535903660801</v>
      </c>
      <c r="AP14" s="30"/>
      <c r="AQ14" s="29">
        <v>12416.343799084299</v>
      </c>
      <c r="AR14" s="30"/>
      <c r="AS14" s="29">
        <v>6293.7505160721403</v>
      </c>
      <c r="AT14" s="30"/>
      <c r="AU14" s="29">
        <v>104462.53695211399</v>
      </c>
      <c r="AV14" s="30"/>
      <c r="AW14" s="29">
        <v>83264.980233895898</v>
      </c>
      <c r="AX14" s="30"/>
      <c r="AY14" s="29">
        <v>23227.076002682101</v>
      </c>
      <c r="AZ14" s="30"/>
      <c r="BA14" s="29">
        <v>13125.103902434201</v>
      </c>
      <c r="BB14" s="30"/>
      <c r="BC14" s="29">
        <v>18872.175183138199</v>
      </c>
      <c r="BD14" s="30"/>
      <c r="BE14" s="29"/>
      <c r="BF14" s="30"/>
    </row>
    <row r="15" spans="1:62" x14ac:dyDescent="0.2">
      <c r="A15" s="28">
        <v>1980</v>
      </c>
      <c r="B15" s="28">
        <v>4</v>
      </c>
      <c r="C15" s="29">
        <v>95603.789979412395</v>
      </c>
      <c r="D15" s="30"/>
      <c r="E15" s="29">
        <v>93337.064948365296</v>
      </c>
      <c r="F15" s="30"/>
      <c r="G15" s="29">
        <v>63231.803824531104</v>
      </c>
      <c r="H15" s="30"/>
      <c r="I15" s="29">
        <v>52086.789183660701</v>
      </c>
      <c r="J15" s="30"/>
      <c r="K15" s="29">
        <v>10917.060183597299</v>
      </c>
      <c r="L15" s="30"/>
      <c r="M15" s="29">
        <v>30165.097511061002</v>
      </c>
      <c r="N15" s="30"/>
      <c r="O15" s="29">
        <v>18701.034783399598</v>
      </c>
      <c r="P15" s="30"/>
      <c r="Q15" s="29">
        <v>7518.3852874920103</v>
      </c>
      <c r="R15" s="30"/>
      <c r="S15" s="29">
        <v>11386.8660663223</v>
      </c>
      <c r="T15" s="30"/>
      <c r="U15" s="29"/>
      <c r="V15" s="30"/>
      <c r="W15" s="29"/>
      <c r="X15" s="30"/>
      <c r="Y15" s="29"/>
      <c r="Z15" s="30"/>
      <c r="AA15" s="29">
        <v>27605.889851084699</v>
      </c>
      <c r="AB15" s="30"/>
      <c r="AC15" s="29">
        <v>18980.140843629601</v>
      </c>
      <c r="AD15" s="30"/>
      <c r="AE15" s="29">
        <v>14164.2683818859</v>
      </c>
      <c r="AF15" s="30"/>
      <c r="AG15" s="29">
        <v>13097.3355468999</v>
      </c>
      <c r="AH15" s="30"/>
      <c r="AI15" s="29">
        <v>8578.3287820152509</v>
      </c>
      <c r="AJ15" s="30"/>
      <c r="AK15" s="29">
        <v>24798.0149016861</v>
      </c>
      <c r="AL15" s="30"/>
      <c r="AM15" s="29">
        <v>19385.904798011099</v>
      </c>
      <c r="AN15" s="30"/>
      <c r="AO15" s="29">
        <v>13480.8042399161</v>
      </c>
      <c r="AP15" s="30"/>
      <c r="AQ15" s="29">
        <v>12543.0220818583</v>
      </c>
      <c r="AR15" s="30"/>
      <c r="AS15" s="29">
        <v>5655.5233652751303</v>
      </c>
      <c r="AT15" s="30"/>
      <c r="AU15" s="29">
        <v>101374.05809411001</v>
      </c>
      <c r="AV15" s="30"/>
      <c r="AW15" s="29">
        <v>81012.2415413813</v>
      </c>
      <c r="AX15" s="30"/>
      <c r="AY15" s="29">
        <v>22384.5969200785</v>
      </c>
      <c r="AZ15" s="30"/>
      <c r="BA15" s="29">
        <v>13777.2452924437</v>
      </c>
      <c r="BB15" s="30"/>
      <c r="BC15" s="29">
        <v>18532.8529318816</v>
      </c>
      <c r="BD15" s="30"/>
      <c r="BE15" s="29"/>
      <c r="BF15" s="30"/>
    </row>
    <row r="16" spans="1:62" x14ac:dyDescent="0.2">
      <c r="A16" s="28">
        <v>1981</v>
      </c>
      <c r="B16" s="28">
        <v>1</v>
      </c>
      <c r="C16" s="29">
        <v>90183.600976955204</v>
      </c>
      <c r="D16" s="30">
        <v>1.0999723093549E-2</v>
      </c>
      <c r="E16" s="29">
        <v>86051.538336562706</v>
      </c>
      <c r="F16" s="30">
        <v>-6.8276557776920099E-2</v>
      </c>
      <c r="G16" s="29">
        <v>61421.521417259697</v>
      </c>
      <c r="H16" s="30">
        <v>9.9842204993059198E-3</v>
      </c>
      <c r="I16" s="29">
        <v>50333.656405335103</v>
      </c>
      <c r="J16" s="30">
        <v>5.3052171970469101E-3</v>
      </c>
      <c r="K16" s="29">
        <v>10942.568386545699</v>
      </c>
      <c r="L16" s="30">
        <v>3.8669217303917099E-2</v>
      </c>
      <c r="M16" s="29">
        <v>24964.6429951604</v>
      </c>
      <c r="N16" s="30">
        <v>-0.20668517999827199</v>
      </c>
      <c r="O16" s="29">
        <v>21103.9648171357</v>
      </c>
      <c r="P16" s="30">
        <v>3.132893284208E-2</v>
      </c>
      <c r="Q16" s="29">
        <v>10765.5421982056</v>
      </c>
      <c r="R16" s="30">
        <v>0.10829854444607701</v>
      </c>
      <c r="S16" s="29">
        <v>11128.156198193499</v>
      </c>
      <c r="T16" s="30">
        <v>-1.8199135191535602E-2</v>
      </c>
      <c r="U16" s="29"/>
      <c r="V16" s="30"/>
      <c r="W16" s="29"/>
      <c r="X16" s="30"/>
      <c r="Y16" s="29"/>
      <c r="Z16" s="30"/>
      <c r="AA16" s="29">
        <v>28798.628051338699</v>
      </c>
      <c r="AB16" s="30">
        <v>9.9181091087099202E-2</v>
      </c>
      <c r="AC16" s="29">
        <v>19418.1170573571</v>
      </c>
      <c r="AD16" s="30">
        <v>9.9071980360076306E-2</v>
      </c>
      <c r="AE16" s="29">
        <v>13791.255497326199</v>
      </c>
      <c r="AF16" s="30">
        <v>3.2494799276471503E-2</v>
      </c>
      <c r="AG16" s="29">
        <v>12630.3332476377</v>
      </c>
      <c r="AH16" s="30">
        <v>1.2410252773096901E-2</v>
      </c>
      <c r="AI16" s="29">
        <v>9544.9089972937109</v>
      </c>
      <c r="AJ16" s="30">
        <v>0.100508930114411</v>
      </c>
      <c r="AK16" s="29">
        <v>24617.6099595341</v>
      </c>
      <c r="AL16" s="30">
        <v>-7.4074018422682006E-2</v>
      </c>
      <c r="AM16" s="29">
        <v>19375.902988452399</v>
      </c>
      <c r="AN16" s="30">
        <v>-9.3617189302209206E-2</v>
      </c>
      <c r="AO16" s="29">
        <v>12560.4638073653</v>
      </c>
      <c r="AP16" s="30">
        <v>-7.3605792313594307E-2</v>
      </c>
      <c r="AQ16" s="29">
        <v>12074.6248052262</v>
      </c>
      <c r="AR16" s="30">
        <v>-3.6012926818165002E-2</v>
      </c>
      <c r="AS16" s="29">
        <v>5427.3876808691602</v>
      </c>
      <c r="AT16" s="30">
        <v>4.0927772742910498E-2</v>
      </c>
      <c r="AU16" s="29">
        <v>102857.66015131499</v>
      </c>
      <c r="AV16" s="30">
        <v>2.3268212067574501E-2</v>
      </c>
      <c r="AW16" s="29">
        <v>82291.0168444343</v>
      </c>
      <c r="AX16" s="30">
        <v>1.66013384902781E-2</v>
      </c>
      <c r="AY16" s="29">
        <v>22634.5764634767</v>
      </c>
      <c r="AZ16" s="30">
        <v>4.3293285152104399E-2</v>
      </c>
      <c r="BA16" s="29">
        <v>13311.444606040001</v>
      </c>
      <c r="BB16" s="30">
        <v>1.5447154605802101E-2</v>
      </c>
      <c r="BC16" s="29">
        <v>17827.486536009299</v>
      </c>
      <c r="BD16" s="30">
        <v>-1.9303464346867999E-2</v>
      </c>
      <c r="BE16" s="29"/>
      <c r="BF16" s="30"/>
    </row>
    <row r="17" spans="1:58" x14ac:dyDescent="0.2">
      <c r="A17" s="28">
        <v>1981</v>
      </c>
      <c r="B17" s="28">
        <v>2</v>
      </c>
      <c r="C17" s="29">
        <v>93716.463214853298</v>
      </c>
      <c r="D17" s="30">
        <v>2.0435210612379701E-2</v>
      </c>
      <c r="E17" s="29">
        <v>88386.638697940696</v>
      </c>
      <c r="F17" s="30">
        <v>-2.8323305114920198E-2</v>
      </c>
      <c r="G17" s="29">
        <v>61958.844109412603</v>
      </c>
      <c r="H17" s="30">
        <v>1.6476625729687298E-2</v>
      </c>
      <c r="I17" s="29">
        <v>50781.395581894001</v>
      </c>
      <c r="J17" s="30">
        <v>1.4766331430157599E-2</v>
      </c>
      <c r="K17" s="29">
        <v>11028.725033123101</v>
      </c>
      <c r="L17" s="30">
        <v>2.6758182005317099E-2</v>
      </c>
      <c r="M17" s="29">
        <v>26672.616561765499</v>
      </c>
      <c r="N17" s="30">
        <v>-0.111222358971504</v>
      </c>
      <c r="O17" s="29">
        <v>22585.6892336376</v>
      </c>
      <c r="P17" s="30">
        <v>1.25361820382677E-2</v>
      </c>
      <c r="Q17" s="29">
        <v>12421.396741471901</v>
      </c>
      <c r="R17" s="30">
        <v>3.3842505685150598E-2</v>
      </c>
      <c r="S17" s="29">
        <v>11230.415032323001</v>
      </c>
      <c r="T17" s="30">
        <v>-4.7347781124545997E-3</v>
      </c>
      <c r="U17" s="29"/>
      <c r="V17" s="30"/>
      <c r="W17" s="29"/>
      <c r="X17" s="30"/>
      <c r="Y17" s="29"/>
      <c r="Z17" s="30"/>
      <c r="AA17" s="29">
        <v>30143.462868807801</v>
      </c>
      <c r="AB17" s="30">
        <v>0.12005900263878901</v>
      </c>
      <c r="AC17" s="29">
        <v>20421.715873683701</v>
      </c>
      <c r="AD17" s="30">
        <v>0.13153741692982199</v>
      </c>
      <c r="AE17" s="29">
        <v>14629.804396474599</v>
      </c>
      <c r="AF17" s="30">
        <v>9.9515184301403298E-2</v>
      </c>
      <c r="AG17" s="29">
        <v>13122.235475470001</v>
      </c>
      <c r="AH17" s="30">
        <v>4.4838292683933703E-2</v>
      </c>
      <c r="AI17" s="29">
        <v>9834.7977437277004</v>
      </c>
      <c r="AJ17" s="30">
        <v>8.5194524322553394E-2</v>
      </c>
      <c r="AK17" s="29">
        <v>25160.4419775971</v>
      </c>
      <c r="AL17" s="30">
        <v>8.7101099829542897E-3</v>
      </c>
      <c r="AM17" s="29">
        <v>19413.689154276799</v>
      </c>
      <c r="AN17" s="30">
        <v>2.6499546302494199E-3</v>
      </c>
      <c r="AO17" s="29">
        <v>13008.7576711045</v>
      </c>
      <c r="AP17" s="30">
        <v>-2.30959082388138E-3</v>
      </c>
      <c r="AQ17" s="29">
        <v>12135.7813710147</v>
      </c>
      <c r="AR17" s="30">
        <v>-1.53105952846411E-2</v>
      </c>
      <c r="AS17" s="29">
        <v>6097.3185132518602</v>
      </c>
      <c r="AT17" s="30">
        <v>3.6109332936274899E-2</v>
      </c>
      <c r="AU17" s="29">
        <v>105948.736994721</v>
      </c>
      <c r="AV17" s="30">
        <v>2.6295414812033999E-2</v>
      </c>
      <c r="AW17" s="29">
        <v>84599.598748981603</v>
      </c>
      <c r="AX17" s="30">
        <v>1.5187487459409999E-2</v>
      </c>
      <c r="AY17" s="29">
        <v>23448.195597303798</v>
      </c>
      <c r="AZ17" s="30">
        <v>5.9925266977489199E-2</v>
      </c>
      <c r="BA17" s="29">
        <v>13828.1243828519</v>
      </c>
      <c r="BB17" s="30">
        <v>4.7595228103058898E-2</v>
      </c>
      <c r="BC17" s="29">
        <v>18406.7400426727</v>
      </c>
      <c r="BD17" s="30">
        <v>-2.8488992095944102E-3</v>
      </c>
      <c r="BE17" s="29"/>
      <c r="BF17" s="30"/>
    </row>
    <row r="18" spans="1:58" x14ac:dyDescent="0.2">
      <c r="A18" s="28">
        <v>1981</v>
      </c>
      <c r="B18" s="28">
        <v>3</v>
      </c>
      <c r="C18" s="29">
        <v>92951.665423737097</v>
      </c>
      <c r="D18" s="30">
        <v>2.0573228716253202E-2</v>
      </c>
      <c r="E18" s="29">
        <v>89214.869115555703</v>
      </c>
      <c r="F18" s="30">
        <v>1.7022745869256499E-2</v>
      </c>
      <c r="G18" s="29">
        <v>61637.068083710801</v>
      </c>
      <c r="H18" s="30">
        <v>1.18303410941942E-2</v>
      </c>
      <c r="I18" s="29">
        <v>50474.767319264203</v>
      </c>
      <c r="J18" s="30">
        <v>1.1202160476412501E-2</v>
      </c>
      <c r="K18" s="29">
        <v>11026.823413017901</v>
      </c>
      <c r="L18" s="30">
        <v>1.5580317869619199E-2</v>
      </c>
      <c r="M18" s="29">
        <v>27745.9118314189</v>
      </c>
      <c r="N18" s="30">
        <v>2.7848195726702701E-2</v>
      </c>
      <c r="O18" s="29">
        <v>22677.540394758202</v>
      </c>
      <c r="P18" s="30">
        <v>1.79317623825004E-2</v>
      </c>
      <c r="Q18" s="29">
        <v>12510.8195547127</v>
      </c>
      <c r="R18" s="30">
        <v>1.3925797724300601E-2</v>
      </c>
      <c r="S18" s="29">
        <v>11246.730540377101</v>
      </c>
      <c r="T18" s="30">
        <v>2.1290039607153598E-2</v>
      </c>
      <c r="U18" s="29"/>
      <c r="V18" s="30"/>
      <c r="W18" s="29"/>
      <c r="X18" s="30"/>
      <c r="Y18" s="29"/>
      <c r="Z18" s="30"/>
      <c r="AA18" s="29">
        <v>33580.995691954602</v>
      </c>
      <c r="AB18" s="30">
        <v>0.200877353913548</v>
      </c>
      <c r="AC18" s="29">
        <v>22650.926056152501</v>
      </c>
      <c r="AD18" s="30">
        <v>0.25352797997622301</v>
      </c>
      <c r="AE18" s="29">
        <v>15202.8770928412</v>
      </c>
      <c r="AF18" s="30">
        <v>0.155903017748558</v>
      </c>
      <c r="AG18" s="29">
        <v>13334.220367624701</v>
      </c>
      <c r="AH18" s="30">
        <v>6.8498062605179197E-2</v>
      </c>
      <c r="AI18" s="29">
        <v>11116.7741791193</v>
      </c>
      <c r="AJ18" s="30">
        <v>5.49785871254789E-2</v>
      </c>
      <c r="AK18" s="29">
        <v>29095.168411570299</v>
      </c>
      <c r="AL18" s="30">
        <v>0.19432052344183801</v>
      </c>
      <c r="AM18" s="29">
        <v>22777.541646535901</v>
      </c>
      <c r="AN18" s="30">
        <v>0.22965101016581699</v>
      </c>
      <c r="AO18" s="29">
        <v>13378.604650724499</v>
      </c>
      <c r="AP18" s="30">
        <v>2.60031299862813E-2</v>
      </c>
      <c r="AQ18" s="29">
        <v>12358.229195886701</v>
      </c>
      <c r="AR18" s="30">
        <v>-4.6804924330354804E-3</v>
      </c>
      <c r="AS18" s="29">
        <v>6587.6687822045797</v>
      </c>
      <c r="AT18" s="30">
        <v>4.6700018594933598E-2</v>
      </c>
      <c r="AU18" s="29">
        <v>107244.73633278599</v>
      </c>
      <c r="AV18" s="30">
        <v>2.6633465564279299E-2</v>
      </c>
      <c r="AW18" s="29">
        <v>84416.403719293303</v>
      </c>
      <c r="AX18" s="30">
        <v>1.38284244127969E-2</v>
      </c>
      <c r="AY18" s="29">
        <v>24723.265542685102</v>
      </c>
      <c r="AZ18" s="30">
        <v>6.4415750817285997E-2</v>
      </c>
      <c r="BA18" s="29">
        <v>14043.8378022013</v>
      </c>
      <c r="BB18" s="30">
        <v>6.9998219183367003E-2</v>
      </c>
      <c r="BC18" s="29">
        <v>19032.2747288559</v>
      </c>
      <c r="BD18" s="30">
        <v>8.4833647507029895E-3</v>
      </c>
      <c r="BE18" s="29"/>
      <c r="BF18" s="30"/>
    </row>
    <row r="19" spans="1:58" x14ac:dyDescent="0.2">
      <c r="A19" s="28">
        <v>1981</v>
      </c>
      <c r="B19" s="28">
        <v>4</v>
      </c>
      <c r="C19" s="29">
        <v>96760.551154433997</v>
      </c>
      <c r="D19" s="30">
        <v>1.2099532615502199E-2</v>
      </c>
      <c r="E19" s="29">
        <v>94570.786660935293</v>
      </c>
      <c r="F19" s="30">
        <v>1.32179184470014E-2</v>
      </c>
      <c r="G19" s="29">
        <v>63725.907830662298</v>
      </c>
      <c r="H19" s="30">
        <v>7.8141690770412407E-3</v>
      </c>
      <c r="I19" s="29">
        <v>52469.4290489255</v>
      </c>
      <c r="J19" s="30">
        <v>7.3461979757594199E-3</v>
      </c>
      <c r="K19" s="29">
        <v>11033.804697509</v>
      </c>
      <c r="L19" s="30">
        <v>1.0693768464064401E-2</v>
      </c>
      <c r="M19" s="29">
        <v>30881.9914197861</v>
      </c>
      <c r="N19" s="30">
        <v>2.3765675163563999E-2</v>
      </c>
      <c r="O19" s="29">
        <v>18482.386946716899</v>
      </c>
      <c r="P19" s="30">
        <v>-1.1691750708724099E-2</v>
      </c>
      <c r="Q19" s="29">
        <v>7620.14039264236</v>
      </c>
      <c r="R19" s="30">
        <v>1.3534170072346601E-2</v>
      </c>
      <c r="S19" s="29">
        <v>11110.0099351632</v>
      </c>
      <c r="T19" s="30">
        <v>-2.4313637268285102E-2</v>
      </c>
      <c r="U19" s="29"/>
      <c r="V19" s="30"/>
      <c r="W19" s="29"/>
      <c r="X19" s="30"/>
      <c r="Y19" s="29"/>
      <c r="Z19" s="30"/>
      <c r="AA19" s="29">
        <v>32651.6927139494</v>
      </c>
      <c r="AB19" s="30">
        <v>0.182779938994306</v>
      </c>
      <c r="AC19" s="29">
        <v>23030.385495926399</v>
      </c>
      <c r="AD19" s="30">
        <v>0.21339381439080701</v>
      </c>
      <c r="AE19" s="29">
        <v>15346.841249201299</v>
      </c>
      <c r="AF19" s="30">
        <v>8.3489865867531807E-2</v>
      </c>
      <c r="AG19" s="29">
        <v>13607.502312644499</v>
      </c>
      <c r="AH19" s="30">
        <v>3.8951950487772002E-2</v>
      </c>
      <c r="AI19" s="29">
        <v>9189.3433877515909</v>
      </c>
      <c r="AJ19" s="30">
        <v>7.1227697289633504E-2</v>
      </c>
      <c r="AK19" s="29">
        <v>29271.866922146</v>
      </c>
      <c r="AL19" s="30">
        <v>0.18041169981536101</v>
      </c>
      <c r="AM19" s="29">
        <v>23176.549437617101</v>
      </c>
      <c r="AN19" s="30">
        <v>0.19553612168749299</v>
      </c>
      <c r="AO19" s="29">
        <v>13938.196487806699</v>
      </c>
      <c r="AP19" s="30">
        <v>3.3929151388186099E-2</v>
      </c>
      <c r="AQ19" s="29">
        <v>12949.4012069647</v>
      </c>
      <c r="AR19" s="30">
        <v>3.2398820830761697E-2</v>
      </c>
      <c r="AS19" s="29">
        <v>6259.37853436569</v>
      </c>
      <c r="AT19" s="30">
        <v>0.10677264155572599</v>
      </c>
      <c r="AU19" s="29">
        <v>102801.471409754</v>
      </c>
      <c r="AV19" s="30">
        <v>1.40806567526317E-2</v>
      </c>
      <c r="AW19" s="29">
        <v>81197.716374146505</v>
      </c>
      <c r="AX19" s="30">
        <v>2.2894667427564301E-3</v>
      </c>
      <c r="AY19" s="29">
        <v>23472.773594256301</v>
      </c>
      <c r="AZ19" s="30">
        <v>4.86127437569202E-2</v>
      </c>
      <c r="BA19" s="29">
        <v>14313.2466680206</v>
      </c>
      <c r="BB19" s="30">
        <v>3.8904829245574001E-2</v>
      </c>
      <c r="BC19" s="29">
        <v>19453.0045196596</v>
      </c>
      <c r="BD19" s="30">
        <v>4.9649753934816E-2</v>
      </c>
      <c r="BE19" s="29"/>
      <c r="BF19" s="30"/>
    </row>
    <row r="20" spans="1:58" x14ac:dyDescent="0.2">
      <c r="A20" s="28">
        <v>1982</v>
      </c>
      <c r="B20" s="28">
        <v>1</v>
      </c>
      <c r="C20" s="29">
        <v>90694.538081228398</v>
      </c>
      <c r="D20" s="30">
        <v>5.6655212115976896E-3</v>
      </c>
      <c r="E20" s="29">
        <v>88608.206824978406</v>
      </c>
      <c r="F20" s="30">
        <v>2.9710898118010101E-2</v>
      </c>
      <c r="G20" s="29">
        <v>61745.136952400397</v>
      </c>
      <c r="H20" s="30">
        <v>5.2687645579840804E-3</v>
      </c>
      <c r="I20" s="29">
        <v>50591.347223593802</v>
      </c>
      <c r="J20" s="30">
        <v>5.1196522697170002E-3</v>
      </c>
      <c r="K20" s="29">
        <v>11009.3359821427</v>
      </c>
      <c r="L20" s="30">
        <v>6.1016384123437897E-3</v>
      </c>
      <c r="M20" s="29">
        <v>27077.666328650099</v>
      </c>
      <c r="N20" s="30">
        <v>8.4640638918783706E-2</v>
      </c>
      <c r="O20" s="29">
        <v>20276.338027496498</v>
      </c>
      <c r="P20" s="30">
        <v>-3.9216649421594099E-2</v>
      </c>
      <c r="Q20" s="29">
        <v>10476.5653571285</v>
      </c>
      <c r="R20" s="30">
        <v>-2.68427577317286E-2</v>
      </c>
      <c r="S20" s="29">
        <v>10590.6244257338</v>
      </c>
      <c r="T20" s="30">
        <v>-4.8303758761674698E-2</v>
      </c>
      <c r="U20" s="29"/>
      <c r="V20" s="30"/>
      <c r="W20" s="29"/>
      <c r="X20" s="30"/>
      <c r="Y20" s="29"/>
      <c r="Z20" s="30"/>
      <c r="AA20" s="29">
        <v>31243.2010414449</v>
      </c>
      <c r="AB20" s="30">
        <v>8.4885050279072505E-2</v>
      </c>
      <c r="AC20" s="29">
        <v>21311.327364377499</v>
      </c>
      <c r="AD20" s="30">
        <v>9.74971106327263E-2</v>
      </c>
      <c r="AE20" s="29">
        <v>14592.4335817967</v>
      </c>
      <c r="AF20" s="30">
        <v>5.8093194243690902E-2</v>
      </c>
      <c r="AG20" s="29">
        <v>12633.9675345458</v>
      </c>
      <c r="AH20" s="30">
        <v>2.8774275681131599E-4</v>
      </c>
      <c r="AI20" s="29">
        <v>9956.0390298626899</v>
      </c>
      <c r="AJ20" s="30">
        <v>4.3073227066444203E-2</v>
      </c>
      <c r="AK20" s="29">
        <v>28046.749391451402</v>
      </c>
      <c r="AL20" s="30">
        <v>0.139296196403878</v>
      </c>
      <c r="AM20" s="29">
        <v>22167.831643687499</v>
      </c>
      <c r="AN20" s="30">
        <v>0.14409282792647099</v>
      </c>
      <c r="AO20" s="29">
        <v>13156.954986086799</v>
      </c>
      <c r="AP20" s="30">
        <v>4.7489582221619003E-2</v>
      </c>
      <c r="AQ20" s="29">
        <v>12146.6449636296</v>
      </c>
      <c r="AR20" s="30">
        <v>5.96458768410191E-3</v>
      </c>
      <c r="AS20" s="29">
        <v>6072.8861146899299</v>
      </c>
      <c r="AT20" s="30">
        <v>0.118933540733799</v>
      </c>
      <c r="AU20" s="29">
        <v>102534.879587716</v>
      </c>
      <c r="AV20" s="30">
        <v>-3.1381285858982401E-3</v>
      </c>
      <c r="AW20" s="29">
        <v>81569.082273568696</v>
      </c>
      <c r="AX20" s="30">
        <v>-8.7729450740708908E-3</v>
      </c>
      <c r="AY20" s="29">
        <v>22936.912713068101</v>
      </c>
      <c r="AZ20" s="30">
        <v>1.3357274437153999E-2</v>
      </c>
      <c r="BA20" s="29">
        <v>13285.8254372548</v>
      </c>
      <c r="BB20" s="30">
        <v>-1.92459718260851E-3</v>
      </c>
      <c r="BC20" s="29">
        <v>18399.814823238401</v>
      </c>
      <c r="BD20" s="30">
        <v>3.2103700433205699E-2</v>
      </c>
      <c r="BE20" s="29"/>
      <c r="BF20" s="30"/>
    </row>
    <row r="21" spans="1:58" x14ac:dyDescent="0.2">
      <c r="A21" s="28">
        <v>1982</v>
      </c>
      <c r="B21" s="28">
        <v>2</v>
      </c>
      <c r="C21" s="29">
        <v>92530.2615228387</v>
      </c>
      <c r="D21" s="30">
        <v>-1.26573459061851E-2</v>
      </c>
      <c r="E21" s="29">
        <v>91764.070155494497</v>
      </c>
      <c r="F21" s="30">
        <v>3.8212013798782897E-2</v>
      </c>
      <c r="G21" s="29">
        <v>62041.934520970499</v>
      </c>
      <c r="H21" s="30">
        <v>1.3410581290247399E-3</v>
      </c>
      <c r="I21" s="29">
        <v>50857.9424633811</v>
      </c>
      <c r="J21" s="30">
        <v>1.5073804217051699E-3</v>
      </c>
      <c r="K21" s="29">
        <v>11032.253694164299</v>
      </c>
      <c r="L21" s="30">
        <v>3.1995185578037599E-4</v>
      </c>
      <c r="M21" s="29">
        <v>29764.954709855301</v>
      </c>
      <c r="N21" s="30">
        <v>0.11593681260812599</v>
      </c>
      <c r="O21" s="29">
        <v>21563.2845384108</v>
      </c>
      <c r="P21" s="30">
        <v>-4.5267810278024498E-2</v>
      </c>
      <c r="Q21" s="29">
        <v>11634.695101057599</v>
      </c>
      <c r="R21" s="30">
        <v>-6.3334394415380704E-2</v>
      </c>
      <c r="S21" s="29">
        <v>10888.287103734199</v>
      </c>
      <c r="T21" s="30">
        <v>-3.0464406489350199E-2</v>
      </c>
      <c r="U21" s="29"/>
      <c r="V21" s="30"/>
      <c r="W21" s="29"/>
      <c r="X21" s="30"/>
      <c r="Y21" s="29"/>
      <c r="Z21" s="30"/>
      <c r="AA21" s="29">
        <v>30591.141446264101</v>
      </c>
      <c r="AB21" s="30">
        <v>1.48515974891408E-2</v>
      </c>
      <c r="AC21" s="29">
        <v>20764.738114703901</v>
      </c>
      <c r="AD21" s="30">
        <v>1.6796935337947599E-2</v>
      </c>
      <c r="AE21" s="29">
        <v>14858.104971291999</v>
      </c>
      <c r="AF21" s="30">
        <v>1.56051693262798E-2</v>
      </c>
      <c r="AG21" s="29">
        <v>12736.1929543113</v>
      </c>
      <c r="AH21" s="30">
        <v>-2.94189600453676E-2</v>
      </c>
      <c r="AI21" s="29">
        <v>9897.7224407794802</v>
      </c>
      <c r="AJ21" s="30">
        <v>6.3981688989904802E-3</v>
      </c>
      <c r="AK21" s="29">
        <v>28373.190537517101</v>
      </c>
      <c r="AL21" s="30">
        <v>0.127690465961631</v>
      </c>
      <c r="AM21" s="29">
        <v>22143.2050947752</v>
      </c>
      <c r="AN21" s="30">
        <v>0.14059748864873001</v>
      </c>
      <c r="AO21" s="29">
        <v>13222.1653558281</v>
      </c>
      <c r="AP21" s="30">
        <v>1.6404924291711E-2</v>
      </c>
      <c r="AQ21" s="29">
        <v>12163.6655804936</v>
      </c>
      <c r="AR21" s="30">
        <v>2.2976855487426601E-3</v>
      </c>
      <c r="AS21" s="29">
        <v>6511.9836325998203</v>
      </c>
      <c r="AT21" s="30">
        <v>6.8007783822795001E-2</v>
      </c>
      <c r="AU21" s="29">
        <v>104339.56588155701</v>
      </c>
      <c r="AV21" s="30">
        <v>-1.51882047753328E-2</v>
      </c>
      <c r="AW21" s="29">
        <v>83426.588331986204</v>
      </c>
      <c r="AX21" s="30">
        <v>-1.38654371219404E-2</v>
      </c>
      <c r="AY21" s="29">
        <v>22991.395210755702</v>
      </c>
      <c r="AZ21" s="30">
        <v>-1.94812596411746E-2</v>
      </c>
      <c r="BA21" s="29">
        <v>13376.171340458601</v>
      </c>
      <c r="BB21" s="30">
        <v>-3.2683611304054297E-2</v>
      </c>
      <c r="BC21" s="29">
        <v>18750.3432903799</v>
      </c>
      <c r="BD21" s="30">
        <v>1.8667251610584999E-2</v>
      </c>
      <c r="BE21" s="29"/>
      <c r="BF21" s="30"/>
    </row>
    <row r="22" spans="1:58" x14ac:dyDescent="0.2">
      <c r="A22" s="28">
        <v>1982</v>
      </c>
      <c r="B22" s="28">
        <v>3</v>
      </c>
      <c r="C22" s="29">
        <v>90924.239815071604</v>
      </c>
      <c r="D22" s="30">
        <v>-2.18116114372249E-2</v>
      </c>
      <c r="E22" s="29">
        <v>88517.021686039603</v>
      </c>
      <c r="F22" s="30">
        <v>-7.8220977784791996E-3</v>
      </c>
      <c r="G22" s="29">
        <v>61794.251771126299</v>
      </c>
      <c r="H22" s="30">
        <v>2.55014867355463E-3</v>
      </c>
      <c r="I22" s="29">
        <v>50610.160442246997</v>
      </c>
      <c r="J22" s="30">
        <v>2.6823922164187501E-3</v>
      </c>
      <c r="K22" s="29">
        <v>11045.5548698763</v>
      </c>
      <c r="L22" s="30">
        <v>1.69871740543903E-3</v>
      </c>
      <c r="M22" s="29">
        <v>26947.7708768292</v>
      </c>
      <c r="N22" s="30">
        <v>-2.8766074059453299E-2</v>
      </c>
      <c r="O22" s="29">
        <v>21188.3980976819</v>
      </c>
      <c r="P22" s="30">
        <v>-6.5665952795324806E-2</v>
      </c>
      <c r="Q22" s="29">
        <v>11745.181323469</v>
      </c>
      <c r="R22" s="30">
        <v>-6.1198087614918198E-2</v>
      </c>
      <c r="S22" s="29">
        <v>10461.474433760301</v>
      </c>
      <c r="T22" s="30">
        <v>-6.9820834045736094E-2</v>
      </c>
      <c r="U22" s="29"/>
      <c r="V22" s="30"/>
      <c r="W22" s="29"/>
      <c r="X22" s="30"/>
      <c r="Y22" s="29"/>
      <c r="Z22" s="30"/>
      <c r="AA22" s="29">
        <v>30430.323286080398</v>
      </c>
      <c r="AB22" s="30">
        <v>-9.3823078826367895E-2</v>
      </c>
      <c r="AC22" s="29">
        <v>19796.021450084601</v>
      </c>
      <c r="AD22" s="30">
        <v>-0.12603920029540799</v>
      </c>
      <c r="AE22" s="29">
        <v>13770.3431885926</v>
      </c>
      <c r="AF22" s="30">
        <v>-9.4227815925917002E-2</v>
      </c>
      <c r="AG22" s="29">
        <v>12286.1854589539</v>
      </c>
      <c r="AH22" s="30">
        <v>-7.8597389256849906E-2</v>
      </c>
      <c r="AI22" s="29">
        <v>11107.6021765894</v>
      </c>
      <c r="AJ22" s="30">
        <v>-8.2505971445745495E-4</v>
      </c>
      <c r="AK22" s="29">
        <v>27144.5706478957</v>
      </c>
      <c r="AL22" s="30">
        <v>-6.70419822316244E-2</v>
      </c>
      <c r="AM22" s="29">
        <v>20670.055450940301</v>
      </c>
      <c r="AN22" s="30">
        <v>-9.2524743376601395E-2</v>
      </c>
      <c r="AO22" s="29">
        <v>12395.8960049455</v>
      </c>
      <c r="AP22" s="30">
        <v>-7.3453747340218603E-2</v>
      </c>
      <c r="AQ22" s="29">
        <v>11352.610405351301</v>
      </c>
      <c r="AR22" s="30">
        <v>-8.1372401708663306E-2</v>
      </c>
      <c r="AS22" s="29">
        <v>6900.3752291450501</v>
      </c>
      <c r="AT22" s="30">
        <v>4.74684531476737E-2</v>
      </c>
      <c r="AU22" s="29">
        <v>104197.87175578</v>
      </c>
      <c r="AV22" s="30">
        <v>-2.8410388063715802E-2</v>
      </c>
      <c r="AW22" s="29">
        <v>82737.735879103799</v>
      </c>
      <c r="AX22" s="30">
        <v>-1.9885564490185401E-2</v>
      </c>
      <c r="AY22" s="29">
        <v>23436.6612690482</v>
      </c>
      <c r="AZ22" s="30">
        <v>-5.2040223869921097E-2</v>
      </c>
      <c r="BA22" s="29">
        <v>12904.9458908126</v>
      </c>
      <c r="BB22" s="30">
        <v>-8.1095490237729204E-2</v>
      </c>
      <c r="BC22" s="29">
        <v>18120.496624093801</v>
      </c>
      <c r="BD22" s="30">
        <v>-4.7906943218917898E-2</v>
      </c>
      <c r="BE22" s="29"/>
      <c r="BF22" s="30"/>
    </row>
    <row r="23" spans="1:58" x14ac:dyDescent="0.2">
      <c r="A23" s="28">
        <v>1982</v>
      </c>
      <c r="B23" s="28">
        <v>4</v>
      </c>
      <c r="C23" s="29">
        <v>94571.096983820098</v>
      </c>
      <c r="D23" s="30">
        <v>-2.26275496004508E-2</v>
      </c>
      <c r="E23" s="29">
        <v>91751.514005113495</v>
      </c>
      <c r="F23" s="30">
        <v>-2.9811242513289999E-2</v>
      </c>
      <c r="G23" s="29">
        <v>63926.193184408403</v>
      </c>
      <c r="H23" s="30">
        <v>3.1429187996561102E-3</v>
      </c>
      <c r="I23" s="29">
        <v>52514.260571053703</v>
      </c>
      <c r="J23" s="30">
        <v>8.5443129343776303E-4</v>
      </c>
      <c r="K23" s="29">
        <v>11224.136070594601</v>
      </c>
      <c r="L23" s="30">
        <v>1.72498406763162E-2</v>
      </c>
      <c r="M23" s="29">
        <v>28046.6523512077</v>
      </c>
      <c r="N23" s="30">
        <v>-9.1812054152757797E-2</v>
      </c>
      <c r="O23" s="29">
        <v>18306.5814631305</v>
      </c>
      <c r="P23" s="30">
        <v>-9.5120551308204293E-3</v>
      </c>
      <c r="Q23" s="29">
        <v>8032.0309916337301</v>
      </c>
      <c r="R23" s="30">
        <v>5.4052888499151103E-2</v>
      </c>
      <c r="S23" s="29">
        <v>10645.3150747211</v>
      </c>
      <c r="T23" s="30">
        <v>-4.1826682708116E-2</v>
      </c>
      <c r="U23" s="29"/>
      <c r="V23" s="30"/>
      <c r="W23" s="29"/>
      <c r="X23" s="30"/>
      <c r="Y23" s="29"/>
      <c r="Z23" s="30"/>
      <c r="AA23" s="29">
        <v>30431.029040059901</v>
      </c>
      <c r="AB23" s="30">
        <v>-6.8010675383480504E-2</v>
      </c>
      <c r="AC23" s="29">
        <v>21004.008917938099</v>
      </c>
      <c r="AD23" s="30">
        <v>-8.7987088984974995E-2</v>
      </c>
      <c r="AE23" s="29">
        <v>15467.2676944221</v>
      </c>
      <c r="AF23" s="30">
        <v>7.8469857911000994E-3</v>
      </c>
      <c r="AG23" s="29">
        <v>13221.310579028001</v>
      </c>
      <c r="AH23" s="30">
        <v>-2.8380795001420999E-2</v>
      </c>
      <c r="AI23" s="29">
        <v>9335.0902885693195</v>
      </c>
      <c r="AJ23" s="30">
        <v>1.5860426003015099E-2</v>
      </c>
      <c r="AK23" s="29">
        <v>26976.366721694601</v>
      </c>
      <c r="AL23" s="30">
        <v>-7.8420013542584696E-2</v>
      </c>
      <c r="AM23" s="29">
        <v>20906.478243339701</v>
      </c>
      <c r="AN23" s="30">
        <v>-9.7946901042698098E-2</v>
      </c>
      <c r="AO23" s="29">
        <v>13634.555972240199</v>
      </c>
      <c r="AP23" s="30">
        <v>-2.1784777954028001E-2</v>
      </c>
      <c r="AQ23" s="29">
        <v>12221.0559249504</v>
      </c>
      <c r="AR23" s="30">
        <v>-5.6245479646009497E-2</v>
      </c>
      <c r="AS23" s="29">
        <v>6382.4942457084198</v>
      </c>
      <c r="AT23" s="30">
        <v>1.9668999193258201E-2</v>
      </c>
      <c r="AU23" s="29">
        <v>102307.06579694099</v>
      </c>
      <c r="AV23" s="30">
        <v>-4.8093242833315798E-3</v>
      </c>
      <c r="AW23" s="29">
        <v>81141.305012686702</v>
      </c>
      <c r="AX23" s="30">
        <v>-6.9474073876474296E-4</v>
      </c>
      <c r="AY23" s="29">
        <v>23090.059294103499</v>
      </c>
      <c r="AZ23" s="30">
        <v>-1.63046049337108E-2</v>
      </c>
      <c r="BA23" s="29">
        <v>13867.5724027406</v>
      </c>
      <c r="BB23" s="30">
        <v>-3.1137188900387299E-2</v>
      </c>
      <c r="BC23" s="29">
        <v>18717.978706710201</v>
      </c>
      <c r="BD23" s="30">
        <v>-3.7784693475323802E-2</v>
      </c>
      <c r="BE23" s="29"/>
      <c r="BF23" s="30"/>
    </row>
    <row r="24" spans="1:58" x14ac:dyDescent="0.2">
      <c r="A24" s="28">
        <v>1983</v>
      </c>
      <c r="B24" s="28">
        <v>1</v>
      </c>
      <c r="C24" s="29">
        <v>90386.127157120805</v>
      </c>
      <c r="D24" s="30">
        <v>-3.4005457289099099E-3</v>
      </c>
      <c r="E24" s="29">
        <v>89538.4261570487</v>
      </c>
      <c r="F24" s="30">
        <v>1.04981171090359E-2</v>
      </c>
      <c r="G24" s="29">
        <v>63092.818234199804</v>
      </c>
      <c r="H24" s="30">
        <v>2.1826517007134599E-2</v>
      </c>
      <c r="I24" s="29">
        <v>51667.373070079397</v>
      </c>
      <c r="J24" s="30">
        <v>2.1268970002518199E-2</v>
      </c>
      <c r="K24" s="29">
        <v>11284.181221861099</v>
      </c>
      <c r="L24" s="30">
        <v>2.49647426660633E-2</v>
      </c>
      <c r="M24" s="29">
        <v>26701.152979601698</v>
      </c>
      <c r="N24" s="30">
        <v>-1.39049408644951E-2</v>
      </c>
      <c r="O24" s="29">
        <v>20375.670991029601</v>
      </c>
      <c r="P24" s="30">
        <v>4.8989597331829896E-3</v>
      </c>
      <c r="Q24" s="29">
        <v>10384.756685632799</v>
      </c>
      <c r="R24" s="30">
        <v>-8.7632414217941896E-3</v>
      </c>
      <c r="S24" s="29">
        <v>10751.103385587499</v>
      </c>
      <c r="T24" s="30">
        <v>1.515292709878E-2</v>
      </c>
      <c r="U24" s="29"/>
      <c r="V24" s="30"/>
      <c r="W24" s="29"/>
      <c r="X24" s="30"/>
      <c r="Y24" s="29"/>
      <c r="Z24" s="30"/>
      <c r="AA24" s="29">
        <v>29626.006391155101</v>
      </c>
      <c r="AB24" s="30">
        <v>-5.1761490384566497E-2</v>
      </c>
      <c r="AC24" s="29">
        <v>19448.625783459502</v>
      </c>
      <c r="AD24" s="30">
        <v>-8.7404296741811993E-2</v>
      </c>
      <c r="AE24" s="29">
        <v>14778.2325896893</v>
      </c>
      <c r="AF24" s="30">
        <v>1.27325580651845E-2</v>
      </c>
      <c r="AG24" s="29">
        <v>12930.6907147245</v>
      </c>
      <c r="AH24" s="30">
        <v>2.3486143950218499E-2</v>
      </c>
      <c r="AI24" s="29">
        <v>10447.9993557531</v>
      </c>
      <c r="AJ24" s="30">
        <v>4.94132580652566E-2</v>
      </c>
      <c r="AK24" s="29">
        <v>27489.682266911001</v>
      </c>
      <c r="AL24" s="30">
        <v>-1.9862092279051401E-2</v>
      </c>
      <c r="AM24" s="29">
        <v>21403.4133698978</v>
      </c>
      <c r="AN24" s="30">
        <v>-3.4483222629819697E-2</v>
      </c>
      <c r="AO24" s="29">
        <v>13621.0298648517</v>
      </c>
      <c r="AP24" s="30">
        <v>3.5272209964661398E-2</v>
      </c>
      <c r="AQ24" s="29">
        <v>12415.5839601114</v>
      </c>
      <c r="AR24" s="30">
        <v>2.2141010730704101E-2</v>
      </c>
      <c r="AS24" s="29">
        <v>6377.9406618906596</v>
      </c>
      <c r="AT24" s="30">
        <v>5.0232219317074799E-2</v>
      </c>
      <c r="AU24" s="29">
        <v>104617.133295587</v>
      </c>
      <c r="AV24" s="30">
        <v>2.0307759820301401E-2</v>
      </c>
      <c r="AW24" s="29">
        <v>82928.504155845905</v>
      </c>
      <c r="AX24" s="30">
        <v>1.6665896493943701E-2</v>
      </c>
      <c r="AY24" s="29">
        <v>23645.794380459101</v>
      </c>
      <c r="AZ24" s="30">
        <v>3.0905714132448501E-2</v>
      </c>
      <c r="BA24" s="29">
        <v>13559.505308345701</v>
      </c>
      <c r="BB24" s="30">
        <v>2.0599387850109199E-2</v>
      </c>
      <c r="BC24" s="29">
        <v>18935.628491207401</v>
      </c>
      <c r="BD24" s="30">
        <v>2.9120601110196799E-2</v>
      </c>
      <c r="BE24" s="29"/>
      <c r="BF24" s="30"/>
    </row>
    <row r="25" spans="1:58" x14ac:dyDescent="0.2">
      <c r="A25" s="28">
        <v>1983</v>
      </c>
      <c r="B25" s="28">
        <v>2</v>
      </c>
      <c r="C25" s="29">
        <v>92476.621936276206</v>
      </c>
      <c r="D25" s="30">
        <v>-5.7969777324407001E-4</v>
      </c>
      <c r="E25" s="29">
        <v>92114.941932446396</v>
      </c>
      <c r="F25" s="30">
        <v>3.8236291868636299E-3</v>
      </c>
      <c r="G25" s="29">
        <v>62578.294372462202</v>
      </c>
      <c r="H25" s="30">
        <v>8.6451181065354508E-3</v>
      </c>
      <c r="I25" s="29">
        <v>51076.893929423699</v>
      </c>
      <c r="J25" s="30">
        <v>4.3051577676451701E-3</v>
      </c>
      <c r="K25" s="29">
        <v>11404.613150256901</v>
      </c>
      <c r="L25" s="30">
        <v>3.3751893893590797E-2</v>
      </c>
      <c r="M25" s="29">
        <v>29635.235731733199</v>
      </c>
      <c r="N25" s="30">
        <v>-4.3581110533019701E-3</v>
      </c>
      <c r="O25" s="29">
        <v>22336.7952143199</v>
      </c>
      <c r="P25" s="30">
        <v>3.5871653714498498E-2</v>
      </c>
      <c r="Q25" s="29">
        <v>12132.218856064799</v>
      </c>
      <c r="R25" s="30">
        <v>4.2762079339920801E-2</v>
      </c>
      <c r="S25" s="29">
        <v>11218.5733153653</v>
      </c>
      <c r="T25" s="30">
        <v>3.03340836335853E-2</v>
      </c>
      <c r="U25" s="29"/>
      <c r="V25" s="30"/>
      <c r="W25" s="29"/>
      <c r="X25" s="30"/>
      <c r="Y25" s="29"/>
      <c r="Z25" s="30"/>
      <c r="AA25" s="29">
        <v>29389.320566045299</v>
      </c>
      <c r="AB25" s="30">
        <v>-3.92865654369235E-2</v>
      </c>
      <c r="AC25" s="29">
        <v>19179.882888757598</v>
      </c>
      <c r="AD25" s="30">
        <v>-7.6324354161926594E-2</v>
      </c>
      <c r="AE25" s="29">
        <v>14618.400991123301</v>
      </c>
      <c r="AF25" s="30">
        <v>-1.6132877014387301E-2</v>
      </c>
      <c r="AG25" s="29">
        <v>12563.2685070724</v>
      </c>
      <c r="AH25" s="30">
        <v>-1.3577404791147E-2</v>
      </c>
      <c r="AI25" s="29">
        <v>10509.225191129301</v>
      </c>
      <c r="AJ25" s="30">
        <v>6.1782167969305801E-2</v>
      </c>
      <c r="AK25" s="29">
        <v>27650.080679151499</v>
      </c>
      <c r="AL25" s="30">
        <v>-2.5485673083167001E-2</v>
      </c>
      <c r="AM25" s="29">
        <v>21382.874705263901</v>
      </c>
      <c r="AN25" s="30">
        <v>-3.4336961892239601E-2</v>
      </c>
      <c r="AO25" s="29">
        <v>13932.817967823101</v>
      </c>
      <c r="AP25" s="30">
        <v>5.3747067357747799E-2</v>
      </c>
      <c r="AQ25" s="29">
        <v>12621.940987399301</v>
      </c>
      <c r="AR25" s="30">
        <v>3.7675765078633697E-2</v>
      </c>
      <c r="AS25" s="29">
        <v>6594.2865603727596</v>
      </c>
      <c r="AT25" s="30">
        <v>1.26386877511357E-2</v>
      </c>
      <c r="AU25" s="29">
        <v>105998.02112099</v>
      </c>
      <c r="AV25" s="30">
        <v>1.5894787614081599E-2</v>
      </c>
      <c r="AW25" s="29">
        <v>84851.829433538704</v>
      </c>
      <c r="AX25" s="30">
        <v>1.70837754491515E-2</v>
      </c>
      <c r="AY25" s="29">
        <v>23279.6359476506</v>
      </c>
      <c r="AZ25" s="30">
        <v>1.2536896271528901E-2</v>
      </c>
      <c r="BA25" s="29">
        <v>13182.090152107199</v>
      </c>
      <c r="BB25" s="30">
        <v>-1.4509472360329E-2</v>
      </c>
      <c r="BC25" s="29">
        <v>19333.650633515001</v>
      </c>
      <c r="BD25" s="30">
        <v>3.1109155395268699E-2</v>
      </c>
      <c r="BE25" s="29"/>
      <c r="BF25" s="30"/>
    </row>
    <row r="26" spans="1:58" x14ac:dyDescent="0.2">
      <c r="A26" s="28">
        <v>1983</v>
      </c>
      <c r="B26" s="28">
        <v>3</v>
      </c>
      <c r="C26" s="29">
        <v>92015.745852970998</v>
      </c>
      <c r="D26" s="30">
        <v>1.2004566000435099E-2</v>
      </c>
      <c r="E26" s="29">
        <v>90686.050260195203</v>
      </c>
      <c r="F26" s="30">
        <v>2.4504084444333399E-2</v>
      </c>
      <c r="G26" s="29">
        <v>62673.221416307497</v>
      </c>
      <c r="H26" s="30">
        <v>1.42241328277066E-2</v>
      </c>
      <c r="I26" s="29">
        <v>51174.584879550202</v>
      </c>
      <c r="J26" s="30">
        <v>1.11523937559395E-2</v>
      </c>
      <c r="K26" s="29">
        <v>11396.5252061723</v>
      </c>
      <c r="L26" s="30">
        <v>3.1774803568553903E-2</v>
      </c>
      <c r="M26" s="29">
        <v>28185.034680115001</v>
      </c>
      <c r="N26" s="30">
        <v>4.5913400738822399E-2</v>
      </c>
      <c r="O26" s="29">
        <v>21929.526932914599</v>
      </c>
      <c r="P26" s="30">
        <v>3.49780493936322E-2</v>
      </c>
      <c r="Q26" s="29">
        <v>12513.263786609499</v>
      </c>
      <c r="R26" s="30">
        <v>6.5395538986339E-2</v>
      </c>
      <c r="S26" s="29">
        <v>10557.2253199595</v>
      </c>
      <c r="T26" s="30">
        <v>9.1527142570040406E-3</v>
      </c>
      <c r="U26" s="29"/>
      <c r="V26" s="30"/>
      <c r="W26" s="29"/>
      <c r="X26" s="30"/>
      <c r="Y26" s="29"/>
      <c r="Z26" s="30"/>
      <c r="AA26" s="29">
        <v>29954.139930139299</v>
      </c>
      <c r="AB26" s="30">
        <v>-1.5648317353202299E-2</v>
      </c>
      <c r="AC26" s="29">
        <v>18960.3954192069</v>
      </c>
      <c r="AD26" s="30">
        <v>-4.2211816802921201E-2</v>
      </c>
      <c r="AE26" s="29">
        <v>14406.048187943001</v>
      </c>
      <c r="AF26" s="30">
        <v>4.6164789841772101E-2</v>
      </c>
      <c r="AG26" s="29">
        <v>12659.2444581982</v>
      </c>
      <c r="AH26" s="30">
        <v>3.03641028772264E-2</v>
      </c>
      <c r="AI26" s="29">
        <v>11461.825580917401</v>
      </c>
      <c r="AJ26" s="30">
        <v>3.1890177438526103E-2</v>
      </c>
      <c r="AK26" s="29">
        <v>27470.0157549908</v>
      </c>
      <c r="AL26" s="30">
        <v>1.19893260172206E-2</v>
      </c>
      <c r="AM26" s="29">
        <v>20915.699488526199</v>
      </c>
      <c r="AN26" s="30">
        <v>1.1884053149682701E-2</v>
      </c>
      <c r="AO26" s="29">
        <v>13423.9942739542</v>
      </c>
      <c r="AP26" s="30">
        <v>8.2938600694821202E-2</v>
      </c>
      <c r="AQ26" s="29">
        <v>12142.866188301699</v>
      </c>
      <c r="AR26" s="30">
        <v>6.9610050440725504E-2</v>
      </c>
      <c r="AS26" s="29">
        <v>6955.2740768748999</v>
      </c>
      <c r="AT26" s="30">
        <v>7.9559220921743296E-3</v>
      </c>
      <c r="AU26" s="29">
        <v>106649.031801827</v>
      </c>
      <c r="AV26" s="30">
        <v>2.3524089357518999E-2</v>
      </c>
      <c r="AW26" s="29">
        <v>84441.443435047899</v>
      </c>
      <c r="AX26" s="30">
        <v>2.0591662774451101E-2</v>
      </c>
      <c r="AY26" s="29">
        <v>24185.026413700401</v>
      </c>
      <c r="AZ26" s="30">
        <v>3.19313888638433E-2</v>
      </c>
      <c r="BA26" s="29">
        <v>13286.4130174846</v>
      </c>
      <c r="BB26" s="30">
        <v>2.9559761807565799E-2</v>
      </c>
      <c r="BC26" s="29">
        <v>19061.290545147302</v>
      </c>
      <c r="BD26" s="30">
        <v>5.1918771354344501E-2</v>
      </c>
      <c r="BE26" s="29"/>
      <c r="BF26" s="30"/>
    </row>
    <row r="27" spans="1:58" x14ac:dyDescent="0.2">
      <c r="A27" s="28">
        <v>1983</v>
      </c>
      <c r="B27" s="28">
        <v>4</v>
      </c>
      <c r="C27" s="29">
        <v>96198.056105487005</v>
      </c>
      <c r="D27" s="30">
        <v>1.7203555563549001E-2</v>
      </c>
      <c r="E27" s="29">
        <v>96615.6397029574</v>
      </c>
      <c r="F27" s="30">
        <v>5.3014119173802297E-2</v>
      </c>
      <c r="G27" s="29">
        <v>64797.945818291002</v>
      </c>
      <c r="H27" s="30">
        <v>1.36368613624132E-2</v>
      </c>
      <c r="I27" s="29">
        <v>53229.311199819</v>
      </c>
      <c r="J27" s="30">
        <v>1.36163133783025E-2</v>
      </c>
      <c r="K27" s="29">
        <v>11381.1348202391</v>
      </c>
      <c r="L27" s="30">
        <v>1.39876021332055E-2</v>
      </c>
      <c r="M27" s="29">
        <v>31862.012272749798</v>
      </c>
      <c r="N27" s="30">
        <v>0.13603619689669599</v>
      </c>
      <c r="O27" s="29">
        <v>19529.532590905401</v>
      </c>
      <c r="P27" s="30">
        <v>6.6803904936479905E-2</v>
      </c>
      <c r="Q27" s="29">
        <v>9074.1528612204493</v>
      </c>
      <c r="R27" s="30">
        <v>0.129745748076944</v>
      </c>
      <c r="S27" s="29">
        <v>10971.6218837998</v>
      </c>
      <c r="T27" s="30">
        <v>3.0652621062726301E-2</v>
      </c>
      <c r="U27" s="29"/>
      <c r="V27" s="30"/>
      <c r="W27" s="29"/>
      <c r="X27" s="30"/>
      <c r="Y27" s="29"/>
      <c r="Z27" s="30"/>
      <c r="AA27" s="29">
        <v>30304.336122944002</v>
      </c>
      <c r="AB27" s="30">
        <v>-4.1632807404936604E-3</v>
      </c>
      <c r="AC27" s="29">
        <v>20534.079905824499</v>
      </c>
      <c r="AD27" s="30">
        <v>-2.2373300923151498E-2</v>
      </c>
      <c r="AE27" s="29">
        <v>15495.9564732089</v>
      </c>
      <c r="AF27" s="30">
        <v>1.85480586187858E-3</v>
      </c>
      <c r="AG27" s="29">
        <v>13417.823355782801</v>
      </c>
      <c r="AH27" s="30">
        <v>1.48633356413617E-2</v>
      </c>
      <c r="AI27" s="29">
        <v>9870.1530600919505</v>
      </c>
      <c r="AJ27" s="30">
        <v>5.7317364372769401E-2</v>
      </c>
      <c r="AK27" s="29">
        <v>29081.299413305602</v>
      </c>
      <c r="AL27" s="30">
        <v>7.8028769156606795E-2</v>
      </c>
      <c r="AM27" s="29">
        <v>22653.538622887601</v>
      </c>
      <c r="AN27" s="30">
        <v>8.3565503439324604E-2</v>
      </c>
      <c r="AO27" s="29">
        <v>14545.874145297401</v>
      </c>
      <c r="AP27" s="30">
        <v>6.6838859652825794E-2</v>
      </c>
      <c r="AQ27" s="29">
        <v>13111.771521475401</v>
      </c>
      <c r="AR27" s="30">
        <v>7.2883685501066595E-2</v>
      </c>
      <c r="AS27" s="29">
        <v>6733.79464488749</v>
      </c>
      <c r="AT27" s="30">
        <v>5.5041240251062697E-2</v>
      </c>
      <c r="AU27" s="29">
        <v>105224.29899645199</v>
      </c>
      <c r="AV27" s="30">
        <v>2.8514484085595301E-2</v>
      </c>
      <c r="AW27" s="29">
        <v>83462.767561649496</v>
      </c>
      <c r="AX27" s="30">
        <v>2.86101209316247E-2</v>
      </c>
      <c r="AY27" s="29">
        <v>23739.6720059129</v>
      </c>
      <c r="AZ27" s="30">
        <v>2.8133869364955301E-2</v>
      </c>
      <c r="BA27" s="29">
        <v>14078.342943633699</v>
      </c>
      <c r="BB27" s="30">
        <v>1.5198805874018201E-2</v>
      </c>
      <c r="BC27" s="29">
        <v>19996.0747390252</v>
      </c>
      <c r="BD27" s="30">
        <v>6.8281733425462399E-2</v>
      </c>
      <c r="BE27" s="29"/>
      <c r="BF27" s="30"/>
    </row>
    <row r="28" spans="1:58" x14ac:dyDescent="0.2">
      <c r="A28" s="28">
        <v>1984</v>
      </c>
      <c r="B28" s="28">
        <v>1</v>
      </c>
      <c r="C28" s="29">
        <v>92442.5962858524</v>
      </c>
      <c r="D28" s="30">
        <v>2.2752043852445999E-2</v>
      </c>
      <c r="E28" s="29">
        <v>90124.397805317305</v>
      </c>
      <c r="F28" s="30">
        <v>6.5443594824956498E-3</v>
      </c>
      <c r="G28" s="29">
        <v>63662.547605030901</v>
      </c>
      <c r="H28" s="30">
        <v>9.0300193710830499E-3</v>
      </c>
      <c r="I28" s="29">
        <v>52144.928996101298</v>
      </c>
      <c r="J28" s="30">
        <v>9.2428915511952904E-3</v>
      </c>
      <c r="K28" s="29">
        <v>11372.265669251399</v>
      </c>
      <c r="L28" s="30">
        <v>7.8060114117670699E-3</v>
      </c>
      <c r="M28" s="29">
        <v>26679.616189498101</v>
      </c>
      <c r="N28" s="30">
        <v>-8.0658652156262401E-4</v>
      </c>
      <c r="O28" s="29">
        <v>21590.568787392502</v>
      </c>
      <c r="P28" s="30">
        <v>5.9624922138649603E-2</v>
      </c>
      <c r="Q28" s="29">
        <v>11063.5652078565</v>
      </c>
      <c r="R28" s="30">
        <v>6.5365857166671107E-2</v>
      </c>
      <c r="S28" s="29">
        <v>11341.7233935069</v>
      </c>
      <c r="T28" s="30">
        <v>5.4935757450834698E-2</v>
      </c>
      <c r="U28" s="29"/>
      <c r="V28" s="30"/>
      <c r="W28" s="29"/>
      <c r="X28" s="30"/>
      <c r="Y28" s="29"/>
      <c r="Z28" s="30"/>
      <c r="AA28" s="29">
        <v>32425.003951934901</v>
      </c>
      <c r="AB28" s="30">
        <v>9.4477720818132702E-2</v>
      </c>
      <c r="AC28" s="29">
        <v>21533.700854365499</v>
      </c>
      <c r="AD28" s="30">
        <v>0.107209377882077</v>
      </c>
      <c r="AE28" s="29">
        <v>15902.331188099201</v>
      </c>
      <c r="AF28" s="30">
        <v>7.6064481431572697E-2</v>
      </c>
      <c r="AG28" s="29">
        <v>13634.2902004596</v>
      </c>
      <c r="AH28" s="30">
        <v>5.4413140122041598E-2</v>
      </c>
      <c r="AI28" s="29">
        <v>11106.8117236128</v>
      </c>
      <c r="AJ28" s="30">
        <v>6.3056317810449694E-2</v>
      </c>
      <c r="AK28" s="29">
        <v>29019.668408499299</v>
      </c>
      <c r="AL28" s="30">
        <v>5.5656741563360403E-2</v>
      </c>
      <c r="AM28" s="29">
        <v>22428.501763305801</v>
      </c>
      <c r="AN28" s="30">
        <v>4.7893687595159898E-2</v>
      </c>
      <c r="AO28" s="29">
        <v>15523.528048029701</v>
      </c>
      <c r="AP28" s="30">
        <v>0.13967359311701499</v>
      </c>
      <c r="AQ28" s="29">
        <v>13500.217666992599</v>
      </c>
      <c r="AR28" s="30">
        <v>8.7360667880456794E-2</v>
      </c>
      <c r="AS28" s="29">
        <v>6937.9009536120902</v>
      </c>
      <c r="AT28" s="30">
        <v>8.7796409751393703E-2</v>
      </c>
      <c r="AU28" s="29">
        <v>108050.72649722701</v>
      </c>
      <c r="AV28" s="30">
        <v>3.2820562879878099E-2</v>
      </c>
      <c r="AW28" s="29">
        <v>84932.304413602804</v>
      </c>
      <c r="AX28" s="30">
        <v>2.4162985672467E-2</v>
      </c>
      <c r="AY28" s="29">
        <v>25024.466608596798</v>
      </c>
      <c r="AZ28" s="30">
        <v>5.8305177062565799E-2</v>
      </c>
      <c r="BA28" s="29">
        <v>14312.684854626301</v>
      </c>
      <c r="BB28" s="30">
        <v>5.55462407479645E-2</v>
      </c>
      <c r="BC28" s="29">
        <v>20590.349099785701</v>
      </c>
      <c r="BD28" s="30">
        <v>8.7386621962224797E-2</v>
      </c>
      <c r="BE28" s="29"/>
      <c r="BF28" s="30"/>
    </row>
    <row r="29" spans="1:58" x14ac:dyDescent="0.2">
      <c r="A29" s="28">
        <v>1984</v>
      </c>
      <c r="B29" s="28">
        <v>2</v>
      </c>
      <c r="C29" s="29">
        <v>94888.422204405593</v>
      </c>
      <c r="D29" s="30">
        <v>2.6080107789742998E-2</v>
      </c>
      <c r="E29" s="29">
        <v>90153.7072261781</v>
      </c>
      <c r="F29" s="30">
        <v>-2.12911680246902E-2</v>
      </c>
      <c r="G29" s="29">
        <v>63791.3178087329</v>
      </c>
      <c r="H29" s="30">
        <v>1.9384092334808999E-2</v>
      </c>
      <c r="I29" s="29">
        <v>52178.000551467703</v>
      </c>
      <c r="J29" s="30">
        <v>2.15578226735051E-2</v>
      </c>
      <c r="K29" s="29">
        <v>11486.211016261201</v>
      </c>
      <c r="L29" s="30">
        <v>7.1548122614251098E-3</v>
      </c>
      <c r="M29" s="29">
        <v>26584.860231019102</v>
      </c>
      <c r="N29" s="30">
        <v>-0.102930698049004</v>
      </c>
      <c r="O29" s="29">
        <v>22861.2556725473</v>
      </c>
      <c r="P29" s="30">
        <v>2.3479664526411301E-2</v>
      </c>
      <c r="Q29" s="29">
        <v>12707.5095096038</v>
      </c>
      <c r="R29" s="30">
        <v>4.7418420353625201E-2</v>
      </c>
      <c r="S29" s="29">
        <v>11276.8629250673</v>
      </c>
      <c r="T29" s="30">
        <v>5.1958130560321204E-3</v>
      </c>
      <c r="U29" s="29"/>
      <c r="V29" s="30"/>
      <c r="W29" s="29"/>
      <c r="X29" s="30"/>
      <c r="Y29" s="29"/>
      <c r="Z29" s="30"/>
      <c r="AA29" s="29">
        <v>34657.597972987503</v>
      </c>
      <c r="AB29" s="30">
        <v>0.17925822392195401</v>
      </c>
      <c r="AC29" s="29">
        <v>23485.8533702063</v>
      </c>
      <c r="AD29" s="30">
        <v>0.22450452416331701</v>
      </c>
      <c r="AE29" s="29">
        <v>16162.196379163501</v>
      </c>
      <c r="AF29" s="30">
        <v>0.10560631008669701</v>
      </c>
      <c r="AG29" s="29">
        <v>13270.173388807099</v>
      </c>
      <c r="AH29" s="30">
        <v>5.6267593209260197E-2</v>
      </c>
      <c r="AI29" s="29">
        <v>11252.9038384715</v>
      </c>
      <c r="AJ29" s="30">
        <v>7.0764365004752694E-2</v>
      </c>
      <c r="AK29" s="29">
        <v>29375.3227986415</v>
      </c>
      <c r="AL29" s="30">
        <v>6.2395554628195599E-2</v>
      </c>
      <c r="AM29" s="29">
        <v>22822.1043166249</v>
      </c>
      <c r="AN29" s="30">
        <v>6.7307582876439107E-2</v>
      </c>
      <c r="AO29" s="29">
        <v>15223.0176625638</v>
      </c>
      <c r="AP29" s="30">
        <v>9.2601489355584696E-2</v>
      </c>
      <c r="AQ29" s="29">
        <v>13295.6016541433</v>
      </c>
      <c r="AR29" s="30">
        <v>5.3372192709229403E-2</v>
      </c>
      <c r="AS29" s="29">
        <v>6872.2370031910996</v>
      </c>
      <c r="AT29" s="30">
        <v>4.2150191726370197E-2</v>
      </c>
      <c r="AU29" s="29">
        <v>109294.691267947</v>
      </c>
      <c r="AV29" s="30">
        <v>3.11012423825772E-2</v>
      </c>
      <c r="AW29" s="29">
        <v>86589.477943068006</v>
      </c>
      <c r="AX29" s="30">
        <v>2.0478621629370201E-2</v>
      </c>
      <c r="AY29" s="29">
        <v>24745.451728469001</v>
      </c>
      <c r="AZ29" s="30">
        <v>6.2965580050930295E-2</v>
      </c>
      <c r="BA29" s="29">
        <v>13951.178270673299</v>
      </c>
      <c r="BB29" s="30">
        <v>5.8343412136589598E-2</v>
      </c>
      <c r="BC29" s="29">
        <v>20308.3730862538</v>
      </c>
      <c r="BD29" s="30">
        <v>5.0415851161036397E-2</v>
      </c>
      <c r="BE29" s="29"/>
      <c r="BF29" s="30"/>
    </row>
    <row r="30" spans="1:58" x14ac:dyDescent="0.2">
      <c r="A30" s="28">
        <v>1984</v>
      </c>
      <c r="B30" s="28">
        <v>3</v>
      </c>
      <c r="C30" s="29">
        <v>95299.616682403095</v>
      </c>
      <c r="D30" s="30">
        <v>3.56881401002744E-2</v>
      </c>
      <c r="E30" s="29">
        <v>90084.780339981298</v>
      </c>
      <c r="F30" s="30">
        <v>-6.6302360560275301E-3</v>
      </c>
      <c r="G30" s="29">
        <v>63851.101726722503</v>
      </c>
      <c r="H30" s="30">
        <v>1.8793996603284398E-2</v>
      </c>
      <c r="I30" s="29">
        <v>52136.7768162262</v>
      </c>
      <c r="J30" s="30">
        <v>1.88021444422206E-2</v>
      </c>
      <c r="K30" s="29">
        <v>11610.178484207099</v>
      </c>
      <c r="L30" s="30">
        <v>1.87472298941656E-2</v>
      </c>
      <c r="M30" s="29">
        <v>26460.634311197999</v>
      </c>
      <c r="N30" s="30">
        <v>-6.11814173190861E-2</v>
      </c>
      <c r="O30" s="29">
        <v>22785.894190762101</v>
      </c>
      <c r="P30" s="30">
        <v>3.9050876950843999E-2</v>
      </c>
      <c r="Q30" s="29">
        <v>13021.5915202912</v>
      </c>
      <c r="R30" s="30">
        <v>4.0623113389944003E-2</v>
      </c>
      <c r="S30" s="29">
        <v>10977.100434787901</v>
      </c>
      <c r="T30" s="30">
        <v>3.9771351098722298E-2</v>
      </c>
      <c r="U30" s="29"/>
      <c r="V30" s="30"/>
      <c r="W30" s="29"/>
      <c r="X30" s="30"/>
      <c r="Y30" s="29"/>
      <c r="Z30" s="30"/>
      <c r="AA30" s="29">
        <v>35798.555449585998</v>
      </c>
      <c r="AB30" s="30">
        <v>0.195112112485199</v>
      </c>
      <c r="AC30" s="29">
        <v>23738.8820439466</v>
      </c>
      <c r="AD30" s="30">
        <v>0.25202462918568902</v>
      </c>
      <c r="AE30" s="29">
        <v>15564.594196801199</v>
      </c>
      <c r="AF30" s="30">
        <v>8.0420806160275804E-2</v>
      </c>
      <c r="AG30" s="29">
        <v>13328.340557556399</v>
      </c>
      <c r="AH30" s="30">
        <v>5.2854347000533597E-2</v>
      </c>
      <c r="AI30" s="29">
        <v>12308.796435750501</v>
      </c>
      <c r="AJ30" s="30">
        <v>7.3894934873475607E-2</v>
      </c>
      <c r="AK30" s="29">
        <v>30075.988045746799</v>
      </c>
      <c r="AL30" s="30">
        <v>9.4866064657520996E-2</v>
      </c>
      <c r="AM30" s="29">
        <v>23303.047844930901</v>
      </c>
      <c r="AN30" s="30">
        <v>0.114141454256139</v>
      </c>
      <c r="AO30" s="29">
        <v>14768.318811854801</v>
      </c>
      <c r="AP30" s="30">
        <v>0.100143408173895</v>
      </c>
      <c r="AQ30" s="29">
        <v>13140.6360020969</v>
      </c>
      <c r="AR30" s="30">
        <v>8.2169217573720296E-2</v>
      </c>
      <c r="AS30" s="29">
        <v>7116.6409330050801</v>
      </c>
      <c r="AT30" s="30">
        <v>2.3200646638311499E-2</v>
      </c>
      <c r="AU30" s="29">
        <v>110343.587410133</v>
      </c>
      <c r="AV30" s="30">
        <v>3.46421861116517E-2</v>
      </c>
      <c r="AW30" s="29">
        <v>86553.461475566495</v>
      </c>
      <c r="AX30" s="30">
        <v>2.50116288235076E-2</v>
      </c>
      <c r="AY30" s="29">
        <v>25706.690204992799</v>
      </c>
      <c r="AZ30" s="30">
        <v>6.2917598900384994E-2</v>
      </c>
      <c r="BA30" s="29">
        <v>14030.2306136806</v>
      </c>
      <c r="BB30" s="30">
        <v>5.5983326366355599E-2</v>
      </c>
      <c r="BC30" s="29">
        <v>20319.023331105702</v>
      </c>
      <c r="BD30" s="30">
        <v>6.5983611286938998E-2</v>
      </c>
      <c r="BE30" s="29"/>
      <c r="BF30" s="30"/>
    </row>
    <row r="31" spans="1:58" x14ac:dyDescent="0.2">
      <c r="A31" s="28">
        <v>1984</v>
      </c>
      <c r="B31" s="28">
        <v>4</v>
      </c>
      <c r="C31" s="29">
        <v>99609.592168492003</v>
      </c>
      <c r="D31" s="30">
        <v>3.5463669445296102E-2</v>
      </c>
      <c r="E31" s="29">
        <v>94715.695604501001</v>
      </c>
      <c r="F31" s="30">
        <v>-1.9664974576556499E-2</v>
      </c>
      <c r="G31" s="29">
        <v>65917.732571704895</v>
      </c>
      <c r="H31" s="30">
        <v>1.7281207594975999E-2</v>
      </c>
      <c r="I31" s="29">
        <v>54043.500343765998</v>
      </c>
      <c r="J31" s="30">
        <v>1.52958797623846E-2</v>
      </c>
      <c r="K31" s="29">
        <v>11710.5711042148</v>
      </c>
      <c r="L31" s="30">
        <v>2.8945820357906001E-2</v>
      </c>
      <c r="M31" s="29">
        <v>28984.4546813747</v>
      </c>
      <c r="N31" s="30">
        <v>-9.0313115403451993E-2</v>
      </c>
      <c r="O31" s="29">
        <v>20518.344128721099</v>
      </c>
      <c r="P31" s="30">
        <v>5.0631602841130698E-2</v>
      </c>
      <c r="Q31" s="29">
        <v>9723.0149641077605</v>
      </c>
      <c r="R31" s="30">
        <v>7.1506631286795394E-2</v>
      </c>
      <c r="S31" s="29">
        <v>11362.052824787201</v>
      </c>
      <c r="T31" s="30">
        <v>3.5585526472058801E-2</v>
      </c>
      <c r="U31" s="29"/>
      <c r="V31" s="30"/>
      <c r="W31" s="29"/>
      <c r="X31" s="30"/>
      <c r="Y31" s="29"/>
      <c r="Z31" s="30"/>
      <c r="AA31" s="29">
        <v>35171.342477774</v>
      </c>
      <c r="AB31" s="30">
        <v>0.16060428894019299</v>
      </c>
      <c r="AC31" s="29">
        <v>24299.1605180886</v>
      </c>
      <c r="AD31" s="30">
        <v>0.18335764882244099</v>
      </c>
      <c r="AE31" s="29">
        <v>16704.686854946001</v>
      </c>
      <c r="AF31" s="30">
        <v>7.8002954114311907E-2</v>
      </c>
      <c r="AG31" s="29">
        <v>14512.246461728</v>
      </c>
      <c r="AH31" s="30">
        <v>8.15648765769144E-2</v>
      </c>
      <c r="AI31" s="29">
        <v>10806.7236197529</v>
      </c>
      <c r="AJ31" s="30">
        <v>9.4889162706888894E-2</v>
      </c>
      <c r="AK31" s="29">
        <v>29795.0937812868</v>
      </c>
      <c r="AL31" s="30">
        <v>2.4544789345091401E-2</v>
      </c>
      <c r="AM31" s="29">
        <v>23198.315364499002</v>
      </c>
      <c r="AN31" s="30">
        <v>2.4048196208120001E-2</v>
      </c>
      <c r="AO31" s="29">
        <v>15655.750671223301</v>
      </c>
      <c r="AP31" s="30">
        <v>7.6301810041769405E-2</v>
      </c>
      <c r="AQ31" s="29">
        <v>14130.093045395601</v>
      </c>
      <c r="AR31" s="30">
        <v>7.7664678815702506E-2</v>
      </c>
      <c r="AS31" s="29">
        <v>6906.8711500211803</v>
      </c>
      <c r="AT31" s="30">
        <v>2.57026705239813E-2</v>
      </c>
      <c r="AU31" s="29">
        <v>109710.88288912299</v>
      </c>
      <c r="AV31" s="30">
        <v>4.2638287310634099E-2</v>
      </c>
      <c r="AW31" s="29">
        <v>85717.083644617203</v>
      </c>
      <c r="AX31" s="30">
        <v>2.7009841020459099E-2</v>
      </c>
      <c r="AY31" s="29">
        <v>25843.182679570898</v>
      </c>
      <c r="AZ31" s="30">
        <v>8.8607402542636701E-2</v>
      </c>
      <c r="BA31" s="29">
        <v>15277.2624826846</v>
      </c>
      <c r="BB31" s="30">
        <v>8.5160557876096804E-2</v>
      </c>
      <c r="BC31" s="29">
        <v>21280.633622053399</v>
      </c>
      <c r="BD31" s="30">
        <v>6.4240552198036704E-2</v>
      </c>
      <c r="BE31" s="29"/>
      <c r="BF31" s="30"/>
    </row>
    <row r="32" spans="1:58" x14ac:dyDescent="0.2">
      <c r="A32" s="28">
        <v>1985</v>
      </c>
      <c r="B32" s="28">
        <v>1</v>
      </c>
      <c r="C32" s="29">
        <v>95914.828988163004</v>
      </c>
      <c r="D32" s="30">
        <v>3.7560960442670099E-2</v>
      </c>
      <c r="E32" s="29">
        <v>89691.891084297196</v>
      </c>
      <c r="F32" s="30">
        <v>-4.7989970701873804E-3</v>
      </c>
      <c r="G32" s="29">
        <v>64877.195654344599</v>
      </c>
      <c r="H32" s="30">
        <v>1.90794760029003E-2</v>
      </c>
      <c r="I32" s="29">
        <v>52913.758066030103</v>
      </c>
      <c r="J32" s="30">
        <v>1.4744081250667E-2</v>
      </c>
      <c r="K32" s="29">
        <v>11873.1012595883</v>
      </c>
      <c r="L32" s="30">
        <v>4.4040088835687802E-2</v>
      </c>
      <c r="M32" s="29">
        <v>25142.139874300901</v>
      </c>
      <c r="N32" s="30">
        <v>-5.7627377555845002E-2</v>
      </c>
      <c r="O32" s="29">
        <v>22030.4010060613</v>
      </c>
      <c r="P32" s="30">
        <v>2.0371497527462298E-2</v>
      </c>
      <c r="Q32" s="29">
        <v>11272.7450454507</v>
      </c>
      <c r="R32" s="30">
        <v>1.89070913095595E-2</v>
      </c>
      <c r="S32" s="29">
        <v>11577.087407687401</v>
      </c>
      <c r="T32" s="30">
        <v>2.07520502849836E-2</v>
      </c>
      <c r="U32" s="29"/>
      <c r="V32" s="30"/>
      <c r="W32" s="29"/>
      <c r="X32" s="30"/>
      <c r="Y32" s="29"/>
      <c r="Z32" s="30"/>
      <c r="AA32" s="29">
        <v>36837.107460671097</v>
      </c>
      <c r="AB32" s="30">
        <v>0.136071024548724</v>
      </c>
      <c r="AC32" s="29">
        <v>24668.748851600601</v>
      </c>
      <c r="AD32" s="30">
        <v>0.145587979439191</v>
      </c>
      <c r="AE32" s="29">
        <v>16719.900864840001</v>
      </c>
      <c r="AF32" s="30">
        <v>5.1411938732142302E-2</v>
      </c>
      <c r="AG32" s="29">
        <v>14237.724119431599</v>
      </c>
      <c r="AH32" s="30">
        <v>4.4258550324213899E-2</v>
      </c>
      <c r="AI32" s="29">
        <v>12346.393618080599</v>
      </c>
      <c r="AJ32" s="30">
        <v>0.11160555569988399</v>
      </c>
      <c r="AK32" s="29">
        <v>30277.792722996899</v>
      </c>
      <c r="AL32" s="30">
        <v>4.33541933280348E-2</v>
      </c>
      <c r="AM32" s="29">
        <v>23478.263005015</v>
      </c>
      <c r="AN32" s="30">
        <v>4.6804786730189098E-2</v>
      </c>
      <c r="AO32" s="29">
        <v>15359.4826890534</v>
      </c>
      <c r="AP32" s="30">
        <v>-1.056753068431E-2</v>
      </c>
      <c r="AQ32" s="29">
        <v>13736.875932473</v>
      </c>
      <c r="AR32" s="30">
        <v>1.75299592434719E-2</v>
      </c>
      <c r="AS32" s="29">
        <v>7140.0053303735103</v>
      </c>
      <c r="AT32" s="30">
        <v>2.9130478816680599E-2</v>
      </c>
      <c r="AU32" s="29">
        <v>111645.478511218</v>
      </c>
      <c r="AV32" s="30">
        <v>3.3269114706811202E-2</v>
      </c>
      <c r="AW32" s="29">
        <v>86587.740048425694</v>
      </c>
      <c r="AX32" s="30">
        <v>1.9491236535408699E-2</v>
      </c>
      <c r="AY32" s="29">
        <v>26826.627200753599</v>
      </c>
      <c r="AZ32" s="30">
        <v>7.2015944249442396E-2</v>
      </c>
      <c r="BA32" s="29">
        <v>15019.639762237401</v>
      </c>
      <c r="BB32" s="30">
        <v>4.9393591404516497E-2</v>
      </c>
      <c r="BC32" s="29">
        <v>21012.7524774626</v>
      </c>
      <c r="BD32" s="30">
        <v>2.0514629238670399E-2</v>
      </c>
      <c r="BE32" s="29"/>
      <c r="BF32" s="30"/>
    </row>
    <row r="33" spans="1:58" x14ac:dyDescent="0.2">
      <c r="A33" s="28">
        <v>1985</v>
      </c>
      <c r="B33" s="28">
        <v>2</v>
      </c>
      <c r="C33" s="29">
        <v>98793.026808389506</v>
      </c>
      <c r="D33" s="30">
        <v>4.1149431229584602E-2</v>
      </c>
      <c r="E33" s="29">
        <v>93444.984205039305</v>
      </c>
      <c r="F33" s="30">
        <v>3.6507394760860699E-2</v>
      </c>
      <c r="G33" s="29">
        <v>65564.990703162999</v>
      </c>
      <c r="H33" s="30">
        <v>2.7804299320921998E-2</v>
      </c>
      <c r="I33" s="29">
        <v>53362.091201050003</v>
      </c>
      <c r="J33" s="30">
        <v>2.26932929025212E-2</v>
      </c>
      <c r="K33" s="29">
        <v>12140.384366366099</v>
      </c>
      <c r="L33" s="30">
        <v>5.6952928096032598E-2</v>
      </c>
      <c r="M33" s="29">
        <v>28079.383726493899</v>
      </c>
      <c r="N33" s="30">
        <v>5.6217090572889802E-2</v>
      </c>
      <c r="O33" s="29">
        <v>23711.200542140199</v>
      </c>
      <c r="P33" s="30">
        <v>3.71783983245286E-2</v>
      </c>
      <c r="Q33" s="29">
        <v>12818.3190977633</v>
      </c>
      <c r="R33" s="30">
        <v>8.72000828137676E-3</v>
      </c>
      <c r="S33" s="29">
        <v>11967.603242478401</v>
      </c>
      <c r="T33" s="30">
        <v>6.1252878748366199E-2</v>
      </c>
      <c r="U33" s="29"/>
      <c r="V33" s="30"/>
      <c r="W33" s="29"/>
      <c r="X33" s="30"/>
      <c r="Y33" s="29"/>
      <c r="Z33" s="30"/>
      <c r="AA33" s="29">
        <v>36622.910451760399</v>
      </c>
      <c r="AB33" s="30">
        <v>5.67065403754956E-2</v>
      </c>
      <c r="AC33" s="29">
        <v>24606.133868655299</v>
      </c>
      <c r="AD33" s="30">
        <v>4.7700225356520201E-2</v>
      </c>
      <c r="AE33" s="29">
        <v>17800.671548089402</v>
      </c>
      <c r="AF33" s="30">
        <v>0.10137701154517501</v>
      </c>
      <c r="AG33" s="29">
        <v>15094.319571165301</v>
      </c>
      <c r="AH33" s="30">
        <v>0.13746212117294501</v>
      </c>
      <c r="AI33" s="29">
        <v>12168.925389976401</v>
      </c>
      <c r="AJ33" s="30">
        <v>8.1403126220023506E-2</v>
      </c>
      <c r="AK33" s="29">
        <v>30760.120987686802</v>
      </c>
      <c r="AL33" s="30">
        <v>4.7141547976769199E-2</v>
      </c>
      <c r="AM33" s="29">
        <v>23761.307939271799</v>
      </c>
      <c r="AN33" s="30">
        <v>4.11532437857915E-2</v>
      </c>
      <c r="AO33" s="29">
        <v>16119.3797104353</v>
      </c>
      <c r="AP33" s="30">
        <v>5.8882021143272803E-2</v>
      </c>
      <c r="AQ33" s="29">
        <v>14207.1655748427</v>
      </c>
      <c r="AR33" s="30">
        <v>6.8561314065485005E-2</v>
      </c>
      <c r="AS33" s="29">
        <v>7365.6201608412903</v>
      </c>
      <c r="AT33" s="30">
        <v>7.1793676123376796E-2</v>
      </c>
      <c r="AU33" s="29">
        <v>115102.26359462</v>
      </c>
      <c r="AV33" s="30">
        <v>5.3136819906785197E-2</v>
      </c>
      <c r="AW33" s="29">
        <v>89240.882656565504</v>
      </c>
      <c r="AX33" s="30">
        <v>3.0620403038355001E-2</v>
      </c>
      <c r="AY33" s="29">
        <v>27680.2724550153</v>
      </c>
      <c r="AZ33" s="30">
        <v>0.118600410239021</v>
      </c>
      <c r="BA33" s="29">
        <v>15914.6279884657</v>
      </c>
      <c r="BB33" s="30">
        <v>0.14073719650760899</v>
      </c>
      <c r="BC33" s="29">
        <v>21717.755218818798</v>
      </c>
      <c r="BD33" s="30">
        <v>6.9399066413597693E-2</v>
      </c>
      <c r="BE33" s="29"/>
      <c r="BF33" s="30"/>
    </row>
    <row r="34" spans="1:58" x14ac:dyDescent="0.2">
      <c r="A34" s="28">
        <v>1985</v>
      </c>
      <c r="B34" s="28">
        <v>3</v>
      </c>
      <c r="C34" s="29">
        <v>98209.936777596595</v>
      </c>
      <c r="D34" s="30">
        <v>3.0538633800516201E-2</v>
      </c>
      <c r="E34" s="29">
        <v>92595.759897087293</v>
      </c>
      <c r="F34" s="30">
        <v>2.78735158994616E-2</v>
      </c>
      <c r="G34" s="29">
        <v>65499.770988368502</v>
      </c>
      <c r="H34" s="30">
        <v>2.5820529592459399E-2</v>
      </c>
      <c r="I34" s="29">
        <v>53219.343405459003</v>
      </c>
      <c r="J34" s="30">
        <v>2.0763972292508402E-2</v>
      </c>
      <c r="K34" s="29">
        <v>12240.885682697901</v>
      </c>
      <c r="L34" s="30">
        <v>5.4323643632935299E-2</v>
      </c>
      <c r="M34" s="29">
        <v>27330.677249257998</v>
      </c>
      <c r="N34" s="30">
        <v>3.2880653117670203E-2</v>
      </c>
      <c r="O34" s="29">
        <v>23457.742784391899</v>
      </c>
      <c r="P34" s="30">
        <v>2.9485285414088801E-2</v>
      </c>
      <c r="Q34" s="29">
        <v>13117.3425807033</v>
      </c>
      <c r="R34" s="30">
        <v>7.3532532688425096E-3</v>
      </c>
      <c r="S34" s="29">
        <v>11526.250883457</v>
      </c>
      <c r="T34" s="30">
        <v>5.00269130205599E-2</v>
      </c>
      <c r="U34" s="29"/>
      <c r="V34" s="30"/>
      <c r="W34" s="29"/>
      <c r="X34" s="30"/>
      <c r="Y34" s="29"/>
      <c r="Z34" s="30"/>
      <c r="AA34" s="29">
        <v>36702.782394043199</v>
      </c>
      <c r="AB34" s="30">
        <v>2.5258755083860999E-2</v>
      </c>
      <c r="AC34" s="29">
        <v>24013.289076262401</v>
      </c>
      <c r="AD34" s="30">
        <v>1.1559391542018901E-2</v>
      </c>
      <c r="AE34" s="29">
        <v>16990.262798107298</v>
      </c>
      <c r="AF34" s="30">
        <v>9.1596901485493404E-2</v>
      </c>
      <c r="AG34" s="29">
        <v>14602.142524905699</v>
      </c>
      <c r="AH34" s="30">
        <v>9.5570934869840807E-2</v>
      </c>
      <c r="AI34" s="29">
        <v>13040.749935401</v>
      </c>
      <c r="AJ34" s="30">
        <v>5.9465887137806199E-2</v>
      </c>
      <c r="AK34" s="29">
        <v>30631.4115249186</v>
      </c>
      <c r="AL34" s="30">
        <v>1.8467339404673901E-2</v>
      </c>
      <c r="AM34" s="29">
        <v>23367.929297961498</v>
      </c>
      <c r="AN34" s="30">
        <v>2.7842475139865401E-3</v>
      </c>
      <c r="AO34" s="29">
        <v>15409.488080868599</v>
      </c>
      <c r="AP34" s="30">
        <v>4.3415183351752401E-2</v>
      </c>
      <c r="AQ34" s="29">
        <v>13814.1534019188</v>
      </c>
      <c r="AR34" s="30">
        <v>5.1254551127847298E-2</v>
      </c>
      <c r="AS34" s="29">
        <v>7696.3170642241203</v>
      </c>
      <c r="AT34" s="30">
        <v>8.1453615079924505E-2</v>
      </c>
      <c r="AU34" s="29">
        <v>114911.69197224401</v>
      </c>
      <c r="AV34" s="30">
        <v>4.1398912880476403E-2</v>
      </c>
      <c r="AW34" s="29">
        <v>88876.505845748194</v>
      </c>
      <c r="AX34" s="30">
        <v>2.68394161316989E-2</v>
      </c>
      <c r="AY34" s="29">
        <v>27813.9308611425</v>
      </c>
      <c r="AZ34" s="30">
        <v>8.1972460839801795E-2</v>
      </c>
      <c r="BA34" s="29">
        <v>15396.935449527</v>
      </c>
      <c r="BB34" s="30">
        <v>9.7411430608546498E-2</v>
      </c>
      <c r="BC34" s="29">
        <v>21525.2022592389</v>
      </c>
      <c r="BD34" s="30">
        <v>5.9362052421423998E-2</v>
      </c>
      <c r="BE34" s="29"/>
      <c r="BF34" s="30"/>
    </row>
    <row r="35" spans="1:58" x14ac:dyDescent="0.2">
      <c r="A35" s="28">
        <v>1985</v>
      </c>
      <c r="B35" s="28">
        <v>4</v>
      </c>
      <c r="C35" s="29">
        <v>103364.396157093</v>
      </c>
      <c r="D35" s="30">
        <v>3.7695204918109598E-2</v>
      </c>
      <c r="E35" s="29">
        <v>99244.269558850297</v>
      </c>
      <c r="F35" s="30">
        <v>4.7812286289476098E-2</v>
      </c>
      <c r="G35" s="29">
        <v>67915.918045406201</v>
      </c>
      <c r="H35" s="30">
        <v>3.0313322314715199E-2</v>
      </c>
      <c r="I35" s="29">
        <v>55503.776846364301</v>
      </c>
      <c r="J35" s="30">
        <v>2.7020390857542799E-2</v>
      </c>
      <c r="K35" s="29">
        <v>12289.0480015635</v>
      </c>
      <c r="L35" s="30">
        <v>4.9397838260897699E-2</v>
      </c>
      <c r="M35" s="29">
        <v>31419.9595625824</v>
      </c>
      <c r="N35" s="30">
        <v>8.4027969750718204E-2</v>
      </c>
      <c r="O35" s="29">
        <v>21712.913698195902</v>
      </c>
      <c r="P35" s="30">
        <v>5.8219589357736398E-2</v>
      </c>
      <c r="Q35" s="29">
        <v>9808.4080982347004</v>
      </c>
      <c r="R35" s="30">
        <v>8.7825776718601905E-3</v>
      </c>
      <c r="S35" s="29">
        <v>12346.033954221901</v>
      </c>
      <c r="T35" s="30">
        <v>8.6602407558611399E-2</v>
      </c>
      <c r="U35" s="29"/>
      <c r="V35" s="30"/>
      <c r="W35" s="29"/>
      <c r="X35" s="30"/>
      <c r="Y35" s="29"/>
      <c r="Z35" s="30"/>
      <c r="AA35" s="29">
        <v>38912.228971101598</v>
      </c>
      <c r="AB35" s="30">
        <v>0.106361777225069</v>
      </c>
      <c r="AC35" s="29">
        <v>26934.789929299601</v>
      </c>
      <c r="AD35" s="30">
        <v>0.10846586281237799</v>
      </c>
      <c r="AE35" s="29">
        <v>17853.4167878306</v>
      </c>
      <c r="AF35" s="30">
        <v>6.8766924088996803E-2</v>
      </c>
      <c r="AG35" s="29">
        <v>15268.4282281861</v>
      </c>
      <c r="AH35" s="30">
        <v>5.2106458393761802E-2</v>
      </c>
      <c r="AI35" s="29">
        <v>11896.047249700199</v>
      </c>
      <c r="AJ35" s="30">
        <v>0.100800544945577</v>
      </c>
      <c r="AK35" s="29">
        <v>33779.242704488701</v>
      </c>
      <c r="AL35" s="30">
        <v>0.13371828773045399</v>
      </c>
      <c r="AM35" s="29">
        <v>26624.919110803501</v>
      </c>
      <c r="AN35" s="30">
        <v>0.147709163034667</v>
      </c>
      <c r="AO35" s="29">
        <v>16459.226212990801</v>
      </c>
      <c r="AP35" s="30">
        <v>5.13214318904762E-2</v>
      </c>
      <c r="AQ35" s="29">
        <v>14820.2027790539</v>
      </c>
      <c r="AR35" s="30">
        <v>4.8839716160480599E-2</v>
      </c>
      <c r="AS35" s="29">
        <v>7434.9897494840898</v>
      </c>
      <c r="AT35" s="30">
        <v>7.6462784376871901E-2</v>
      </c>
      <c r="AU35" s="29">
        <v>114832.581865288</v>
      </c>
      <c r="AV35" s="30">
        <v>4.6683600033933001E-2</v>
      </c>
      <c r="AW35" s="29">
        <v>89025.531698317194</v>
      </c>
      <c r="AX35" s="30">
        <v>3.8597300713319599E-2</v>
      </c>
      <c r="AY35" s="29">
        <v>27620.606618351401</v>
      </c>
      <c r="AZ35" s="30">
        <v>6.8777284935014102E-2</v>
      </c>
      <c r="BA35" s="29">
        <v>16060.679897812301</v>
      </c>
      <c r="BB35" s="30">
        <v>5.12799603996867E-2</v>
      </c>
      <c r="BC35" s="29">
        <v>22465.0980150537</v>
      </c>
      <c r="BD35" s="30">
        <v>5.5659263442832098E-2</v>
      </c>
      <c r="BE35" s="29"/>
      <c r="BF35" s="30"/>
    </row>
    <row r="36" spans="1:58" x14ac:dyDescent="0.2">
      <c r="A36" s="28">
        <v>1986</v>
      </c>
      <c r="B36" s="28">
        <v>1</v>
      </c>
      <c r="C36" s="29">
        <v>97949.018104382601</v>
      </c>
      <c r="D36" s="30">
        <v>2.1208285910311798E-2</v>
      </c>
      <c r="E36" s="29">
        <v>92665.356442432007</v>
      </c>
      <c r="F36" s="30">
        <v>3.3151997601881499E-2</v>
      </c>
      <c r="G36" s="29">
        <v>66662.416945976598</v>
      </c>
      <c r="H36" s="30">
        <v>2.7516930619865501E-2</v>
      </c>
      <c r="I36" s="29">
        <v>54217.359299202901</v>
      </c>
      <c r="J36" s="30">
        <v>2.4636338087082901E-2</v>
      </c>
      <c r="K36" s="29">
        <v>12392.0616160767</v>
      </c>
      <c r="L36" s="30">
        <v>4.3708913546855799E-2</v>
      </c>
      <c r="M36" s="29">
        <v>26355.218772224802</v>
      </c>
      <c r="N36" s="30">
        <v>4.8248832596936603E-2</v>
      </c>
      <c r="O36" s="29">
        <v>23041.551457937399</v>
      </c>
      <c r="P36" s="30">
        <v>4.58979594424005E-2</v>
      </c>
      <c r="Q36" s="29">
        <v>11123.172248990501</v>
      </c>
      <c r="R36" s="30">
        <v>-1.3268533605361101E-2</v>
      </c>
      <c r="S36" s="29">
        <v>12573.1469895255</v>
      </c>
      <c r="T36" s="30">
        <v>8.6037147925200702E-2</v>
      </c>
      <c r="U36" s="29"/>
      <c r="V36" s="30"/>
      <c r="W36" s="29"/>
      <c r="X36" s="30"/>
      <c r="Y36" s="29"/>
      <c r="Z36" s="30"/>
      <c r="AA36" s="29">
        <v>38948.161283052701</v>
      </c>
      <c r="AB36" s="30">
        <v>5.7307806391569502E-2</v>
      </c>
      <c r="AC36" s="29">
        <v>26376.5877711801</v>
      </c>
      <c r="AD36" s="30">
        <v>6.9230868977316201E-2</v>
      </c>
      <c r="AE36" s="29">
        <v>17416.947393413899</v>
      </c>
      <c r="AF36" s="30">
        <v>4.16896328637784E-2</v>
      </c>
      <c r="AG36" s="29">
        <v>14896.0088264203</v>
      </c>
      <c r="AH36" s="30">
        <v>4.6235248096303701E-2</v>
      </c>
      <c r="AI36" s="29">
        <v>12677.8125850304</v>
      </c>
      <c r="AJ36" s="30">
        <v>2.6843382545686401E-2</v>
      </c>
      <c r="AK36" s="29">
        <v>32841.484109852601</v>
      </c>
      <c r="AL36" s="30">
        <v>8.4672334285074605E-2</v>
      </c>
      <c r="AM36" s="29">
        <v>25842.2387604205</v>
      </c>
      <c r="AN36" s="30">
        <v>0.100687847090755</v>
      </c>
      <c r="AO36" s="29">
        <v>16555.2095341657</v>
      </c>
      <c r="AP36" s="30">
        <v>7.7849421710314101E-2</v>
      </c>
      <c r="AQ36" s="29">
        <v>14727.049969741</v>
      </c>
      <c r="AR36" s="30">
        <v>7.2081457395080303E-2</v>
      </c>
      <c r="AS36" s="29">
        <v>7298.6624025805704</v>
      </c>
      <c r="AT36" s="30">
        <v>2.2220861871368201E-2</v>
      </c>
      <c r="AU36" s="29">
        <v>115416.80972224999</v>
      </c>
      <c r="AV36" s="30">
        <v>3.37795248076556E-2</v>
      </c>
      <c r="AW36" s="29">
        <v>89456.524527508605</v>
      </c>
      <c r="AX36" s="30">
        <v>3.3131531986844202E-2</v>
      </c>
      <c r="AY36" s="29">
        <v>27779.208637915701</v>
      </c>
      <c r="AZ36" s="30">
        <v>3.5508803623863501E-2</v>
      </c>
      <c r="BA36" s="29">
        <v>15632.620255640901</v>
      </c>
      <c r="BB36" s="30">
        <v>4.0811930452867101E-2</v>
      </c>
      <c r="BC36" s="29">
        <v>22256.454604610401</v>
      </c>
      <c r="BD36" s="30">
        <v>5.9187968281729099E-2</v>
      </c>
      <c r="BE36" s="29"/>
      <c r="BF36" s="30"/>
    </row>
    <row r="37" spans="1:58" x14ac:dyDescent="0.2">
      <c r="A37" s="28">
        <v>1986</v>
      </c>
      <c r="B37" s="28">
        <v>2</v>
      </c>
      <c r="C37" s="29">
        <v>101475.956699583</v>
      </c>
      <c r="D37" s="30">
        <v>2.7157077557676799E-2</v>
      </c>
      <c r="E37" s="29">
        <v>98864.616325783907</v>
      </c>
      <c r="F37" s="30">
        <v>5.7998106231712802E-2</v>
      </c>
      <c r="G37" s="29">
        <v>67539.815490369903</v>
      </c>
      <c r="H37" s="30">
        <v>3.01201108400624E-2</v>
      </c>
      <c r="I37" s="29">
        <v>54971.837396675</v>
      </c>
      <c r="J37" s="30">
        <v>3.0166475102334701E-2</v>
      </c>
      <c r="K37" s="29">
        <v>12503.4835362537</v>
      </c>
      <c r="L37" s="30">
        <v>2.9908375132957899E-2</v>
      </c>
      <c r="M37" s="29">
        <v>31352.892385946201</v>
      </c>
      <c r="N37" s="30">
        <v>0.116580502312222</v>
      </c>
      <c r="O37" s="29">
        <v>25276.025445392599</v>
      </c>
      <c r="P37" s="30">
        <v>6.5995178121468906E-2</v>
      </c>
      <c r="Q37" s="29">
        <v>13078.892792970901</v>
      </c>
      <c r="R37" s="30">
        <v>2.0328226596665101E-2</v>
      </c>
      <c r="S37" s="29">
        <v>13178.300993897599</v>
      </c>
      <c r="T37" s="30">
        <v>0.101164596359765</v>
      </c>
      <c r="U37" s="29"/>
      <c r="V37" s="30"/>
      <c r="W37" s="29"/>
      <c r="X37" s="30"/>
      <c r="Y37" s="29"/>
      <c r="Z37" s="30"/>
      <c r="AA37" s="29">
        <v>40870.440908935103</v>
      </c>
      <c r="AB37" s="30">
        <v>0.11598014479950899</v>
      </c>
      <c r="AC37" s="29">
        <v>28575.695432715402</v>
      </c>
      <c r="AD37" s="30">
        <v>0.16132406599302301</v>
      </c>
      <c r="AE37" s="29">
        <v>18581.099485939299</v>
      </c>
      <c r="AF37" s="30">
        <v>4.3842612102673199E-2</v>
      </c>
      <c r="AG37" s="29">
        <v>15839.6809780273</v>
      </c>
      <c r="AH37" s="30">
        <v>4.9380258801857903E-2</v>
      </c>
      <c r="AI37" s="29">
        <v>12169.8031518223</v>
      </c>
      <c r="AJ37" s="30">
        <v>7.2131418167753494E-5</v>
      </c>
      <c r="AK37" s="29">
        <v>36576.155219810797</v>
      </c>
      <c r="AL37" s="30">
        <v>0.189077092201693</v>
      </c>
      <c r="AM37" s="29">
        <v>29324.236461078301</v>
      </c>
      <c r="AN37" s="30">
        <v>0.234117100625271</v>
      </c>
      <c r="AO37" s="29">
        <v>17770.4738980117</v>
      </c>
      <c r="AP37" s="30">
        <v>0.10242913916269</v>
      </c>
      <c r="AQ37" s="29">
        <v>15699.230754480899</v>
      </c>
      <c r="AR37" s="30">
        <v>0.10502201665618099</v>
      </c>
      <c r="AS37" s="29">
        <v>7483.7020659193204</v>
      </c>
      <c r="AT37" s="30">
        <v>1.6031495311936501E-2</v>
      </c>
      <c r="AU37" s="29">
        <v>119459.92990742699</v>
      </c>
      <c r="AV37" s="30">
        <v>3.7859084406488101E-2</v>
      </c>
      <c r="AW37" s="29">
        <v>92966.517594325502</v>
      </c>
      <c r="AX37" s="30">
        <v>4.1748073605432097E-2</v>
      </c>
      <c r="AY37" s="29">
        <v>28438.8098331906</v>
      </c>
      <c r="AZ37" s="30">
        <v>2.74035372812216E-2</v>
      </c>
      <c r="BA37" s="29">
        <v>16589.114031472702</v>
      </c>
      <c r="BB37" s="30">
        <v>4.23815148865445E-2</v>
      </c>
      <c r="BC37" s="29">
        <v>23499.709121693799</v>
      </c>
      <c r="BD37" s="30">
        <v>8.2050556557101001E-2</v>
      </c>
      <c r="BE37" s="29"/>
      <c r="BF37" s="30"/>
    </row>
    <row r="38" spans="1:58" x14ac:dyDescent="0.2">
      <c r="A38" s="28">
        <v>1986</v>
      </c>
      <c r="B38" s="28">
        <v>3</v>
      </c>
      <c r="C38" s="29">
        <v>100166.711145398</v>
      </c>
      <c r="D38" s="30">
        <v>1.99244030900123E-2</v>
      </c>
      <c r="E38" s="29">
        <v>99324.639282752294</v>
      </c>
      <c r="F38" s="30">
        <v>7.2669411570719405E-2</v>
      </c>
      <c r="G38" s="29">
        <v>67543.702822538296</v>
      </c>
      <c r="H38" s="30">
        <v>3.1205175275082601E-2</v>
      </c>
      <c r="I38" s="29">
        <v>54910.817686022798</v>
      </c>
      <c r="J38" s="30">
        <v>3.17830730769657E-2</v>
      </c>
      <c r="K38" s="29">
        <v>12585.345352660601</v>
      </c>
      <c r="L38" s="30">
        <v>2.8140093690242701E-2</v>
      </c>
      <c r="M38" s="29">
        <v>31779.0281828759</v>
      </c>
      <c r="N38" s="30">
        <v>0.16276036239601899</v>
      </c>
      <c r="O38" s="29">
        <v>25661.264739289702</v>
      </c>
      <c r="P38" s="30">
        <v>9.3935805126312194E-2</v>
      </c>
      <c r="Q38" s="29">
        <v>13425.615056501299</v>
      </c>
      <c r="R38" s="30">
        <v>2.35011378182222E-2</v>
      </c>
      <c r="S38" s="29">
        <v>13275.9521630665</v>
      </c>
      <c r="T38" s="30">
        <v>0.151801422448718</v>
      </c>
      <c r="U38" s="29"/>
      <c r="V38" s="30"/>
      <c r="W38" s="29"/>
      <c r="X38" s="30"/>
      <c r="Y38" s="29"/>
      <c r="Z38" s="30"/>
      <c r="AA38" s="29">
        <v>36483.424040430298</v>
      </c>
      <c r="AB38" s="30">
        <v>-5.9766137416447096E-3</v>
      </c>
      <c r="AC38" s="29">
        <v>24181.601685071299</v>
      </c>
      <c r="AD38" s="30">
        <v>7.0091443231439197E-3</v>
      </c>
      <c r="AE38" s="29">
        <v>17441.3816513526</v>
      </c>
      <c r="AF38" s="30">
        <v>2.65516112732249E-2</v>
      </c>
      <c r="AG38" s="29">
        <v>14752.279806984599</v>
      </c>
      <c r="AH38" s="30">
        <v>1.02818666386031E-2</v>
      </c>
      <c r="AI38" s="29">
        <v>12539.8817532589</v>
      </c>
      <c r="AJ38" s="30">
        <v>-3.8407927812679203E-2</v>
      </c>
      <c r="AK38" s="29">
        <v>33981.399198393599</v>
      </c>
      <c r="AL38" s="30">
        <v>0.109364456507327</v>
      </c>
      <c r="AM38" s="29">
        <v>26530.9786101147</v>
      </c>
      <c r="AN38" s="30">
        <v>0.13535856223380399</v>
      </c>
      <c r="AO38" s="29">
        <v>17352.136694431199</v>
      </c>
      <c r="AP38" s="30">
        <v>0.12606834200900399</v>
      </c>
      <c r="AQ38" s="29">
        <v>15415.0895453622</v>
      </c>
      <c r="AR38" s="30">
        <v>0.11589100662665899</v>
      </c>
      <c r="AS38" s="29">
        <v>7799.2052927442901</v>
      </c>
      <c r="AT38" s="30">
        <v>1.3368501799184499E-2</v>
      </c>
      <c r="AU38" s="29">
        <v>118826.20655748399</v>
      </c>
      <c r="AV38" s="30">
        <v>3.4065415955979499E-2</v>
      </c>
      <c r="AW38" s="29">
        <v>93435.417796728594</v>
      </c>
      <c r="AX38" s="30">
        <v>5.1294905302563802E-2</v>
      </c>
      <c r="AY38" s="29">
        <v>27486.3230643405</v>
      </c>
      <c r="AZ38" s="30">
        <v>-1.17785507714641E-2</v>
      </c>
      <c r="BA38" s="29">
        <v>15470.8853706236</v>
      </c>
      <c r="BB38" s="30">
        <v>4.8028986897403802E-3</v>
      </c>
      <c r="BC38" s="29">
        <v>23417.751556964398</v>
      </c>
      <c r="BD38" s="30">
        <v>8.7922486159830907E-2</v>
      </c>
      <c r="BE38" s="29"/>
      <c r="BF38" s="30"/>
    </row>
    <row r="39" spans="1:58" x14ac:dyDescent="0.2">
      <c r="A39" s="28">
        <v>1986</v>
      </c>
      <c r="B39" s="28">
        <v>4</v>
      </c>
      <c r="C39" s="29">
        <v>104055.933482319</v>
      </c>
      <c r="D39" s="30">
        <v>6.6902855425692298E-3</v>
      </c>
      <c r="E39" s="29">
        <v>107932.259680084</v>
      </c>
      <c r="F39" s="30">
        <v>8.7541478816382606E-2</v>
      </c>
      <c r="G39" s="29">
        <v>69667.3255838779</v>
      </c>
      <c r="H39" s="30">
        <v>2.5787879909106502E-2</v>
      </c>
      <c r="I39" s="29">
        <v>56922.170775828803</v>
      </c>
      <c r="J39" s="30">
        <v>2.5554908333366998E-2</v>
      </c>
      <c r="K39" s="29">
        <v>12620.8400344162</v>
      </c>
      <c r="L39" s="30">
        <v>2.69990021041835E-2</v>
      </c>
      <c r="M39" s="29">
        <v>37900.783241355297</v>
      </c>
      <c r="N39" s="30">
        <v>0.206264545498997</v>
      </c>
      <c r="O39" s="29">
        <v>23257.791573328501</v>
      </c>
      <c r="P39" s="30">
        <v>7.1150187239075E-2</v>
      </c>
      <c r="Q39" s="29">
        <v>10108.250060426501</v>
      </c>
      <c r="R39" s="30">
        <v>3.05698905662131E-2</v>
      </c>
      <c r="S39" s="29">
        <v>13474.9270576732</v>
      </c>
      <c r="T39" s="30">
        <v>9.1437712518624301E-2</v>
      </c>
      <c r="U39" s="29"/>
      <c r="V39" s="30"/>
      <c r="W39" s="29"/>
      <c r="X39" s="30"/>
      <c r="Y39" s="29"/>
      <c r="Z39" s="30"/>
      <c r="AA39" s="29">
        <v>35087.677314664201</v>
      </c>
      <c r="AB39" s="30">
        <v>-9.8286624990763793E-2</v>
      </c>
      <c r="AC39" s="29">
        <v>23937.026973017</v>
      </c>
      <c r="AD39" s="30">
        <v>-0.11129706094427699</v>
      </c>
      <c r="AE39" s="29">
        <v>17741.3370093556</v>
      </c>
      <c r="AF39" s="30">
        <v>-6.2777775149118796E-3</v>
      </c>
      <c r="AG39" s="29">
        <v>15023.895359616499</v>
      </c>
      <c r="AH39" s="30">
        <v>-1.6015588829122199E-2</v>
      </c>
      <c r="AI39" s="29">
        <v>11200.2893150534</v>
      </c>
      <c r="AJ39" s="30">
        <v>-5.8486480428558398E-2</v>
      </c>
      <c r="AK39" s="29">
        <v>36305.804524403196</v>
      </c>
      <c r="AL39" s="30">
        <v>7.4796283682781795E-2</v>
      </c>
      <c r="AM39" s="29">
        <v>28988.039098684199</v>
      </c>
      <c r="AN39" s="30">
        <v>8.8755949944721496E-2</v>
      </c>
      <c r="AO39" s="29">
        <v>17554.329901949201</v>
      </c>
      <c r="AP39" s="30">
        <v>6.6534336109561207E-2</v>
      </c>
      <c r="AQ39" s="29">
        <v>15423.1334028821</v>
      </c>
      <c r="AR39" s="30">
        <v>4.0683021198620897E-2</v>
      </c>
      <c r="AS39" s="29">
        <v>7570.1926507510698</v>
      </c>
      <c r="AT39" s="30">
        <v>1.8184678906432598E-2</v>
      </c>
      <c r="AU39" s="29">
        <v>117109.11361501001</v>
      </c>
      <c r="AV39" s="30">
        <v>1.9824789382447701E-2</v>
      </c>
      <c r="AW39" s="29">
        <v>92495.595187885207</v>
      </c>
      <c r="AX39" s="30">
        <v>3.8978295589708702E-2</v>
      </c>
      <c r="AY39" s="29">
        <v>26747.2120762058</v>
      </c>
      <c r="AZ39" s="30">
        <v>-3.1621120933864599E-2</v>
      </c>
      <c r="BA39" s="29">
        <v>15780.0632940739</v>
      </c>
      <c r="BB39" s="30">
        <v>-1.7472274245166598E-2</v>
      </c>
      <c r="BC39" s="29">
        <v>23252.496863669701</v>
      </c>
      <c r="BD39" s="30">
        <v>3.5049873723600897E-2</v>
      </c>
      <c r="BE39" s="29"/>
      <c r="BF39" s="30"/>
    </row>
    <row r="40" spans="1:58" x14ac:dyDescent="0.2">
      <c r="A40" s="28">
        <v>1987</v>
      </c>
      <c r="B40" s="28">
        <v>1</v>
      </c>
      <c r="C40" s="29">
        <v>98701.935608356303</v>
      </c>
      <c r="D40" s="30">
        <v>7.6868305425101804E-3</v>
      </c>
      <c r="E40" s="29">
        <v>97336.3474292022</v>
      </c>
      <c r="F40" s="30">
        <v>5.04070902664902E-2</v>
      </c>
      <c r="G40" s="29">
        <v>68657.032432942797</v>
      </c>
      <c r="H40" s="30">
        <v>2.99211396517867E-2</v>
      </c>
      <c r="I40" s="29">
        <v>55887.6743966453</v>
      </c>
      <c r="J40" s="30">
        <v>3.08077545463732E-2</v>
      </c>
      <c r="K40" s="29">
        <v>12701.5707343213</v>
      </c>
      <c r="L40" s="30">
        <v>2.4976402460999698E-2</v>
      </c>
      <c r="M40" s="29">
        <v>28839.701556186501</v>
      </c>
      <c r="N40" s="30">
        <v>9.4269101138329203E-2</v>
      </c>
      <c r="O40" s="29">
        <v>24331.161716299699</v>
      </c>
      <c r="P40" s="30">
        <v>5.5968898653224297E-2</v>
      </c>
      <c r="Q40" s="29">
        <v>11811.865656420299</v>
      </c>
      <c r="R40" s="30">
        <v>6.19151975725531E-2</v>
      </c>
      <c r="S40" s="29">
        <v>13234.108818226199</v>
      </c>
      <c r="T40" s="30">
        <v>5.2569323276925498E-2</v>
      </c>
      <c r="U40" s="29"/>
      <c r="V40" s="30"/>
      <c r="W40" s="29"/>
      <c r="X40" s="30"/>
      <c r="Y40" s="29"/>
      <c r="Z40" s="30"/>
      <c r="AA40" s="29">
        <v>35967.891247726802</v>
      </c>
      <c r="AB40" s="30">
        <v>-7.6518889137462104E-2</v>
      </c>
      <c r="AC40" s="29">
        <v>23766.189606359701</v>
      </c>
      <c r="AD40" s="30">
        <v>-9.8966484500035701E-2</v>
      </c>
      <c r="AE40" s="29">
        <v>17042.0611240201</v>
      </c>
      <c r="AF40" s="30">
        <v>-2.1524223558001002E-2</v>
      </c>
      <c r="AG40" s="29">
        <v>14269.5736170278</v>
      </c>
      <c r="AH40" s="30">
        <v>-4.20538962276494E-2</v>
      </c>
      <c r="AI40" s="29">
        <v>12388.727459609299</v>
      </c>
      <c r="AJ40" s="30">
        <v>-2.2802445097063501E-2</v>
      </c>
      <c r="AK40" s="29">
        <v>33039.4101508155</v>
      </c>
      <c r="AL40" s="30">
        <v>6.0267081810556596E-3</v>
      </c>
      <c r="AM40" s="29">
        <v>25787.061657615101</v>
      </c>
      <c r="AN40" s="30">
        <v>-2.1351518077392701E-3</v>
      </c>
      <c r="AO40" s="29">
        <v>17496.755761596702</v>
      </c>
      <c r="AP40" s="30">
        <v>5.68731084609881E-2</v>
      </c>
      <c r="AQ40" s="29">
        <v>15517.0442225715</v>
      </c>
      <c r="AR40" s="30">
        <v>5.3642396437416598E-2</v>
      </c>
      <c r="AS40" s="29">
        <v>7559.2692089124503</v>
      </c>
      <c r="AT40" s="30">
        <v>3.5706105030934202E-2</v>
      </c>
      <c r="AU40" s="29">
        <v>117640.468023186</v>
      </c>
      <c r="AV40" s="30">
        <v>1.9266329629860499E-2</v>
      </c>
      <c r="AW40" s="29">
        <v>92860.082870758095</v>
      </c>
      <c r="AX40" s="30">
        <v>3.8047066563634303E-2</v>
      </c>
      <c r="AY40" s="29">
        <v>26903.430649027301</v>
      </c>
      <c r="AZ40" s="30">
        <v>-3.15263836455398E-2</v>
      </c>
      <c r="BA40" s="29">
        <v>15054.5576016822</v>
      </c>
      <c r="BB40" s="30">
        <v>-3.6977975829106197E-2</v>
      </c>
      <c r="BC40" s="29">
        <v>23348.136975204899</v>
      </c>
      <c r="BD40" s="30">
        <v>4.9050147024241902E-2</v>
      </c>
      <c r="BE40" s="29"/>
      <c r="BF40" s="30"/>
    </row>
    <row r="41" spans="1:58" x14ac:dyDescent="0.2">
      <c r="A41" s="28">
        <v>1987</v>
      </c>
      <c r="B41" s="28">
        <v>2</v>
      </c>
      <c r="C41" s="29">
        <v>101846.436484483</v>
      </c>
      <c r="D41" s="30">
        <v>3.6509119691952E-3</v>
      </c>
      <c r="E41" s="29">
        <v>102956.54460397401</v>
      </c>
      <c r="F41" s="30">
        <v>4.1389209104965498E-2</v>
      </c>
      <c r="G41" s="29">
        <v>69409.577049059997</v>
      </c>
      <c r="H41" s="30">
        <v>2.76838416734606E-2</v>
      </c>
      <c r="I41" s="29">
        <v>56549.222336895902</v>
      </c>
      <c r="J41" s="30">
        <v>2.8694419086604701E-2</v>
      </c>
      <c r="K41" s="29">
        <v>12779.990997630501</v>
      </c>
      <c r="L41" s="30">
        <v>2.2114433995541E-2</v>
      </c>
      <c r="M41" s="29">
        <v>33507.544911327503</v>
      </c>
      <c r="N41" s="30">
        <v>6.8722607753634299E-2</v>
      </c>
      <c r="O41" s="29">
        <v>26328.381814939101</v>
      </c>
      <c r="P41" s="30">
        <v>4.1634566788204097E-2</v>
      </c>
      <c r="Q41" s="29">
        <v>13416.060681615299</v>
      </c>
      <c r="R41" s="30">
        <v>2.57795437260235E-2</v>
      </c>
      <c r="S41" s="29">
        <v>13858.991816596599</v>
      </c>
      <c r="T41" s="30">
        <v>5.16523960876418E-2</v>
      </c>
      <c r="U41" s="29"/>
      <c r="V41" s="30"/>
      <c r="W41" s="29"/>
      <c r="X41" s="30"/>
      <c r="Y41" s="29"/>
      <c r="Z41" s="30"/>
      <c r="AA41" s="29">
        <v>36007.976465103297</v>
      </c>
      <c r="AB41" s="30">
        <v>-0.118972644671634</v>
      </c>
      <c r="AC41" s="29">
        <v>23964.710614261901</v>
      </c>
      <c r="AD41" s="30">
        <v>-0.16136037106465501</v>
      </c>
      <c r="AE41" s="29">
        <v>17747.378856342901</v>
      </c>
      <c r="AF41" s="30">
        <v>-4.4869283985444403E-2</v>
      </c>
      <c r="AG41" s="29">
        <v>14885.6801607875</v>
      </c>
      <c r="AH41" s="30">
        <v>-6.0228537340067598E-2</v>
      </c>
      <c r="AI41" s="29">
        <v>12201.160124792401</v>
      </c>
      <c r="AJ41" s="30">
        <v>2.5766212139086702E-3</v>
      </c>
      <c r="AK41" s="29">
        <v>35122.565642698602</v>
      </c>
      <c r="AL41" s="30">
        <v>-3.9741453643136401E-2</v>
      </c>
      <c r="AM41" s="29">
        <v>27524.5939896376</v>
      </c>
      <c r="AN41" s="30">
        <v>-6.13704801429132E-2</v>
      </c>
      <c r="AO41" s="29">
        <v>18366.894668442001</v>
      </c>
      <c r="AP41" s="30">
        <v>3.3562457245277698E-2</v>
      </c>
      <c r="AQ41" s="29">
        <v>16237.1560524582</v>
      </c>
      <c r="AR41" s="30">
        <v>3.4264436671445499E-2</v>
      </c>
      <c r="AS41" s="29">
        <v>7913.03154240395</v>
      </c>
      <c r="AT41" s="30">
        <v>5.7368595476267298E-2</v>
      </c>
      <c r="AU41" s="29">
        <v>121224.02341771701</v>
      </c>
      <c r="AV41" s="30">
        <v>1.47672404601025E-2</v>
      </c>
      <c r="AW41" s="29">
        <v>95955.122653725004</v>
      </c>
      <c r="AX41" s="30">
        <v>3.21471120650203E-2</v>
      </c>
      <c r="AY41" s="29">
        <v>27497.4281529203</v>
      </c>
      <c r="AZ41" s="30">
        <v>-3.3102006933202401E-2</v>
      </c>
      <c r="BA41" s="29">
        <v>15724.865803999801</v>
      </c>
      <c r="BB41" s="30">
        <v>-5.2097310672121103E-2</v>
      </c>
      <c r="BC41" s="29">
        <v>24434.017567203198</v>
      </c>
      <c r="BD41" s="30">
        <v>3.97582983121667E-2</v>
      </c>
      <c r="BE41" s="29"/>
      <c r="BF41" s="30"/>
    </row>
    <row r="42" spans="1:58" x14ac:dyDescent="0.2">
      <c r="A42" s="28">
        <v>1987</v>
      </c>
      <c r="B42" s="28">
        <v>3</v>
      </c>
      <c r="C42" s="29">
        <v>102495.385310249</v>
      </c>
      <c r="D42" s="30">
        <v>2.3247984666992599E-2</v>
      </c>
      <c r="E42" s="29">
        <v>99562.561566671196</v>
      </c>
      <c r="F42" s="30">
        <v>2.3954004327324499E-3</v>
      </c>
      <c r="G42" s="29">
        <v>69419.198189922696</v>
      </c>
      <c r="H42" s="30">
        <v>2.7767138741445301E-2</v>
      </c>
      <c r="I42" s="29">
        <v>56519.135177787197</v>
      </c>
      <c r="J42" s="30">
        <v>2.9289629248660898E-2</v>
      </c>
      <c r="K42" s="29">
        <v>12828.853246983799</v>
      </c>
      <c r="L42" s="30">
        <v>1.93485269970541E-2</v>
      </c>
      <c r="M42" s="29">
        <v>30254.813119811799</v>
      </c>
      <c r="N42" s="30">
        <v>-4.7962922412000397E-2</v>
      </c>
      <c r="O42" s="29">
        <v>26134.065218320298</v>
      </c>
      <c r="P42" s="30">
        <v>1.8424675628191198E-2</v>
      </c>
      <c r="Q42" s="29">
        <v>13856.9100816993</v>
      </c>
      <c r="R42" s="30">
        <v>3.2124787086694501E-2</v>
      </c>
      <c r="S42" s="29">
        <v>13364.164195301601</v>
      </c>
      <c r="T42" s="30">
        <v>6.6444975962189901E-3</v>
      </c>
      <c r="U42" s="29"/>
      <c r="V42" s="30"/>
      <c r="W42" s="29"/>
      <c r="X42" s="30"/>
      <c r="Y42" s="29"/>
      <c r="Z42" s="30"/>
      <c r="AA42" s="29">
        <v>36715.813922749403</v>
      </c>
      <c r="AB42" s="30">
        <v>6.36973881786718E-3</v>
      </c>
      <c r="AC42" s="29">
        <v>23457.764567204598</v>
      </c>
      <c r="AD42" s="30">
        <v>-2.9933381886510201E-2</v>
      </c>
      <c r="AE42" s="29">
        <v>17508.316825378799</v>
      </c>
      <c r="AF42" s="30">
        <v>3.8377219972736101E-3</v>
      </c>
      <c r="AG42" s="29">
        <v>14749.5088875521</v>
      </c>
      <c r="AH42" s="30">
        <v>-1.87829912986381E-4</v>
      </c>
      <c r="AI42" s="29">
        <v>13585.8494845767</v>
      </c>
      <c r="AJ42" s="30">
        <v>8.34112914219447E-2</v>
      </c>
      <c r="AK42" s="29">
        <v>32481.045179895002</v>
      </c>
      <c r="AL42" s="30">
        <v>-4.41522142669592E-2</v>
      </c>
      <c r="AM42" s="29">
        <v>24672.082370335</v>
      </c>
      <c r="AN42" s="30">
        <v>-7.0065121498046903E-2</v>
      </c>
      <c r="AO42" s="29">
        <v>17828.192869752002</v>
      </c>
      <c r="AP42" s="30">
        <v>2.7435017583371302E-2</v>
      </c>
      <c r="AQ42" s="29">
        <v>15814.678522251401</v>
      </c>
      <c r="AR42" s="30">
        <v>2.5921936795327599E-2</v>
      </c>
      <c r="AS42" s="29">
        <v>8178.9075232957603</v>
      </c>
      <c r="AT42" s="30">
        <v>4.86847334182514E-2</v>
      </c>
      <c r="AU42" s="29">
        <v>122115.84932074101</v>
      </c>
      <c r="AV42" s="30">
        <v>2.7684488620486801E-2</v>
      </c>
      <c r="AW42" s="29">
        <v>95730.798457475204</v>
      </c>
      <c r="AX42" s="30">
        <v>2.45664943216743E-2</v>
      </c>
      <c r="AY42" s="29">
        <v>28487.437320733501</v>
      </c>
      <c r="AZ42" s="30">
        <v>3.6422269142715E-2</v>
      </c>
      <c r="BA42" s="29">
        <v>15598.168847945701</v>
      </c>
      <c r="BB42" s="30">
        <v>8.2272910872804896E-3</v>
      </c>
      <c r="BC42" s="29">
        <v>24172.8595526424</v>
      </c>
      <c r="BD42" s="30">
        <v>3.2245110886976798E-2</v>
      </c>
      <c r="BE42" s="29"/>
      <c r="BF42" s="30"/>
    </row>
    <row r="43" spans="1:58" x14ac:dyDescent="0.2">
      <c r="A43" s="28">
        <v>1987</v>
      </c>
      <c r="B43" s="28">
        <v>4</v>
      </c>
      <c r="C43" s="29">
        <v>107003.606906132</v>
      </c>
      <c r="D43" s="30">
        <v>2.8327778389625202E-2</v>
      </c>
      <c r="E43" s="29">
        <v>107130.41706758901</v>
      </c>
      <c r="F43" s="30">
        <v>-7.4291283706192602E-3</v>
      </c>
      <c r="G43" s="29">
        <v>71764.630216818696</v>
      </c>
      <c r="H43" s="30">
        <v>3.0104566457280501E-2</v>
      </c>
      <c r="I43" s="29">
        <v>58682.463278744603</v>
      </c>
      <c r="J43" s="30">
        <v>3.0924549765470901E-2</v>
      </c>
      <c r="K43" s="29">
        <v>12947.231640951601</v>
      </c>
      <c r="L43" s="30">
        <v>2.58613218807437E-2</v>
      </c>
      <c r="M43" s="29">
        <v>35294.898556751999</v>
      </c>
      <c r="N43" s="30">
        <v>-6.87554309368449E-2</v>
      </c>
      <c r="O43" s="29">
        <v>24427.195803618099</v>
      </c>
      <c r="P43" s="30">
        <v>5.0280106200225598E-2</v>
      </c>
      <c r="Q43" s="29">
        <v>10357.960186840301</v>
      </c>
      <c r="R43" s="30">
        <v>2.47035960647062E-2</v>
      </c>
      <c r="S43" s="29">
        <v>14377.388071241499</v>
      </c>
      <c r="T43" s="30">
        <v>6.6973350557350195E-2</v>
      </c>
      <c r="U43" s="29"/>
      <c r="V43" s="30"/>
      <c r="W43" s="29"/>
      <c r="X43" s="30"/>
      <c r="Y43" s="29"/>
      <c r="Z43" s="30"/>
      <c r="AA43" s="29">
        <v>39076.717070616498</v>
      </c>
      <c r="AB43" s="30">
        <v>0.1136877690757</v>
      </c>
      <c r="AC43" s="29">
        <v>27319.911128506101</v>
      </c>
      <c r="AD43" s="30">
        <v>0.141324323998233</v>
      </c>
      <c r="AE43" s="29">
        <v>19720.3165778445</v>
      </c>
      <c r="AF43" s="30">
        <v>0.111546247469702</v>
      </c>
      <c r="AG43" s="29">
        <v>16514.114580658301</v>
      </c>
      <c r="AH43" s="30">
        <v>9.9189936123190506E-2</v>
      </c>
      <c r="AI43" s="29">
        <v>11704.256245746999</v>
      </c>
      <c r="AJ43" s="30">
        <v>4.4995885063096701E-2</v>
      </c>
      <c r="AK43" s="29">
        <v>37209.773141088801</v>
      </c>
      <c r="AL43" s="30">
        <v>2.4898735299421399E-2</v>
      </c>
      <c r="AM43" s="29">
        <v>29355.228925289099</v>
      </c>
      <c r="AN43" s="30">
        <v>1.2666942574310201E-2</v>
      </c>
      <c r="AO43" s="29">
        <v>19721.4521247599</v>
      </c>
      <c r="AP43" s="30">
        <v>0.12345228982908001</v>
      </c>
      <c r="AQ43" s="29">
        <v>17223.390658115801</v>
      </c>
      <c r="AR43" s="30">
        <v>0.116724481868084</v>
      </c>
      <c r="AS43" s="29">
        <v>8168.74810651189</v>
      </c>
      <c r="AT43" s="30">
        <v>7.9067400708941096E-2</v>
      </c>
      <c r="AU43" s="29">
        <v>122781.80135027099</v>
      </c>
      <c r="AV43" s="30">
        <v>4.8439336274967798E-2</v>
      </c>
      <c r="AW43" s="29">
        <v>95856.531190213995</v>
      </c>
      <c r="AX43" s="30">
        <v>3.6336173582123002E-2</v>
      </c>
      <c r="AY43" s="29">
        <v>28978.394997660202</v>
      </c>
      <c r="AZ43" s="30">
        <v>8.3417401226621599E-2</v>
      </c>
      <c r="BA43" s="29">
        <v>17417.533518385299</v>
      </c>
      <c r="BB43" s="30">
        <v>0.103768292547115</v>
      </c>
      <c r="BC43" s="29">
        <v>25739.5351326278</v>
      </c>
      <c r="BD43" s="30">
        <v>0.10695790149074</v>
      </c>
      <c r="BE43" s="29"/>
      <c r="BF43" s="30"/>
    </row>
    <row r="44" spans="1:58" x14ac:dyDescent="0.2">
      <c r="A44" s="28">
        <v>1988</v>
      </c>
      <c r="B44" s="28">
        <v>1</v>
      </c>
      <c r="C44" s="29">
        <v>102561.907755382</v>
      </c>
      <c r="D44" s="30">
        <v>3.9107360187361502E-2</v>
      </c>
      <c r="E44" s="29">
        <v>99741.398707186294</v>
      </c>
      <c r="F44" s="30">
        <v>2.4708665791403701E-2</v>
      </c>
      <c r="G44" s="29">
        <v>70590.919389320596</v>
      </c>
      <c r="H44" s="30">
        <v>2.81673542803733E-2</v>
      </c>
      <c r="I44" s="29">
        <v>57484.197324335997</v>
      </c>
      <c r="J44" s="30">
        <v>2.8566637365511301E-2</v>
      </c>
      <c r="K44" s="29">
        <v>13031.4815433031</v>
      </c>
      <c r="L44" s="30">
        <v>2.59740165907421E-2</v>
      </c>
      <c r="M44" s="29">
        <v>29357.666244840599</v>
      </c>
      <c r="N44" s="30">
        <v>1.7960126516741899E-2</v>
      </c>
      <c r="O44" s="29">
        <v>26156.835039130801</v>
      </c>
      <c r="P44" s="30">
        <v>7.5034367208536096E-2</v>
      </c>
      <c r="Q44" s="29">
        <v>12460.727114621401</v>
      </c>
      <c r="R44" s="30">
        <v>5.4933020496088898E-2</v>
      </c>
      <c r="S44" s="29">
        <v>14405.468758152199</v>
      </c>
      <c r="T44" s="30">
        <v>8.8510677675006602E-2</v>
      </c>
      <c r="U44" s="29"/>
      <c r="V44" s="30"/>
      <c r="W44" s="29"/>
      <c r="X44" s="30"/>
      <c r="Y44" s="29"/>
      <c r="Z44" s="30"/>
      <c r="AA44" s="29">
        <v>39416.417156414602</v>
      </c>
      <c r="AB44" s="30">
        <v>9.58779007903552E-2</v>
      </c>
      <c r="AC44" s="29">
        <v>26742.365990203099</v>
      </c>
      <c r="AD44" s="30">
        <v>0.12522732643044099</v>
      </c>
      <c r="AE44" s="29">
        <v>18359.228238526099</v>
      </c>
      <c r="AF44" s="30">
        <v>7.7289190839099103E-2</v>
      </c>
      <c r="AG44" s="29">
        <v>15223.3074862544</v>
      </c>
      <c r="AH44" s="30">
        <v>6.6836886288494698E-2</v>
      </c>
      <c r="AI44" s="29">
        <v>12768.505625765099</v>
      </c>
      <c r="AJ44" s="30">
        <v>3.0655139310632702E-2</v>
      </c>
      <c r="AK44" s="29">
        <v>35071.983904941597</v>
      </c>
      <c r="AL44" s="30">
        <v>6.1519674378203201E-2</v>
      </c>
      <c r="AM44" s="29">
        <v>27060.455405680699</v>
      </c>
      <c r="AN44" s="30">
        <v>4.9381110766820897E-2</v>
      </c>
      <c r="AO44" s="29">
        <v>18669.356182634099</v>
      </c>
      <c r="AP44" s="30">
        <v>6.7018162510510598E-2</v>
      </c>
      <c r="AQ44" s="29">
        <v>16402.155473795701</v>
      </c>
      <c r="AR44" s="30">
        <v>5.7041227602914198E-2</v>
      </c>
      <c r="AS44" s="29">
        <v>8364.1224031277598</v>
      </c>
      <c r="AT44" s="30">
        <v>0.10647235492901699</v>
      </c>
      <c r="AU44" s="29">
        <v>122995.879458703</v>
      </c>
      <c r="AV44" s="30">
        <v>4.5523547513106402E-2</v>
      </c>
      <c r="AW44" s="29">
        <v>96844.270898210001</v>
      </c>
      <c r="AX44" s="30">
        <v>4.2905281842113598E-2</v>
      </c>
      <c r="AY44" s="29">
        <v>28333.568155375</v>
      </c>
      <c r="AZ44" s="30">
        <v>5.3158183616238301E-2</v>
      </c>
      <c r="BA44" s="29">
        <v>16058.4798489401</v>
      </c>
      <c r="BB44" s="30">
        <v>6.6685602713804998E-2</v>
      </c>
      <c r="BC44" s="29">
        <v>24981.698169158299</v>
      </c>
      <c r="BD44" s="30">
        <v>6.9965376496128107E-2</v>
      </c>
      <c r="BE44" s="29"/>
      <c r="BF44" s="30"/>
    </row>
    <row r="45" spans="1:58" x14ac:dyDescent="0.2">
      <c r="A45" s="28">
        <v>1988</v>
      </c>
      <c r="B45" s="28">
        <v>2</v>
      </c>
      <c r="C45" s="29">
        <v>104743.18194722501</v>
      </c>
      <c r="D45" s="30">
        <v>2.84422858838391E-2</v>
      </c>
      <c r="E45" s="29">
        <v>103216.93515995701</v>
      </c>
      <c r="F45" s="30">
        <v>2.5291306830932401E-3</v>
      </c>
      <c r="G45" s="29">
        <v>70744.906361877103</v>
      </c>
      <c r="H45" s="30">
        <v>1.9238401523082E-2</v>
      </c>
      <c r="I45" s="29">
        <v>57434.064976826099</v>
      </c>
      <c r="J45" s="30">
        <v>1.5647299880777999E-2</v>
      </c>
      <c r="K45" s="29">
        <v>13277.4115911475</v>
      </c>
      <c r="L45" s="30">
        <v>3.8921826596684903E-2</v>
      </c>
      <c r="M45" s="29">
        <v>32507.029559062299</v>
      </c>
      <c r="N45" s="30">
        <v>-2.9859404946346899E-2</v>
      </c>
      <c r="O45" s="29">
        <v>28560.712468137699</v>
      </c>
      <c r="P45" s="30">
        <v>8.4787993006539802E-2</v>
      </c>
      <c r="Q45" s="29">
        <v>14285.485076741899</v>
      </c>
      <c r="R45" s="30">
        <v>6.4804745279513298E-2</v>
      </c>
      <c r="S45" s="29">
        <v>15222.9602500696</v>
      </c>
      <c r="T45" s="30">
        <v>9.8417579829987098E-2</v>
      </c>
      <c r="U45" s="29"/>
      <c r="V45" s="30"/>
      <c r="W45" s="29"/>
      <c r="X45" s="30"/>
      <c r="Y45" s="29"/>
      <c r="Z45" s="30"/>
      <c r="AA45" s="29">
        <v>38193.135403588698</v>
      </c>
      <c r="AB45" s="30">
        <v>6.0685413427858298E-2</v>
      </c>
      <c r="AC45" s="29">
        <v>26007.643956272899</v>
      </c>
      <c r="AD45" s="30">
        <v>8.5247569849445703E-2</v>
      </c>
      <c r="AE45" s="29">
        <v>19195.570476002202</v>
      </c>
      <c r="AF45" s="30">
        <v>8.1600310185616906E-2</v>
      </c>
      <c r="AG45" s="29">
        <v>16198.1959085301</v>
      </c>
      <c r="AH45" s="30">
        <v>8.8173045071877204E-2</v>
      </c>
      <c r="AI45" s="29">
        <v>12262.503801496599</v>
      </c>
      <c r="AJ45" s="30">
        <v>5.0276921273646503E-3</v>
      </c>
      <c r="AK45" s="29">
        <v>35006.355624805903</v>
      </c>
      <c r="AL45" s="30">
        <v>-3.3086995715182498E-3</v>
      </c>
      <c r="AM45" s="29">
        <v>26920.475054143699</v>
      </c>
      <c r="AN45" s="30">
        <v>-2.1948332306784502E-2</v>
      </c>
      <c r="AO45" s="29">
        <v>19536.393631068298</v>
      </c>
      <c r="AP45" s="30">
        <v>6.3674289189219899E-2</v>
      </c>
      <c r="AQ45" s="29">
        <v>17182.2696439887</v>
      </c>
      <c r="AR45" s="30">
        <v>5.8206842902599899E-2</v>
      </c>
      <c r="AS45" s="29">
        <v>8445.1162201835796</v>
      </c>
      <c r="AT45" s="30">
        <v>6.7241571694529406E-2</v>
      </c>
      <c r="AU45" s="29">
        <v>126627.720699849</v>
      </c>
      <c r="AV45" s="30">
        <v>4.4576125505355398E-2</v>
      </c>
      <c r="AW45" s="29">
        <v>99871.6325846119</v>
      </c>
      <c r="AX45" s="30">
        <v>4.0816058825963002E-2</v>
      </c>
      <c r="AY45" s="29">
        <v>29027.5438449098</v>
      </c>
      <c r="AZ45" s="30">
        <v>5.5645774705913802E-2</v>
      </c>
      <c r="BA45" s="29">
        <v>17055.8388556096</v>
      </c>
      <c r="BB45" s="30">
        <v>8.4641297941713003E-2</v>
      </c>
      <c r="BC45" s="29">
        <v>25913.122152436499</v>
      </c>
      <c r="BD45" s="30">
        <v>6.0534645240601502E-2</v>
      </c>
      <c r="BE45" s="29"/>
      <c r="BF45" s="30"/>
    </row>
    <row r="46" spans="1:58" x14ac:dyDescent="0.2">
      <c r="A46" s="28">
        <v>1988</v>
      </c>
      <c r="B46" s="28">
        <v>3</v>
      </c>
      <c r="C46" s="29">
        <v>105321.07187289</v>
      </c>
      <c r="D46" s="30">
        <v>2.7568914971995501E-2</v>
      </c>
      <c r="E46" s="29">
        <v>103836.907657214</v>
      </c>
      <c r="F46" s="30">
        <v>4.2931258731032901E-2</v>
      </c>
      <c r="G46" s="29">
        <v>71223.816325935797</v>
      </c>
      <c r="H46" s="30">
        <v>2.5995951884605399E-2</v>
      </c>
      <c r="I46" s="29">
        <v>57722.462213664803</v>
      </c>
      <c r="J46" s="30">
        <v>2.1290613030301199E-2</v>
      </c>
      <c r="K46" s="29">
        <v>13491.708193844101</v>
      </c>
      <c r="L46" s="30">
        <v>5.1669072371385703E-2</v>
      </c>
      <c r="M46" s="29">
        <v>32652.502384530799</v>
      </c>
      <c r="N46" s="30">
        <v>7.9249845478268396E-2</v>
      </c>
      <c r="O46" s="29">
        <v>28634.6381088405</v>
      </c>
      <c r="P46" s="30">
        <v>9.5682507471791106E-2</v>
      </c>
      <c r="Q46" s="29">
        <v>14900.6808983024</v>
      </c>
      <c r="R46" s="30">
        <v>7.5324932502928404E-2</v>
      </c>
      <c r="S46" s="29">
        <v>14831.491725542901</v>
      </c>
      <c r="T46" s="30">
        <v>0.109795682602971</v>
      </c>
      <c r="U46" s="29"/>
      <c r="V46" s="30"/>
      <c r="W46" s="29"/>
      <c r="X46" s="30"/>
      <c r="Y46" s="29"/>
      <c r="Z46" s="30"/>
      <c r="AA46" s="29">
        <v>39696.2545969688</v>
      </c>
      <c r="AB46" s="30">
        <v>8.1175939078739906E-2</v>
      </c>
      <c r="AC46" s="29">
        <v>26603.0803286601</v>
      </c>
      <c r="AD46" s="30">
        <v>0.13408420706263199</v>
      </c>
      <c r="AE46" s="29">
        <v>18873.6061146594</v>
      </c>
      <c r="AF46" s="30">
        <v>7.7979471293414301E-2</v>
      </c>
      <c r="AG46" s="29">
        <v>15654.164052742</v>
      </c>
      <c r="AH46" s="30">
        <v>6.1334595754126003E-2</v>
      </c>
      <c r="AI46" s="29">
        <v>13238.4565799227</v>
      </c>
      <c r="AJ46" s="30">
        <v>-2.5570201189728602E-2</v>
      </c>
      <c r="AK46" s="29">
        <v>36472.577490322503</v>
      </c>
      <c r="AL46" s="30">
        <v>0.122888050194215</v>
      </c>
      <c r="AM46" s="29">
        <v>28065.272560640198</v>
      </c>
      <c r="AN46" s="30">
        <v>0.137531568652068</v>
      </c>
      <c r="AO46" s="29">
        <v>18613.451471845601</v>
      </c>
      <c r="AP46" s="30">
        <v>4.4045888881193901E-2</v>
      </c>
      <c r="AQ46" s="29">
        <v>16650.417363584998</v>
      </c>
      <c r="AR46" s="30">
        <v>5.2845768578712503E-2</v>
      </c>
      <c r="AS46" s="29">
        <v>8780.1773637912302</v>
      </c>
      <c r="AT46" s="30">
        <v>7.3514688701747904E-2</v>
      </c>
      <c r="AU46" s="29">
        <v>127333.371136791</v>
      </c>
      <c r="AV46" s="30">
        <v>4.2726000310955997E-2</v>
      </c>
      <c r="AW46" s="29">
        <v>100404.420350491</v>
      </c>
      <c r="AX46" s="30">
        <v>4.8820462884695499E-2</v>
      </c>
      <c r="AY46" s="29">
        <v>29209.513514832401</v>
      </c>
      <c r="AZ46" s="30">
        <v>2.53471797399385E-2</v>
      </c>
      <c r="BA46" s="29">
        <v>16499.450409870198</v>
      </c>
      <c r="BB46" s="30">
        <v>5.77812415489527E-2</v>
      </c>
      <c r="BC46" s="29">
        <v>25594.393287849402</v>
      </c>
      <c r="BD46" s="30">
        <v>5.8807015864681803E-2</v>
      </c>
      <c r="BE46" s="29"/>
      <c r="BF46" s="30"/>
    </row>
    <row r="47" spans="1:58" x14ac:dyDescent="0.2">
      <c r="A47" s="28">
        <v>1988</v>
      </c>
      <c r="B47" s="28">
        <v>4</v>
      </c>
      <c r="C47" s="29">
        <v>110860.899779425</v>
      </c>
      <c r="D47" s="30">
        <v>3.6048250940523302E-2</v>
      </c>
      <c r="E47" s="29">
        <v>110172.916764886</v>
      </c>
      <c r="F47" s="30">
        <v>2.8399961286223799E-2</v>
      </c>
      <c r="G47" s="29">
        <v>73695.664272954105</v>
      </c>
      <c r="H47" s="30">
        <v>2.6907879972366499E-2</v>
      </c>
      <c r="I47" s="29">
        <v>59856.615389191902</v>
      </c>
      <c r="J47" s="30">
        <v>2.0008568912147601E-2</v>
      </c>
      <c r="K47" s="29">
        <v>13797.771599047799</v>
      </c>
      <c r="L47" s="30">
        <v>6.5692804584260397E-2</v>
      </c>
      <c r="M47" s="29">
        <v>36373.247112597099</v>
      </c>
      <c r="N47" s="30">
        <v>3.0552533083815898E-2</v>
      </c>
      <c r="O47" s="29">
        <v>26281.795514068101</v>
      </c>
      <c r="P47" s="30">
        <v>7.5923561810369494E-2</v>
      </c>
      <c r="Q47" s="29">
        <v>11440.4120176548</v>
      </c>
      <c r="R47" s="30">
        <v>0.104504343643812</v>
      </c>
      <c r="S47" s="29">
        <v>15278.9548752787</v>
      </c>
      <c r="T47" s="30">
        <v>6.27072733635545E-2</v>
      </c>
      <c r="U47" s="29"/>
      <c r="V47" s="30"/>
      <c r="W47" s="29"/>
      <c r="X47" s="30"/>
      <c r="Y47" s="29"/>
      <c r="Z47" s="30"/>
      <c r="AA47" s="29">
        <v>41767.049195473999</v>
      </c>
      <c r="AB47" s="30">
        <v>6.8847444886317902E-2</v>
      </c>
      <c r="AC47" s="29">
        <v>29655.584319125399</v>
      </c>
      <c r="AD47" s="30">
        <v>8.5493440283638505E-2</v>
      </c>
      <c r="AE47" s="29">
        <v>20835.025561922601</v>
      </c>
      <c r="AF47" s="30">
        <v>5.6525917303502198E-2</v>
      </c>
      <c r="AG47" s="29">
        <v>17657.850786849402</v>
      </c>
      <c r="AH47" s="30">
        <v>6.9258100433105402E-2</v>
      </c>
      <c r="AI47" s="29">
        <v>12010.642683542001</v>
      </c>
      <c r="AJ47" s="30">
        <v>2.6177352183857298E-2</v>
      </c>
      <c r="AK47" s="29">
        <v>39117.535030105697</v>
      </c>
      <c r="AL47" s="30">
        <v>5.1270452033747901E-2</v>
      </c>
      <c r="AM47" s="29">
        <v>30919.765730916199</v>
      </c>
      <c r="AN47" s="30">
        <v>5.3296699188036603E-2</v>
      </c>
      <c r="AO47" s="29">
        <v>19850.484276336701</v>
      </c>
      <c r="AP47" s="30">
        <v>6.5427307665002496E-3</v>
      </c>
      <c r="AQ47" s="29">
        <v>17823.622591157498</v>
      </c>
      <c r="AR47" s="30">
        <v>3.4849812383421802E-2</v>
      </c>
      <c r="AS47" s="29">
        <v>8530.7315346260802</v>
      </c>
      <c r="AT47" s="30">
        <v>4.4313207286393201E-2</v>
      </c>
      <c r="AU47" s="29">
        <v>128294.09791603099</v>
      </c>
      <c r="AV47" s="30">
        <v>4.4895061850688499E-2</v>
      </c>
      <c r="AW47" s="29">
        <v>99873.159924107094</v>
      </c>
      <c r="AX47" s="30">
        <v>4.19025045452837E-2</v>
      </c>
      <c r="AY47" s="29">
        <v>30526.096742185298</v>
      </c>
      <c r="AZ47" s="30">
        <v>5.3408815244945902E-2</v>
      </c>
      <c r="BA47" s="29">
        <v>18589.2084285157</v>
      </c>
      <c r="BB47" s="30">
        <v>6.7269852467550406E-2</v>
      </c>
      <c r="BC47" s="29">
        <v>26694.291272116599</v>
      </c>
      <c r="BD47" s="30">
        <v>3.7092983015010399E-2</v>
      </c>
      <c r="BE47" s="29"/>
      <c r="BF47" s="30"/>
    </row>
    <row r="48" spans="1:58" x14ac:dyDescent="0.2">
      <c r="A48" s="28">
        <v>1989</v>
      </c>
      <c r="B48" s="28">
        <v>1</v>
      </c>
      <c r="C48" s="29">
        <v>106306.64020722</v>
      </c>
      <c r="D48" s="30">
        <v>3.6511922738114301E-2</v>
      </c>
      <c r="E48" s="29">
        <v>103362.67794027401</v>
      </c>
      <c r="F48" s="30">
        <v>3.6306681879600101E-2</v>
      </c>
      <c r="G48" s="29">
        <v>73130.484246236199</v>
      </c>
      <c r="H48" s="30">
        <v>3.59758008379161E-2</v>
      </c>
      <c r="I48" s="29">
        <v>59039.732602948599</v>
      </c>
      <c r="J48" s="30">
        <v>2.7060224392382998E-2</v>
      </c>
      <c r="K48" s="29">
        <v>14128.240521046901</v>
      </c>
      <c r="L48" s="30">
        <v>8.4162263062670606E-2</v>
      </c>
      <c r="M48" s="29">
        <v>30537.6326304719</v>
      </c>
      <c r="N48" s="30">
        <v>4.0192785618259598E-2</v>
      </c>
      <c r="O48" s="29">
        <v>27917.746407502</v>
      </c>
      <c r="P48" s="30">
        <v>6.7321270548857295E-2</v>
      </c>
      <c r="Q48" s="29">
        <v>13793.111188393001</v>
      </c>
      <c r="R48" s="30">
        <v>0.106926671414552</v>
      </c>
      <c r="S48" s="29">
        <v>15005.764307035401</v>
      </c>
      <c r="T48" s="30">
        <v>4.1671365157308599E-2</v>
      </c>
      <c r="U48" s="29"/>
      <c r="V48" s="30"/>
      <c r="W48" s="29"/>
      <c r="X48" s="30"/>
      <c r="Y48" s="29"/>
      <c r="Z48" s="30"/>
      <c r="AA48" s="29">
        <v>41505.235709421802</v>
      </c>
      <c r="AB48" s="30">
        <v>5.2993617982025801E-2</v>
      </c>
      <c r="AC48" s="29">
        <v>28419.463167370301</v>
      </c>
      <c r="AD48" s="30">
        <v>6.2713118868450199E-2</v>
      </c>
      <c r="AE48" s="29">
        <v>19591.026640894801</v>
      </c>
      <c r="AF48" s="30">
        <v>6.7094236553135303E-2</v>
      </c>
      <c r="AG48" s="29">
        <v>16249.2303557466</v>
      </c>
      <c r="AH48" s="30">
        <v>6.7391588222107696E-2</v>
      </c>
      <c r="AI48" s="29">
        <v>13144.8466677425</v>
      </c>
      <c r="AJ48" s="30">
        <v>2.9474165028208901E-2</v>
      </c>
      <c r="AK48" s="29">
        <v>36922.302024430697</v>
      </c>
      <c r="AL48" s="30">
        <v>5.2757726067170801E-2</v>
      </c>
      <c r="AM48" s="29">
        <v>28707.344893411198</v>
      </c>
      <c r="AN48" s="30">
        <v>6.0859636803629998E-2</v>
      </c>
      <c r="AO48" s="29">
        <v>19769.530139422699</v>
      </c>
      <c r="AP48" s="30">
        <v>5.8929399922850803E-2</v>
      </c>
      <c r="AQ48" s="29">
        <v>17419.8217067117</v>
      </c>
      <c r="AR48" s="30">
        <v>6.2044664467533199E-2</v>
      </c>
      <c r="AS48" s="29">
        <v>8568.1511085295097</v>
      </c>
      <c r="AT48" s="30">
        <v>2.43933189363006E-2</v>
      </c>
      <c r="AU48" s="29">
        <v>128938.91375352599</v>
      </c>
      <c r="AV48" s="30">
        <v>4.8318970692173398E-2</v>
      </c>
      <c r="AW48" s="29">
        <v>101311.10225707</v>
      </c>
      <c r="AX48" s="30">
        <v>4.6123857585281799E-2</v>
      </c>
      <c r="AY48" s="29">
        <v>29883.432320993099</v>
      </c>
      <c r="AZ48" s="30">
        <v>5.47006348483512E-2</v>
      </c>
      <c r="BA48" s="29">
        <v>17169.6784402331</v>
      </c>
      <c r="BB48" s="30">
        <v>6.9196997582955597E-2</v>
      </c>
      <c r="BC48" s="29">
        <v>26277.253083448399</v>
      </c>
      <c r="BD48" s="30">
        <v>5.1860162008101798E-2</v>
      </c>
      <c r="BE48" s="29"/>
      <c r="BF48" s="30"/>
    </row>
    <row r="49" spans="1:58" x14ac:dyDescent="0.2">
      <c r="A49" s="28">
        <v>1989</v>
      </c>
      <c r="B49" s="28">
        <v>2</v>
      </c>
      <c r="C49" s="29">
        <v>110475.276981544</v>
      </c>
      <c r="D49" s="30">
        <v>5.4725232972276897E-2</v>
      </c>
      <c r="E49" s="29">
        <v>110495.665542182</v>
      </c>
      <c r="F49" s="30">
        <v>7.0518761005110106E-2</v>
      </c>
      <c r="G49" s="29">
        <v>73453.845231436193</v>
      </c>
      <c r="H49" s="30">
        <v>3.8291645418289597E-2</v>
      </c>
      <c r="I49" s="29">
        <v>59130.153819671301</v>
      </c>
      <c r="J49" s="30">
        <v>2.95310604173586E-2</v>
      </c>
      <c r="K49" s="29">
        <v>14398.747375918099</v>
      </c>
      <c r="L49" s="30">
        <v>8.4454396632416301E-2</v>
      </c>
      <c r="M49" s="29">
        <v>36799.4216347806</v>
      </c>
      <c r="N49" s="30">
        <v>0.132045041763027</v>
      </c>
      <c r="O49" s="29">
        <v>29856.992003843599</v>
      </c>
      <c r="P49" s="30">
        <v>4.5386806689506003E-2</v>
      </c>
      <c r="Q49" s="29">
        <v>15144.535213507001</v>
      </c>
      <c r="R49" s="30">
        <v>6.0134474408831698E-2</v>
      </c>
      <c r="S49" s="29">
        <v>15752.516168431501</v>
      </c>
      <c r="T49" s="30">
        <v>3.4786658420100897E-2</v>
      </c>
      <c r="U49" s="29"/>
      <c r="V49" s="30"/>
      <c r="W49" s="29"/>
      <c r="X49" s="30"/>
      <c r="Y49" s="29"/>
      <c r="Z49" s="30"/>
      <c r="AA49" s="29">
        <v>42800.0541726874</v>
      </c>
      <c r="AB49" s="30">
        <v>0.120621643664946</v>
      </c>
      <c r="AC49" s="29">
        <v>29670.768081532799</v>
      </c>
      <c r="AD49" s="30">
        <v>0.14084798036372401</v>
      </c>
      <c r="AE49" s="29">
        <v>21096.058959752299</v>
      </c>
      <c r="AF49" s="30">
        <v>9.9006616454878002E-2</v>
      </c>
      <c r="AG49" s="29">
        <v>17520.3720493377</v>
      </c>
      <c r="AH49" s="30">
        <v>8.1624901209605499E-2</v>
      </c>
      <c r="AI49" s="29">
        <v>13146.9221025762</v>
      </c>
      <c r="AJ49" s="30">
        <v>7.21237942427191E-2</v>
      </c>
      <c r="AK49" s="29">
        <v>40680.287665141099</v>
      </c>
      <c r="AL49" s="30">
        <v>0.16208291149035001</v>
      </c>
      <c r="AM49" s="29">
        <v>32395.5001898466</v>
      </c>
      <c r="AN49" s="30">
        <v>0.20337773106496901</v>
      </c>
      <c r="AO49" s="29">
        <v>21466.669322962902</v>
      </c>
      <c r="AP49" s="30">
        <v>9.8804094980194906E-2</v>
      </c>
      <c r="AQ49" s="29">
        <v>18754.759959405299</v>
      </c>
      <c r="AR49" s="30">
        <v>9.1518195674851893E-2</v>
      </c>
      <c r="AS49" s="29">
        <v>8610.4293148572597</v>
      </c>
      <c r="AT49" s="30">
        <v>1.9574993447525099E-2</v>
      </c>
      <c r="AU49" s="29">
        <v>133081.97089926901</v>
      </c>
      <c r="AV49" s="30">
        <v>5.0970278575252999E-2</v>
      </c>
      <c r="AW49" s="29">
        <v>103959.374184753</v>
      </c>
      <c r="AX49" s="30">
        <v>4.0929956728987402E-2</v>
      </c>
      <c r="AY49" s="29">
        <v>31361.311947083999</v>
      </c>
      <c r="AZ49" s="30">
        <v>8.0398400727364094E-2</v>
      </c>
      <c r="BA49" s="29">
        <v>18506.901445463998</v>
      </c>
      <c r="BB49" s="30">
        <v>8.5077175162049601E-2</v>
      </c>
      <c r="BC49" s="29">
        <v>27796.0353513585</v>
      </c>
      <c r="BD49" s="30">
        <v>7.2662537066955996E-2</v>
      </c>
      <c r="BE49" s="29"/>
      <c r="BF49" s="30"/>
    </row>
    <row r="50" spans="1:58" x14ac:dyDescent="0.2">
      <c r="A50" s="28">
        <v>1989</v>
      </c>
      <c r="B50" s="28">
        <v>3</v>
      </c>
      <c r="C50" s="29">
        <v>110292.855764224</v>
      </c>
      <c r="D50" s="30">
        <v>4.7205975052498503E-2</v>
      </c>
      <c r="E50" s="29">
        <v>109715.46262254599</v>
      </c>
      <c r="F50" s="30">
        <v>5.6613347777443299E-2</v>
      </c>
      <c r="G50" s="29">
        <v>73909.001057871705</v>
      </c>
      <c r="H50" s="30">
        <v>3.7700657876123402E-2</v>
      </c>
      <c r="I50" s="29">
        <v>59231.3603511494</v>
      </c>
      <c r="J50" s="30">
        <v>2.6140571271878101E-2</v>
      </c>
      <c r="K50" s="29">
        <v>14811.2891921997</v>
      </c>
      <c r="L50" s="30">
        <v>9.7806814333394096E-2</v>
      </c>
      <c r="M50" s="29">
        <v>35683.067948726799</v>
      </c>
      <c r="N50" s="30">
        <v>9.2812658843316007E-2</v>
      </c>
      <c r="O50" s="29">
        <v>29400.329236515801</v>
      </c>
      <c r="P50" s="30">
        <v>2.6740031592679799E-2</v>
      </c>
      <c r="Q50" s="29">
        <v>15803.759842207601</v>
      </c>
      <c r="R50" s="30">
        <v>6.0606555503653202E-2</v>
      </c>
      <c r="S50" s="29">
        <v>14842.067384408199</v>
      </c>
      <c r="T50" s="30">
        <v>7.1305429426993196E-4</v>
      </c>
      <c r="U50" s="29"/>
      <c r="V50" s="30"/>
      <c r="W50" s="29"/>
      <c r="X50" s="30"/>
      <c r="Y50" s="29"/>
      <c r="Z50" s="30"/>
      <c r="AA50" s="29">
        <v>41571.358305175898</v>
      </c>
      <c r="AB50" s="30">
        <v>4.7236287837349802E-2</v>
      </c>
      <c r="AC50" s="29">
        <v>27652.866252207001</v>
      </c>
      <c r="AD50" s="30">
        <v>3.9461066559872901E-2</v>
      </c>
      <c r="AE50" s="29">
        <v>19247.106804503099</v>
      </c>
      <c r="AF50" s="30">
        <v>1.9789577443476598E-2</v>
      </c>
      <c r="AG50" s="29">
        <v>15669.5493377657</v>
      </c>
      <c r="AH50" s="30">
        <v>9.8282380150327398E-4</v>
      </c>
      <c r="AI50" s="29">
        <v>14074.0053399676</v>
      </c>
      <c r="AJ50" s="30">
        <v>6.3115269895742496E-2</v>
      </c>
      <c r="AK50" s="29">
        <v>39024.099193710397</v>
      </c>
      <c r="AL50" s="30">
        <v>6.9957263208634698E-2</v>
      </c>
      <c r="AM50" s="29">
        <v>30514.753996349598</v>
      </c>
      <c r="AN50" s="30">
        <v>8.7278020564983197E-2</v>
      </c>
      <c r="AO50" s="29">
        <v>19351.984452379402</v>
      </c>
      <c r="AP50" s="30">
        <v>3.9677379644010601E-2</v>
      </c>
      <c r="AQ50" s="29">
        <v>17054.877403419501</v>
      </c>
      <c r="AR50" s="30">
        <v>2.4291285377566502E-2</v>
      </c>
      <c r="AS50" s="29">
        <v>8868.2882275279298</v>
      </c>
      <c r="AT50" s="30">
        <v>1.00352031725528E-2</v>
      </c>
      <c r="AU50" s="29">
        <v>131486.24954968799</v>
      </c>
      <c r="AV50" s="30">
        <v>3.2614218690838498E-2</v>
      </c>
      <c r="AW50" s="29">
        <v>103826.009538728</v>
      </c>
      <c r="AX50" s="30">
        <v>3.40780732192165E-2</v>
      </c>
      <c r="AY50" s="29">
        <v>30036.0156744249</v>
      </c>
      <c r="AZ50" s="30">
        <v>2.82956496065172E-2</v>
      </c>
      <c r="BA50" s="29">
        <v>16608.021928223701</v>
      </c>
      <c r="BB50" s="30">
        <v>6.5803112016744603E-3</v>
      </c>
      <c r="BC50" s="29">
        <v>26113.165404018298</v>
      </c>
      <c r="BD50" s="30">
        <v>2.0268974940509599E-2</v>
      </c>
      <c r="BE50" s="29"/>
      <c r="BF50" s="30"/>
    </row>
    <row r="51" spans="1:58" x14ac:dyDescent="0.2">
      <c r="A51" s="28">
        <v>1989</v>
      </c>
      <c r="B51" s="28">
        <v>4</v>
      </c>
      <c r="C51" s="29">
        <v>114752.64087100601</v>
      </c>
      <c r="D51" s="30">
        <v>3.5104722217883702E-2</v>
      </c>
      <c r="E51" s="29">
        <v>113719.21112929699</v>
      </c>
      <c r="F51" s="30">
        <v>3.2188440394831597E-2</v>
      </c>
      <c r="G51" s="29">
        <v>75837.412053291206</v>
      </c>
      <c r="H51" s="30">
        <v>2.9062059504674401E-2</v>
      </c>
      <c r="I51" s="29">
        <v>60973.050560668402</v>
      </c>
      <c r="J51" s="30">
        <v>1.8651825937990401E-2</v>
      </c>
      <c r="K51" s="29">
        <v>14958.482547896599</v>
      </c>
      <c r="L51" s="30">
        <v>8.4123073100367304E-2</v>
      </c>
      <c r="M51" s="29">
        <v>37661.315946602903</v>
      </c>
      <c r="N51" s="30">
        <v>3.5412533558483401E-2</v>
      </c>
      <c r="O51" s="29">
        <v>27561.1043508572</v>
      </c>
      <c r="P51" s="30">
        <v>4.8676614811355497E-2</v>
      </c>
      <c r="Q51" s="29">
        <v>12206.497112653</v>
      </c>
      <c r="R51" s="30">
        <v>6.6963068621656199E-2</v>
      </c>
      <c r="S51" s="29">
        <v>15874.044496382099</v>
      </c>
      <c r="T51" s="30">
        <v>3.8948319826916301E-2</v>
      </c>
      <c r="U51" s="29"/>
      <c r="V51" s="30"/>
      <c r="W51" s="29"/>
      <c r="X51" s="30"/>
      <c r="Y51" s="29"/>
      <c r="Z51" s="30"/>
      <c r="AA51" s="29">
        <v>42406.973637369803</v>
      </c>
      <c r="AB51" s="30">
        <v>1.53212748858791E-2</v>
      </c>
      <c r="AC51" s="29">
        <v>30022.270693706399</v>
      </c>
      <c r="AD51" s="30">
        <v>1.2364833909025199E-2</v>
      </c>
      <c r="AE51" s="29">
        <v>21692.8578497417</v>
      </c>
      <c r="AF51" s="30">
        <v>4.1172605489227597E-2</v>
      </c>
      <c r="AG51" s="29">
        <v>18186.4468592755</v>
      </c>
      <c r="AH51" s="30">
        <v>2.9935470562464199E-2</v>
      </c>
      <c r="AI51" s="29">
        <v>12328.126512200801</v>
      </c>
      <c r="AJ51" s="30">
        <v>2.6433542069636901E-2</v>
      </c>
      <c r="AK51" s="29">
        <v>39445.209341285401</v>
      </c>
      <c r="AL51" s="30">
        <v>8.3766605162511904E-3</v>
      </c>
      <c r="AM51" s="29">
        <v>31291.132649760799</v>
      </c>
      <c r="AN51" s="30">
        <v>1.2010664054720401E-2</v>
      </c>
      <c r="AO51" s="29">
        <v>21008.1376405468</v>
      </c>
      <c r="AP51" s="30">
        <v>5.8318645938030003E-2</v>
      </c>
      <c r="AQ51" s="29">
        <v>18870.994441320901</v>
      </c>
      <c r="AR51" s="30">
        <v>5.8763129930890598E-2</v>
      </c>
      <c r="AS51" s="29">
        <v>8479.8438612159498</v>
      </c>
      <c r="AT51" s="30">
        <v>-5.9652180124977203E-3</v>
      </c>
      <c r="AU51" s="29">
        <v>132638.17558482799</v>
      </c>
      <c r="AV51" s="30">
        <v>3.3860307990477803E-2</v>
      </c>
      <c r="AW51" s="29">
        <v>103376.776428389</v>
      </c>
      <c r="AX51" s="30">
        <v>3.5080661380334499E-2</v>
      </c>
      <c r="AY51" s="29">
        <v>31457.911716450701</v>
      </c>
      <c r="AZ51" s="30">
        <v>3.0525192334128998E-2</v>
      </c>
      <c r="BA51" s="29">
        <v>19211.158903325799</v>
      </c>
      <c r="BB51" s="30">
        <v>3.3457609408261903E-2</v>
      </c>
      <c r="BC51" s="29">
        <v>27820.105997045099</v>
      </c>
      <c r="BD51" s="30">
        <v>4.21743628048468E-2</v>
      </c>
      <c r="BE51" s="29"/>
      <c r="BF51" s="30"/>
    </row>
    <row r="52" spans="1:58" x14ac:dyDescent="0.2">
      <c r="A52" s="28">
        <v>1990</v>
      </c>
      <c r="B52" s="28">
        <v>1</v>
      </c>
      <c r="C52" s="29">
        <v>112647.088561066</v>
      </c>
      <c r="D52" s="30">
        <v>5.9643013282014302E-2</v>
      </c>
      <c r="E52" s="29">
        <v>112350.45408722101</v>
      </c>
      <c r="F52" s="30">
        <v>8.6953785699518393E-2</v>
      </c>
      <c r="G52" s="29">
        <v>75085.424715191999</v>
      </c>
      <c r="H52" s="30">
        <v>2.6732223765582701E-2</v>
      </c>
      <c r="I52" s="29">
        <v>60191.850007370304</v>
      </c>
      <c r="J52" s="30">
        <v>1.9514272060983998E-2</v>
      </c>
      <c r="K52" s="29">
        <v>15025.017775087401</v>
      </c>
      <c r="L52" s="30">
        <v>6.3474093090684497E-2</v>
      </c>
      <c r="M52" s="29">
        <v>37071.449666295601</v>
      </c>
      <c r="N52" s="30">
        <v>0.21395951398353799</v>
      </c>
      <c r="O52" s="29">
        <v>29879.531637045999</v>
      </c>
      <c r="P52" s="30">
        <v>7.0270185884948405E-2</v>
      </c>
      <c r="Q52" s="29">
        <v>14317.2987837455</v>
      </c>
      <c r="R52" s="30">
        <v>3.8003579337028102E-2</v>
      </c>
      <c r="S52" s="29">
        <v>16393.4074390395</v>
      </c>
      <c r="T52" s="30">
        <v>9.2474005562887707E-2</v>
      </c>
      <c r="U52" s="29"/>
      <c r="V52" s="30"/>
      <c r="W52" s="29"/>
      <c r="X52" s="30"/>
      <c r="Y52" s="29"/>
      <c r="Z52" s="30"/>
      <c r="AA52" s="29">
        <v>42821.1896424519</v>
      </c>
      <c r="AB52" s="30">
        <v>3.1705733277678401E-2</v>
      </c>
      <c r="AC52" s="29">
        <v>29864.234464082499</v>
      </c>
      <c r="AD52" s="30">
        <v>5.0837388736145302E-2</v>
      </c>
      <c r="AE52" s="29">
        <v>21712.336378109401</v>
      </c>
      <c r="AF52" s="30">
        <v>0.10827966170933</v>
      </c>
      <c r="AG52" s="29">
        <v>17688.052817273601</v>
      </c>
      <c r="AH52" s="30">
        <v>8.8547114541840194E-2</v>
      </c>
      <c r="AI52" s="29">
        <v>12925.3602773246</v>
      </c>
      <c r="AJ52" s="30">
        <v>-1.6697523825562201E-2</v>
      </c>
      <c r="AK52" s="29">
        <v>40417.476810389497</v>
      </c>
      <c r="AL52" s="30">
        <v>9.4662970462840806E-2</v>
      </c>
      <c r="AM52" s="29">
        <v>32127.754995121999</v>
      </c>
      <c r="AN52" s="30">
        <v>0.11914756012479</v>
      </c>
      <c r="AO52" s="29">
        <v>21677.9559188188</v>
      </c>
      <c r="AP52" s="30">
        <v>9.6533694323390803E-2</v>
      </c>
      <c r="AQ52" s="29">
        <v>18895.923344970801</v>
      </c>
      <c r="AR52" s="30">
        <v>8.4736897030950095E-2</v>
      </c>
      <c r="AS52" s="29">
        <v>8625.3772103273695</v>
      </c>
      <c r="AT52" s="30">
        <v>6.6789323709393099E-3</v>
      </c>
      <c r="AU52" s="29">
        <v>134575.120643284</v>
      </c>
      <c r="AV52" s="30">
        <v>4.3712225624389603E-2</v>
      </c>
      <c r="AW52" s="29">
        <v>105502.346664898</v>
      </c>
      <c r="AX52" s="30">
        <v>4.1370040542978E-2</v>
      </c>
      <c r="AY52" s="29">
        <v>31392.080232333901</v>
      </c>
      <c r="AZ52" s="30">
        <v>5.0484425454735402E-2</v>
      </c>
      <c r="BA52" s="29">
        <v>18688.7075333174</v>
      </c>
      <c r="BB52" s="30">
        <v>8.8471609900671502E-2</v>
      </c>
      <c r="BC52" s="29">
        <v>27962.645381419101</v>
      </c>
      <c r="BD52" s="30">
        <v>6.4138831125857498E-2</v>
      </c>
      <c r="BE52" s="29"/>
      <c r="BF52" s="30"/>
    </row>
    <row r="53" spans="1:58" x14ac:dyDescent="0.2">
      <c r="A53" s="28">
        <v>1990</v>
      </c>
      <c r="B53" s="28">
        <v>2</v>
      </c>
      <c r="C53" s="29">
        <v>114837.05904442399</v>
      </c>
      <c r="D53" s="30">
        <v>3.9481974447627403E-2</v>
      </c>
      <c r="E53" s="29">
        <v>118722.73610904699</v>
      </c>
      <c r="F53" s="30">
        <v>7.4456047904649006E-2</v>
      </c>
      <c r="G53" s="29">
        <v>74906.402225023194</v>
      </c>
      <c r="H53" s="30">
        <v>1.9775098077034599E-2</v>
      </c>
      <c r="I53" s="29">
        <v>59937.163133009402</v>
      </c>
      <c r="J53" s="30">
        <v>1.3648016472259E-2</v>
      </c>
      <c r="K53" s="29">
        <v>15124.494416134399</v>
      </c>
      <c r="L53" s="30">
        <v>5.0403484502416399E-2</v>
      </c>
      <c r="M53" s="29">
        <v>43097.911920899802</v>
      </c>
      <c r="N53" s="30">
        <v>0.17115731732496201</v>
      </c>
      <c r="O53" s="29">
        <v>31016.1706292538</v>
      </c>
      <c r="P53" s="30">
        <v>3.8824360647614402E-2</v>
      </c>
      <c r="Q53" s="29">
        <v>15203.7658901262</v>
      </c>
      <c r="R53" s="30">
        <v>3.9110263724975204E-3</v>
      </c>
      <c r="S53" s="29">
        <v>16760.989569963702</v>
      </c>
      <c r="T53" s="30">
        <v>6.4019829641766904E-2</v>
      </c>
      <c r="U53" s="29"/>
      <c r="V53" s="30"/>
      <c r="W53" s="29"/>
      <c r="X53" s="30"/>
      <c r="Y53" s="29"/>
      <c r="Z53" s="30"/>
      <c r="AA53" s="29">
        <v>44688.559772553497</v>
      </c>
      <c r="AB53" s="30">
        <v>4.4123906765315198E-2</v>
      </c>
      <c r="AC53" s="29">
        <v>31822.8283515843</v>
      </c>
      <c r="AD53" s="30">
        <v>7.2531329965502198E-2</v>
      </c>
      <c r="AE53" s="29">
        <v>21747.123143986501</v>
      </c>
      <c r="AF53" s="30">
        <v>3.08618868328134E-2</v>
      </c>
      <c r="AG53" s="29">
        <v>17860.202908809999</v>
      </c>
      <c r="AH53" s="30">
        <v>1.93963266599173E-2</v>
      </c>
      <c r="AI53" s="29">
        <v>12709.673924652699</v>
      </c>
      <c r="AJ53" s="30">
        <v>-3.3258596537807397E-2</v>
      </c>
      <c r="AK53" s="29">
        <v>45613.945857079503</v>
      </c>
      <c r="AL53" s="30">
        <v>0.121278842287197</v>
      </c>
      <c r="AM53" s="29">
        <v>37062.918900439101</v>
      </c>
      <c r="AN53" s="30">
        <v>0.14407614277415601</v>
      </c>
      <c r="AO53" s="29">
        <v>22388.142350118102</v>
      </c>
      <c r="AP53" s="30">
        <v>4.2925756822904698E-2</v>
      </c>
      <c r="AQ53" s="29">
        <v>19249.0478620256</v>
      </c>
      <c r="AR53" s="30">
        <v>2.6355330790167601E-2</v>
      </c>
      <c r="AS53" s="29">
        <v>8882.77667847058</v>
      </c>
      <c r="AT53" s="30">
        <v>3.1629940117316097E-2</v>
      </c>
      <c r="AU53" s="29">
        <v>135748.961293128</v>
      </c>
      <c r="AV53" s="30">
        <v>2.0040208120134299E-2</v>
      </c>
      <c r="AW53" s="29">
        <v>106729.580614217</v>
      </c>
      <c r="AX53" s="30">
        <v>2.6647009480266399E-2</v>
      </c>
      <c r="AY53" s="29">
        <v>31408.671124102399</v>
      </c>
      <c r="AZ53" s="30">
        <v>1.5101146628804199E-3</v>
      </c>
      <c r="BA53" s="29">
        <v>18860.969384896998</v>
      </c>
      <c r="BB53" s="30">
        <v>1.91316704460931E-2</v>
      </c>
      <c r="BC53" s="29">
        <v>28563.2718003318</v>
      </c>
      <c r="BD53" s="30">
        <v>2.7602369880271201E-2</v>
      </c>
      <c r="BE53" s="29"/>
      <c r="BF53" s="30"/>
    </row>
    <row r="54" spans="1:58" x14ac:dyDescent="0.2">
      <c r="A54" s="28">
        <v>1990</v>
      </c>
      <c r="B54" s="28">
        <v>3</v>
      </c>
      <c r="C54" s="29">
        <v>113855.431627825</v>
      </c>
      <c r="D54" s="30">
        <v>3.2301057388679499E-2</v>
      </c>
      <c r="E54" s="29">
        <v>113123.058895683</v>
      </c>
      <c r="F54" s="30">
        <v>3.10584870325878E-2</v>
      </c>
      <c r="G54" s="29">
        <v>75116.072708092397</v>
      </c>
      <c r="H54" s="30">
        <v>1.6331862600544401E-2</v>
      </c>
      <c r="I54" s="29">
        <v>59973.451904634101</v>
      </c>
      <c r="J54" s="30">
        <v>1.25286933996667E-2</v>
      </c>
      <c r="K54" s="29">
        <v>15326.8431007625</v>
      </c>
      <c r="L54" s="30">
        <v>3.4808172460385901E-2</v>
      </c>
      <c r="M54" s="29">
        <v>37755.834442681997</v>
      </c>
      <c r="N54" s="30">
        <v>5.80882366094067E-2</v>
      </c>
      <c r="O54" s="29">
        <v>30815.974611929301</v>
      </c>
      <c r="P54" s="30">
        <v>4.8150664029137098E-2</v>
      </c>
      <c r="Q54" s="29">
        <v>15806.7730191182</v>
      </c>
      <c r="R54" s="30">
        <v>1.9066202857343E-4</v>
      </c>
      <c r="S54" s="29">
        <v>16127.6362539286</v>
      </c>
      <c r="T54" s="30">
        <v>8.6616563328026294E-2</v>
      </c>
      <c r="U54" s="29"/>
      <c r="V54" s="30"/>
      <c r="W54" s="29"/>
      <c r="X54" s="30"/>
      <c r="Y54" s="29"/>
      <c r="Z54" s="30"/>
      <c r="AA54" s="29">
        <v>41522.768767068999</v>
      </c>
      <c r="AB54" s="30">
        <v>-1.16882247989591E-3</v>
      </c>
      <c r="AC54" s="29">
        <v>28320.2286729402</v>
      </c>
      <c r="AD54" s="30">
        <v>2.41335713501281E-2</v>
      </c>
      <c r="AE54" s="29">
        <v>20331.531931986701</v>
      </c>
      <c r="AF54" s="30">
        <v>5.6342240862394102E-2</v>
      </c>
      <c r="AG54" s="29">
        <v>16658.205979872098</v>
      </c>
      <c r="AH54" s="30">
        <v>6.3094133774709099E-2</v>
      </c>
      <c r="AI54" s="29">
        <v>13291.6508049274</v>
      </c>
      <c r="AJ54" s="30">
        <v>-5.55886200226543E-2</v>
      </c>
      <c r="AK54" s="29">
        <v>38839.292420504098</v>
      </c>
      <c r="AL54" s="30">
        <v>-4.7357088830906101E-3</v>
      </c>
      <c r="AM54" s="29">
        <v>30199.779182291401</v>
      </c>
      <c r="AN54" s="30">
        <v>-1.03220499203719E-2</v>
      </c>
      <c r="AO54" s="29">
        <v>20185.759877908298</v>
      </c>
      <c r="AP54" s="30">
        <v>4.3084750692136402E-2</v>
      </c>
      <c r="AQ54" s="29">
        <v>17935.295152231902</v>
      </c>
      <c r="AR54" s="30">
        <v>5.1622637207341601E-2</v>
      </c>
      <c r="AS54" s="29">
        <v>9001.4587253691498</v>
      </c>
      <c r="AT54" s="30">
        <v>1.5016482823353701E-2</v>
      </c>
      <c r="AU54" s="29">
        <v>134669.93257244601</v>
      </c>
      <c r="AV54" s="30">
        <v>2.4213049148947799E-2</v>
      </c>
      <c r="AW54" s="29">
        <v>106676.94367332599</v>
      </c>
      <c r="AX54" s="30">
        <v>2.7458766327095301E-2</v>
      </c>
      <c r="AY54" s="29">
        <v>30492.253931417999</v>
      </c>
      <c r="AZ54" s="30">
        <v>1.5189706315860399E-2</v>
      </c>
      <c r="BA54" s="29">
        <v>17615.334938607699</v>
      </c>
      <c r="BB54" s="30">
        <v>6.065219655522E-2</v>
      </c>
      <c r="BC54" s="29">
        <v>27202.030415270401</v>
      </c>
      <c r="BD54" s="30">
        <v>4.1697932610056797E-2</v>
      </c>
      <c r="BE54" s="29"/>
      <c r="BF54" s="30"/>
    </row>
    <row r="55" spans="1:58" x14ac:dyDescent="0.2">
      <c r="A55" s="28">
        <v>1990</v>
      </c>
      <c r="B55" s="28">
        <v>4</v>
      </c>
      <c r="C55" s="29">
        <v>116723.33799372301</v>
      </c>
      <c r="D55" s="30">
        <v>1.71734359031652E-2</v>
      </c>
      <c r="E55" s="29">
        <v>116554.795409175</v>
      </c>
      <c r="F55" s="30">
        <v>2.4934962630491098E-2</v>
      </c>
      <c r="G55" s="29">
        <v>77417.883490140506</v>
      </c>
      <c r="H55" s="30">
        <v>2.0840260684774198E-2</v>
      </c>
      <c r="I55" s="29">
        <v>62031.2621024092</v>
      </c>
      <c r="J55" s="30">
        <v>1.7355397704563499E-2</v>
      </c>
      <c r="K55" s="29">
        <v>15528.742820621599</v>
      </c>
      <c r="L55" s="30">
        <v>3.8122869141235902E-2</v>
      </c>
      <c r="M55" s="29">
        <v>38880.812085116799</v>
      </c>
      <c r="N55" s="30">
        <v>3.2380603488281902E-2</v>
      </c>
      <c r="O55" s="29">
        <v>28389.065331295798</v>
      </c>
      <c r="P55" s="30">
        <v>3.0040921796835401E-2</v>
      </c>
      <c r="Q55" s="29">
        <v>12347.414415479599</v>
      </c>
      <c r="R55" s="30">
        <v>1.15444505926712E-2</v>
      </c>
      <c r="S55" s="29">
        <v>16516.208119723298</v>
      </c>
      <c r="T55" s="30">
        <v>4.0453686739224198E-2</v>
      </c>
      <c r="U55" s="29"/>
      <c r="V55" s="30"/>
      <c r="W55" s="29"/>
      <c r="X55" s="30"/>
      <c r="Y55" s="29"/>
      <c r="Z55" s="30"/>
      <c r="AA55" s="29">
        <v>42614.606121223303</v>
      </c>
      <c r="AB55" s="30">
        <v>4.89618725516672E-3</v>
      </c>
      <c r="AC55" s="29">
        <v>30860.8996392556</v>
      </c>
      <c r="AD55" s="30">
        <v>2.7933561525209601E-2</v>
      </c>
      <c r="AE55" s="29">
        <v>22222.5599797916</v>
      </c>
      <c r="AF55" s="30">
        <v>2.44182732270222E-2</v>
      </c>
      <c r="AG55" s="29">
        <v>18430.2195800355</v>
      </c>
      <c r="AH55" s="30">
        <v>1.3404087265990201E-2</v>
      </c>
      <c r="AI55" s="29">
        <v>11508.311890679401</v>
      </c>
      <c r="AJ55" s="30">
        <v>-6.6499530217352595E-2</v>
      </c>
      <c r="AK55" s="29">
        <v>40338.5034012139</v>
      </c>
      <c r="AL55" s="30">
        <v>2.2646452505791899E-2</v>
      </c>
      <c r="AM55" s="29">
        <v>32109.839354648499</v>
      </c>
      <c r="AN55" s="30">
        <v>2.61641760958717E-2</v>
      </c>
      <c r="AO55" s="29">
        <v>20581.341887613002</v>
      </c>
      <c r="AP55" s="30">
        <v>-2.0315734799361201E-2</v>
      </c>
      <c r="AQ55" s="29">
        <v>18236.383554466898</v>
      </c>
      <c r="AR55" s="30">
        <v>-3.3628905399089401E-2</v>
      </c>
      <c r="AS55" s="29">
        <v>8561.0394175264191</v>
      </c>
      <c r="AT55" s="30">
        <v>9.5751239809767092E-3</v>
      </c>
      <c r="AU55" s="29">
        <v>134524.005201105</v>
      </c>
      <c r="AV55" s="30">
        <v>1.4217849483843401E-2</v>
      </c>
      <c r="AW55" s="29">
        <v>105818.587615785</v>
      </c>
      <c r="AX55" s="30">
        <v>2.3620500384708299E-2</v>
      </c>
      <c r="AY55" s="29">
        <v>31081.592086606499</v>
      </c>
      <c r="AZ55" s="30">
        <v>-1.19626386276442E-2</v>
      </c>
      <c r="BA55" s="29">
        <v>19444.678932285198</v>
      </c>
      <c r="BB55" s="30">
        <v>1.2155436854933499E-2</v>
      </c>
      <c r="BC55" s="29">
        <v>27178.717060187901</v>
      </c>
      <c r="BD55" s="30">
        <v>-2.3054870348996601E-2</v>
      </c>
      <c r="BE55" s="29"/>
      <c r="BF55" s="30"/>
    </row>
    <row r="56" spans="1:58" x14ac:dyDescent="0.2">
      <c r="A56" s="28">
        <v>1991</v>
      </c>
      <c r="B56" s="28">
        <v>1</v>
      </c>
      <c r="C56" s="29">
        <v>112414.73734654499</v>
      </c>
      <c r="D56" s="30">
        <v>-2.06264731284767E-3</v>
      </c>
      <c r="E56" s="29">
        <v>113095.412279115</v>
      </c>
      <c r="F56" s="30">
        <v>6.6306647173450797E-3</v>
      </c>
      <c r="G56" s="29">
        <v>76448.940584858501</v>
      </c>
      <c r="H56" s="30">
        <v>1.8159527962164499E-2</v>
      </c>
      <c r="I56" s="29">
        <v>61056.061174199502</v>
      </c>
      <c r="J56" s="30">
        <v>1.43576109842682E-2</v>
      </c>
      <c r="K56" s="29">
        <v>15576.6993447143</v>
      </c>
      <c r="L56" s="30">
        <v>3.6717531911453702E-2</v>
      </c>
      <c r="M56" s="29">
        <v>36482.175885445104</v>
      </c>
      <c r="N56" s="30">
        <v>-1.5895622808249899E-2</v>
      </c>
      <c r="O56" s="29">
        <v>29467.719421623598</v>
      </c>
      <c r="P56" s="30">
        <v>-1.378241869467E-2</v>
      </c>
      <c r="Q56" s="29">
        <v>13726.2395777167</v>
      </c>
      <c r="R56" s="30">
        <v>-4.12828715078443E-2</v>
      </c>
      <c r="S56" s="29">
        <v>16481.020847367399</v>
      </c>
      <c r="T56" s="30">
        <v>5.3444293783144704E-3</v>
      </c>
      <c r="U56" s="29"/>
      <c r="V56" s="30"/>
      <c r="W56" s="29"/>
      <c r="X56" s="30"/>
      <c r="Y56" s="29"/>
      <c r="Z56" s="30"/>
      <c r="AA56" s="29">
        <v>43216.625039881597</v>
      </c>
      <c r="AB56" s="30">
        <v>9.2345729002745198E-3</v>
      </c>
      <c r="AC56" s="29">
        <v>30248.6943619513</v>
      </c>
      <c r="AD56" s="30">
        <v>1.2873589588617E-2</v>
      </c>
      <c r="AE56" s="29">
        <v>20707.506470195502</v>
      </c>
      <c r="AF56" s="30">
        <v>-4.6279216129267803E-2</v>
      </c>
      <c r="AG56" s="29">
        <v>17257.518508562702</v>
      </c>
      <c r="AH56" s="30">
        <v>-2.4340401578320299E-2</v>
      </c>
      <c r="AI56" s="29">
        <v>12901.946880211</v>
      </c>
      <c r="AJ56" s="30">
        <v>-1.8114309087842199E-3</v>
      </c>
      <c r="AK56" s="29">
        <v>41608.217691378901</v>
      </c>
      <c r="AL56" s="30">
        <v>2.9461039504657099E-2</v>
      </c>
      <c r="AM56" s="29">
        <v>33343.574895407801</v>
      </c>
      <c r="AN56" s="30">
        <v>3.7843288473482103E-2</v>
      </c>
      <c r="AO56" s="29">
        <v>21568.920756875999</v>
      </c>
      <c r="AP56" s="30">
        <v>-5.0297713654908803E-3</v>
      </c>
      <c r="AQ56" s="29">
        <v>18213.2503271688</v>
      </c>
      <c r="AR56" s="30">
        <v>-3.61280581710079E-2</v>
      </c>
      <c r="AS56" s="29">
        <v>8606.7063243019802</v>
      </c>
      <c r="AT56" s="30">
        <v>-2.1646457389752302E-3</v>
      </c>
      <c r="AU56" s="29">
        <v>134718.490989841</v>
      </c>
      <c r="AV56" s="30">
        <v>1.06535551201015E-3</v>
      </c>
      <c r="AW56" s="29">
        <v>106272.549646912</v>
      </c>
      <c r="AX56" s="30">
        <v>7.3003398157609504E-3</v>
      </c>
      <c r="AY56" s="29">
        <v>30870.177846811101</v>
      </c>
      <c r="AZ56" s="30">
        <v>-1.6625288342158599E-2</v>
      </c>
      <c r="BA56" s="29">
        <v>18233.393742157601</v>
      </c>
      <c r="BB56" s="30">
        <v>-2.4363043316297399E-2</v>
      </c>
      <c r="BC56" s="29">
        <v>27190.201736438001</v>
      </c>
      <c r="BD56" s="30">
        <v>-2.7624126202820998E-2</v>
      </c>
      <c r="BE56" s="29"/>
      <c r="BF56" s="30"/>
    </row>
    <row r="57" spans="1:58" x14ac:dyDescent="0.2">
      <c r="A57" s="28">
        <v>1991</v>
      </c>
      <c r="B57" s="28">
        <v>2</v>
      </c>
      <c r="C57" s="29">
        <v>113345.493660199</v>
      </c>
      <c r="D57" s="30">
        <v>-1.29885369464884E-2</v>
      </c>
      <c r="E57" s="29">
        <v>115199.876090092</v>
      </c>
      <c r="F57" s="30">
        <v>-2.9673002277500402E-2</v>
      </c>
      <c r="G57" s="29">
        <v>76536.452185146001</v>
      </c>
      <c r="H57" s="30">
        <v>2.1761156746336299E-2</v>
      </c>
      <c r="I57" s="29">
        <v>61102.340514793897</v>
      </c>
      <c r="J57" s="30">
        <v>1.94399821559601E-2</v>
      </c>
      <c r="K57" s="29">
        <v>15623.324986604701</v>
      </c>
      <c r="L57" s="30">
        <v>3.2981636063028799E-2</v>
      </c>
      <c r="M57" s="29">
        <v>38383.926405811901</v>
      </c>
      <c r="N57" s="30">
        <v>-0.109378512901967</v>
      </c>
      <c r="O57" s="29">
        <v>30978.109150571901</v>
      </c>
      <c r="P57" s="30">
        <v>-1.2271495129678701E-3</v>
      </c>
      <c r="Q57" s="29">
        <v>14633.416147669501</v>
      </c>
      <c r="R57" s="30">
        <v>-3.7513715126796597E-2</v>
      </c>
      <c r="S57" s="29">
        <v>17164.312123889398</v>
      </c>
      <c r="T57" s="30">
        <v>2.4063170747894699E-2</v>
      </c>
      <c r="U57" s="29"/>
      <c r="V57" s="30"/>
      <c r="W57" s="29"/>
      <c r="X57" s="30"/>
      <c r="Y57" s="29"/>
      <c r="Z57" s="30"/>
      <c r="AA57" s="29">
        <v>41833.895535248499</v>
      </c>
      <c r="AB57" s="30">
        <v>-6.3879083412715101E-2</v>
      </c>
      <c r="AC57" s="29">
        <v>28977.605356808701</v>
      </c>
      <c r="AD57" s="30">
        <v>-8.9408237487287906E-2</v>
      </c>
      <c r="AE57" s="29">
        <v>21171.390353296902</v>
      </c>
      <c r="AF57" s="30">
        <v>-2.6473974827735901E-2</v>
      </c>
      <c r="AG57" s="29">
        <v>17702.255183700901</v>
      </c>
      <c r="AH57" s="30">
        <v>-8.8435571485659895E-3</v>
      </c>
      <c r="AI57" s="29">
        <v>12826.572135865301</v>
      </c>
      <c r="AJ57" s="30">
        <v>9.1975775228874106E-3</v>
      </c>
      <c r="AK57" s="29">
        <v>41316.7747692626</v>
      </c>
      <c r="AL57" s="30">
        <v>-9.42073965992999E-2</v>
      </c>
      <c r="AM57" s="29">
        <v>32963.6190932885</v>
      </c>
      <c r="AN57" s="30">
        <v>-0.110603803714501</v>
      </c>
      <c r="AO57" s="29">
        <v>21738.3634886576</v>
      </c>
      <c r="AP57" s="30">
        <v>-2.9023348668186899E-2</v>
      </c>
      <c r="AQ57" s="29">
        <v>18963.756715112198</v>
      </c>
      <c r="AR57" s="30">
        <v>-1.48210523948156E-2</v>
      </c>
      <c r="AS57" s="29">
        <v>8693.4019520466809</v>
      </c>
      <c r="AT57" s="30">
        <v>-2.1319316389310099E-2</v>
      </c>
      <c r="AU57" s="29">
        <v>136990.97763265701</v>
      </c>
      <c r="AV57" s="30">
        <v>9.1493616429718597E-3</v>
      </c>
      <c r="AW57" s="29">
        <v>108163.87892522301</v>
      </c>
      <c r="AX57" s="30">
        <v>1.34386203220467E-2</v>
      </c>
      <c r="AY57" s="29">
        <v>31306.3366529864</v>
      </c>
      <c r="AZ57" s="30">
        <v>-3.2581598473792098E-3</v>
      </c>
      <c r="BA57" s="29">
        <v>18682.3177408554</v>
      </c>
      <c r="BB57" s="30">
        <v>-9.4720287380673004E-3</v>
      </c>
      <c r="BC57" s="29">
        <v>28091.008377949802</v>
      </c>
      <c r="BD57" s="30">
        <v>-1.6533940008109E-2</v>
      </c>
      <c r="BE57" s="29"/>
      <c r="BF57" s="30"/>
    </row>
    <row r="58" spans="1:58" x14ac:dyDescent="0.2">
      <c r="A58" s="28">
        <v>1991</v>
      </c>
      <c r="B58" s="28">
        <v>3</v>
      </c>
      <c r="C58" s="29">
        <v>112345.783963475</v>
      </c>
      <c r="D58" s="30">
        <v>-1.3259338116469699E-2</v>
      </c>
      <c r="E58" s="29">
        <v>110912.96938377401</v>
      </c>
      <c r="F58" s="30">
        <v>-1.9537038102436299E-2</v>
      </c>
      <c r="G58" s="29">
        <v>76750.079429847407</v>
      </c>
      <c r="H58" s="30">
        <v>2.17530904218717E-2</v>
      </c>
      <c r="I58" s="29">
        <v>61169.194568978703</v>
      </c>
      <c r="J58" s="30">
        <v>1.99378662786656E-2</v>
      </c>
      <c r="K58" s="29">
        <v>15793.3877171643</v>
      </c>
      <c r="L58" s="30">
        <v>3.04397072074549E-2</v>
      </c>
      <c r="M58" s="29">
        <v>34150.983896095597</v>
      </c>
      <c r="N58" s="30">
        <v>-9.5477973134432306E-2</v>
      </c>
      <c r="O58" s="29">
        <v>30074.782447861799</v>
      </c>
      <c r="P58" s="30">
        <v>-2.4052205825111701E-2</v>
      </c>
      <c r="Q58" s="29">
        <v>15127.8410163683</v>
      </c>
      <c r="R58" s="30">
        <v>-4.2951967610892698E-2</v>
      </c>
      <c r="S58" s="29">
        <v>15933.4326139038</v>
      </c>
      <c r="T58" s="30">
        <v>-1.2041667915068799E-2</v>
      </c>
      <c r="U58" s="29"/>
      <c r="V58" s="30"/>
      <c r="W58" s="29"/>
      <c r="X58" s="30"/>
      <c r="Y58" s="29"/>
      <c r="Z58" s="30"/>
      <c r="AA58" s="29">
        <v>41422.521357427198</v>
      </c>
      <c r="AB58" s="30">
        <v>-2.4142756520944002E-3</v>
      </c>
      <c r="AC58" s="29">
        <v>27839.6177257255</v>
      </c>
      <c r="AD58" s="30">
        <v>-1.69705885063678E-2</v>
      </c>
      <c r="AE58" s="29">
        <v>19895.235590487799</v>
      </c>
      <c r="AF58" s="30">
        <v>-2.1459098259709701E-2</v>
      </c>
      <c r="AG58" s="29">
        <v>16518.493383093799</v>
      </c>
      <c r="AH58" s="30">
        <v>-8.3870134003123393E-3</v>
      </c>
      <c r="AI58" s="29">
        <v>13649.546820384099</v>
      </c>
      <c r="AJ58" s="30">
        <v>2.6926378123326E-2</v>
      </c>
      <c r="AK58" s="29">
        <v>38028.1879205976</v>
      </c>
      <c r="AL58" s="30">
        <v>-2.0883606506648701E-2</v>
      </c>
      <c r="AM58" s="29">
        <v>29480.6596930626</v>
      </c>
      <c r="AN58" s="30">
        <v>-2.3812077727059299E-2</v>
      </c>
      <c r="AO58" s="29">
        <v>19786.2768512414</v>
      </c>
      <c r="AP58" s="30">
        <v>-1.9790338787497901E-2</v>
      </c>
      <c r="AQ58" s="29">
        <v>17753.5543512646</v>
      </c>
      <c r="AR58" s="30">
        <v>-1.01331368915172E-2</v>
      </c>
      <c r="AS58" s="29">
        <v>8864.0892808293502</v>
      </c>
      <c r="AT58" s="30">
        <v>-1.52607981362672E-2</v>
      </c>
      <c r="AU58" s="29">
        <v>135378.977784207</v>
      </c>
      <c r="AV58" s="30">
        <v>5.2650595290109096E-3</v>
      </c>
      <c r="AW58" s="29">
        <v>107279.582427117</v>
      </c>
      <c r="AX58" s="30">
        <v>5.6491940342469097E-3</v>
      </c>
      <c r="AY58" s="29">
        <v>30605.0022715675</v>
      </c>
      <c r="AZ58" s="30">
        <v>3.6976059691440398E-3</v>
      </c>
      <c r="BA58" s="29">
        <v>17439.4107927388</v>
      </c>
      <c r="BB58" s="30">
        <v>-9.9869884099330602E-3</v>
      </c>
      <c r="BC58" s="29">
        <v>26892.908542167199</v>
      </c>
      <c r="BD58" s="30">
        <v>-1.13639264563719E-2</v>
      </c>
      <c r="BE58" s="29"/>
      <c r="BF58" s="30"/>
    </row>
    <row r="59" spans="1:58" x14ac:dyDescent="0.2">
      <c r="A59" s="28">
        <v>1991</v>
      </c>
      <c r="B59" s="28">
        <v>4</v>
      </c>
      <c r="C59" s="29">
        <v>115761.886153817</v>
      </c>
      <c r="D59" s="30">
        <v>-8.2370146059194092E-3</v>
      </c>
      <c r="E59" s="29">
        <v>114331.08131941</v>
      </c>
      <c r="F59" s="30">
        <v>-1.90787009831586E-2</v>
      </c>
      <c r="G59" s="29">
        <v>78961.811607969707</v>
      </c>
      <c r="H59" s="30">
        <v>1.9942783866286201E-2</v>
      </c>
      <c r="I59" s="29">
        <v>63214.116408620401</v>
      </c>
      <c r="J59" s="30">
        <v>1.9068680309266801E-2</v>
      </c>
      <c r="K59" s="29">
        <v>15904.379591070199</v>
      </c>
      <c r="L59" s="30">
        <v>2.4189773427750701E-2</v>
      </c>
      <c r="M59" s="29">
        <v>35344.098481002999</v>
      </c>
      <c r="N59" s="30">
        <v>-9.0962956132997194E-2</v>
      </c>
      <c r="O59" s="29">
        <v>27362.1022132814</v>
      </c>
      <c r="P59" s="30">
        <v>-3.61746012427627E-2</v>
      </c>
      <c r="Q59" s="29">
        <v>12251.3169328199</v>
      </c>
      <c r="R59" s="30">
        <v>-7.7828020852078704E-3</v>
      </c>
      <c r="S59" s="29">
        <v>15695.1489161671</v>
      </c>
      <c r="T59" s="30">
        <v>-4.9712330917872999E-2</v>
      </c>
      <c r="U59" s="29"/>
      <c r="V59" s="30"/>
      <c r="W59" s="29"/>
      <c r="X59" s="30"/>
      <c r="Y59" s="29"/>
      <c r="Z59" s="30"/>
      <c r="AA59" s="29">
        <v>42442.407611692797</v>
      </c>
      <c r="AB59" s="30">
        <v>-4.0408330665013797E-3</v>
      </c>
      <c r="AC59" s="29">
        <v>30052.557259581899</v>
      </c>
      <c r="AD59" s="30">
        <v>-2.6193091877510399E-2</v>
      </c>
      <c r="AE59" s="29">
        <v>22161.7662632703</v>
      </c>
      <c r="AF59" s="30">
        <v>-2.7356756636765E-3</v>
      </c>
      <c r="AG59" s="29">
        <v>18634.741970293901</v>
      </c>
      <c r="AH59" s="30">
        <v>1.10971217336935E-2</v>
      </c>
      <c r="AI59" s="29">
        <v>12286.108846962199</v>
      </c>
      <c r="AJ59" s="30">
        <v>6.7585668834083207E-2</v>
      </c>
      <c r="AK59" s="29">
        <v>38995.3460797265</v>
      </c>
      <c r="AL59" s="30">
        <v>-3.3297153048245501E-2</v>
      </c>
      <c r="AM59" s="29">
        <v>30611.691992505799</v>
      </c>
      <c r="AN59" s="30">
        <v>-4.6656956006406701E-2</v>
      </c>
      <c r="AO59" s="29">
        <v>20539.2319233895</v>
      </c>
      <c r="AP59" s="30">
        <v>-2.0460261752310899E-3</v>
      </c>
      <c r="AQ59" s="29">
        <v>18410.737644502398</v>
      </c>
      <c r="AR59" s="30">
        <v>9.5607821317582609E-3</v>
      </c>
      <c r="AS59" s="29">
        <v>8706.7590381440205</v>
      </c>
      <c r="AT59" s="30">
        <v>1.7021253321095799E-2</v>
      </c>
      <c r="AU59" s="29">
        <v>135644.24879736599</v>
      </c>
      <c r="AV59" s="30">
        <v>8.3274624078157906E-3</v>
      </c>
      <c r="AW59" s="29">
        <v>106081.468967005</v>
      </c>
      <c r="AX59" s="30">
        <v>2.48426441084426E-3</v>
      </c>
      <c r="AY59" s="29">
        <v>31871.946973157799</v>
      </c>
      <c r="AZ59" s="30">
        <v>2.5428391324002299E-2</v>
      </c>
      <c r="BA59" s="29">
        <v>19593.186661203599</v>
      </c>
      <c r="BB59" s="30">
        <v>7.6374482415217902E-3</v>
      </c>
      <c r="BC59" s="29">
        <v>27490.542103556501</v>
      </c>
      <c r="BD59" s="30">
        <v>1.14731332858025E-2</v>
      </c>
      <c r="BE59" s="29"/>
      <c r="BF59" s="30"/>
    </row>
    <row r="60" spans="1:58" x14ac:dyDescent="0.2">
      <c r="A60" s="28">
        <v>1992</v>
      </c>
      <c r="B60" s="28">
        <v>1</v>
      </c>
      <c r="C60" s="29">
        <v>112514.88330763701</v>
      </c>
      <c r="D60" s="30">
        <v>8.9086149606298903E-4</v>
      </c>
      <c r="E60" s="29">
        <v>110394.502209584</v>
      </c>
      <c r="F60" s="30">
        <v>-2.3881694359675801E-2</v>
      </c>
      <c r="G60" s="29">
        <v>77560.486335501293</v>
      </c>
      <c r="H60" s="30">
        <v>1.4539714247694201E-2</v>
      </c>
      <c r="I60" s="29">
        <v>61859.320174400898</v>
      </c>
      <c r="J60" s="30">
        <v>1.31560894160792E-2</v>
      </c>
      <c r="K60" s="29">
        <v>15905.0174676772</v>
      </c>
      <c r="L60" s="30">
        <v>2.1077515569709399E-2</v>
      </c>
      <c r="M60" s="29">
        <v>32880.845879729997</v>
      </c>
      <c r="N60" s="30">
        <v>-9.8714781076199395E-2</v>
      </c>
      <c r="O60" s="29">
        <v>27473.5427916964</v>
      </c>
      <c r="P60" s="30">
        <v>-6.7673259725141904E-2</v>
      </c>
      <c r="Q60" s="29">
        <v>13315.1527765749</v>
      </c>
      <c r="R60" s="30">
        <v>-2.99489746491922E-2</v>
      </c>
      <c r="S60" s="29">
        <v>14957.329541102101</v>
      </c>
      <c r="T60" s="30">
        <v>-9.2451269880454295E-2</v>
      </c>
      <c r="U60" s="29"/>
      <c r="V60" s="30"/>
      <c r="W60" s="29"/>
      <c r="X60" s="30"/>
      <c r="Y60" s="29"/>
      <c r="Z60" s="30"/>
      <c r="AA60" s="29">
        <v>44031.209307126803</v>
      </c>
      <c r="AB60" s="30">
        <v>1.88488635216995E-2</v>
      </c>
      <c r="AC60" s="29">
        <v>30511.118426804002</v>
      </c>
      <c r="AD60" s="30">
        <v>8.6755501481332598E-3</v>
      </c>
      <c r="AE60" s="29">
        <v>21732.583971845899</v>
      </c>
      <c r="AF60" s="30">
        <v>4.9502701019356297E-2</v>
      </c>
      <c r="AG60" s="29">
        <v>18279.854575253001</v>
      </c>
      <c r="AH60" s="30">
        <v>5.9240038837745902E-2</v>
      </c>
      <c r="AI60" s="29">
        <v>13487.000702577099</v>
      </c>
      <c r="AJ60" s="30">
        <v>4.53461657994738E-2</v>
      </c>
      <c r="AK60" s="29">
        <v>39873.022043658399</v>
      </c>
      <c r="AL60" s="30">
        <v>-4.17031957626973E-2</v>
      </c>
      <c r="AM60" s="29">
        <v>31215.414538986599</v>
      </c>
      <c r="AN60" s="30">
        <v>-6.3825200600018103E-2</v>
      </c>
      <c r="AO60" s="29">
        <v>20426.787848448301</v>
      </c>
      <c r="AP60" s="30">
        <v>-5.29527147557248E-2</v>
      </c>
      <c r="AQ60" s="29">
        <v>18040.168413527201</v>
      </c>
      <c r="AR60" s="30">
        <v>-9.50307663555283E-3</v>
      </c>
      <c r="AS60" s="29">
        <v>8971.5678895603396</v>
      </c>
      <c r="AT60" s="30">
        <v>4.2392705352119101E-2</v>
      </c>
      <c r="AU60" s="29">
        <v>135167.22935998501</v>
      </c>
      <c r="AV60" s="30">
        <v>3.3309337630438298E-3</v>
      </c>
      <c r="AW60" s="29">
        <v>104971.96580636001</v>
      </c>
      <c r="AX60" s="30">
        <v>-1.22381917519925E-2</v>
      </c>
      <c r="AY60" s="29">
        <v>32406.927177633701</v>
      </c>
      <c r="AZ60" s="30">
        <v>4.9781032634423003E-2</v>
      </c>
      <c r="BA60" s="29">
        <v>19182.986155416002</v>
      </c>
      <c r="BB60" s="30">
        <v>5.20798501193371E-2</v>
      </c>
      <c r="BC60" s="29">
        <v>27310.522997841799</v>
      </c>
      <c r="BD60" s="30">
        <v>4.4251698670752003E-3</v>
      </c>
      <c r="BE60" s="29"/>
      <c r="BF60" s="30"/>
    </row>
    <row r="61" spans="1:58" x14ac:dyDescent="0.2">
      <c r="A61" s="28">
        <v>1992</v>
      </c>
      <c r="B61" s="28">
        <v>2</v>
      </c>
      <c r="C61" s="29">
        <v>113842.780853301</v>
      </c>
      <c r="D61" s="30">
        <v>4.3873574241266597E-3</v>
      </c>
      <c r="E61" s="29">
        <v>113676.26350072899</v>
      </c>
      <c r="F61" s="30">
        <v>-1.32258179528885E-2</v>
      </c>
      <c r="G61" s="29">
        <v>77217.419311990205</v>
      </c>
      <c r="H61" s="30">
        <v>8.8972915179927892E-3</v>
      </c>
      <c r="I61" s="29">
        <v>61553.667703957399</v>
      </c>
      <c r="J61" s="30">
        <v>7.3864140941408696E-3</v>
      </c>
      <c r="K61" s="29">
        <v>15873.2840368949</v>
      </c>
      <c r="L61" s="30">
        <v>1.5999094335205102E-2</v>
      </c>
      <c r="M61" s="29">
        <v>36327.810233288001</v>
      </c>
      <c r="N61" s="30">
        <v>-5.35671142859558E-2</v>
      </c>
      <c r="O61" s="29">
        <v>28335.4754842437</v>
      </c>
      <c r="P61" s="30">
        <v>-8.5306487025514494E-2</v>
      </c>
      <c r="Q61" s="29">
        <v>14340.867679638501</v>
      </c>
      <c r="R61" s="30">
        <v>-1.9991809504956999E-2</v>
      </c>
      <c r="S61" s="29">
        <v>14948.653709501799</v>
      </c>
      <c r="T61" s="30">
        <v>-0.12908518549391201</v>
      </c>
      <c r="U61" s="29"/>
      <c r="V61" s="30"/>
      <c r="W61" s="29"/>
      <c r="X61" s="30"/>
      <c r="Y61" s="29"/>
      <c r="Z61" s="30"/>
      <c r="AA61" s="29">
        <v>44477.156089042903</v>
      </c>
      <c r="AB61" s="30">
        <v>6.3184662101746003E-2</v>
      </c>
      <c r="AC61" s="29">
        <v>31394.1672017007</v>
      </c>
      <c r="AD61" s="30">
        <v>8.3394118152146895E-2</v>
      </c>
      <c r="AE61" s="29">
        <v>22373.549310569299</v>
      </c>
      <c r="AF61" s="30">
        <v>5.6782239485050602E-2</v>
      </c>
      <c r="AG61" s="29">
        <v>18737.532327962701</v>
      </c>
      <c r="AH61" s="30">
        <v>5.8482782759509799E-2</v>
      </c>
      <c r="AI61" s="29">
        <v>13001.320284449101</v>
      </c>
      <c r="AJ61" s="30">
        <v>1.3623916564204299E-2</v>
      </c>
      <c r="AK61" s="29">
        <v>42088.264114385398</v>
      </c>
      <c r="AL61" s="30">
        <v>1.8672545217559601E-2</v>
      </c>
      <c r="AM61" s="29">
        <v>33152.397673447798</v>
      </c>
      <c r="AN61" s="30">
        <v>5.7268766401248304E-3</v>
      </c>
      <c r="AO61" s="29">
        <v>20635.673160216102</v>
      </c>
      <c r="AP61" s="30">
        <v>-5.0725544681266201E-2</v>
      </c>
      <c r="AQ61" s="29">
        <v>18091.890604138101</v>
      </c>
      <c r="AR61" s="30">
        <v>-4.5975390006943999E-2</v>
      </c>
      <c r="AS61" s="29">
        <v>9278.0096192091096</v>
      </c>
      <c r="AT61" s="30">
        <v>6.72472836741205E-2</v>
      </c>
      <c r="AU61" s="29">
        <v>135909.04304572099</v>
      </c>
      <c r="AV61" s="30">
        <v>-7.8978528778520501E-3</v>
      </c>
      <c r="AW61" s="29">
        <v>105659.840832637</v>
      </c>
      <c r="AX61" s="30">
        <v>-2.31504095218029E-2</v>
      </c>
      <c r="AY61" s="29">
        <v>32487.8524703119</v>
      </c>
      <c r="AZ61" s="30">
        <v>3.77404686604517E-2</v>
      </c>
      <c r="BA61" s="29">
        <v>19621.806874028902</v>
      </c>
      <c r="BB61" s="30">
        <v>5.0287611323457999E-2</v>
      </c>
      <c r="BC61" s="29">
        <v>27627.9021755268</v>
      </c>
      <c r="BD61" s="30">
        <v>-1.6485923046694401E-2</v>
      </c>
      <c r="BE61" s="29"/>
      <c r="BF61" s="30"/>
    </row>
    <row r="62" spans="1:58" x14ac:dyDescent="0.2">
      <c r="A62" s="28">
        <v>1992</v>
      </c>
      <c r="B62" s="28">
        <v>3</v>
      </c>
      <c r="C62" s="29">
        <v>112384.671232369</v>
      </c>
      <c r="D62" s="30">
        <v>3.46139103060361E-4</v>
      </c>
      <c r="E62" s="29">
        <v>111005.794230873</v>
      </c>
      <c r="F62" s="30">
        <v>8.3691607586589001E-4</v>
      </c>
      <c r="G62" s="29">
        <v>76940.701626453199</v>
      </c>
      <c r="H62" s="30">
        <v>2.48367425834495E-3</v>
      </c>
      <c r="I62" s="29">
        <v>61369.930320441803</v>
      </c>
      <c r="J62" s="30">
        <v>3.2816477783888E-3</v>
      </c>
      <c r="K62" s="29">
        <v>15771.981192363501</v>
      </c>
      <c r="L62" s="30">
        <v>-1.3554105796752499E-3</v>
      </c>
      <c r="M62" s="29">
        <v>34041.1723066864</v>
      </c>
      <c r="N62" s="30">
        <v>-3.21547366668196E-3</v>
      </c>
      <c r="O62" s="29">
        <v>26916.494819784701</v>
      </c>
      <c r="P62" s="30">
        <v>-0.10501447960770199</v>
      </c>
      <c r="Q62" s="29">
        <v>14672.3425939627</v>
      </c>
      <c r="R62" s="30">
        <v>-3.0109942450664499E-2</v>
      </c>
      <c r="S62" s="29">
        <v>13374.9298970933</v>
      </c>
      <c r="T62" s="30">
        <v>-0.160574483779342</v>
      </c>
      <c r="U62" s="29"/>
      <c r="V62" s="30"/>
      <c r="W62" s="29"/>
      <c r="X62" s="30"/>
      <c r="Y62" s="29"/>
      <c r="Z62" s="30"/>
      <c r="AA62" s="29">
        <v>43149.304607655897</v>
      </c>
      <c r="AB62" s="30">
        <v>4.1687062825767299E-2</v>
      </c>
      <c r="AC62" s="29">
        <v>29372.002119403998</v>
      </c>
      <c r="AD62" s="30">
        <v>5.5043298682312197E-2</v>
      </c>
      <c r="AE62" s="29">
        <v>20626.7177432836</v>
      </c>
      <c r="AF62" s="30">
        <v>3.6766699719080101E-2</v>
      </c>
      <c r="AG62" s="29">
        <v>17272.247205187501</v>
      </c>
      <c r="AH62" s="30">
        <v>4.5630906197847897E-2</v>
      </c>
      <c r="AI62" s="29">
        <v>13789.250177576399</v>
      </c>
      <c r="AJ62" s="30">
        <v>1.02350179848956E-2</v>
      </c>
      <c r="AK62" s="29">
        <v>39698.864983458298</v>
      </c>
      <c r="AL62" s="30">
        <v>4.3932597218386202E-2</v>
      </c>
      <c r="AM62" s="29">
        <v>30114.947629802798</v>
      </c>
      <c r="AN62" s="30">
        <v>2.1515391559890702E-2</v>
      </c>
      <c r="AO62" s="29">
        <v>19003.006489073501</v>
      </c>
      <c r="AP62" s="30">
        <v>-3.95865461732254E-2</v>
      </c>
      <c r="AQ62" s="29">
        <v>16862.408428610099</v>
      </c>
      <c r="AR62" s="30">
        <v>-5.0195352717693403E-2</v>
      </c>
      <c r="AS62" s="29">
        <v>9845.4316467537901</v>
      </c>
      <c r="AT62" s="30">
        <v>0.110709891883289</v>
      </c>
      <c r="AU62" s="29">
        <v>132946.017087427</v>
      </c>
      <c r="AV62" s="30">
        <v>-1.79714807764202E-2</v>
      </c>
      <c r="AW62" s="29">
        <v>103737.72170986301</v>
      </c>
      <c r="AX62" s="30">
        <v>-3.3015235864291399E-2</v>
      </c>
      <c r="AY62" s="29">
        <v>31448.809749817301</v>
      </c>
      <c r="AZ62" s="30">
        <v>2.7570900690105E-2</v>
      </c>
      <c r="BA62" s="29">
        <v>18088.203753796101</v>
      </c>
      <c r="BB62" s="30">
        <v>3.7202688139411397E-2</v>
      </c>
      <c r="BC62" s="29">
        <v>26770.609838043401</v>
      </c>
      <c r="BD62" s="30">
        <v>-4.5476190844922996E-3</v>
      </c>
      <c r="BE62" s="29"/>
      <c r="BF62" s="30"/>
    </row>
    <row r="63" spans="1:58" x14ac:dyDescent="0.2">
      <c r="A63" s="28">
        <v>1992</v>
      </c>
      <c r="B63" s="28">
        <v>4</v>
      </c>
      <c r="C63" s="29">
        <v>114927.07571343399</v>
      </c>
      <c r="D63" s="30">
        <v>-7.2114447001475597E-3</v>
      </c>
      <c r="E63" s="29">
        <v>113420.321687747</v>
      </c>
      <c r="F63" s="30">
        <v>-7.9659845875051892E-3</v>
      </c>
      <c r="G63" s="29">
        <v>78423.267923023406</v>
      </c>
      <c r="H63" s="30">
        <v>-6.8203055879719797E-3</v>
      </c>
      <c r="I63" s="29">
        <v>62915.064494742997</v>
      </c>
      <c r="J63" s="30">
        <v>-4.7307774096576596E-3</v>
      </c>
      <c r="K63" s="29">
        <v>15638.780832123901</v>
      </c>
      <c r="L63" s="30">
        <v>-1.6699724590040099E-2</v>
      </c>
      <c r="M63" s="29">
        <v>34959.687187450698</v>
      </c>
      <c r="N63" s="30">
        <v>-1.0876251200998799E-2</v>
      </c>
      <c r="O63" s="29">
        <v>25599.481261396599</v>
      </c>
      <c r="P63" s="30">
        <v>-6.4418330804614204E-2</v>
      </c>
      <c r="Q63" s="29">
        <v>12933.7275532454</v>
      </c>
      <c r="R63" s="30">
        <v>5.5701001301941402E-2</v>
      </c>
      <c r="S63" s="29">
        <v>13522.8828571139</v>
      </c>
      <c r="T63" s="30">
        <v>-0.138403660306505</v>
      </c>
      <c r="U63" s="29"/>
      <c r="V63" s="30"/>
      <c r="W63" s="29"/>
      <c r="X63" s="30"/>
      <c r="Y63" s="29"/>
      <c r="Z63" s="30"/>
      <c r="AA63" s="29">
        <v>43941.986665780198</v>
      </c>
      <c r="AB63" s="30">
        <v>3.5332092085989898E-2</v>
      </c>
      <c r="AC63" s="29">
        <v>31204.616231080199</v>
      </c>
      <c r="AD63" s="30">
        <v>3.83348066371616E-2</v>
      </c>
      <c r="AE63" s="29">
        <v>22193.876965482199</v>
      </c>
      <c r="AF63" s="30">
        <v>1.4489234220058701E-3</v>
      </c>
      <c r="AG63" s="29">
        <v>18868.977925192001</v>
      </c>
      <c r="AH63" s="30">
        <v>1.2569852336648899E-2</v>
      </c>
      <c r="AI63" s="29">
        <v>12640.8678407553</v>
      </c>
      <c r="AJ63" s="30">
        <v>2.8874804725571999E-2</v>
      </c>
      <c r="AK63" s="29">
        <v>40330.198032195301</v>
      </c>
      <c r="AL63" s="30">
        <v>3.42310579765015E-2</v>
      </c>
      <c r="AM63" s="29">
        <v>31130.806313675399</v>
      </c>
      <c r="AN63" s="30">
        <v>1.6958040780517401E-2</v>
      </c>
      <c r="AO63" s="29">
        <v>19667.011505847298</v>
      </c>
      <c r="AP63" s="30">
        <v>-4.2466067903396201E-2</v>
      </c>
      <c r="AQ63" s="29">
        <v>17213.175963497499</v>
      </c>
      <c r="AR63" s="30">
        <v>-6.5046914693420693E-2</v>
      </c>
      <c r="AS63" s="29">
        <v>9493.5093965369597</v>
      </c>
      <c r="AT63" s="30">
        <v>9.0360874229574298E-2</v>
      </c>
      <c r="AU63" s="29">
        <v>133728.72089357601</v>
      </c>
      <c r="AV63" s="30">
        <v>-1.4121703800732599E-2</v>
      </c>
      <c r="AW63" s="29">
        <v>103586.020345055</v>
      </c>
      <c r="AX63" s="30">
        <v>-2.3523888255413E-2</v>
      </c>
      <c r="AY63" s="29">
        <v>32295.119977594899</v>
      </c>
      <c r="AZ63" s="30">
        <v>1.3277287540466301E-2</v>
      </c>
      <c r="BA63" s="29">
        <v>19718.656265453901</v>
      </c>
      <c r="BB63" s="30">
        <v>6.4037364834961296E-3</v>
      </c>
      <c r="BC63" s="29">
        <v>26853.344184841801</v>
      </c>
      <c r="BD63" s="30">
        <v>-2.3178805143760899E-2</v>
      </c>
      <c r="BE63" s="29"/>
      <c r="BF63" s="30"/>
    </row>
    <row r="64" spans="1:58" x14ac:dyDescent="0.2">
      <c r="A64" s="28">
        <v>1993</v>
      </c>
      <c r="B64" s="28">
        <v>1</v>
      </c>
      <c r="C64" s="29">
        <v>110359.362067843</v>
      </c>
      <c r="D64" s="30">
        <v>-1.9157654315831399E-2</v>
      </c>
      <c r="E64" s="29">
        <v>107454.673641307</v>
      </c>
      <c r="F64" s="30">
        <v>-2.66302081121331E-2</v>
      </c>
      <c r="G64" s="29">
        <v>76762.373260598004</v>
      </c>
      <c r="H64" s="30">
        <v>-1.02902020424537E-2</v>
      </c>
      <c r="I64" s="29">
        <v>61280.989071515498</v>
      </c>
      <c r="J64" s="30">
        <v>-9.3491344756919705E-3</v>
      </c>
      <c r="K64" s="29">
        <v>15670.8108244298</v>
      </c>
      <c r="L64" s="30">
        <v>-1.4725330778381901E-2</v>
      </c>
      <c r="M64" s="29">
        <v>30679.4800805718</v>
      </c>
      <c r="N64" s="30">
        <v>-6.6949792204563305E-2</v>
      </c>
      <c r="O64" s="29">
        <v>25217.621235708299</v>
      </c>
      <c r="P64" s="30">
        <v>-8.2112509955213797E-2</v>
      </c>
      <c r="Q64" s="29">
        <v>12850.225390563501</v>
      </c>
      <c r="R64" s="30">
        <v>-3.4917164963320001E-2</v>
      </c>
      <c r="S64" s="29">
        <v>13234.689006172899</v>
      </c>
      <c r="T64" s="30">
        <v>-0.115170327042365</v>
      </c>
      <c r="U64" s="29"/>
      <c r="V64" s="30"/>
      <c r="W64" s="29"/>
      <c r="X64" s="30"/>
      <c r="Y64" s="29"/>
      <c r="Z64" s="30"/>
      <c r="AA64" s="29">
        <v>45098.439239902698</v>
      </c>
      <c r="AB64" s="30">
        <v>2.4238033648629E-2</v>
      </c>
      <c r="AC64" s="29">
        <v>31342.126683207702</v>
      </c>
      <c r="AD64" s="30">
        <v>2.7236243679407801E-2</v>
      </c>
      <c r="AE64" s="29">
        <v>21537.607829393899</v>
      </c>
      <c r="AF64" s="30">
        <v>-8.9716042374264893E-3</v>
      </c>
      <c r="AG64" s="29">
        <v>17673.276422920499</v>
      </c>
      <c r="AH64" s="30">
        <v>-3.3182876255138702E-2</v>
      </c>
      <c r="AI64" s="29">
        <v>13714.8883299882</v>
      </c>
      <c r="AJ64" s="30">
        <v>1.6896835140486802E-2</v>
      </c>
      <c r="AK64" s="29">
        <v>40184.900225604601</v>
      </c>
      <c r="AL64" s="30">
        <v>7.8217844036174693E-3</v>
      </c>
      <c r="AM64" s="29">
        <v>30983.592518217702</v>
      </c>
      <c r="AN64" s="30">
        <v>-7.4265238566489896E-3</v>
      </c>
      <c r="AO64" s="29">
        <v>19362.655165026801</v>
      </c>
      <c r="AP64" s="30">
        <v>-5.2094959389434203E-2</v>
      </c>
      <c r="AQ64" s="29">
        <v>16736.649192598699</v>
      </c>
      <c r="AR64" s="30">
        <v>-7.2256488467762406E-2</v>
      </c>
      <c r="AS64" s="29">
        <v>9494.0959900315192</v>
      </c>
      <c r="AT64" s="30">
        <v>5.8242673622212998E-2</v>
      </c>
      <c r="AU64" s="29">
        <v>131343.90171065499</v>
      </c>
      <c r="AV64" s="30">
        <v>-2.8285906779581E-2</v>
      </c>
      <c r="AW64" s="29">
        <v>101635.472635089</v>
      </c>
      <c r="AX64" s="30">
        <v>-3.1784611687907E-2</v>
      </c>
      <c r="AY64" s="29">
        <v>31815.451898286901</v>
      </c>
      <c r="AZ64" s="30">
        <v>-1.82515076515786E-2</v>
      </c>
      <c r="BA64" s="29">
        <v>18480.199576643499</v>
      </c>
      <c r="BB64" s="30">
        <v>-3.6635932126455301E-2</v>
      </c>
      <c r="BC64" s="29">
        <v>26324.854853522102</v>
      </c>
      <c r="BD64" s="30">
        <v>-3.6091148616877303E-2</v>
      </c>
      <c r="BE64" s="29"/>
      <c r="BF64" s="30"/>
    </row>
    <row r="65" spans="1:58" x14ac:dyDescent="0.2">
      <c r="A65" s="28">
        <v>1993</v>
      </c>
      <c r="B65" s="28">
        <v>2</v>
      </c>
      <c r="C65" s="29">
        <v>112853.98230312399</v>
      </c>
      <c r="D65" s="30">
        <v>-8.6856500057827003E-3</v>
      </c>
      <c r="E65" s="29">
        <v>112375.25382973099</v>
      </c>
      <c r="F65" s="30">
        <v>-1.1444866596882999E-2</v>
      </c>
      <c r="G65" s="29">
        <v>76675.074719221506</v>
      </c>
      <c r="H65" s="30">
        <v>-7.0236042281776002E-3</v>
      </c>
      <c r="I65" s="29">
        <v>61048.112236132401</v>
      </c>
      <c r="J65" s="30">
        <v>-8.2132468573031803E-3</v>
      </c>
      <c r="K65" s="29">
        <v>15847.4219872305</v>
      </c>
      <c r="L65" s="30">
        <v>-1.6292816032461601E-3</v>
      </c>
      <c r="M65" s="29">
        <v>35654.446885147598</v>
      </c>
      <c r="N65" s="30">
        <v>-1.8535753843028E-2</v>
      </c>
      <c r="O65" s="29">
        <v>26758.209727290701</v>
      </c>
      <c r="P65" s="30">
        <v>-5.56639946920977E-2</v>
      </c>
      <c r="Q65" s="29">
        <v>13948.2312304808</v>
      </c>
      <c r="R65" s="30">
        <v>-2.7378848890382099E-2</v>
      </c>
      <c r="S65" s="29">
        <v>13806.9910544659</v>
      </c>
      <c r="T65" s="30">
        <v>-7.6372272528473201E-2</v>
      </c>
      <c r="U65" s="29"/>
      <c r="V65" s="30"/>
      <c r="W65" s="29"/>
      <c r="X65" s="30"/>
      <c r="Y65" s="29"/>
      <c r="Z65" s="30"/>
      <c r="AA65" s="29">
        <v>43665.445475899003</v>
      </c>
      <c r="AB65" s="30">
        <v>-1.8250056535064101E-2</v>
      </c>
      <c r="AC65" s="29">
        <v>30273.133148377099</v>
      </c>
      <c r="AD65" s="30">
        <v>-3.5708354552652803E-2</v>
      </c>
      <c r="AE65" s="29">
        <v>22471.8820239124</v>
      </c>
      <c r="AF65" s="30">
        <v>4.3950430920962598E-3</v>
      </c>
      <c r="AG65" s="29">
        <v>18627.8196014557</v>
      </c>
      <c r="AH65" s="30">
        <v>-5.8552388108935602E-3</v>
      </c>
      <c r="AI65" s="29">
        <v>13358.4480102666</v>
      </c>
      <c r="AJ65" s="30">
        <v>2.7468573806666698E-2</v>
      </c>
      <c r="AK65" s="29">
        <v>41035.944218210301</v>
      </c>
      <c r="AL65" s="30">
        <v>-2.50026918029966E-2</v>
      </c>
      <c r="AM65" s="29">
        <v>31481.3061627979</v>
      </c>
      <c r="AN65" s="30">
        <v>-5.0406354530077198E-2</v>
      </c>
      <c r="AO65" s="29">
        <v>20090.5722644448</v>
      </c>
      <c r="AP65" s="30">
        <v>-2.6415464692580298E-2</v>
      </c>
      <c r="AQ65" s="29">
        <v>17524.706836213001</v>
      </c>
      <c r="AR65" s="30">
        <v>-3.1350165681159801E-2</v>
      </c>
      <c r="AS65" s="29">
        <v>9846.6510100592695</v>
      </c>
      <c r="AT65" s="30">
        <v>6.1289157285722998E-2</v>
      </c>
      <c r="AU65" s="29">
        <v>133794.57844242101</v>
      </c>
      <c r="AV65" s="30">
        <v>-1.55579390150595E-2</v>
      </c>
      <c r="AW65" s="29">
        <v>103303.791974427</v>
      </c>
      <c r="AX65" s="30">
        <v>-2.2298432778653201E-2</v>
      </c>
      <c r="AY65" s="29">
        <v>32610.237103813899</v>
      </c>
      <c r="AZ65" s="30">
        <v>3.7670890562500098E-3</v>
      </c>
      <c r="BA65" s="29">
        <v>19463.408152290402</v>
      </c>
      <c r="BB65" s="30">
        <v>-8.0725859119628006E-3</v>
      </c>
      <c r="BC65" s="29">
        <v>27485.5817169886</v>
      </c>
      <c r="BD65" s="30">
        <v>-5.1513306234417496E-3</v>
      </c>
      <c r="BE65" s="29"/>
      <c r="BF65" s="30"/>
    </row>
    <row r="66" spans="1:58" x14ac:dyDescent="0.2">
      <c r="A66" s="28">
        <v>1993</v>
      </c>
      <c r="B66" s="28">
        <v>3</v>
      </c>
      <c r="C66" s="29">
        <v>113072.79655946699</v>
      </c>
      <c r="D66" s="30">
        <v>6.1229464797349902E-3</v>
      </c>
      <c r="E66" s="29">
        <v>111675.46990930301</v>
      </c>
      <c r="F66" s="30">
        <v>6.0327993062834198E-3</v>
      </c>
      <c r="G66" s="29">
        <v>77186.121335776799</v>
      </c>
      <c r="H66" s="30">
        <v>3.1897253876760302E-3</v>
      </c>
      <c r="I66" s="29">
        <v>61492.582071921301</v>
      </c>
      <c r="J66" s="30">
        <v>1.9985642942574899E-3</v>
      </c>
      <c r="K66" s="29">
        <v>15908.2722461413</v>
      </c>
      <c r="L66" s="30">
        <v>8.6413401154543708E-3</v>
      </c>
      <c r="M66" s="29">
        <v>34452.771217916597</v>
      </c>
      <c r="N66" s="30">
        <v>1.2091208479015699E-2</v>
      </c>
      <c r="O66" s="29">
        <v>26380.578728731401</v>
      </c>
      <c r="P66" s="30">
        <v>-1.9910322448798898E-2</v>
      </c>
      <c r="Q66" s="29">
        <v>14432.379490986999</v>
      </c>
      <c r="R66" s="30">
        <v>-1.6354791434219501E-2</v>
      </c>
      <c r="S66" s="29">
        <v>13098.1135060091</v>
      </c>
      <c r="T66" s="30">
        <v>-2.06966610826399E-2</v>
      </c>
      <c r="U66" s="29"/>
      <c r="V66" s="30"/>
      <c r="W66" s="29"/>
      <c r="X66" s="30"/>
      <c r="Y66" s="29"/>
      <c r="Z66" s="30"/>
      <c r="AA66" s="29">
        <v>41710.974182394901</v>
      </c>
      <c r="AB66" s="30">
        <v>-3.3333803136327098E-2</v>
      </c>
      <c r="AC66" s="29">
        <v>27585.941474081599</v>
      </c>
      <c r="AD66" s="30">
        <v>-6.0808270340633498E-2</v>
      </c>
      <c r="AE66" s="29">
        <v>20516.3930776749</v>
      </c>
      <c r="AF66" s="30">
        <v>-5.3486292381457199E-3</v>
      </c>
      <c r="AG66" s="29">
        <v>17569.621002988901</v>
      </c>
      <c r="AH66" s="30">
        <v>1.7216856282144199E-2</v>
      </c>
      <c r="AI66" s="29">
        <v>14206.461692303999</v>
      </c>
      <c r="AJ66" s="30">
        <v>3.02562872784835E-2</v>
      </c>
      <c r="AK66" s="29">
        <v>38272.6694809033</v>
      </c>
      <c r="AL66" s="30">
        <v>-3.5925347063431298E-2</v>
      </c>
      <c r="AM66" s="29">
        <v>28139.505249184698</v>
      </c>
      <c r="AN66" s="30">
        <v>-6.5596739695575002E-2</v>
      </c>
      <c r="AO66" s="29">
        <v>18860.391543299102</v>
      </c>
      <c r="AP66" s="30">
        <v>-7.5048622362151596E-3</v>
      </c>
      <c r="AQ66" s="29">
        <v>16871.022023453701</v>
      </c>
      <c r="AR66" s="30">
        <v>5.1081640443739805E-4</v>
      </c>
      <c r="AS66" s="29">
        <v>10351.721000576699</v>
      </c>
      <c r="AT66" s="30">
        <v>5.1423784348742202E-2</v>
      </c>
      <c r="AU66" s="29">
        <v>133308.67985636601</v>
      </c>
      <c r="AV66" s="30">
        <v>2.7278949522844299E-3</v>
      </c>
      <c r="AW66" s="29">
        <v>103360.300394636</v>
      </c>
      <c r="AX66" s="30">
        <v>-3.6382263751959499E-3</v>
      </c>
      <c r="AY66" s="29">
        <v>32111.026764735299</v>
      </c>
      <c r="AZ66" s="30">
        <v>2.1056981812223E-2</v>
      </c>
      <c r="BA66" s="29">
        <v>18380.193473660798</v>
      </c>
      <c r="BB66" s="30">
        <v>1.6142549245852501E-2</v>
      </c>
      <c r="BC66" s="29">
        <v>27187.9038507187</v>
      </c>
      <c r="BD66" s="30">
        <v>1.55877664050184E-2</v>
      </c>
      <c r="BE66" s="29"/>
      <c r="BF66" s="30"/>
    </row>
    <row r="67" spans="1:58" x14ac:dyDescent="0.2">
      <c r="A67" s="28">
        <v>1993</v>
      </c>
      <c r="B67" s="28">
        <v>4</v>
      </c>
      <c r="C67" s="29">
        <v>116811.721364875</v>
      </c>
      <c r="D67" s="30">
        <v>1.6398621819454999E-2</v>
      </c>
      <c r="E67" s="29">
        <v>115377.29435625</v>
      </c>
      <c r="F67" s="30">
        <v>1.7254162564368701E-2</v>
      </c>
      <c r="G67" s="29">
        <v>78863.332103463094</v>
      </c>
      <c r="H67" s="30">
        <v>5.61139814871758E-3</v>
      </c>
      <c r="I67" s="29">
        <v>62956.0345846032</v>
      </c>
      <c r="J67" s="30">
        <v>6.5119681890446501E-4</v>
      </c>
      <c r="K67" s="29">
        <v>16102.3287000042</v>
      </c>
      <c r="L67" s="30">
        <v>2.9640921044700001E-2</v>
      </c>
      <c r="M67" s="29">
        <v>36468.2638953266</v>
      </c>
      <c r="N67" s="30">
        <v>4.3151893773733199E-2</v>
      </c>
      <c r="O67" s="29">
        <v>26177.531293678301</v>
      </c>
      <c r="P67" s="30">
        <v>2.2580536940546299E-2</v>
      </c>
      <c r="Q67" s="29">
        <v>13480.114351128501</v>
      </c>
      <c r="R67" s="30">
        <v>4.22451142281852E-2</v>
      </c>
      <c r="S67" s="29">
        <v>13632.232578053799</v>
      </c>
      <c r="T67" s="30">
        <v>8.0862728824400206E-3</v>
      </c>
      <c r="U67" s="29"/>
      <c r="V67" s="30"/>
      <c r="W67" s="29"/>
      <c r="X67" s="30"/>
      <c r="Y67" s="29"/>
      <c r="Z67" s="30"/>
      <c r="AA67" s="29">
        <v>44016.963815463998</v>
      </c>
      <c r="AB67" s="30">
        <v>1.7062758280377299E-3</v>
      </c>
      <c r="AC67" s="29">
        <v>30631.3945289607</v>
      </c>
      <c r="AD67" s="30">
        <v>-1.83697725322014E-2</v>
      </c>
      <c r="AE67" s="29">
        <v>22803.008894377101</v>
      </c>
      <c r="AF67" s="30">
        <v>2.7445945106495499E-2</v>
      </c>
      <c r="AG67" s="29">
        <v>19433.755916480201</v>
      </c>
      <c r="AH67" s="30">
        <v>2.9931562458086699E-2</v>
      </c>
      <c r="AI67" s="29">
        <v>13341.648446516399</v>
      </c>
      <c r="AJ67" s="30">
        <v>5.5437697362964E-2</v>
      </c>
      <c r="AK67" s="29">
        <v>40448.779759737503</v>
      </c>
      <c r="AL67" s="30">
        <v>2.9402713928532399E-3</v>
      </c>
      <c r="AM67" s="29">
        <v>30700.861417846801</v>
      </c>
      <c r="AN67" s="30">
        <v>-1.38109142274192E-2</v>
      </c>
      <c r="AO67" s="29">
        <v>20784.116276020901</v>
      </c>
      <c r="AP67" s="30">
        <v>5.68009415076349E-2</v>
      </c>
      <c r="AQ67" s="29">
        <v>18397.851598814901</v>
      </c>
      <c r="AR67" s="30">
        <v>6.8823768363818399E-2</v>
      </c>
      <c r="AS67" s="29">
        <v>10021.2256572734</v>
      </c>
      <c r="AT67" s="30">
        <v>5.5587058346301801E-2</v>
      </c>
      <c r="AU67" s="29">
        <v>136151.60780472599</v>
      </c>
      <c r="AV67" s="30">
        <v>1.8117924817944199E-2</v>
      </c>
      <c r="AW67" s="29">
        <v>104723.80223184</v>
      </c>
      <c r="AX67" s="30">
        <v>1.09839328028478E-2</v>
      </c>
      <c r="AY67" s="29">
        <v>33537.449999446901</v>
      </c>
      <c r="AZ67" s="30">
        <v>3.8468041695273597E-2</v>
      </c>
      <c r="BA67" s="29">
        <v>20312.728840432901</v>
      </c>
      <c r="BB67" s="30">
        <v>3.0127437031282501E-2</v>
      </c>
      <c r="BC67" s="29">
        <v>28591.448488575999</v>
      </c>
      <c r="BD67" s="30">
        <v>6.4725804420118702E-2</v>
      </c>
      <c r="BE67" s="29"/>
      <c r="BF67" s="30"/>
    </row>
    <row r="68" spans="1:58" x14ac:dyDescent="0.2">
      <c r="A68" s="28">
        <v>1994</v>
      </c>
      <c r="B68" s="28">
        <v>1</v>
      </c>
      <c r="C68" s="29">
        <v>113330.979951035</v>
      </c>
      <c r="D68" s="30">
        <v>2.6926740310125701E-2</v>
      </c>
      <c r="E68" s="29">
        <v>111130.75181841</v>
      </c>
      <c r="F68" s="30">
        <v>3.42105006002189E-2</v>
      </c>
      <c r="G68" s="29">
        <v>78032.559743981095</v>
      </c>
      <c r="H68" s="30">
        <v>1.6546993395721601E-2</v>
      </c>
      <c r="I68" s="29">
        <v>62063.586737220197</v>
      </c>
      <c r="J68" s="30">
        <v>1.27706435154209E-2</v>
      </c>
      <c r="K68" s="29">
        <v>16207.271403815301</v>
      </c>
      <c r="L68" s="30">
        <v>3.4233109275318099E-2</v>
      </c>
      <c r="M68" s="29">
        <v>33029.026613242102</v>
      </c>
      <c r="N68" s="30">
        <v>7.6583648956886102E-2</v>
      </c>
      <c r="O68" s="29">
        <v>25017.7983719734</v>
      </c>
      <c r="P68" s="30">
        <v>-7.9239378634137197E-3</v>
      </c>
      <c r="Q68" s="29">
        <v>12670.6959145091</v>
      </c>
      <c r="R68" s="30">
        <v>-1.3970920400055001E-2</v>
      </c>
      <c r="S68" s="29">
        <v>13176.052975554199</v>
      </c>
      <c r="T68" s="30">
        <v>-4.4304804284660496E-3</v>
      </c>
      <c r="U68" s="29"/>
      <c r="V68" s="30"/>
      <c r="W68" s="29"/>
      <c r="X68" s="30"/>
      <c r="Y68" s="29"/>
      <c r="Z68" s="30"/>
      <c r="AA68" s="29">
        <v>44256.077798972503</v>
      </c>
      <c r="AB68" s="30">
        <v>-1.8678283664080302E-2</v>
      </c>
      <c r="AC68" s="29">
        <v>30012.8943509774</v>
      </c>
      <c r="AD68" s="30">
        <v>-4.2410406468761999E-2</v>
      </c>
      <c r="AE68" s="29">
        <v>22391.4288095671</v>
      </c>
      <c r="AF68" s="30">
        <v>3.9643259684944802E-2</v>
      </c>
      <c r="AG68" s="29">
        <v>18862.5930973869</v>
      </c>
      <c r="AH68" s="30">
        <v>6.7294634339786705E-2</v>
      </c>
      <c r="AI68" s="29">
        <v>14245.4567653663</v>
      </c>
      <c r="AJ68" s="30">
        <v>3.8685581873681998E-2</v>
      </c>
      <c r="AK68" s="29">
        <v>40007.562795204401</v>
      </c>
      <c r="AL68" s="30">
        <v>-4.4130364740134799E-3</v>
      </c>
      <c r="AM68" s="29">
        <v>29923.504499302198</v>
      </c>
      <c r="AN68" s="30">
        <v>-3.4214496536905101E-2</v>
      </c>
      <c r="AO68" s="29">
        <v>20824.165306604798</v>
      </c>
      <c r="AP68" s="30">
        <v>7.5480874349187696E-2</v>
      </c>
      <c r="AQ68" s="29">
        <v>18236.9856190709</v>
      </c>
      <c r="AR68" s="30">
        <v>8.9643775716807095E-2</v>
      </c>
      <c r="AS68" s="29">
        <v>10338.5976080405</v>
      </c>
      <c r="AT68" s="30">
        <v>8.8950187452885299E-2</v>
      </c>
      <c r="AU68" s="29">
        <v>134319.19177514201</v>
      </c>
      <c r="AV68" s="30">
        <v>2.2652670019210699E-2</v>
      </c>
      <c r="AW68" s="29">
        <v>102650.30432610901</v>
      </c>
      <c r="AX68" s="30">
        <v>9.9850147267399603E-3</v>
      </c>
      <c r="AY68" s="29">
        <v>33659.814619593497</v>
      </c>
      <c r="AZ68" s="30">
        <v>5.7970659263396E-2</v>
      </c>
      <c r="BA68" s="29">
        <v>19743.811988462901</v>
      </c>
      <c r="BB68" s="30">
        <v>6.8376556572280006E-2</v>
      </c>
      <c r="BC68" s="29">
        <v>28678.414343351698</v>
      </c>
      <c r="BD68" s="30">
        <v>8.9404462167993207E-2</v>
      </c>
      <c r="BE68" s="29"/>
      <c r="BF68" s="30"/>
    </row>
    <row r="69" spans="1:58" x14ac:dyDescent="0.2">
      <c r="A69" s="28">
        <v>1994</v>
      </c>
      <c r="B69" s="28">
        <v>2</v>
      </c>
      <c r="C69" s="29">
        <v>113343.440414091</v>
      </c>
      <c r="D69" s="30">
        <v>4.3370920633745104E-3</v>
      </c>
      <c r="E69" s="29">
        <v>115445.873201489</v>
      </c>
      <c r="F69" s="30">
        <v>2.7324693534489099E-2</v>
      </c>
      <c r="G69" s="29">
        <v>77475.338092847596</v>
      </c>
      <c r="H69" s="30">
        <v>1.0437073280417999E-2</v>
      </c>
      <c r="I69" s="29">
        <v>61693.411868004798</v>
      </c>
      <c r="J69" s="30">
        <v>1.05703453921127E-2</v>
      </c>
      <c r="K69" s="29">
        <v>16003.882974927301</v>
      </c>
      <c r="L69" s="30">
        <v>9.8729615342374507E-3</v>
      </c>
      <c r="M69" s="29">
        <v>38013.218648822003</v>
      </c>
      <c r="N69" s="30">
        <v>6.6156453675263696E-2</v>
      </c>
      <c r="O69" s="29">
        <v>27795.938448921199</v>
      </c>
      <c r="P69" s="30">
        <v>3.8781694747392501E-2</v>
      </c>
      <c r="Q69" s="29">
        <v>15251.595037129</v>
      </c>
      <c r="R69" s="30">
        <v>9.3442945210143097E-2</v>
      </c>
      <c r="S69" s="29">
        <v>13787.614869675201</v>
      </c>
      <c r="T69" s="30">
        <v>-1.40336042185651E-3</v>
      </c>
      <c r="U69" s="29"/>
      <c r="V69" s="30"/>
      <c r="W69" s="29"/>
      <c r="X69" s="30"/>
      <c r="Y69" s="29"/>
      <c r="Z69" s="30"/>
      <c r="AA69" s="29">
        <v>43303.950936485599</v>
      </c>
      <c r="AB69" s="30">
        <v>-8.2787324272894907E-3</v>
      </c>
      <c r="AC69" s="29">
        <v>30051.324502846601</v>
      </c>
      <c r="AD69" s="30">
        <v>-7.3269140806591099E-3</v>
      </c>
      <c r="AE69" s="29">
        <v>22038.917456492101</v>
      </c>
      <c r="AF69" s="30">
        <v>-1.9266947332655E-2</v>
      </c>
      <c r="AG69" s="29">
        <v>18567.237351196101</v>
      </c>
      <c r="AH69" s="30">
        <v>-3.2522459179703499E-3</v>
      </c>
      <c r="AI69" s="29">
        <v>13233.509876427001</v>
      </c>
      <c r="AJ69" s="30">
        <v>-9.3527432036716301E-3</v>
      </c>
      <c r="AK69" s="29">
        <v>43122.248206150398</v>
      </c>
      <c r="AL69" s="30">
        <v>5.0840891508333999E-2</v>
      </c>
      <c r="AM69" s="29">
        <v>32892.6123124351</v>
      </c>
      <c r="AN69" s="30">
        <v>4.4829974408906702E-2</v>
      </c>
      <c r="AO69" s="29">
        <v>21456.013075621999</v>
      </c>
      <c r="AP69" s="30">
        <v>6.7964256727207004E-2</v>
      </c>
      <c r="AQ69" s="29">
        <v>19152.826477239902</v>
      </c>
      <c r="AR69" s="30">
        <v>9.2904244062024702E-2</v>
      </c>
      <c r="AS69" s="29">
        <v>10526.515528329101</v>
      </c>
      <c r="AT69" s="30">
        <v>6.9045253820341004E-2</v>
      </c>
      <c r="AU69" s="29">
        <v>135461.34935095499</v>
      </c>
      <c r="AV69" s="30">
        <v>1.2457686461872E-2</v>
      </c>
      <c r="AW69" s="29">
        <v>105202.14600582499</v>
      </c>
      <c r="AX69" s="30">
        <v>1.8376421572864801E-2</v>
      </c>
      <c r="AY69" s="29">
        <v>32483.0022977318</v>
      </c>
      <c r="AZ69" s="30">
        <v>-3.9016829493463399E-3</v>
      </c>
      <c r="BA69" s="29">
        <v>19460.2648131059</v>
      </c>
      <c r="BB69" s="30">
        <v>-1.61499936697562E-4</v>
      </c>
      <c r="BC69" s="29">
        <v>29838.887413618599</v>
      </c>
      <c r="BD69" s="30">
        <v>8.5619643086376707E-2</v>
      </c>
      <c r="BE69" s="29"/>
      <c r="BF69" s="30"/>
    </row>
    <row r="70" spans="1:58" x14ac:dyDescent="0.2">
      <c r="A70" s="28">
        <v>1994</v>
      </c>
      <c r="B70" s="28">
        <v>3</v>
      </c>
      <c r="C70" s="29">
        <v>114205.068186586</v>
      </c>
      <c r="D70" s="30">
        <v>1.00136519266396E-2</v>
      </c>
      <c r="E70" s="29">
        <v>113475.89027657799</v>
      </c>
      <c r="F70" s="30">
        <v>1.6121896498285E-2</v>
      </c>
      <c r="G70" s="29">
        <v>78283.946945944903</v>
      </c>
      <c r="H70" s="30">
        <v>1.42230959551957E-2</v>
      </c>
      <c r="I70" s="29">
        <v>62181.742934090798</v>
      </c>
      <c r="J70" s="30">
        <v>1.1207219455567E-2</v>
      </c>
      <c r="K70" s="29">
        <v>16357.6688947565</v>
      </c>
      <c r="L70" s="30">
        <v>2.8249243014068601E-2</v>
      </c>
      <c r="M70" s="29">
        <v>35165.868724973698</v>
      </c>
      <c r="N70" s="30">
        <v>2.0697827253044501E-2</v>
      </c>
      <c r="O70" s="29">
        <v>28077.691016259902</v>
      </c>
      <c r="P70" s="30">
        <v>6.4331882366181606E-2</v>
      </c>
      <c r="Q70" s="29">
        <v>16050.8902132149</v>
      </c>
      <c r="R70" s="30">
        <v>0.112144412724085</v>
      </c>
      <c r="S70" s="29">
        <v>13459.668214883101</v>
      </c>
      <c r="T70" s="30">
        <v>2.7603571209558399E-2</v>
      </c>
      <c r="U70" s="29"/>
      <c r="V70" s="30"/>
      <c r="W70" s="29"/>
      <c r="X70" s="30"/>
      <c r="Y70" s="29"/>
      <c r="Z70" s="30"/>
      <c r="AA70" s="29">
        <v>43160.9768621037</v>
      </c>
      <c r="AB70" s="30">
        <v>3.4763097916824998E-2</v>
      </c>
      <c r="AC70" s="29">
        <v>29267.480615556098</v>
      </c>
      <c r="AD70" s="30">
        <v>6.0956380374199703E-2</v>
      </c>
      <c r="AE70" s="29">
        <v>21571.766226000698</v>
      </c>
      <c r="AF70" s="30">
        <v>5.1440481976056801E-2</v>
      </c>
      <c r="AG70" s="29">
        <v>18417.634707582802</v>
      </c>
      <c r="AH70" s="30">
        <v>4.82659076396523E-2</v>
      </c>
      <c r="AI70" s="29">
        <v>13895.7992618973</v>
      </c>
      <c r="AJ70" s="30">
        <v>-2.1867685081291399E-2</v>
      </c>
      <c r="AK70" s="29">
        <v>40283.900140530597</v>
      </c>
      <c r="AL70" s="30">
        <v>5.2550049079561602E-2</v>
      </c>
      <c r="AM70" s="29">
        <v>29590.649692124902</v>
      </c>
      <c r="AN70" s="30">
        <v>5.1569650215587598E-2</v>
      </c>
      <c r="AO70" s="29">
        <v>20654.208793118301</v>
      </c>
      <c r="AP70" s="30">
        <v>9.51102868517371E-2</v>
      </c>
      <c r="AQ70" s="29">
        <v>18421.878018424501</v>
      </c>
      <c r="AR70" s="30">
        <v>9.1924246961139697E-2</v>
      </c>
      <c r="AS70" s="29">
        <v>10930.544477970599</v>
      </c>
      <c r="AT70" s="30">
        <v>5.5915675988716301E-2</v>
      </c>
      <c r="AU70" s="29">
        <v>136960.604832916</v>
      </c>
      <c r="AV70" s="30">
        <v>2.7394502597165402E-2</v>
      </c>
      <c r="AW70" s="29">
        <v>106290.85909480799</v>
      </c>
      <c r="AX70" s="30">
        <v>2.8352846199009001E-2</v>
      </c>
      <c r="AY70" s="29">
        <v>32908.4286577569</v>
      </c>
      <c r="AZ70" s="30">
        <v>2.48326501318024E-2</v>
      </c>
      <c r="BA70" s="29">
        <v>19328.127687650602</v>
      </c>
      <c r="BB70" s="30">
        <v>5.1573679860784198E-2</v>
      </c>
      <c r="BC70" s="29">
        <v>29380.492894167099</v>
      </c>
      <c r="BD70" s="30">
        <v>8.0645755387664497E-2</v>
      </c>
      <c r="BE70" s="29"/>
      <c r="BF70" s="30"/>
    </row>
    <row r="71" spans="1:58" x14ac:dyDescent="0.2">
      <c r="A71" s="28">
        <v>1994</v>
      </c>
      <c r="B71" s="28">
        <v>4</v>
      </c>
      <c r="C71" s="29">
        <v>117971.618723409</v>
      </c>
      <c r="D71" s="30">
        <v>9.9296315898873607E-3</v>
      </c>
      <c r="E71" s="29">
        <v>117839.852161273</v>
      </c>
      <c r="F71" s="30">
        <v>2.13435218667768E-2</v>
      </c>
      <c r="G71" s="29">
        <v>80069.080680771207</v>
      </c>
      <c r="H71" s="30">
        <v>1.52890899375926E-2</v>
      </c>
      <c r="I71" s="29">
        <v>63848.284407300598</v>
      </c>
      <c r="J71" s="30">
        <v>1.4172586132285701E-2</v>
      </c>
      <c r="K71" s="29">
        <v>16432.241823485099</v>
      </c>
      <c r="L71" s="30">
        <v>2.0488534896246899E-2</v>
      </c>
      <c r="M71" s="29">
        <v>37782.8213783955</v>
      </c>
      <c r="N71" s="30">
        <v>3.6046615403521699E-2</v>
      </c>
      <c r="O71" s="29">
        <v>27742.700762837499</v>
      </c>
      <c r="P71" s="30">
        <v>5.9790568163206499E-2</v>
      </c>
      <c r="Q71" s="29">
        <v>14597.4287590242</v>
      </c>
      <c r="R71" s="30">
        <v>8.2886122386798697E-2</v>
      </c>
      <c r="S71" s="29">
        <v>14214.5888532919</v>
      </c>
      <c r="T71" s="30">
        <v>4.2719068348027897E-2</v>
      </c>
      <c r="U71" s="29"/>
      <c r="V71" s="30"/>
      <c r="W71" s="29"/>
      <c r="X71" s="30"/>
      <c r="Y71" s="29"/>
      <c r="Z71" s="30"/>
      <c r="AA71" s="29">
        <v>46141.904880083501</v>
      </c>
      <c r="AB71" s="30">
        <v>4.82755029067456E-2</v>
      </c>
      <c r="AC71" s="29">
        <v>33348.262496329997</v>
      </c>
      <c r="AD71" s="30">
        <v>8.8695536365498401E-2</v>
      </c>
      <c r="AE71" s="29">
        <v>24131.546304112399</v>
      </c>
      <c r="AF71" s="30">
        <v>5.8261495923149602E-2</v>
      </c>
      <c r="AG71" s="29">
        <v>20587.892700768101</v>
      </c>
      <c r="AH71" s="30">
        <v>5.9388251516999398E-2</v>
      </c>
      <c r="AI71" s="29">
        <v>12731.862352284599</v>
      </c>
      <c r="AJ71" s="30">
        <v>-4.5705453615888798E-2</v>
      </c>
      <c r="AK71" s="29">
        <v>43760.945871728603</v>
      </c>
      <c r="AL71" s="30">
        <v>8.1885439602013693E-2</v>
      </c>
      <c r="AM71" s="29">
        <v>33489.935673374297</v>
      </c>
      <c r="AN71" s="30">
        <v>9.0846775195243507E-2</v>
      </c>
      <c r="AO71" s="29">
        <v>22318.545293336399</v>
      </c>
      <c r="AP71" s="30">
        <v>7.3827003127663299E-2</v>
      </c>
      <c r="AQ71" s="29">
        <v>19934.151102280499</v>
      </c>
      <c r="AR71" s="30">
        <v>8.3504288270518798E-2</v>
      </c>
      <c r="AS71" s="29">
        <v>10576.1663158377</v>
      </c>
      <c r="AT71" s="30">
        <v>5.5376525541217102E-2</v>
      </c>
      <c r="AU71" s="29">
        <v>139818.94656776599</v>
      </c>
      <c r="AV71" s="30">
        <v>2.6935699270620499E-2</v>
      </c>
      <c r="AW71" s="29">
        <v>107631.180524558</v>
      </c>
      <c r="AX71" s="30">
        <v>2.7762344670051502E-2</v>
      </c>
      <c r="AY71" s="29">
        <v>34360.251964328003</v>
      </c>
      <c r="AZ71" s="30">
        <v>2.4533826062944599E-2</v>
      </c>
      <c r="BA71" s="29">
        <v>21587.252642277999</v>
      </c>
      <c r="BB71" s="30">
        <v>6.2745080282280694E-2</v>
      </c>
      <c r="BC71" s="29">
        <v>30735.468038380299</v>
      </c>
      <c r="BD71" s="30">
        <v>7.4988140270716694E-2</v>
      </c>
      <c r="BE71" s="29"/>
      <c r="BF71" s="30"/>
    </row>
    <row r="72" spans="1:58" x14ac:dyDescent="0.2">
      <c r="A72" s="28">
        <v>1995</v>
      </c>
      <c r="B72" s="28">
        <v>1</v>
      </c>
      <c r="C72" s="29">
        <v>113095.51314721401</v>
      </c>
      <c r="D72" s="30">
        <v>-2.0776914125574301E-3</v>
      </c>
      <c r="E72" s="29">
        <v>113878.595076062</v>
      </c>
      <c r="F72" s="30">
        <v>2.4726218555080299E-2</v>
      </c>
      <c r="G72" s="29">
        <v>78668.683437168394</v>
      </c>
      <c r="H72" s="30">
        <v>8.15202904113921E-3</v>
      </c>
      <c r="I72" s="29">
        <v>62499.6750811479</v>
      </c>
      <c r="J72" s="30">
        <v>7.0264766645546902E-3</v>
      </c>
      <c r="K72" s="29">
        <v>16422.868952168799</v>
      </c>
      <c r="L72" s="30">
        <v>1.3302519775339401E-2</v>
      </c>
      <c r="M72" s="29">
        <v>35181.709427300899</v>
      </c>
      <c r="N72" s="30">
        <v>6.5175484559867505E-2</v>
      </c>
      <c r="O72" s="29">
        <v>26829.418294242801</v>
      </c>
      <c r="P72" s="30">
        <v>7.2413243377117201E-2</v>
      </c>
      <c r="Q72" s="29">
        <v>12222.531832716901</v>
      </c>
      <c r="R72" s="30">
        <v>-3.5370123694550101E-2</v>
      </c>
      <c r="S72" s="29">
        <v>15134.9551307076</v>
      </c>
      <c r="T72" s="30">
        <v>0.14867139338220201</v>
      </c>
      <c r="U72" s="29"/>
      <c r="V72" s="30"/>
      <c r="W72" s="29"/>
      <c r="X72" s="30"/>
      <c r="Y72" s="29"/>
      <c r="Z72" s="30"/>
      <c r="AA72" s="29">
        <v>45585.899371132196</v>
      </c>
      <c r="AB72" s="30">
        <v>3.0048337726632301E-2</v>
      </c>
      <c r="AC72" s="29">
        <v>32582.711527392901</v>
      </c>
      <c r="AD72" s="30">
        <v>8.56237704489098E-2</v>
      </c>
      <c r="AE72" s="29">
        <v>22583.167217113401</v>
      </c>
      <c r="AF72" s="30">
        <v>8.5630269143173194E-3</v>
      </c>
      <c r="AG72" s="29">
        <v>19260.296636934199</v>
      </c>
      <c r="AH72" s="30">
        <v>2.1084245283456302E-2</v>
      </c>
      <c r="AI72" s="29">
        <v>12954.4077774586</v>
      </c>
      <c r="AJ72" s="30">
        <v>-9.0628823573179695E-2</v>
      </c>
      <c r="AK72" s="29">
        <v>44273.431285743303</v>
      </c>
      <c r="AL72" s="30">
        <v>0.106626552393995</v>
      </c>
      <c r="AM72" s="29">
        <v>33800.426772664403</v>
      </c>
      <c r="AN72" s="30">
        <v>0.129561103829019</v>
      </c>
      <c r="AO72" s="29">
        <v>21903.231501388502</v>
      </c>
      <c r="AP72" s="30">
        <v>5.1817980643930499E-2</v>
      </c>
      <c r="AQ72" s="29">
        <v>19797.341316866801</v>
      </c>
      <c r="AR72" s="30">
        <v>8.5559956584282795E-2</v>
      </c>
      <c r="AS72" s="29">
        <v>10785.2897453392</v>
      </c>
      <c r="AT72" s="30">
        <v>4.32062600977179E-2</v>
      </c>
      <c r="AU72" s="29">
        <v>136204.776868616</v>
      </c>
      <c r="AV72" s="30">
        <v>1.40380914190672E-2</v>
      </c>
      <c r="AW72" s="29">
        <v>105274.52521068499</v>
      </c>
      <c r="AX72" s="30">
        <v>2.55646673607435E-2</v>
      </c>
      <c r="AY72" s="29">
        <v>33101.112551390303</v>
      </c>
      <c r="AZ72" s="30">
        <v>-1.6598489163334701E-2</v>
      </c>
      <c r="BA72" s="29">
        <v>20248.887087548101</v>
      </c>
      <c r="BB72" s="30">
        <v>2.5581437838873001E-2</v>
      </c>
      <c r="BC72" s="29">
        <v>30759.426934603202</v>
      </c>
      <c r="BD72" s="30">
        <v>7.2563725676622295E-2</v>
      </c>
      <c r="BE72" s="29"/>
      <c r="BF72" s="30"/>
    </row>
    <row r="73" spans="1:58" x14ac:dyDescent="0.2">
      <c r="A73" s="28">
        <v>1995</v>
      </c>
      <c r="B73" s="28">
        <v>2</v>
      </c>
      <c r="C73" s="29">
        <v>114706.514320298</v>
      </c>
      <c r="D73" s="30">
        <v>1.2026050217169799E-2</v>
      </c>
      <c r="E73" s="29">
        <v>117115.46623900101</v>
      </c>
      <c r="F73" s="30">
        <v>1.4462128365540399E-2</v>
      </c>
      <c r="G73" s="29">
        <v>78577.561446329302</v>
      </c>
      <c r="H73" s="30">
        <v>1.42267640337468E-2</v>
      </c>
      <c r="I73" s="29">
        <v>62466.784856793201</v>
      </c>
      <c r="J73" s="30">
        <v>1.25357467737901E-2</v>
      </c>
      <c r="K73" s="29">
        <v>16356.5627000393</v>
      </c>
      <c r="L73" s="30">
        <v>2.2037134716901101E-2</v>
      </c>
      <c r="M73" s="29">
        <v>38577.9537333915</v>
      </c>
      <c r="N73" s="30">
        <v>1.48562816999727E-2</v>
      </c>
      <c r="O73" s="29">
        <v>29068.5047204533</v>
      </c>
      <c r="P73" s="30">
        <v>4.5782453931916003E-2</v>
      </c>
      <c r="Q73" s="29">
        <v>14677.0780598608</v>
      </c>
      <c r="R73" s="30">
        <v>-3.7669304480581103E-2</v>
      </c>
      <c r="S73" s="29">
        <v>15348.418847478601</v>
      </c>
      <c r="T73" s="30">
        <v>0.113203334482187</v>
      </c>
      <c r="U73" s="29"/>
      <c r="V73" s="30"/>
      <c r="W73" s="29"/>
      <c r="X73" s="30"/>
      <c r="Y73" s="29"/>
      <c r="Z73" s="30"/>
      <c r="AA73" s="29">
        <v>45488.961992221397</v>
      </c>
      <c r="AB73" s="30">
        <v>5.04575450618934E-2</v>
      </c>
      <c r="AC73" s="29">
        <v>32426.757902492802</v>
      </c>
      <c r="AD73" s="30">
        <v>7.9045880304585897E-2</v>
      </c>
      <c r="AE73" s="29">
        <v>23064.929603808301</v>
      </c>
      <c r="AF73" s="30">
        <v>4.6554561917196799E-2</v>
      </c>
      <c r="AG73" s="29">
        <v>19641.366695689001</v>
      </c>
      <c r="AH73" s="30">
        <v>5.7850789763487197E-2</v>
      </c>
      <c r="AI73" s="29">
        <v>13016.1493370635</v>
      </c>
      <c r="AJ73" s="30">
        <v>-1.64250105522342E-2</v>
      </c>
      <c r="AK73" s="29">
        <v>45720.986670592501</v>
      </c>
      <c r="AL73" s="30">
        <v>6.0264447531087402E-2</v>
      </c>
      <c r="AM73" s="29">
        <v>35047.1439085854</v>
      </c>
      <c r="AN73" s="30">
        <v>6.5501991015039604E-2</v>
      </c>
      <c r="AO73" s="29">
        <v>22673.062586444499</v>
      </c>
      <c r="AP73" s="30">
        <v>5.6723003781410597E-2</v>
      </c>
      <c r="AQ73" s="29">
        <v>20265.535465739798</v>
      </c>
      <c r="AR73" s="30">
        <v>5.8096333187280802E-2</v>
      </c>
      <c r="AS73" s="29">
        <v>11003.3106844247</v>
      </c>
      <c r="AT73" s="30">
        <v>4.5294680353858301E-2</v>
      </c>
      <c r="AU73" s="29">
        <v>139012.96884548999</v>
      </c>
      <c r="AV73" s="30">
        <v>2.62186927234422E-2</v>
      </c>
      <c r="AW73" s="29">
        <v>107666.89682694701</v>
      </c>
      <c r="AX73" s="30">
        <v>2.3428712385630001E-2</v>
      </c>
      <c r="AY73" s="29">
        <v>33589.969952344603</v>
      </c>
      <c r="AZ73" s="30">
        <v>3.40783664165802E-2</v>
      </c>
      <c r="BA73" s="29">
        <v>20649.970898915999</v>
      </c>
      <c r="BB73" s="30">
        <v>6.11351437010728E-2</v>
      </c>
      <c r="BC73" s="29">
        <v>31455.206937546402</v>
      </c>
      <c r="BD73" s="30">
        <v>5.4168223550792101E-2</v>
      </c>
      <c r="BE73" s="29"/>
      <c r="BF73" s="30"/>
    </row>
    <row r="74" spans="1:58" x14ac:dyDescent="0.2">
      <c r="A74" s="28">
        <v>1995</v>
      </c>
      <c r="B74" s="28">
        <v>3</v>
      </c>
      <c r="C74" s="29">
        <v>114912.807126364</v>
      </c>
      <c r="D74" s="30">
        <v>6.1970887195805799E-3</v>
      </c>
      <c r="E74" s="29">
        <v>114940.162437986</v>
      </c>
      <c r="F74" s="30">
        <v>1.2903817346917999E-2</v>
      </c>
      <c r="G74" s="29">
        <v>79014.550484485997</v>
      </c>
      <c r="H74" s="30">
        <v>9.3327376434610993E-3</v>
      </c>
      <c r="I74" s="29">
        <v>62821.1625979112</v>
      </c>
      <c r="J74" s="30">
        <v>1.0283077212842801E-2</v>
      </c>
      <c r="K74" s="29">
        <v>16439.1651922198</v>
      </c>
      <c r="L74" s="30">
        <v>4.9821461717856098E-3</v>
      </c>
      <c r="M74" s="29">
        <v>35908.644098650402</v>
      </c>
      <c r="N74" s="30">
        <v>2.1122053872344001E-2</v>
      </c>
      <c r="O74" s="29">
        <v>28903.046657422001</v>
      </c>
      <c r="P74" s="30">
        <v>2.9395424313350099E-2</v>
      </c>
      <c r="Q74" s="29">
        <v>15320.186092202901</v>
      </c>
      <c r="R74" s="30">
        <v>-4.5524211511358499E-2</v>
      </c>
      <c r="S74" s="29">
        <v>14729.354122570599</v>
      </c>
      <c r="T74" s="30">
        <v>9.4332630449506905E-2</v>
      </c>
      <c r="U74" s="29"/>
      <c r="V74" s="30"/>
      <c r="W74" s="29"/>
      <c r="X74" s="30"/>
      <c r="Y74" s="29"/>
      <c r="Z74" s="30"/>
      <c r="AA74" s="29">
        <v>44864.331419706003</v>
      </c>
      <c r="AB74" s="30">
        <v>3.9465153048885003E-2</v>
      </c>
      <c r="AC74" s="29">
        <v>30929.237617800401</v>
      </c>
      <c r="AD74" s="30">
        <v>5.6778272925924099E-2</v>
      </c>
      <c r="AE74" s="29">
        <v>22222.3161674933</v>
      </c>
      <c r="AF74" s="30">
        <v>3.0157472256881999E-2</v>
      </c>
      <c r="AG74" s="29">
        <v>19100.091998615499</v>
      </c>
      <c r="AH74" s="30">
        <v>3.7054556780395903E-2</v>
      </c>
      <c r="AI74" s="29">
        <v>13921.500892284101</v>
      </c>
      <c r="AJ74" s="30">
        <v>1.84959712661281E-3</v>
      </c>
      <c r="AK74" s="29">
        <v>42721.953077600599</v>
      </c>
      <c r="AL74" s="30">
        <v>6.0521769951886503E-2</v>
      </c>
      <c r="AM74" s="29">
        <v>31691.061951928001</v>
      </c>
      <c r="AN74" s="30">
        <v>7.0982296152899901E-2</v>
      </c>
      <c r="AO74" s="29">
        <v>20929.1127213375</v>
      </c>
      <c r="AP74" s="30">
        <v>1.3309826145978801E-2</v>
      </c>
      <c r="AQ74" s="29">
        <v>18995.862756816401</v>
      </c>
      <c r="AR74" s="30">
        <v>3.1157775435153998E-2</v>
      </c>
      <c r="AS74" s="29">
        <v>11286.6870867827</v>
      </c>
      <c r="AT74" s="30">
        <v>3.2582330141916097E-2</v>
      </c>
      <c r="AU74" s="29">
        <v>139422.11865502899</v>
      </c>
      <c r="AV74" s="30">
        <v>1.7972422253215398E-2</v>
      </c>
      <c r="AW74" s="29">
        <v>107903.36354049201</v>
      </c>
      <c r="AX74" s="30">
        <v>1.51706784517136E-2</v>
      </c>
      <c r="AY74" s="29">
        <v>33759.007155920102</v>
      </c>
      <c r="AZ74" s="30">
        <v>2.5846828087998201E-2</v>
      </c>
      <c r="BA74" s="29">
        <v>20092.546676017701</v>
      </c>
      <c r="BB74" s="30">
        <v>3.9549562209041801E-2</v>
      </c>
      <c r="BC74" s="29">
        <v>30315.859480126401</v>
      </c>
      <c r="BD74" s="30">
        <v>3.18363136155888E-2</v>
      </c>
      <c r="BE74" s="29"/>
      <c r="BF74" s="30"/>
    </row>
    <row r="75" spans="1:58" x14ac:dyDescent="0.2">
      <c r="A75" s="28">
        <v>1995</v>
      </c>
      <c r="B75" s="28">
        <v>4</v>
      </c>
      <c r="C75" s="29">
        <v>118342.733684823</v>
      </c>
      <c r="D75" s="30">
        <v>3.1457986711609402E-3</v>
      </c>
      <c r="E75" s="29">
        <v>118908.04877920001</v>
      </c>
      <c r="F75" s="30">
        <v>9.0648163446895892E-3</v>
      </c>
      <c r="G75" s="29">
        <v>80467.128259734498</v>
      </c>
      <c r="H75" s="30">
        <v>4.97130197548179E-3</v>
      </c>
      <c r="I75" s="29">
        <v>64204.0611913709</v>
      </c>
      <c r="J75" s="30">
        <v>5.5722215150020302E-3</v>
      </c>
      <c r="K75" s="29">
        <v>16468.453506614402</v>
      </c>
      <c r="L75" s="30">
        <v>2.2036970681360598E-3</v>
      </c>
      <c r="M75" s="29">
        <v>38461.2021410097</v>
      </c>
      <c r="N75" s="30">
        <v>1.7954740748980399E-2</v>
      </c>
      <c r="O75" s="29">
        <v>29129.542676972698</v>
      </c>
      <c r="P75" s="30">
        <v>4.99894341935481E-2</v>
      </c>
      <c r="Q75" s="29">
        <v>14239.580004027201</v>
      </c>
      <c r="R75" s="30">
        <v>-2.4514506006805499E-2</v>
      </c>
      <c r="S75" s="29">
        <v>15723.3224085608</v>
      </c>
      <c r="T75" s="30">
        <v>0.106139795588914</v>
      </c>
      <c r="U75" s="29"/>
      <c r="V75" s="30"/>
      <c r="W75" s="29"/>
      <c r="X75" s="30"/>
      <c r="Y75" s="29"/>
      <c r="Z75" s="30"/>
      <c r="AA75" s="29">
        <v>45912.995916213797</v>
      </c>
      <c r="AB75" s="30">
        <v>-4.9609777590378101E-3</v>
      </c>
      <c r="AC75" s="29">
        <v>33293.4766786287</v>
      </c>
      <c r="AD75" s="30">
        <v>-1.6428387448182999E-3</v>
      </c>
      <c r="AE75" s="29">
        <v>24333.684630454602</v>
      </c>
      <c r="AF75" s="30">
        <v>8.3765177661985196E-3</v>
      </c>
      <c r="AG75" s="29">
        <v>20851.223350979701</v>
      </c>
      <c r="AH75" s="30">
        <v>1.2790558705497499E-2</v>
      </c>
      <c r="AI75" s="29">
        <v>12555.9613156211</v>
      </c>
      <c r="AJ75" s="30">
        <v>-1.38158135704255E-2</v>
      </c>
      <c r="AK75" s="29">
        <v>44225.157729063198</v>
      </c>
      <c r="AL75" s="30">
        <v>1.0607902733529699E-2</v>
      </c>
      <c r="AM75" s="29">
        <v>33540.452395645501</v>
      </c>
      <c r="AN75" s="30">
        <v>1.50841502844012E-3</v>
      </c>
      <c r="AO75" s="29">
        <v>22813.554821071</v>
      </c>
      <c r="AP75" s="30">
        <v>2.2179291760671599E-2</v>
      </c>
      <c r="AQ75" s="29">
        <v>20582.469539332898</v>
      </c>
      <c r="AR75" s="30">
        <v>3.2523002044373597E-2</v>
      </c>
      <c r="AS75" s="29">
        <v>10985.662646426799</v>
      </c>
      <c r="AT75" s="30">
        <v>3.8718786974434302E-2</v>
      </c>
      <c r="AU75" s="29">
        <v>141824.292413627</v>
      </c>
      <c r="AV75" s="30">
        <v>1.43424471081228E-2</v>
      </c>
      <c r="AW75" s="29">
        <v>109549.39029680099</v>
      </c>
      <c r="AX75" s="30">
        <v>1.7822063856342701E-2</v>
      </c>
      <c r="AY75" s="29">
        <v>34526.593077954902</v>
      </c>
      <c r="AZ75" s="30">
        <v>4.8410912061880298E-3</v>
      </c>
      <c r="BA75" s="29">
        <v>21873.952065111702</v>
      </c>
      <c r="BB75" s="30">
        <v>1.32809592579728E-2</v>
      </c>
      <c r="BC75" s="29">
        <v>31784.981851455501</v>
      </c>
      <c r="BD75" s="30">
        <v>3.4146667679326899E-2</v>
      </c>
      <c r="BE75" s="29"/>
      <c r="BF75" s="30"/>
    </row>
    <row r="76" spans="1:58" x14ac:dyDescent="0.2">
      <c r="A76" s="28">
        <v>1996</v>
      </c>
      <c r="B76" s="28">
        <v>1</v>
      </c>
      <c r="C76" s="29">
        <v>114552.455156155</v>
      </c>
      <c r="D76" s="30">
        <v>1.28824032748711E-2</v>
      </c>
      <c r="E76" s="29">
        <v>115000.39423203201</v>
      </c>
      <c r="F76" s="30">
        <v>9.8508341731859995E-3</v>
      </c>
      <c r="G76" s="29">
        <v>79893.354510744393</v>
      </c>
      <c r="H76" s="30">
        <v>1.55674535287491E-2</v>
      </c>
      <c r="I76" s="29">
        <v>63539.815257171198</v>
      </c>
      <c r="J76" s="30">
        <v>1.6642329334877901E-2</v>
      </c>
      <c r="K76" s="29">
        <v>16598.5082211962</v>
      </c>
      <c r="L76" s="30">
        <v>1.0694798182884E-2</v>
      </c>
      <c r="M76" s="29">
        <v>35008.765248727803</v>
      </c>
      <c r="N76" s="30">
        <v>-4.9157412015590199E-3</v>
      </c>
      <c r="O76" s="29">
        <v>26806.645225818898</v>
      </c>
      <c r="P76" s="30">
        <v>-8.4880962285904804E-4</v>
      </c>
      <c r="Q76" s="29">
        <v>11780.5247068513</v>
      </c>
      <c r="R76" s="30">
        <v>-3.6163303308608202E-2</v>
      </c>
      <c r="S76" s="29">
        <v>15514.0565127422</v>
      </c>
      <c r="T76" s="30">
        <v>2.5048067784851899E-2</v>
      </c>
      <c r="U76" s="29"/>
      <c r="V76" s="30"/>
      <c r="W76" s="29"/>
      <c r="X76" s="30"/>
      <c r="Y76" s="29"/>
      <c r="Z76" s="30"/>
      <c r="AA76" s="29">
        <v>47515.176462683703</v>
      </c>
      <c r="AB76" s="30">
        <v>4.2321795076248697E-2</v>
      </c>
      <c r="AC76" s="29">
        <v>33470.642221331698</v>
      </c>
      <c r="AD76" s="30">
        <v>2.72515899480117E-2</v>
      </c>
      <c r="AE76" s="29">
        <v>23593.831712347299</v>
      </c>
      <c r="AF76" s="30">
        <v>4.4753000565306303E-2</v>
      </c>
      <c r="AG76" s="29">
        <v>20330.1559127328</v>
      </c>
      <c r="AH76" s="30">
        <v>5.5547393478198898E-2</v>
      </c>
      <c r="AI76" s="29">
        <v>13990.195661236899</v>
      </c>
      <c r="AJ76" s="30">
        <v>7.9956405693873495E-2</v>
      </c>
      <c r="AK76" s="29">
        <v>45933.528815992402</v>
      </c>
      <c r="AL76" s="30">
        <v>3.74964732129002E-2</v>
      </c>
      <c r="AM76" s="29">
        <v>34765.697329496601</v>
      </c>
      <c r="AN76" s="30">
        <v>2.8557939913731002E-2</v>
      </c>
      <c r="AO76" s="29">
        <v>22771.8031483419</v>
      </c>
      <c r="AP76" s="30">
        <v>3.9654954425255101E-2</v>
      </c>
      <c r="AQ76" s="29">
        <v>20389.0090965526</v>
      </c>
      <c r="AR76" s="30">
        <v>2.98862241255466E-2</v>
      </c>
      <c r="AS76" s="29">
        <v>11477.038182350099</v>
      </c>
      <c r="AT76" s="30">
        <v>6.4138141240931201E-2</v>
      </c>
      <c r="AU76" s="29">
        <v>139615.396068075</v>
      </c>
      <c r="AV76" s="30">
        <v>2.5040378743463401E-2</v>
      </c>
      <c r="AW76" s="29">
        <v>106496.188960096</v>
      </c>
      <c r="AX76" s="30">
        <v>1.16045524495709E-2</v>
      </c>
      <c r="AY76" s="29">
        <v>35155.986038018702</v>
      </c>
      <c r="AZ76" s="30">
        <v>6.2078683410960997E-2</v>
      </c>
      <c r="BA76" s="29">
        <v>21313.553861429002</v>
      </c>
      <c r="BB76" s="30">
        <v>5.2579026653550603E-2</v>
      </c>
      <c r="BC76" s="29">
        <v>31991.1285220149</v>
      </c>
      <c r="BD76" s="30">
        <v>4.0043060295966E-2</v>
      </c>
      <c r="BE76" s="29"/>
      <c r="BF76" s="30"/>
    </row>
    <row r="77" spans="1:58" x14ac:dyDescent="0.2">
      <c r="A77" s="28">
        <v>1996</v>
      </c>
      <c r="B77" s="28">
        <v>2</v>
      </c>
      <c r="C77" s="29">
        <v>115377.986250338</v>
      </c>
      <c r="D77" s="30">
        <v>5.8538256002171902E-3</v>
      </c>
      <c r="E77" s="29">
        <v>117754.612182312</v>
      </c>
      <c r="F77" s="30">
        <v>5.4573999817104603E-3</v>
      </c>
      <c r="G77" s="29">
        <v>79669.459460978105</v>
      </c>
      <c r="H77" s="30">
        <v>1.38957991893738E-2</v>
      </c>
      <c r="I77" s="29">
        <v>63309.395639277704</v>
      </c>
      <c r="J77" s="30">
        <v>1.3488941113525299E-2</v>
      </c>
      <c r="K77" s="29">
        <v>16615.501068583701</v>
      </c>
      <c r="L77" s="30">
        <v>1.5830854764111502E-2</v>
      </c>
      <c r="M77" s="29">
        <v>38126.495493232404</v>
      </c>
      <c r="N77" s="30">
        <v>-1.1702493172114499E-2</v>
      </c>
      <c r="O77" s="29">
        <v>28940.169230501098</v>
      </c>
      <c r="P77" s="30">
        <v>-4.4149326285073398E-3</v>
      </c>
      <c r="Q77" s="29">
        <v>13990.681899054</v>
      </c>
      <c r="R77" s="30">
        <v>-4.6766540179682597E-2</v>
      </c>
      <c r="S77" s="29">
        <v>15753.2511129669</v>
      </c>
      <c r="T77" s="30">
        <v>2.6376154411161999E-2</v>
      </c>
      <c r="U77" s="29"/>
      <c r="V77" s="30"/>
      <c r="W77" s="29"/>
      <c r="X77" s="30"/>
      <c r="Y77" s="29"/>
      <c r="Z77" s="30"/>
      <c r="AA77" s="29">
        <v>45979.984787738598</v>
      </c>
      <c r="AB77" s="30">
        <v>1.07943284263385E-2</v>
      </c>
      <c r="AC77" s="29">
        <v>32431.986412661001</v>
      </c>
      <c r="AD77" s="30">
        <v>1.6124060826094901E-4</v>
      </c>
      <c r="AE77" s="29">
        <v>23819.784379626599</v>
      </c>
      <c r="AF77" s="30">
        <v>3.27273826014036E-2</v>
      </c>
      <c r="AG77" s="29">
        <v>20451.617211096102</v>
      </c>
      <c r="AH77" s="30">
        <v>4.1252247257570498E-2</v>
      </c>
      <c r="AI77" s="29">
        <v>13496.7748979553</v>
      </c>
      <c r="AJ77" s="30">
        <v>3.69253262578342E-2</v>
      </c>
      <c r="AK77" s="29">
        <v>46244.7679382965</v>
      </c>
      <c r="AL77" s="30">
        <v>1.14560359661036E-2</v>
      </c>
      <c r="AM77" s="29">
        <v>35054.497760029801</v>
      </c>
      <c r="AN77" s="30">
        <v>2.0982741029151899E-4</v>
      </c>
      <c r="AO77" s="29">
        <v>22971.165812819301</v>
      </c>
      <c r="AP77" s="30">
        <v>1.3147902945980399E-2</v>
      </c>
      <c r="AQ77" s="29">
        <v>20371.2492881812</v>
      </c>
      <c r="AR77" s="30">
        <v>5.2164337142781604E-3</v>
      </c>
      <c r="AS77" s="29">
        <v>11504.076318044599</v>
      </c>
      <c r="AT77" s="30">
        <v>4.5510451170728501E-2</v>
      </c>
      <c r="AU77" s="29">
        <v>141253.25424399099</v>
      </c>
      <c r="AV77" s="30">
        <v>1.6115657532574299E-2</v>
      </c>
      <c r="AW77" s="29">
        <v>108563.190854439</v>
      </c>
      <c r="AX77" s="30">
        <v>8.3246945338548706E-3</v>
      </c>
      <c r="AY77" s="29">
        <v>34859.436113522897</v>
      </c>
      <c r="AZ77" s="30">
        <v>3.7793012705261503E-2</v>
      </c>
      <c r="BA77" s="29">
        <v>21440.761232479599</v>
      </c>
      <c r="BB77" s="30">
        <v>3.8294985374780897E-2</v>
      </c>
      <c r="BC77" s="29">
        <v>31994.293149835699</v>
      </c>
      <c r="BD77" s="30">
        <v>1.7138218589999098E-2</v>
      </c>
      <c r="BE77" s="29"/>
      <c r="BF77" s="30"/>
    </row>
    <row r="78" spans="1:58" x14ac:dyDescent="0.2">
      <c r="A78" s="28">
        <v>1996</v>
      </c>
      <c r="B78" s="28">
        <v>3</v>
      </c>
      <c r="C78" s="29">
        <v>114728.268600054</v>
      </c>
      <c r="D78" s="30">
        <v>-1.6059004294193299E-3</v>
      </c>
      <c r="E78" s="29">
        <v>115078.110431658</v>
      </c>
      <c r="F78" s="30">
        <v>1.2001722526446799E-3</v>
      </c>
      <c r="G78" s="29">
        <v>79986.588998188396</v>
      </c>
      <c r="H78" s="30">
        <v>1.2302019156500201E-2</v>
      </c>
      <c r="I78" s="29">
        <v>63599.688757206997</v>
      </c>
      <c r="J78" s="30">
        <v>1.2392737209892399E-2</v>
      </c>
      <c r="K78" s="29">
        <v>16635.196920933598</v>
      </c>
      <c r="L78" s="30">
        <v>1.19246766135397E-2</v>
      </c>
      <c r="M78" s="29">
        <v>34990.573813067604</v>
      </c>
      <c r="N78" s="30">
        <v>-2.5566832405607899E-2</v>
      </c>
      <c r="O78" s="29">
        <v>28701.655179578702</v>
      </c>
      <c r="P78" s="30">
        <v>-6.9678286939920397E-3</v>
      </c>
      <c r="Q78" s="29">
        <v>14326.528633099701</v>
      </c>
      <c r="R78" s="30">
        <v>-6.4859359613712003E-2</v>
      </c>
      <c r="S78" s="29">
        <v>15270.467258021299</v>
      </c>
      <c r="T78" s="30">
        <v>3.6737057914948398E-2</v>
      </c>
      <c r="U78" s="29"/>
      <c r="V78" s="30"/>
      <c r="W78" s="29"/>
      <c r="X78" s="30"/>
      <c r="Y78" s="29"/>
      <c r="Z78" s="30"/>
      <c r="AA78" s="29">
        <v>46477.255293348302</v>
      </c>
      <c r="AB78" s="30">
        <v>3.59511403068382E-2</v>
      </c>
      <c r="AC78" s="29">
        <v>32182.868442708401</v>
      </c>
      <c r="AD78" s="30">
        <v>4.0532225216781903E-2</v>
      </c>
      <c r="AE78" s="29">
        <v>23000.712089108401</v>
      </c>
      <c r="AF78" s="30">
        <v>3.5027668391910599E-2</v>
      </c>
      <c r="AG78" s="29">
        <v>19642.2907708483</v>
      </c>
      <c r="AH78" s="30">
        <v>2.8387233541707E-2</v>
      </c>
      <c r="AI78" s="29">
        <v>14223.539820989299</v>
      </c>
      <c r="AJ78" s="30">
        <v>2.1695859594608E-2</v>
      </c>
      <c r="AK78" s="29">
        <v>44723.892893727803</v>
      </c>
      <c r="AL78" s="30">
        <v>4.6859744742728603E-2</v>
      </c>
      <c r="AM78" s="29">
        <v>33067.557361935797</v>
      </c>
      <c r="AN78" s="30">
        <v>4.3434814904460099E-2</v>
      </c>
      <c r="AO78" s="29">
        <v>21860.866748774199</v>
      </c>
      <c r="AP78" s="30">
        <v>4.4519518808210999E-2</v>
      </c>
      <c r="AQ78" s="29">
        <v>19749.756724948002</v>
      </c>
      <c r="AR78" s="30">
        <v>3.9687271790858999E-2</v>
      </c>
      <c r="AS78" s="29">
        <v>11920.582476469899</v>
      </c>
      <c r="AT78" s="30">
        <v>5.6163104798880897E-2</v>
      </c>
      <c r="AU78" s="29">
        <v>141063.048450656</v>
      </c>
      <c r="AV78" s="30">
        <v>1.1769508392618399E-2</v>
      </c>
      <c r="AW78" s="29">
        <v>108616.509872733</v>
      </c>
      <c r="AX78" s="30">
        <v>6.6091205022848999E-3</v>
      </c>
      <c r="AY78" s="29">
        <v>34639.512052550002</v>
      </c>
      <c r="AZ78" s="30">
        <v>2.60820732245826E-2</v>
      </c>
      <c r="BA78" s="29">
        <v>20641.5479248989</v>
      </c>
      <c r="BB78" s="30">
        <v>2.73236269017356E-2</v>
      </c>
      <c r="BC78" s="29">
        <v>31661.241511047701</v>
      </c>
      <c r="BD78" s="30">
        <v>4.4378818677507398E-2</v>
      </c>
      <c r="BE78" s="29"/>
      <c r="BF78" s="30"/>
    </row>
    <row r="79" spans="1:58" x14ac:dyDescent="0.2">
      <c r="A79" s="28">
        <v>1996</v>
      </c>
      <c r="B79" s="28">
        <v>4</v>
      </c>
      <c r="C79" s="29">
        <v>118981.54987271799</v>
      </c>
      <c r="D79" s="30">
        <v>5.3980178419390503E-3</v>
      </c>
      <c r="E79" s="29">
        <v>120433.27706100199</v>
      </c>
      <c r="F79" s="30">
        <v>1.2826955765072199E-2</v>
      </c>
      <c r="G79" s="29">
        <v>81748.576952156203</v>
      </c>
      <c r="H79" s="30">
        <v>1.59251202340094E-2</v>
      </c>
      <c r="I79" s="29">
        <v>65319.627656168399</v>
      </c>
      <c r="J79" s="30">
        <v>1.7375325549459999E-2</v>
      </c>
      <c r="K79" s="29">
        <v>16614.762937596999</v>
      </c>
      <c r="L79" s="30">
        <v>8.8842240665651905E-3</v>
      </c>
      <c r="M79" s="29">
        <v>38709.260617301697</v>
      </c>
      <c r="N79" s="30">
        <v>6.4495767808461198E-3</v>
      </c>
      <c r="O79" s="29">
        <v>28058.5604986486</v>
      </c>
      <c r="P79" s="30">
        <v>-3.6766185799773601E-2</v>
      </c>
      <c r="Q79" s="29">
        <v>12760.421376259301</v>
      </c>
      <c r="R79" s="30">
        <v>-0.10387656288665401</v>
      </c>
      <c r="S79" s="29">
        <v>15902.3999909461</v>
      </c>
      <c r="T79" s="30">
        <v>1.13892965959794E-2</v>
      </c>
      <c r="U79" s="29"/>
      <c r="V79" s="30"/>
      <c r="W79" s="29"/>
      <c r="X79" s="30"/>
      <c r="Y79" s="29"/>
      <c r="Z79" s="30"/>
      <c r="AA79" s="29">
        <v>48382.205760042503</v>
      </c>
      <c r="AB79" s="30">
        <v>5.3780194355748497E-2</v>
      </c>
      <c r="AC79" s="29">
        <v>35068.691247909301</v>
      </c>
      <c r="AD79" s="30">
        <v>5.33201920128736E-2</v>
      </c>
      <c r="AE79" s="29">
        <v>25204.5951060675</v>
      </c>
      <c r="AF79" s="30">
        <v>3.5790324763346898E-2</v>
      </c>
      <c r="AG79" s="29">
        <v>21605.973813614899</v>
      </c>
      <c r="AH79" s="30">
        <v>3.6196939140251697E-2</v>
      </c>
      <c r="AI79" s="29">
        <v>13289.5701741965</v>
      </c>
      <c r="AJ79" s="30">
        <v>5.8427135934439697E-2</v>
      </c>
      <c r="AK79" s="29">
        <v>47690.725085909398</v>
      </c>
      <c r="AL79" s="30">
        <v>7.8361899308021302E-2</v>
      </c>
      <c r="AM79" s="29">
        <v>36589.637671490404</v>
      </c>
      <c r="AN79" s="30">
        <v>9.0910678242396306E-2</v>
      </c>
      <c r="AO79" s="29">
        <v>23531.162714708898</v>
      </c>
      <c r="AP79" s="30">
        <v>3.1455329924080101E-2</v>
      </c>
      <c r="AQ79" s="29">
        <v>21167.597561752402</v>
      </c>
      <c r="AR79" s="30">
        <v>2.84284653647318E-2</v>
      </c>
      <c r="AS79" s="29">
        <v>11445.361384048099</v>
      </c>
      <c r="AT79" s="30">
        <v>4.1845335362707098E-2</v>
      </c>
      <c r="AU79" s="29">
        <v>143580.088579779</v>
      </c>
      <c r="AV79" s="30">
        <v>1.2380080564977001E-2</v>
      </c>
      <c r="AW79" s="29">
        <v>109643.280118788</v>
      </c>
      <c r="AX79" s="30">
        <v>8.5705471963470903E-4</v>
      </c>
      <c r="AY79" s="29">
        <v>36047.763459877096</v>
      </c>
      <c r="AZ79" s="30">
        <v>4.4057934661773102E-2</v>
      </c>
      <c r="BA79" s="29">
        <v>22717.343108187401</v>
      </c>
      <c r="BB79" s="30">
        <v>3.8556866201644197E-2</v>
      </c>
      <c r="BC79" s="29">
        <v>32819.012040171001</v>
      </c>
      <c r="BD79" s="30">
        <v>3.25320364676598E-2</v>
      </c>
      <c r="BE79" s="29"/>
      <c r="BF79" s="30"/>
    </row>
    <row r="80" spans="1:58" x14ac:dyDescent="0.2">
      <c r="A80" s="28">
        <v>1997</v>
      </c>
      <c r="B80" s="28">
        <v>1</v>
      </c>
      <c r="C80" s="29">
        <v>114327.962213595</v>
      </c>
      <c r="D80" s="30">
        <v>-1.9597392500639902E-3</v>
      </c>
      <c r="E80" s="29">
        <v>114313.221360949</v>
      </c>
      <c r="F80" s="30">
        <v>-5.9753957860064801E-3</v>
      </c>
      <c r="G80" s="29">
        <v>80809.428086734697</v>
      </c>
      <c r="H80" s="30">
        <v>1.1466204937822499E-2</v>
      </c>
      <c r="I80" s="29">
        <v>64413.932943073298</v>
      </c>
      <c r="J80" s="30">
        <v>1.37570070413986E-2</v>
      </c>
      <c r="K80" s="29">
        <v>16612.3381340259</v>
      </c>
      <c r="L80" s="30">
        <v>8.3320215560278598E-4</v>
      </c>
      <c r="M80" s="29">
        <v>33296.644156183902</v>
      </c>
      <c r="N80" s="30">
        <v>-4.8905497819753098E-2</v>
      </c>
      <c r="O80" s="29">
        <v>26938.706529551899</v>
      </c>
      <c r="P80" s="30">
        <v>4.9264390460090901E-3</v>
      </c>
      <c r="Q80" s="29">
        <v>11365.1293715229</v>
      </c>
      <c r="R80" s="30">
        <v>-3.52611913021861E-2</v>
      </c>
      <c r="S80" s="29">
        <v>15952.6828598879</v>
      </c>
      <c r="T80" s="30">
        <v>2.8272834173664701E-2</v>
      </c>
      <c r="U80" s="29"/>
      <c r="V80" s="30"/>
      <c r="W80" s="29"/>
      <c r="X80" s="30"/>
      <c r="Y80" s="29"/>
      <c r="Z80" s="30"/>
      <c r="AA80" s="29">
        <v>50899.515394403199</v>
      </c>
      <c r="AB80" s="30">
        <v>7.1226483487383294E-2</v>
      </c>
      <c r="AC80" s="29">
        <v>35982.126948926001</v>
      </c>
      <c r="AD80" s="30">
        <v>7.5035450798539793E-2</v>
      </c>
      <c r="AE80" s="29">
        <v>24230.844884308201</v>
      </c>
      <c r="AF80" s="30">
        <v>2.69991402722232E-2</v>
      </c>
      <c r="AG80" s="29">
        <v>20516.2279973443</v>
      </c>
      <c r="AH80" s="30">
        <v>9.1525163609276206E-3</v>
      </c>
      <c r="AI80" s="29">
        <v>14863.2276029036</v>
      </c>
      <c r="AJ80" s="30">
        <v>6.2403125932373397E-2</v>
      </c>
      <c r="AK80" s="29">
        <v>49030.274206124202</v>
      </c>
      <c r="AL80" s="30">
        <v>6.7417972665179599E-2</v>
      </c>
      <c r="AM80" s="29">
        <v>37695.163575172999</v>
      </c>
      <c r="AN80" s="30">
        <v>8.4263123443546001E-2</v>
      </c>
      <c r="AO80" s="29">
        <v>24105.344407297998</v>
      </c>
      <c r="AP80" s="30">
        <v>5.8561074424763999E-2</v>
      </c>
      <c r="AQ80" s="29">
        <v>21666.488061942298</v>
      </c>
      <c r="AR80" s="30">
        <v>6.2655274679616499E-2</v>
      </c>
      <c r="AS80" s="29">
        <v>11706.8953297595</v>
      </c>
      <c r="AT80" s="30">
        <v>2.0027566673337601E-2</v>
      </c>
      <c r="AU80" s="29">
        <v>141921.55451608199</v>
      </c>
      <c r="AV80" s="30">
        <v>1.6517937942048599E-2</v>
      </c>
      <c r="AW80" s="29">
        <v>107560.696694158</v>
      </c>
      <c r="AX80" s="30">
        <v>9.9957354761346408E-3</v>
      </c>
      <c r="AY80" s="29">
        <v>36346.279529585998</v>
      </c>
      <c r="AZ80" s="30">
        <v>3.3857491304045299E-2</v>
      </c>
      <c r="BA80" s="29">
        <v>21694.701305368901</v>
      </c>
      <c r="BB80" s="30">
        <v>1.7882866762527701E-2</v>
      </c>
      <c r="BC80" s="29">
        <v>33572.152127056099</v>
      </c>
      <c r="BD80" s="30">
        <v>4.9420688737293897E-2</v>
      </c>
      <c r="BE80" s="29"/>
      <c r="BF80" s="30"/>
    </row>
    <row r="81" spans="1:58" x14ac:dyDescent="0.2">
      <c r="A81" s="28">
        <v>1997</v>
      </c>
      <c r="B81" s="28">
        <v>2</v>
      </c>
      <c r="C81" s="29">
        <v>117506.57665302401</v>
      </c>
      <c r="D81" s="30">
        <v>1.8448843422071499E-2</v>
      </c>
      <c r="E81" s="29">
        <v>117559.543480644</v>
      </c>
      <c r="F81" s="30">
        <v>-1.65656952243631E-3</v>
      </c>
      <c r="G81" s="29">
        <v>80825.805526827593</v>
      </c>
      <c r="H81" s="30">
        <v>1.4514295360769499E-2</v>
      </c>
      <c r="I81" s="29">
        <v>64424.101610286103</v>
      </c>
      <c r="J81" s="30">
        <v>1.7607275503935101E-2</v>
      </c>
      <c r="K81" s="29">
        <v>16619.2031141281</v>
      </c>
      <c r="L81" s="30">
        <v>2.2280673505670201E-4</v>
      </c>
      <c r="M81" s="29">
        <v>36688.2744427367</v>
      </c>
      <c r="N81" s="30">
        <v>-3.77223511337672E-2</v>
      </c>
      <c r="O81" s="29">
        <v>29982.356020612398</v>
      </c>
      <c r="P81" s="30">
        <v>3.60117724886337E-2</v>
      </c>
      <c r="Q81" s="29">
        <v>13692.920774529501</v>
      </c>
      <c r="R81" s="30">
        <v>-2.12828171402204E-2</v>
      </c>
      <c r="S81" s="29">
        <v>16945.170503365702</v>
      </c>
      <c r="T81" s="30">
        <v>7.5661803512912407E-2</v>
      </c>
      <c r="U81" s="29"/>
      <c r="V81" s="30"/>
      <c r="W81" s="29"/>
      <c r="X81" s="30"/>
      <c r="Y81" s="29"/>
      <c r="Z81" s="30"/>
      <c r="AA81" s="29">
        <v>54693.879613754398</v>
      </c>
      <c r="AB81" s="30">
        <v>0.18951495669784199</v>
      </c>
      <c r="AC81" s="29">
        <v>39519.113366750302</v>
      </c>
      <c r="AD81" s="30">
        <v>0.21852275293636</v>
      </c>
      <c r="AE81" s="29">
        <v>27619.550894495002</v>
      </c>
      <c r="AF81" s="30">
        <v>0.159521448822113</v>
      </c>
      <c r="AG81" s="29">
        <v>23711.171872725401</v>
      </c>
      <c r="AH81" s="30">
        <v>0.159378822123702</v>
      </c>
      <c r="AI81" s="29">
        <v>15152.8337080695</v>
      </c>
      <c r="AJ81" s="30">
        <v>0.12270033564574501</v>
      </c>
      <c r="AK81" s="29">
        <v>52969.880761687302</v>
      </c>
      <c r="AL81" s="30">
        <v>0.145424296049317</v>
      </c>
      <c r="AM81" s="29">
        <v>41383.205955387399</v>
      </c>
      <c r="AN81" s="30">
        <v>0.18053912050549301</v>
      </c>
      <c r="AO81" s="29">
        <v>25888.242250572101</v>
      </c>
      <c r="AP81" s="30">
        <v>0.12698861091868899</v>
      </c>
      <c r="AQ81" s="29">
        <v>22866.197617980099</v>
      </c>
      <c r="AR81" s="30">
        <v>0.12247399727450101</v>
      </c>
      <c r="AS81" s="29">
        <v>12033.7681762635</v>
      </c>
      <c r="AT81" s="30">
        <v>4.6043840772164599E-2</v>
      </c>
      <c r="AU81" s="29">
        <v>149101.05524434801</v>
      </c>
      <c r="AV81" s="30">
        <v>5.5558373096324901E-2</v>
      </c>
      <c r="AW81" s="29">
        <v>110766.66964599</v>
      </c>
      <c r="AX81" s="30">
        <v>2.0296739384764801E-2</v>
      </c>
      <c r="AY81" s="29">
        <v>40136.922708379199</v>
      </c>
      <c r="AZ81" s="30">
        <v>0.151393343761205</v>
      </c>
      <c r="BA81" s="29">
        <v>25014.8093343006</v>
      </c>
      <c r="BB81" s="30">
        <v>0.166694086234532</v>
      </c>
      <c r="BC81" s="29">
        <v>35154.474928077201</v>
      </c>
      <c r="BD81" s="30">
        <v>9.8773295707509395E-2</v>
      </c>
      <c r="BE81" s="29"/>
      <c r="BF81" s="30"/>
    </row>
    <row r="82" spans="1:58" x14ac:dyDescent="0.2">
      <c r="A82" s="28">
        <v>1997</v>
      </c>
      <c r="B82" s="28">
        <v>3</v>
      </c>
      <c r="C82" s="29">
        <v>118291.400427313</v>
      </c>
      <c r="D82" s="30">
        <v>3.1057139367116599E-2</v>
      </c>
      <c r="E82" s="29">
        <v>116815.99977223499</v>
      </c>
      <c r="F82" s="30">
        <v>1.5101823744391001E-2</v>
      </c>
      <c r="G82" s="29">
        <v>81433.1982254709</v>
      </c>
      <c r="H82" s="30">
        <v>1.8085647174118601E-2</v>
      </c>
      <c r="I82" s="29">
        <v>64927.2787626762</v>
      </c>
      <c r="J82" s="30">
        <v>2.0874158842777699E-2</v>
      </c>
      <c r="K82" s="29">
        <v>16721.0136201973</v>
      </c>
      <c r="L82" s="30">
        <v>5.1587426149244404E-3</v>
      </c>
      <c r="M82" s="29">
        <v>35255.3595081854</v>
      </c>
      <c r="N82" s="30">
        <v>7.5673436089491704E-3</v>
      </c>
      <c r="O82" s="29">
        <v>30150.804800296901</v>
      </c>
      <c r="P82" s="30">
        <v>5.0490106290083103E-2</v>
      </c>
      <c r="Q82" s="29">
        <v>14100.762111092699</v>
      </c>
      <c r="R82" s="30">
        <v>-1.5758634054965699E-2</v>
      </c>
      <c r="S82" s="29">
        <v>16783.587780984399</v>
      </c>
      <c r="T82" s="30">
        <v>9.9088030339626904E-2</v>
      </c>
      <c r="U82" s="29"/>
      <c r="V82" s="30"/>
      <c r="W82" s="29"/>
      <c r="X82" s="30"/>
      <c r="Y82" s="29"/>
      <c r="Z82" s="30"/>
      <c r="AA82" s="29">
        <v>53903.353463576103</v>
      </c>
      <c r="AB82" s="30">
        <v>0.159779189269179</v>
      </c>
      <c r="AC82" s="29">
        <v>37515.758887934702</v>
      </c>
      <c r="AD82" s="30">
        <v>0.16570587717250199</v>
      </c>
      <c r="AE82" s="29">
        <v>25945.7921181089</v>
      </c>
      <c r="AF82" s="30">
        <v>0.128042993520843</v>
      </c>
      <c r="AG82" s="29">
        <v>22348.419107208902</v>
      </c>
      <c r="AH82" s="30">
        <v>0.13777050589113701</v>
      </c>
      <c r="AI82" s="29">
        <v>16305.207984796099</v>
      </c>
      <c r="AJ82" s="30">
        <v>0.14635373402160701</v>
      </c>
      <c r="AK82" s="29">
        <v>50543.985789249098</v>
      </c>
      <c r="AL82" s="30">
        <v>0.130133861767153</v>
      </c>
      <c r="AM82" s="29">
        <v>38335.144864487098</v>
      </c>
      <c r="AN82" s="30">
        <v>0.159297750508023</v>
      </c>
      <c r="AO82" s="29">
        <v>24871.588268157699</v>
      </c>
      <c r="AP82" s="30">
        <v>0.13772196473190201</v>
      </c>
      <c r="AQ82" s="29">
        <v>22344.076659607199</v>
      </c>
      <c r="AR82" s="30">
        <v>0.13135958942633599</v>
      </c>
      <c r="AS82" s="29">
        <v>12556.002874104501</v>
      </c>
      <c r="AT82" s="30">
        <v>5.3304475589918798E-2</v>
      </c>
      <c r="AU82" s="29">
        <v>149330.49564116</v>
      </c>
      <c r="AV82" s="30">
        <v>5.8608170469217603E-2</v>
      </c>
      <c r="AW82" s="29">
        <v>111539.467036829</v>
      </c>
      <c r="AX82" s="30">
        <v>2.6910799909889899E-2</v>
      </c>
      <c r="AY82" s="29">
        <v>39672.686994167299</v>
      </c>
      <c r="AZ82" s="30">
        <v>0.14530155430543201</v>
      </c>
      <c r="BA82" s="29">
        <v>23611.655970237</v>
      </c>
      <c r="BB82" s="30">
        <v>0.14388979238109401</v>
      </c>
      <c r="BC82" s="29">
        <v>35037.830195645198</v>
      </c>
      <c r="BD82" s="30">
        <v>0.106647387261149</v>
      </c>
      <c r="BE82" s="29"/>
      <c r="BF82" s="30"/>
    </row>
    <row r="83" spans="1:58" x14ac:dyDescent="0.2">
      <c r="A83" s="28">
        <v>1997</v>
      </c>
      <c r="B83" s="28">
        <v>4</v>
      </c>
      <c r="C83" s="29">
        <v>123239.716799195</v>
      </c>
      <c r="D83" s="30">
        <v>3.5788464102474798E-2</v>
      </c>
      <c r="E83" s="29">
        <v>121222.333389117</v>
      </c>
      <c r="F83" s="30">
        <v>6.5518131480830598E-3</v>
      </c>
      <c r="G83" s="29">
        <v>83733.181277048207</v>
      </c>
      <c r="H83" s="30">
        <v>2.42769280993533E-2</v>
      </c>
      <c r="I83" s="29">
        <v>67101.408092071797</v>
      </c>
      <c r="J83" s="30">
        <v>2.7277871902183799E-2</v>
      </c>
      <c r="K83" s="29">
        <v>16780.739145224499</v>
      </c>
      <c r="L83" s="30">
        <v>9.9896825642879997E-3</v>
      </c>
      <c r="M83" s="29">
        <v>37413.6566351273</v>
      </c>
      <c r="N83" s="30">
        <v>-3.3470129925328197E-2</v>
      </c>
      <c r="O83" s="29">
        <v>30284.5009554227</v>
      </c>
      <c r="P83" s="30">
        <v>7.93319549262443E-2</v>
      </c>
      <c r="Q83" s="29">
        <v>12888.3747488305</v>
      </c>
      <c r="R83" s="30">
        <v>1.0027362639391199E-2</v>
      </c>
      <c r="S83" s="29">
        <v>17847.336814619899</v>
      </c>
      <c r="T83" s="30">
        <v>0.12230460966779701</v>
      </c>
      <c r="U83" s="29"/>
      <c r="V83" s="30"/>
      <c r="W83" s="29"/>
      <c r="X83" s="30"/>
      <c r="Y83" s="29"/>
      <c r="Z83" s="30"/>
      <c r="AA83" s="29">
        <v>57365.0921242021</v>
      </c>
      <c r="AB83" s="30">
        <v>0.18566508539754001</v>
      </c>
      <c r="AC83" s="29">
        <v>42439.033725503999</v>
      </c>
      <c r="AD83" s="30">
        <v>0.21016873499760699</v>
      </c>
      <c r="AE83" s="29">
        <v>29177.425325925698</v>
      </c>
      <c r="AF83" s="30">
        <v>0.15762325096433999</v>
      </c>
      <c r="AG83" s="29">
        <v>25027.382736470801</v>
      </c>
      <c r="AH83" s="30">
        <v>0.158354765787036</v>
      </c>
      <c r="AI83" s="29">
        <v>14945.0564585267</v>
      </c>
      <c r="AJ83" s="30">
        <v>0.12457034069804</v>
      </c>
      <c r="AK83" s="29">
        <v>53439.257273387302</v>
      </c>
      <c r="AL83" s="30">
        <v>0.120537739300936</v>
      </c>
      <c r="AM83" s="29">
        <v>41826.805570908502</v>
      </c>
      <c r="AN83" s="30">
        <v>0.143132543329301</v>
      </c>
      <c r="AO83" s="29">
        <v>26959.269929628499</v>
      </c>
      <c r="AP83" s="30">
        <v>0.145683715525741</v>
      </c>
      <c r="AQ83" s="29">
        <v>24005.314880538401</v>
      </c>
      <c r="AR83" s="30">
        <v>0.13405948929761299</v>
      </c>
      <c r="AS83" s="29">
        <v>12068.806721613901</v>
      </c>
      <c r="AT83" s="30">
        <v>5.4471441892140399E-2</v>
      </c>
      <c r="AU83" s="29">
        <v>153408.79641663501</v>
      </c>
      <c r="AV83" s="30">
        <v>6.8454532477846705E-2</v>
      </c>
      <c r="AW83" s="29">
        <v>113937.394619606</v>
      </c>
      <c r="AX83" s="30">
        <v>3.9164411135513402E-2</v>
      </c>
      <c r="AY83" s="29">
        <v>41322.279998147198</v>
      </c>
      <c r="AZ83" s="30">
        <v>0.14632021606946299</v>
      </c>
      <c r="BA83" s="29">
        <v>26303.319663015402</v>
      </c>
      <c r="BB83" s="30">
        <v>0.15785193443398901</v>
      </c>
      <c r="BC83" s="29">
        <v>36419.882306248597</v>
      </c>
      <c r="BD83" s="30">
        <v>0.109719033030919</v>
      </c>
      <c r="BE83" s="29"/>
      <c r="BF83" s="30"/>
    </row>
    <row r="84" spans="1:58" x14ac:dyDescent="0.2">
      <c r="A84" s="28">
        <v>1998</v>
      </c>
      <c r="B84" s="28">
        <v>1</v>
      </c>
      <c r="C84" s="29">
        <v>118884.229433699</v>
      </c>
      <c r="D84" s="30">
        <v>3.9852605888247801E-2</v>
      </c>
      <c r="E84" s="29">
        <v>121079.93923401499</v>
      </c>
      <c r="F84" s="30">
        <v>5.9194534039947101E-2</v>
      </c>
      <c r="G84" s="29">
        <v>82427.887850771804</v>
      </c>
      <c r="H84" s="30">
        <v>2.0028105659897901E-2</v>
      </c>
      <c r="I84" s="29">
        <v>65816.211461405706</v>
      </c>
      <c r="J84" s="30">
        <v>2.1769801256688901E-2</v>
      </c>
      <c r="K84" s="29">
        <v>16808.6693909715</v>
      </c>
      <c r="L84" s="30">
        <v>1.18183999965329E-2</v>
      </c>
      <c r="M84" s="29">
        <v>38695.794052730002</v>
      </c>
      <c r="N84" s="30">
        <v>0.16215297467277301</v>
      </c>
      <c r="O84" s="29">
        <v>29436.996656755899</v>
      </c>
      <c r="P84" s="30">
        <v>9.27397952260018E-2</v>
      </c>
      <c r="Q84" s="29">
        <v>11486.1742567662</v>
      </c>
      <c r="R84" s="30">
        <v>1.06505505820811E-2</v>
      </c>
      <c r="S84" s="29">
        <v>18135.414837942499</v>
      </c>
      <c r="T84" s="30">
        <v>0.13682538524870799</v>
      </c>
      <c r="U84" s="29"/>
      <c r="V84" s="30"/>
      <c r="W84" s="29"/>
      <c r="X84" s="30"/>
      <c r="Y84" s="29"/>
      <c r="Z84" s="30"/>
      <c r="AA84" s="29">
        <v>54976.959608418401</v>
      </c>
      <c r="AB84" s="30">
        <v>8.0107721702661297E-2</v>
      </c>
      <c r="AC84" s="29">
        <v>38788.625262446098</v>
      </c>
      <c r="AD84" s="30">
        <v>7.7997009946178905E-2</v>
      </c>
      <c r="AE84" s="29">
        <v>27082.493263861499</v>
      </c>
      <c r="AF84" s="30">
        <v>0.117686708538999</v>
      </c>
      <c r="AG84" s="29">
        <v>23449.855872044998</v>
      </c>
      <c r="AH84" s="30">
        <v>0.142990606025651</v>
      </c>
      <c r="AI84" s="29">
        <v>16125.142081297199</v>
      </c>
      <c r="AJ84" s="30">
        <v>8.4901779889786005E-2</v>
      </c>
      <c r="AK84" s="29">
        <v>55344.819190155496</v>
      </c>
      <c r="AL84" s="30">
        <v>0.12878869405226601</v>
      </c>
      <c r="AM84" s="29">
        <v>42687.2619222906</v>
      </c>
      <c r="AN84" s="30">
        <v>0.132433391280084</v>
      </c>
      <c r="AO84" s="29">
        <v>27207.749651839498</v>
      </c>
      <c r="AP84" s="30">
        <v>0.12870196717049401</v>
      </c>
      <c r="AQ84" s="29">
        <v>23976.913071176201</v>
      </c>
      <c r="AR84" s="30">
        <v>0.10663587945719</v>
      </c>
      <c r="AS84" s="29">
        <v>13085.284970483301</v>
      </c>
      <c r="AT84" s="30">
        <v>0.11774168999527899</v>
      </c>
      <c r="AU84" s="29">
        <v>150503.453777777</v>
      </c>
      <c r="AV84" s="30">
        <v>6.0469315538130397E-2</v>
      </c>
      <c r="AW84" s="29">
        <v>111770.824528151</v>
      </c>
      <c r="AX84" s="30">
        <v>3.9141879546988403E-2</v>
      </c>
      <c r="AY84" s="29">
        <v>40546.125354209202</v>
      </c>
      <c r="AZ84" s="30">
        <v>0.11555091412326</v>
      </c>
      <c r="BA84" s="29">
        <v>24581.131813231899</v>
      </c>
      <c r="BB84" s="30">
        <v>0.133047718299242</v>
      </c>
      <c r="BC84" s="29">
        <v>37269.204068232</v>
      </c>
      <c r="BD84" s="30">
        <v>0.110122577998101</v>
      </c>
      <c r="BE84" s="29"/>
      <c r="BF84" s="30"/>
    </row>
    <row r="85" spans="1:58" x14ac:dyDescent="0.2">
      <c r="A85" s="28">
        <v>1998</v>
      </c>
      <c r="B85" s="28">
        <v>2</v>
      </c>
      <c r="C85" s="29">
        <v>121780.952395927</v>
      </c>
      <c r="D85" s="30">
        <v>3.63756298979281E-2</v>
      </c>
      <c r="E85" s="29">
        <v>121485.481295455</v>
      </c>
      <c r="F85" s="30">
        <v>3.3395313545580001E-2</v>
      </c>
      <c r="G85" s="29">
        <v>82511.970252503001</v>
      </c>
      <c r="H85" s="30">
        <v>2.0861712601375301E-2</v>
      </c>
      <c r="I85" s="29">
        <v>65857.280766660697</v>
      </c>
      <c r="J85" s="30">
        <v>2.2246009188364699E-2</v>
      </c>
      <c r="K85" s="29">
        <v>16857.956220473501</v>
      </c>
      <c r="L85" s="30">
        <v>1.4366098344536799E-2</v>
      </c>
      <c r="M85" s="29">
        <v>39034.802575583002</v>
      </c>
      <c r="N85" s="30">
        <v>6.3958530851832895E-2</v>
      </c>
      <c r="O85" s="29">
        <v>32299.7100571644</v>
      </c>
      <c r="P85" s="30">
        <v>7.7290591671944395E-2</v>
      </c>
      <c r="Q85" s="29">
        <v>13708.5338349909</v>
      </c>
      <c r="R85" s="30">
        <v>1.1402286421264801E-3</v>
      </c>
      <c r="S85" s="29">
        <v>19055.894260122401</v>
      </c>
      <c r="T85" s="30">
        <v>0.12456196627454701</v>
      </c>
      <c r="U85" s="29"/>
      <c r="V85" s="30"/>
      <c r="W85" s="29"/>
      <c r="X85" s="30"/>
      <c r="Y85" s="29"/>
      <c r="Z85" s="30"/>
      <c r="AA85" s="29">
        <v>56919.956078551899</v>
      </c>
      <c r="AB85" s="30">
        <v>4.0700650246754601E-2</v>
      </c>
      <c r="AC85" s="29">
        <v>40346.503110651203</v>
      </c>
      <c r="AD85" s="30">
        <v>2.0936445011365601E-2</v>
      </c>
      <c r="AE85" s="29">
        <v>27830.621691872399</v>
      </c>
      <c r="AF85" s="30">
        <v>7.6420792714433396E-3</v>
      </c>
      <c r="AG85" s="29">
        <v>24300.3760960049</v>
      </c>
      <c r="AH85" s="30">
        <v>2.48492240890552E-2</v>
      </c>
      <c r="AI85" s="29">
        <v>16516.405275782501</v>
      </c>
      <c r="AJ85" s="30">
        <v>8.9987892296796504E-2</v>
      </c>
      <c r="AK85" s="29">
        <v>54763.341102341998</v>
      </c>
      <c r="AL85" s="30">
        <v>3.3858115496303798E-2</v>
      </c>
      <c r="AM85" s="29">
        <v>42111.240249524402</v>
      </c>
      <c r="AN85" s="30">
        <v>1.7592505880812799E-2</v>
      </c>
      <c r="AO85" s="29">
        <v>27953.184053943602</v>
      </c>
      <c r="AP85" s="30">
        <v>7.9763692852724805E-2</v>
      </c>
      <c r="AQ85" s="29">
        <v>24865.436762212201</v>
      </c>
      <c r="AR85" s="30">
        <v>8.7432076711348602E-2</v>
      </c>
      <c r="AS85" s="29">
        <v>13064.719347423101</v>
      </c>
      <c r="AT85" s="30">
        <v>8.5671516690272204E-2</v>
      </c>
      <c r="AU85" s="29">
        <v>154707.84717245499</v>
      </c>
      <c r="AV85" s="30">
        <v>3.7603972144382401E-2</v>
      </c>
      <c r="AW85" s="29">
        <v>114801.35966710901</v>
      </c>
      <c r="AX85" s="30">
        <v>3.6425127107407203E-2</v>
      </c>
      <c r="AY85" s="29">
        <v>41758.848619987803</v>
      </c>
      <c r="AZ85" s="30">
        <v>4.04098222325842E-2</v>
      </c>
      <c r="BA85" s="29">
        <v>25393.393772432799</v>
      </c>
      <c r="BB85" s="30">
        <v>1.51344123024397E-2</v>
      </c>
      <c r="BC85" s="29">
        <v>38207.210104724101</v>
      </c>
      <c r="BD85" s="30">
        <v>8.6837740654426301E-2</v>
      </c>
      <c r="BE85" s="29"/>
      <c r="BF85" s="30"/>
    </row>
    <row r="86" spans="1:58" x14ac:dyDescent="0.2">
      <c r="A86" s="28">
        <v>1998</v>
      </c>
      <c r="B86" s="28">
        <v>3</v>
      </c>
      <c r="C86" s="29">
        <v>121023.424155942</v>
      </c>
      <c r="D86" s="30">
        <v>2.30957087223558E-2</v>
      </c>
      <c r="E86" s="29">
        <v>119840.730805431</v>
      </c>
      <c r="F86" s="30">
        <v>2.58931228521244E-2</v>
      </c>
      <c r="G86" s="29">
        <v>83145.957974030098</v>
      </c>
      <c r="H86" s="30">
        <v>2.1032696564574599E-2</v>
      </c>
      <c r="I86" s="29">
        <v>66331.962173103006</v>
      </c>
      <c r="J86" s="30">
        <v>2.1634718675971099E-2</v>
      </c>
      <c r="K86" s="29">
        <v>17026.1249774555</v>
      </c>
      <c r="L86" s="30">
        <v>1.8247180714551E-2</v>
      </c>
      <c r="M86" s="29">
        <v>36596.520206724701</v>
      </c>
      <c r="N86" s="30">
        <v>3.80413281058141E-2</v>
      </c>
      <c r="O86" s="29">
        <v>32479.985211392501</v>
      </c>
      <c r="P86" s="30">
        <v>7.7251019550652805E-2</v>
      </c>
      <c r="Q86" s="29">
        <v>14445.252977395799</v>
      </c>
      <c r="R86" s="30">
        <v>2.4430655846044501E-2</v>
      </c>
      <c r="S86" s="29">
        <v>18658.637399561299</v>
      </c>
      <c r="T86" s="30">
        <v>0.111719236854791</v>
      </c>
      <c r="U86" s="29"/>
      <c r="V86" s="30"/>
      <c r="W86" s="29"/>
      <c r="X86" s="30"/>
      <c r="Y86" s="29"/>
      <c r="Z86" s="30"/>
      <c r="AA86" s="29">
        <v>54686.707098439503</v>
      </c>
      <c r="AB86" s="30">
        <v>1.45325584500542E-2</v>
      </c>
      <c r="AC86" s="29">
        <v>37575.650696649798</v>
      </c>
      <c r="AD86" s="30">
        <v>1.59644401420955E-3</v>
      </c>
      <c r="AE86" s="29">
        <v>26675.5750866661</v>
      </c>
      <c r="AF86" s="30">
        <v>2.81272186732664E-2</v>
      </c>
      <c r="AG86" s="29">
        <v>23379.413541279198</v>
      </c>
      <c r="AH86" s="30">
        <v>4.6132768010321797E-2</v>
      </c>
      <c r="AI86" s="29">
        <v>17003.031553171098</v>
      </c>
      <c r="AJ86" s="30">
        <v>4.27975876803122E-2</v>
      </c>
      <c r="AK86" s="29">
        <v>51573.763637412398</v>
      </c>
      <c r="AL86" s="30">
        <v>2.0373894778642002E-2</v>
      </c>
      <c r="AM86" s="29">
        <v>38247.326738588003</v>
      </c>
      <c r="AN86" s="30">
        <v>-2.2907993750790299E-3</v>
      </c>
      <c r="AO86" s="29">
        <v>26011.2802612587</v>
      </c>
      <c r="AP86" s="30">
        <v>4.5823048404194801E-2</v>
      </c>
      <c r="AQ86" s="29">
        <v>23845.462489136899</v>
      </c>
      <c r="AR86" s="30">
        <v>6.7193907915819306E-2</v>
      </c>
      <c r="AS86" s="29">
        <v>13597.5553347196</v>
      </c>
      <c r="AT86" s="30">
        <v>8.29525503504982E-2</v>
      </c>
      <c r="AU86" s="29">
        <v>154846.22446958101</v>
      </c>
      <c r="AV86" s="30">
        <v>3.6936385998983301E-2</v>
      </c>
      <c r="AW86" s="29">
        <v>115613.53362468899</v>
      </c>
      <c r="AX86" s="30">
        <v>3.6525784962867298E-2</v>
      </c>
      <c r="AY86" s="29">
        <v>41177.834211743</v>
      </c>
      <c r="AZ86" s="30">
        <v>3.79391297039453E-2</v>
      </c>
      <c r="BA86" s="29">
        <v>24433.736270297501</v>
      </c>
      <c r="BB86" s="30">
        <v>3.4816715146822198E-2</v>
      </c>
      <c r="BC86" s="29">
        <v>37576.820578424798</v>
      </c>
      <c r="BD86" s="30">
        <v>7.2464258448720703E-2</v>
      </c>
      <c r="BE86" s="29"/>
      <c r="BF86" s="30"/>
    </row>
    <row r="87" spans="1:58" x14ac:dyDescent="0.2">
      <c r="A87" s="28">
        <v>1998</v>
      </c>
      <c r="B87" s="28">
        <v>4</v>
      </c>
      <c r="C87" s="29">
        <v>124818.219279896</v>
      </c>
      <c r="D87" s="30">
        <v>1.28083910098031E-2</v>
      </c>
      <c r="E87" s="29">
        <v>128048.223718333</v>
      </c>
      <c r="F87" s="30">
        <v>5.6308851169404997E-2</v>
      </c>
      <c r="G87" s="29">
        <v>85394.290456090297</v>
      </c>
      <c r="H87" s="30">
        <v>1.9838123354540198E-2</v>
      </c>
      <c r="I87" s="29">
        <v>68475.871139807205</v>
      </c>
      <c r="J87" s="30">
        <v>2.0483371166361699E-2</v>
      </c>
      <c r="K87" s="29">
        <v>17054.692832004901</v>
      </c>
      <c r="L87" s="30">
        <v>1.6325483902083701E-2</v>
      </c>
      <c r="M87" s="29">
        <v>42861.293701882103</v>
      </c>
      <c r="N87" s="30">
        <v>0.14560557712608399</v>
      </c>
      <c r="O87" s="29">
        <v>32837.925319119197</v>
      </c>
      <c r="P87" s="30">
        <v>8.4314559696889502E-2</v>
      </c>
      <c r="Q87" s="29">
        <v>12933.7746380463</v>
      </c>
      <c r="R87" s="30">
        <v>3.5225457127538999E-3</v>
      </c>
      <c r="S87" s="29">
        <v>20138.6683612901</v>
      </c>
      <c r="T87" s="30">
        <v>0.12838506778183501</v>
      </c>
      <c r="U87" s="29"/>
      <c r="V87" s="30"/>
      <c r="W87" s="29"/>
      <c r="X87" s="30"/>
      <c r="Y87" s="29"/>
      <c r="Z87" s="30"/>
      <c r="AA87" s="29">
        <v>55476.947230684404</v>
      </c>
      <c r="AB87" s="30">
        <v>-3.29145273475656E-2</v>
      </c>
      <c r="AC87" s="29">
        <v>39901.382614383503</v>
      </c>
      <c r="AD87" s="30">
        <v>-5.9795214177922197E-2</v>
      </c>
      <c r="AE87" s="29">
        <v>28271.295306151402</v>
      </c>
      <c r="AF87" s="30">
        <v>-3.1055859441070401E-2</v>
      </c>
      <c r="AG87" s="29">
        <v>24657.889877534701</v>
      </c>
      <c r="AH87" s="30">
        <v>-1.47635437083736E-2</v>
      </c>
      <c r="AI87" s="29">
        <v>15545.844909838601</v>
      </c>
      <c r="AJ87" s="30">
        <v>4.0199811421201902E-2</v>
      </c>
      <c r="AK87" s="29">
        <v>56701.806466355898</v>
      </c>
      <c r="AL87" s="30">
        <v>6.1051544490557899E-2</v>
      </c>
      <c r="AM87" s="29">
        <v>43932.1504543927</v>
      </c>
      <c r="AN87" s="30">
        <v>5.0334823679401702E-2</v>
      </c>
      <c r="AO87" s="29">
        <v>28969.957995090299</v>
      </c>
      <c r="AP87" s="30">
        <v>7.4582437533000895E-2</v>
      </c>
      <c r="AQ87" s="29">
        <v>26178.5557090683</v>
      </c>
      <c r="AR87" s="30">
        <v>9.0531652650466296E-2</v>
      </c>
      <c r="AS87" s="29">
        <v>13224.3729122936</v>
      </c>
      <c r="AT87" s="30">
        <v>9.5748172734446205E-2</v>
      </c>
      <c r="AU87" s="29">
        <v>157432.015897226</v>
      </c>
      <c r="AV87" s="30">
        <v>2.6225481032159801E-2</v>
      </c>
      <c r="AW87" s="29">
        <v>118204.07069861</v>
      </c>
      <c r="AX87" s="30">
        <v>3.7447548219338801E-2</v>
      </c>
      <c r="AY87" s="29">
        <v>41290.326276461201</v>
      </c>
      <c r="AZ87" s="30">
        <v>-7.7328070201765397E-4</v>
      </c>
      <c r="BA87" s="29">
        <v>25773.079720882</v>
      </c>
      <c r="BB87" s="30">
        <v>-2.01586700434233E-2</v>
      </c>
      <c r="BC87" s="29">
        <v>39760.051802149399</v>
      </c>
      <c r="BD87" s="30">
        <v>9.1712803128079196E-2</v>
      </c>
      <c r="BE87" s="29"/>
      <c r="BF87" s="30"/>
    </row>
    <row r="88" spans="1:58" x14ac:dyDescent="0.2">
      <c r="A88" s="28">
        <v>1999</v>
      </c>
      <c r="B88" s="28">
        <v>1</v>
      </c>
      <c r="C88" s="29">
        <v>120019.847716823</v>
      </c>
      <c r="D88" s="30">
        <v>9.5523038550453503E-3</v>
      </c>
      <c r="E88" s="29">
        <v>121769.55127749599</v>
      </c>
      <c r="F88" s="30">
        <v>5.6955103202316303E-3</v>
      </c>
      <c r="G88" s="29">
        <v>84144.078154450006</v>
      </c>
      <c r="H88" s="30">
        <v>2.0820505637427499E-2</v>
      </c>
      <c r="I88" s="29">
        <v>67205.259748656201</v>
      </c>
      <c r="J88" s="30">
        <v>2.11049566118688E-2</v>
      </c>
      <c r="K88" s="29">
        <v>17135.741635833201</v>
      </c>
      <c r="L88" s="30">
        <v>1.94585447101101E-2</v>
      </c>
      <c r="M88" s="29">
        <v>37515.543976653498</v>
      </c>
      <c r="N88" s="30">
        <v>-3.0500732830762201E-2</v>
      </c>
      <c r="O88" s="29">
        <v>31098.905955928702</v>
      </c>
      <c r="P88" s="30">
        <v>5.6456482926948701E-2</v>
      </c>
      <c r="Q88" s="29">
        <v>11095.9365262831</v>
      </c>
      <c r="R88" s="30">
        <v>-3.3974561221127103E-2</v>
      </c>
      <c r="S88" s="29">
        <v>19958.059777465802</v>
      </c>
      <c r="T88" s="30">
        <v>0.10050197118788901</v>
      </c>
      <c r="U88" s="29"/>
      <c r="V88" s="30"/>
      <c r="W88" s="29"/>
      <c r="X88" s="30"/>
      <c r="Y88" s="29"/>
      <c r="Z88" s="30"/>
      <c r="AA88" s="29">
        <v>54634.827758212501</v>
      </c>
      <c r="AB88" s="30">
        <v>-6.2231860881850603E-3</v>
      </c>
      <c r="AC88" s="29">
        <v>37645.263808787597</v>
      </c>
      <c r="AD88" s="30">
        <v>-2.9476720196254601E-2</v>
      </c>
      <c r="AE88" s="29">
        <v>27471.172099839299</v>
      </c>
      <c r="AF88" s="30">
        <v>1.4351663718364899E-2</v>
      </c>
      <c r="AG88" s="29">
        <v>23771.365459094599</v>
      </c>
      <c r="AH88" s="30">
        <v>1.37105144186771E-2</v>
      </c>
      <c r="AI88" s="29">
        <v>16859.1110416712</v>
      </c>
      <c r="AJ88" s="30">
        <v>4.5517053845083998E-2</v>
      </c>
      <c r="AK88" s="29">
        <v>54511.979711711901</v>
      </c>
      <c r="AL88" s="30">
        <v>-1.50481922360618E-2</v>
      </c>
      <c r="AM88" s="29">
        <v>40837.839135759001</v>
      </c>
      <c r="AN88" s="30">
        <v>-4.33249335574242E-2</v>
      </c>
      <c r="AO88" s="29">
        <v>27881.803900868999</v>
      </c>
      <c r="AP88" s="30">
        <v>2.4774347663989001E-2</v>
      </c>
      <c r="AQ88" s="29">
        <v>25861.416965281001</v>
      </c>
      <c r="AR88" s="30">
        <v>7.8596602010883004E-2</v>
      </c>
      <c r="AS88" s="29">
        <v>13950.1444106816</v>
      </c>
      <c r="AT88" s="30">
        <v>6.6094047026809905E-2</v>
      </c>
      <c r="AU88" s="29">
        <v>154887.49730063899</v>
      </c>
      <c r="AV88" s="30">
        <v>2.9129188818052699E-2</v>
      </c>
      <c r="AW88" s="29">
        <v>115182.34104970501</v>
      </c>
      <c r="AX88" s="30">
        <v>3.05224242189845E-2</v>
      </c>
      <c r="AY88" s="29">
        <v>41590.646939864397</v>
      </c>
      <c r="AZ88" s="30">
        <v>2.5761316933006002E-2</v>
      </c>
      <c r="BA88" s="29">
        <v>24937.814596035802</v>
      </c>
      <c r="BB88" s="30">
        <v>1.45104296056855E-2</v>
      </c>
      <c r="BC88" s="29">
        <v>40059.034693721303</v>
      </c>
      <c r="BD88" s="30">
        <v>7.4856190123667996E-2</v>
      </c>
      <c r="BE88" s="29"/>
      <c r="BF88" s="30"/>
    </row>
    <row r="89" spans="1:58" x14ac:dyDescent="0.2">
      <c r="A89" s="28">
        <v>1999</v>
      </c>
      <c r="B89" s="28">
        <v>2</v>
      </c>
      <c r="C89" s="29">
        <v>122111.803438542</v>
      </c>
      <c r="D89" s="30">
        <v>2.7167716798548501E-3</v>
      </c>
      <c r="E89" s="29">
        <v>123488.594070619</v>
      </c>
      <c r="F89" s="30">
        <v>1.6488495199618501E-2</v>
      </c>
      <c r="G89" s="29">
        <v>84285.546016833105</v>
      </c>
      <c r="H89" s="30">
        <v>2.14947692910816E-2</v>
      </c>
      <c r="I89" s="29">
        <v>67261.949591608398</v>
      </c>
      <c r="J89" s="30">
        <v>2.1328983046303301E-2</v>
      </c>
      <c r="K89" s="29">
        <v>17234.284643841998</v>
      </c>
      <c r="L89" s="30">
        <v>2.2323490371360302E-2</v>
      </c>
      <c r="M89" s="29">
        <v>39218.177954681298</v>
      </c>
      <c r="N89" s="30">
        <v>4.6977406570276603E-3</v>
      </c>
      <c r="O89" s="29">
        <v>32515.3766225338</v>
      </c>
      <c r="P89" s="30">
        <v>6.67704338483599E-3</v>
      </c>
      <c r="Q89" s="29">
        <v>12814.080371698499</v>
      </c>
      <c r="R89" s="30">
        <v>-6.5247930526996997E-2</v>
      </c>
      <c r="S89" s="29">
        <v>19937.581854914799</v>
      </c>
      <c r="T89" s="30">
        <v>4.6268497440054498E-2</v>
      </c>
      <c r="U89" s="29"/>
      <c r="V89" s="30"/>
      <c r="W89" s="29"/>
      <c r="X89" s="30"/>
      <c r="Y89" s="29"/>
      <c r="Z89" s="30"/>
      <c r="AA89" s="29">
        <v>56942.594262551102</v>
      </c>
      <c r="AB89" s="30">
        <v>3.9771963224866102E-4</v>
      </c>
      <c r="AC89" s="29">
        <v>39478.314978320697</v>
      </c>
      <c r="AD89" s="30">
        <v>-2.15182993665998E-2</v>
      </c>
      <c r="AE89" s="29">
        <v>28588.6542914612</v>
      </c>
      <c r="AF89" s="30">
        <v>2.7237357755836199E-2</v>
      </c>
      <c r="AG89" s="29">
        <v>24620.193348196</v>
      </c>
      <c r="AH89" s="30">
        <v>1.3161000098416999E-2</v>
      </c>
      <c r="AI89" s="29">
        <v>17346.661304221401</v>
      </c>
      <c r="AJ89" s="30">
        <v>5.0268567195810299E-2</v>
      </c>
      <c r="AK89" s="29">
        <v>56483.333987824102</v>
      </c>
      <c r="AL89" s="30">
        <v>3.1407741946712003E-2</v>
      </c>
      <c r="AM89" s="29">
        <v>42530.263537493098</v>
      </c>
      <c r="AN89" s="30">
        <v>9.9503905723461496E-3</v>
      </c>
      <c r="AO89" s="29">
        <v>28350.7344987584</v>
      </c>
      <c r="AP89" s="30">
        <v>1.42220093441789E-2</v>
      </c>
      <c r="AQ89" s="29">
        <v>26045.9968718618</v>
      </c>
      <c r="AR89" s="30">
        <v>4.7477955884678701E-2</v>
      </c>
      <c r="AS89" s="29">
        <v>14268.467354087299</v>
      </c>
      <c r="AT89" s="30">
        <v>9.2137303117934194E-2</v>
      </c>
      <c r="AU89" s="29">
        <v>157951.84875964001</v>
      </c>
      <c r="AV89" s="30">
        <v>2.0968565243940401E-2</v>
      </c>
      <c r="AW89" s="29">
        <v>116774.397909887</v>
      </c>
      <c r="AX89" s="30">
        <v>1.71865407212837E-2</v>
      </c>
      <c r="AY89" s="29">
        <v>43010.130246009903</v>
      </c>
      <c r="AZ89" s="30">
        <v>2.9964466630989499E-2</v>
      </c>
      <c r="BA89" s="29">
        <v>25864.7984120898</v>
      </c>
      <c r="BB89" s="30">
        <v>1.8564066067005901E-2</v>
      </c>
      <c r="BC89" s="29">
        <v>40546.060270318798</v>
      </c>
      <c r="BD89" s="30">
        <v>6.1214890047821102E-2</v>
      </c>
      <c r="BE89" s="29"/>
      <c r="BF89" s="30"/>
    </row>
    <row r="90" spans="1:58" x14ac:dyDescent="0.2">
      <c r="A90" s="28">
        <v>1999</v>
      </c>
      <c r="B90" s="28">
        <v>3</v>
      </c>
      <c r="C90" s="29">
        <v>122369.886500016</v>
      </c>
      <c r="D90" s="30">
        <v>1.1125634177551001E-2</v>
      </c>
      <c r="E90" s="29">
        <v>121815.310432296</v>
      </c>
      <c r="F90" s="30">
        <v>1.6476698811784599E-2</v>
      </c>
      <c r="G90" s="29">
        <v>85147.804402292706</v>
      </c>
      <c r="H90" s="30">
        <v>2.40762927872917E-2</v>
      </c>
      <c r="I90" s="29">
        <v>68022.472831930296</v>
      </c>
      <c r="J90" s="30">
        <v>2.5485612115855299E-2</v>
      </c>
      <c r="K90" s="29">
        <v>17320.894733762601</v>
      </c>
      <c r="L90" s="30">
        <v>1.7312791765444799E-2</v>
      </c>
      <c r="M90" s="29">
        <v>36439.914991031299</v>
      </c>
      <c r="N90" s="30">
        <v>-4.27923788405971E-3</v>
      </c>
      <c r="O90" s="29">
        <v>32685.797374442998</v>
      </c>
      <c r="P90" s="30">
        <v>6.3365842598439599E-3</v>
      </c>
      <c r="Q90" s="29">
        <v>13120.783121750501</v>
      </c>
      <c r="R90" s="30">
        <v>-9.1688934608334494E-2</v>
      </c>
      <c r="S90" s="29">
        <v>19858.483522701699</v>
      </c>
      <c r="T90" s="30">
        <v>6.4305131047166994E-2</v>
      </c>
      <c r="U90" s="29"/>
      <c r="V90" s="30"/>
      <c r="W90" s="29"/>
      <c r="X90" s="30"/>
      <c r="Y90" s="29"/>
      <c r="Z90" s="30"/>
      <c r="AA90" s="29">
        <v>58510.085267938601</v>
      </c>
      <c r="AB90" s="30">
        <v>6.99142144839109E-2</v>
      </c>
      <c r="AC90" s="29">
        <v>40277.280565858702</v>
      </c>
      <c r="AD90" s="30">
        <v>7.1898418766431105E-2</v>
      </c>
      <c r="AE90" s="29">
        <v>28877.5775179923</v>
      </c>
      <c r="AF90" s="30">
        <v>8.2547514877268302E-2</v>
      </c>
      <c r="AG90" s="29">
        <v>24984.425522663001</v>
      </c>
      <c r="AH90" s="30">
        <v>6.8650651931447398E-2</v>
      </c>
      <c r="AI90" s="29">
        <v>18090.2163171063</v>
      </c>
      <c r="AJ90" s="30">
        <v>6.3940642616310703E-2</v>
      </c>
      <c r="AK90" s="29">
        <v>56156.830413728698</v>
      </c>
      <c r="AL90" s="30">
        <v>8.8864307219021998E-2</v>
      </c>
      <c r="AM90" s="29">
        <v>41228.900531869098</v>
      </c>
      <c r="AN90" s="30">
        <v>7.7955089872280295E-2</v>
      </c>
      <c r="AO90" s="29">
        <v>28270.2422040979</v>
      </c>
      <c r="AP90" s="30">
        <v>8.6845473200472395E-2</v>
      </c>
      <c r="AQ90" s="29">
        <v>26563.929366114498</v>
      </c>
      <c r="AR90" s="30">
        <v>0.11400352910815099</v>
      </c>
      <c r="AS90" s="29">
        <v>15097.497114116801</v>
      </c>
      <c r="AT90" s="30">
        <v>0.110309665412226</v>
      </c>
      <c r="AU90" s="29">
        <v>160144.84139837901</v>
      </c>
      <c r="AV90" s="30">
        <v>3.42185736006713E-2</v>
      </c>
      <c r="AW90" s="29">
        <v>117802.73648618</v>
      </c>
      <c r="AX90" s="30">
        <v>1.8935524180048201E-2</v>
      </c>
      <c r="AY90" s="29">
        <v>44122.423357714797</v>
      </c>
      <c r="AZ90" s="30">
        <v>7.1509082552283498E-2</v>
      </c>
      <c r="BA90" s="29">
        <v>26278.997411457</v>
      </c>
      <c r="BB90" s="30">
        <v>7.5521038646990904E-2</v>
      </c>
      <c r="BC90" s="29">
        <v>41853.647672830499</v>
      </c>
      <c r="BD90" s="30">
        <v>0.113815565781563</v>
      </c>
      <c r="BE90" s="29"/>
      <c r="BF90" s="30"/>
    </row>
    <row r="91" spans="1:58" x14ac:dyDescent="0.2">
      <c r="A91" s="28">
        <v>1999</v>
      </c>
      <c r="B91" s="28">
        <v>4</v>
      </c>
      <c r="C91" s="29">
        <v>130178.97003021601</v>
      </c>
      <c r="D91" s="30">
        <v>4.2948463623717202E-2</v>
      </c>
      <c r="E91" s="29">
        <v>133281.36674212699</v>
      </c>
      <c r="F91" s="30">
        <v>4.08685327436153E-2</v>
      </c>
      <c r="G91" s="29">
        <v>87503.004252547296</v>
      </c>
      <c r="H91" s="30">
        <v>2.4693849965780501E-2</v>
      </c>
      <c r="I91" s="29">
        <v>70201.075475421501</v>
      </c>
      <c r="J91" s="30">
        <v>2.5194339362138302E-2</v>
      </c>
      <c r="K91" s="29">
        <v>17432.0106659347</v>
      </c>
      <c r="L91" s="30">
        <v>2.2123988842631E-2</v>
      </c>
      <c r="M91" s="29">
        <v>46214.120155367898</v>
      </c>
      <c r="N91" s="30">
        <v>7.8225040914677593E-2</v>
      </c>
      <c r="O91" s="29">
        <v>34098.9084371996</v>
      </c>
      <c r="P91" s="30">
        <v>3.8400206646008302E-2</v>
      </c>
      <c r="Q91" s="29">
        <v>13635.608673638901</v>
      </c>
      <c r="R91" s="30">
        <v>5.4263666658306099E-2</v>
      </c>
      <c r="S91" s="29">
        <v>20757.212073848699</v>
      </c>
      <c r="T91" s="30">
        <v>3.0714231023709598E-2</v>
      </c>
      <c r="U91" s="29"/>
      <c r="V91" s="30"/>
      <c r="W91" s="29"/>
      <c r="X91" s="30"/>
      <c r="Y91" s="29"/>
      <c r="Z91" s="30"/>
      <c r="AA91" s="29">
        <v>60178.455314011699</v>
      </c>
      <c r="AB91" s="30">
        <v>8.47470583371768E-2</v>
      </c>
      <c r="AC91" s="29">
        <v>42442.010686952097</v>
      </c>
      <c r="AD91" s="30">
        <v>6.3672682651674306E-2</v>
      </c>
      <c r="AE91" s="29">
        <v>32364.422133206299</v>
      </c>
      <c r="AF91" s="30">
        <v>0.14478030747194801</v>
      </c>
      <c r="AG91" s="29">
        <v>28317.2516353057</v>
      </c>
      <c r="AH91" s="30">
        <v>0.148405308643421</v>
      </c>
      <c r="AI91" s="29">
        <v>17666.537276665498</v>
      </c>
      <c r="AJ91" s="30">
        <v>0.13641538167441</v>
      </c>
      <c r="AK91" s="29">
        <v>61328.686447801098</v>
      </c>
      <c r="AL91" s="30">
        <v>8.1600221752909305E-2</v>
      </c>
      <c r="AM91" s="29">
        <v>46920.292966786699</v>
      </c>
      <c r="AN91" s="30">
        <v>6.8017214761568703E-2</v>
      </c>
      <c r="AO91" s="29">
        <v>31076.638132456799</v>
      </c>
      <c r="AP91" s="30">
        <v>7.2719475041125997E-2</v>
      </c>
      <c r="AQ91" s="29">
        <v>28672.813962214299</v>
      </c>
      <c r="AR91" s="30">
        <v>9.52786807975778E-2</v>
      </c>
      <c r="AS91" s="29">
        <v>14852.0278140829</v>
      </c>
      <c r="AT91" s="30">
        <v>0.123079930714612</v>
      </c>
      <c r="AU91" s="29">
        <v>167276.37776144099</v>
      </c>
      <c r="AV91" s="30">
        <v>6.2530875998192001E-2</v>
      </c>
      <c r="AW91" s="29">
        <v>121582.962251066</v>
      </c>
      <c r="AX91" s="30">
        <v>2.8585238498864299E-2</v>
      </c>
      <c r="AY91" s="29">
        <v>47360.682779190698</v>
      </c>
      <c r="AZ91" s="30">
        <v>0.147016433391327</v>
      </c>
      <c r="BA91" s="29">
        <v>29720.024598388201</v>
      </c>
      <c r="BB91" s="30">
        <v>0.15314215143284901</v>
      </c>
      <c r="BC91" s="29">
        <v>43848.790763130601</v>
      </c>
      <c r="BD91" s="30">
        <v>0.102835352965013</v>
      </c>
      <c r="BE91" s="29"/>
      <c r="BF91" s="30"/>
    </row>
    <row r="92" spans="1:58" x14ac:dyDescent="0.2">
      <c r="A92" s="28">
        <v>2000</v>
      </c>
      <c r="B92" s="28">
        <v>1</v>
      </c>
      <c r="C92" s="29">
        <v>125448.056683228</v>
      </c>
      <c r="D92" s="30">
        <v>4.52275941826921E-2</v>
      </c>
      <c r="E92" s="29">
        <v>126946.2353974</v>
      </c>
      <c r="F92" s="30">
        <v>4.2512139246594402E-2</v>
      </c>
      <c r="G92" s="29">
        <v>86305.304260442805</v>
      </c>
      <c r="H92" s="30">
        <v>2.56848271844601E-2</v>
      </c>
      <c r="I92" s="29">
        <v>69033.101061244801</v>
      </c>
      <c r="J92" s="30">
        <v>2.7197890751773798E-2</v>
      </c>
      <c r="K92" s="29">
        <v>17449.691808608801</v>
      </c>
      <c r="L92" s="30">
        <v>1.8321364750222099E-2</v>
      </c>
      <c r="M92" s="29">
        <v>40703.268029316299</v>
      </c>
      <c r="N92" s="30">
        <v>8.4970753846634703E-2</v>
      </c>
      <c r="O92" s="29">
        <v>32499.806500456401</v>
      </c>
      <c r="P92" s="30">
        <v>4.5046618248018498E-2</v>
      </c>
      <c r="Q92" s="29">
        <v>11573.834301802101</v>
      </c>
      <c r="R92" s="30">
        <v>4.3069620521620597E-2</v>
      </c>
      <c r="S92" s="29">
        <v>20895.701263150098</v>
      </c>
      <c r="T92" s="30">
        <v>4.6980593110710303E-2</v>
      </c>
      <c r="U92" s="29"/>
      <c r="V92" s="30"/>
      <c r="W92" s="29"/>
      <c r="X92" s="30"/>
      <c r="Y92" s="29"/>
      <c r="Z92" s="30"/>
      <c r="AA92" s="29">
        <v>61968.173837970899</v>
      </c>
      <c r="AB92" s="30">
        <v>0.13422474968187401</v>
      </c>
      <c r="AC92" s="29">
        <v>41826.141794310897</v>
      </c>
      <c r="AD92" s="30">
        <v>0.11105986683369699</v>
      </c>
      <c r="AE92" s="29">
        <v>31159.6424501621</v>
      </c>
      <c r="AF92" s="30">
        <v>0.134266944887451</v>
      </c>
      <c r="AG92" s="29">
        <v>27164.908312951298</v>
      </c>
      <c r="AH92" s="30">
        <v>0.142757590416764</v>
      </c>
      <c r="AI92" s="29">
        <v>19900.3435460158</v>
      </c>
      <c r="AJ92" s="30">
        <v>0.180391035851623</v>
      </c>
      <c r="AK92" s="29">
        <v>61816.562172296202</v>
      </c>
      <c r="AL92" s="30">
        <v>0.13399958136202</v>
      </c>
      <c r="AM92" s="29">
        <v>46328.795980842697</v>
      </c>
      <c r="AN92" s="30">
        <v>0.134457575652567</v>
      </c>
      <c r="AO92" s="29">
        <v>31273.120392569799</v>
      </c>
      <c r="AP92" s="30">
        <v>0.121631889520432</v>
      </c>
      <c r="AQ92" s="29">
        <v>28258.390884971901</v>
      </c>
      <c r="AR92" s="30">
        <v>9.2685328221145002E-2</v>
      </c>
      <c r="AS92" s="29">
        <v>15802.930784841201</v>
      </c>
      <c r="AT92" s="30">
        <v>0.13281485263629</v>
      </c>
      <c r="AU92" s="29">
        <v>165466.94406055799</v>
      </c>
      <c r="AV92" s="30">
        <v>6.8304071950906001E-2</v>
      </c>
      <c r="AW92" s="29">
        <v>118758.044400385</v>
      </c>
      <c r="AX92" s="30">
        <v>3.10438502820252E-2</v>
      </c>
      <c r="AY92" s="29">
        <v>48183.476584313903</v>
      </c>
      <c r="AZ92" s="30">
        <v>0.158517121745714</v>
      </c>
      <c r="BA92" s="29">
        <v>28549.818944130398</v>
      </c>
      <c r="BB92" s="30">
        <v>0.144840452405508</v>
      </c>
      <c r="BC92" s="29">
        <v>44290.366765338898</v>
      </c>
      <c r="BD92" s="30">
        <v>0.105627409745867</v>
      </c>
      <c r="BE92" s="29"/>
      <c r="BF92" s="30"/>
    </row>
    <row r="93" spans="1:58" x14ac:dyDescent="0.2">
      <c r="A93" s="28">
        <v>2000</v>
      </c>
      <c r="B93" s="28">
        <v>2</v>
      </c>
      <c r="C93" s="29">
        <v>126726.54021563999</v>
      </c>
      <c r="D93" s="30">
        <v>3.7791078725826398E-2</v>
      </c>
      <c r="E93" s="29">
        <v>122382.433124909</v>
      </c>
      <c r="F93" s="30">
        <v>-8.9575960762614502E-3</v>
      </c>
      <c r="G93" s="29">
        <v>86427.698767317706</v>
      </c>
      <c r="H93" s="30">
        <v>2.54154223555332E-2</v>
      </c>
      <c r="I93" s="29">
        <v>69129.647859810895</v>
      </c>
      <c r="J93" s="30">
        <v>2.7767530967247399E-2</v>
      </c>
      <c r="K93" s="29">
        <v>17476.1235140102</v>
      </c>
      <c r="L93" s="30">
        <v>1.40324286830509E-2</v>
      </c>
      <c r="M93" s="29">
        <v>35546.161265577197</v>
      </c>
      <c r="N93" s="30">
        <v>-9.3630476493510903E-2</v>
      </c>
      <c r="O93" s="29">
        <v>34393.399966164798</v>
      </c>
      <c r="P93" s="30">
        <v>5.7758006786534602E-2</v>
      </c>
      <c r="Q93" s="29">
        <v>13314.0178305136</v>
      </c>
      <c r="R93" s="30">
        <v>3.9014696670650599E-2</v>
      </c>
      <c r="S93" s="29">
        <v>21274.244391794498</v>
      </c>
      <c r="T93" s="30">
        <v>6.7042359831121404E-2</v>
      </c>
      <c r="U93" s="29"/>
      <c r="V93" s="30"/>
      <c r="W93" s="29"/>
      <c r="X93" s="30"/>
      <c r="Y93" s="29"/>
      <c r="Z93" s="30"/>
      <c r="AA93" s="29">
        <v>65779.630455624705</v>
      </c>
      <c r="AB93" s="30">
        <v>0.15519201939286101</v>
      </c>
      <c r="AC93" s="29">
        <v>45522.731910804097</v>
      </c>
      <c r="AD93" s="30">
        <v>0.15310726751642401</v>
      </c>
      <c r="AE93" s="29">
        <v>31861.451533080701</v>
      </c>
      <c r="AF93" s="30">
        <v>0.114478884114422</v>
      </c>
      <c r="AG93" s="29">
        <v>27622.8567566073</v>
      </c>
      <c r="AH93" s="30">
        <v>0.12195937562088099</v>
      </c>
      <c r="AI93" s="29">
        <v>20111.550340977999</v>
      </c>
      <c r="AJ93" s="30">
        <v>0.15939027045416199</v>
      </c>
      <c r="AK93" s="29">
        <v>59811.062165341697</v>
      </c>
      <c r="AL93" s="30">
        <v>5.8915222289020998E-2</v>
      </c>
      <c r="AM93" s="29">
        <v>43457.333007792797</v>
      </c>
      <c r="AN93" s="30">
        <v>2.1797877398112901E-2</v>
      </c>
      <c r="AO93" s="29">
        <v>30681.942632705901</v>
      </c>
      <c r="AP93" s="30">
        <v>8.2227433439146597E-2</v>
      </c>
      <c r="AQ93" s="29">
        <v>28476.176984928301</v>
      </c>
      <c r="AR93" s="30">
        <v>9.3303401863336105E-2</v>
      </c>
      <c r="AS93" s="29">
        <v>16465.2128319687</v>
      </c>
      <c r="AT93" s="30">
        <v>0.15395805473473401</v>
      </c>
      <c r="AU93" s="29">
        <v>168162.212036588</v>
      </c>
      <c r="AV93" s="30">
        <v>6.4642252415072696E-2</v>
      </c>
      <c r="AW93" s="29">
        <v>120820.198047399</v>
      </c>
      <c r="AX93" s="30">
        <v>3.4646294135755297E-2</v>
      </c>
      <c r="AY93" s="29">
        <v>48856.388657437303</v>
      </c>
      <c r="AZ93" s="30">
        <v>0.13592747517824</v>
      </c>
      <c r="BA93" s="29">
        <v>29008.140302791999</v>
      </c>
      <c r="BB93" s="30">
        <v>0.12152972702980699</v>
      </c>
      <c r="BC93" s="29">
        <v>45133.0405918166</v>
      </c>
      <c r="BD93" s="30">
        <v>0.11313011155502201</v>
      </c>
      <c r="BE93" s="29"/>
      <c r="BF93" s="30"/>
    </row>
    <row r="94" spans="1:58" x14ac:dyDescent="0.2">
      <c r="A94" s="28">
        <v>2000</v>
      </c>
      <c r="B94" s="28">
        <v>3</v>
      </c>
      <c r="C94" s="29">
        <v>127041.247505056</v>
      </c>
      <c r="D94" s="30">
        <v>3.8174105890336402E-2</v>
      </c>
      <c r="E94" s="29">
        <v>125779.56939484899</v>
      </c>
      <c r="F94" s="30">
        <v>3.2543191397569803E-2</v>
      </c>
      <c r="G94" s="29">
        <v>87442.743133746</v>
      </c>
      <c r="H94" s="30">
        <v>2.69524123089602E-2</v>
      </c>
      <c r="I94" s="29">
        <v>70085.450546186403</v>
      </c>
      <c r="J94" s="30">
        <v>3.03278847176469E-2</v>
      </c>
      <c r="K94" s="29">
        <v>17502.112075780002</v>
      </c>
      <c r="L94" s="30">
        <v>1.04623545609444E-2</v>
      </c>
      <c r="M94" s="29">
        <v>38118.038729594402</v>
      </c>
      <c r="N94" s="30">
        <v>4.6051801684393399E-2</v>
      </c>
      <c r="O94" s="29">
        <v>34020.109016685397</v>
      </c>
      <c r="P94" s="30">
        <v>4.0822367799589997E-2</v>
      </c>
      <c r="Q94" s="29">
        <v>13431.4518498014</v>
      </c>
      <c r="R94" s="30">
        <v>2.3677605609986298E-2</v>
      </c>
      <c r="S94" s="29">
        <v>20837.166340139898</v>
      </c>
      <c r="T94" s="30">
        <v>4.9282857692504199E-2</v>
      </c>
      <c r="U94" s="29"/>
      <c r="V94" s="30"/>
      <c r="W94" s="29"/>
      <c r="X94" s="30"/>
      <c r="Y94" s="29"/>
      <c r="Z94" s="30"/>
      <c r="AA94" s="29">
        <v>64000.287905531499</v>
      </c>
      <c r="AB94" s="30">
        <v>9.3833441063217102E-2</v>
      </c>
      <c r="AC94" s="29">
        <v>42898.0452071982</v>
      </c>
      <c r="AD94" s="30">
        <v>6.5068063298221901E-2</v>
      </c>
      <c r="AE94" s="29">
        <v>31541.728279673302</v>
      </c>
      <c r="AF94" s="30">
        <v>9.2256726175216505E-2</v>
      </c>
      <c r="AG94" s="29">
        <v>27424.0332945177</v>
      </c>
      <c r="AH94" s="30">
        <v>9.76451417560842E-2</v>
      </c>
      <c r="AI94" s="29">
        <v>20822.977479707599</v>
      </c>
      <c r="AJ94" s="30">
        <v>0.15106293449997299</v>
      </c>
      <c r="AK94" s="29">
        <v>61070.157272354598</v>
      </c>
      <c r="AL94" s="30">
        <v>8.74929518355574E-2</v>
      </c>
      <c r="AM94" s="29">
        <v>43976.396996860502</v>
      </c>
      <c r="AN94" s="30">
        <v>6.66400614507692E-2</v>
      </c>
      <c r="AO94" s="29">
        <v>30310.438775043101</v>
      </c>
      <c r="AP94" s="30">
        <v>7.2167636775660099E-2</v>
      </c>
      <c r="AQ94" s="29">
        <v>28182.932928108599</v>
      </c>
      <c r="AR94" s="30">
        <v>6.09474426648371E-2</v>
      </c>
      <c r="AS94" s="29">
        <v>17151.641084892799</v>
      </c>
      <c r="AT94" s="30">
        <v>0.1360585768124</v>
      </c>
      <c r="AU94" s="29">
        <v>169207.80014676199</v>
      </c>
      <c r="AV94" s="30">
        <v>5.6592261538021701E-2</v>
      </c>
      <c r="AW94" s="29">
        <v>121442.49147754999</v>
      </c>
      <c r="AX94" s="30">
        <v>3.0897032615171599E-2</v>
      </c>
      <c r="AY94" s="29">
        <v>49273.170756230102</v>
      </c>
      <c r="AZ94" s="30">
        <v>0.11673763602594001</v>
      </c>
      <c r="BA94" s="29">
        <v>28773.263513615901</v>
      </c>
      <c r="BB94" s="30">
        <v>9.4914812125650394E-2</v>
      </c>
      <c r="BC94" s="29">
        <v>45462.2333597943</v>
      </c>
      <c r="BD94" s="30">
        <v>8.6219144270819795E-2</v>
      </c>
      <c r="BE94" s="29"/>
      <c r="BF94" s="30"/>
    </row>
    <row r="95" spans="1:58" x14ac:dyDescent="0.2">
      <c r="A95" s="28">
        <v>2000</v>
      </c>
      <c r="B95" s="28">
        <v>4</v>
      </c>
      <c r="C95" s="29">
        <v>133437.47889750401</v>
      </c>
      <c r="D95" s="30">
        <v>2.5030992844174999E-2</v>
      </c>
      <c r="E95" s="29">
        <v>133645.310203806</v>
      </c>
      <c r="F95" s="30">
        <v>2.7306402280762301E-3</v>
      </c>
      <c r="G95" s="29">
        <v>89205.650467677202</v>
      </c>
      <c r="H95" s="30">
        <v>1.9458145805094602E-2</v>
      </c>
      <c r="I95" s="29">
        <v>71748.891997331099</v>
      </c>
      <c r="J95" s="30">
        <v>2.20483306192574E-2</v>
      </c>
      <c r="K95" s="29">
        <v>17542.9837889626</v>
      </c>
      <c r="L95" s="30">
        <v>6.3660541032575201E-3</v>
      </c>
      <c r="M95" s="29">
        <v>44745.6518873358</v>
      </c>
      <c r="N95" s="30">
        <v>-3.1775315922822303E-2</v>
      </c>
      <c r="O95" s="29">
        <v>35727.389378987398</v>
      </c>
      <c r="P95" s="30">
        <v>4.7757568098903497E-2</v>
      </c>
      <c r="Q95" s="29">
        <v>13766.594489060601</v>
      </c>
      <c r="R95" s="30">
        <v>9.6061582989621606E-3</v>
      </c>
      <c r="S95" s="29">
        <v>22149.6282621272</v>
      </c>
      <c r="T95" s="30">
        <v>6.7081079256919904E-2</v>
      </c>
      <c r="U95" s="29"/>
      <c r="V95" s="30"/>
      <c r="W95" s="29"/>
      <c r="X95" s="30"/>
      <c r="Y95" s="29"/>
      <c r="Z95" s="30"/>
      <c r="AA95" s="29">
        <v>66784.194216988501</v>
      </c>
      <c r="AB95" s="30">
        <v>0.10976916686392101</v>
      </c>
      <c r="AC95" s="29">
        <v>46563.135560266899</v>
      </c>
      <c r="AD95" s="30">
        <v>9.7100132783805707E-2</v>
      </c>
      <c r="AE95" s="29">
        <v>33472.152496138602</v>
      </c>
      <c r="AF95" s="30">
        <v>3.4226792567872102E-2</v>
      </c>
      <c r="AG95" s="29">
        <v>29257.895230596099</v>
      </c>
      <c r="AH95" s="30">
        <v>3.3218039921557599E-2</v>
      </c>
      <c r="AI95" s="29">
        <v>20107.6435066579</v>
      </c>
      <c r="AJ95" s="30">
        <v>0.13817683634113601</v>
      </c>
      <c r="AK95" s="29">
        <v>65255.006411802402</v>
      </c>
      <c r="AL95" s="30">
        <v>6.40209368798903E-2</v>
      </c>
      <c r="AM95" s="29">
        <v>48828.688641085202</v>
      </c>
      <c r="AN95" s="30">
        <v>4.06731406312697E-2</v>
      </c>
      <c r="AO95" s="29">
        <v>33316.019025059897</v>
      </c>
      <c r="AP95" s="30">
        <v>7.2059946866141103E-2</v>
      </c>
      <c r="AQ95" s="29">
        <v>30886.4159253383</v>
      </c>
      <c r="AR95" s="30">
        <v>7.7202117868206702E-2</v>
      </c>
      <c r="AS95" s="29">
        <v>16748.117393291101</v>
      </c>
      <c r="AT95" s="30">
        <v>0.12766536684037</v>
      </c>
      <c r="AU95" s="29">
        <v>173878.98832049401</v>
      </c>
      <c r="AV95" s="30">
        <v>3.9471266938054597E-2</v>
      </c>
      <c r="AW95" s="29">
        <v>124937.82874837299</v>
      </c>
      <c r="AX95" s="30">
        <v>2.75932288142418E-2</v>
      </c>
      <c r="AY95" s="29">
        <v>50508.285680500798</v>
      </c>
      <c r="AZ95" s="30">
        <v>6.6460251765901396E-2</v>
      </c>
      <c r="BA95" s="29">
        <v>30599.976800303299</v>
      </c>
      <c r="BB95" s="30">
        <v>2.96080576582975E-2</v>
      </c>
      <c r="BC95" s="29">
        <v>47922.879414084498</v>
      </c>
      <c r="BD95" s="30">
        <v>9.2912223576744293E-2</v>
      </c>
      <c r="BE95" s="29"/>
      <c r="BF95" s="30"/>
    </row>
    <row r="96" spans="1:58" x14ac:dyDescent="0.2">
      <c r="A96" s="28">
        <v>2001</v>
      </c>
      <c r="B96" s="28">
        <v>1</v>
      </c>
      <c r="C96" s="29">
        <v>128206.788999066</v>
      </c>
      <c r="D96" s="30">
        <v>2.1991032693345701E-2</v>
      </c>
      <c r="E96" s="29">
        <v>128715.578373574</v>
      </c>
      <c r="F96" s="30">
        <v>1.3937734905135699E-2</v>
      </c>
      <c r="G96" s="29">
        <v>88705.928426497601</v>
      </c>
      <c r="H96" s="30">
        <v>2.7815488128173801E-2</v>
      </c>
      <c r="I96" s="29">
        <v>71166.943025634202</v>
      </c>
      <c r="J96" s="30">
        <v>3.0910417344518701E-2</v>
      </c>
      <c r="K96" s="29">
        <v>17670.7416170096</v>
      </c>
      <c r="L96" s="30">
        <v>1.26678345282691E-2</v>
      </c>
      <c r="M96" s="29">
        <v>39911.426450802603</v>
      </c>
      <c r="N96" s="30">
        <v>-1.9454004969413002E-2</v>
      </c>
      <c r="O96" s="29">
        <v>33264.479477995301</v>
      </c>
      <c r="P96" s="30">
        <v>2.35285393938627E-2</v>
      </c>
      <c r="Q96" s="29">
        <v>11390.815958126101</v>
      </c>
      <c r="R96" s="30">
        <v>-1.5813112483170601E-2</v>
      </c>
      <c r="S96" s="29">
        <v>21787.700164820199</v>
      </c>
      <c r="T96" s="30">
        <v>4.2688153435801901E-2</v>
      </c>
      <c r="U96" s="29"/>
      <c r="V96" s="30"/>
      <c r="W96" s="29"/>
      <c r="X96" s="30"/>
      <c r="Y96" s="29"/>
      <c r="Z96" s="30"/>
      <c r="AA96" s="29">
        <v>66866.455365464906</v>
      </c>
      <c r="AB96" s="30">
        <v>7.9045116615855907E-2</v>
      </c>
      <c r="AC96" s="29">
        <v>46811.045265970599</v>
      </c>
      <c r="AD96" s="30">
        <v>0.119181527576081</v>
      </c>
      <c r="AE96" s="29">
        <v>33591.473344865401</v>
      </c>
      <c r="AF96" s="30">
        <v>7.8044249018353704E-2</v>
      </c>
      <c r="AG96" s="29">
        <v>29872.273298796401</v>
      </c>
      <c r="AH96" s="30">
        <v>9.9664057564825298E-2</v>
      </c>
      <c r="AI96" s="29">
        <v>19954.1457105601</v>
      </c>
      <c r="AJ96" s="30">
        <v>2.7035796854397698E-3</v>
      </c>
      <c r="AK96" s="29">
        <v>65816.537559200704</v>
      </c>
      <c r="AL96" s="30">
        <v>6.4707179537996803E-2</v>
      </c>
      <c r="AM96" s="29">
        <v>49961.392998517302</v>
      </c>
      <c r="AN96" s="30">
        <v>7.8409052960856498E-2</v>
      </c>
      <c r="AO96" s="29">
        <v>34657.5708438246</v>
      </c>
      <c r="AP96" s="30">
        <v>0.108222345860279</v>
      </c>
      <c r="AQ96" s="29">
        <v>29988.331105298901</v>
      </c>
      <c r="AR96" s="30">
        <v>6.1218638646796102E-2</v>
      </c>
      <c r="AS96" s="29">
        <v>16216.972925632601</v>
      </c>
      <c r="AT96" s="30">
        <v>2.6200338812375001E-2</v>
      </c>
      <c r="AU96" s="29">
        <v>171436.70453374399</v>
      </c>
      <c r="AV96" s="30">
        <v>3.6078266309196097E-2</v>
      </c>
      <c r="AW96" s="29">
        <v>121914.567499513</v>
      </c>
      <c r="AX96" s="30">
        <v>2.6579446597197801E-2</v>
      </c>
      <c r="AY96" s="29">
        <v>50915.398090339899</v>
      </c>
      <c r="AZ96" s="30">
        <v>5.6698306134999502E-2</v>
      </c>
      <c r="BA96" s="29">
        <v>31155.457444134499</v>
      </c>
      <c r="BB96" s="30">
        <v>9.1266375632824498E-2</v>
      </c>
      <c r="BC96" s="29">
        <v>46500.900781440199</v>
      </c>
      <c r="BD96" s="30">
        <v>4.9910040885713797E-2</v>
      </c>
      <c r="BE96" s="29"/>
      <c r="BF96" s="30"/>
    </row>
    <row r="97" spans="1:58" x14ac:dyDescent="0.2">
      <c r="A97" s="28">
        <v>2001</v>
      </c>
      <c r="B97" s="28">
        <v>2</v>
      </c>
      <c r="C97" s="29">
        <v>129872.08160387901</v>
      </c>
      <c r="D97" s="30">
        <v>2.4821488718040199E-2</v>
      </c>
      <c r="E97" s="29">
        <v>132363.65422821901</v>
      </c>
      <c r="F97" s="30">
        <v>8.1557629215648797E-2</v>
      </c>
      <c r="G97" s="29">
        <v>88143.110263966199</v>
      </c>
      <c r="H97" s="30">
        <v>1.9847936727631601E-2</v>
      </c>
      <c r="I97" s="29">
        <v>70827.919141443504</v>
      </c>
      <c r="J97" s="30">
        <v>2.4566467994696001E-2</v>
      </c>
      <c r="K97" s="29">
        <v>17421.1026398627</v>
      </c>
      <c r="L97" s="30">
        <v>-3.1483454613576698E-3</v>
      </c>
      <c r="M97" s="29">
        <v>44442.115988658501</v>
      </c>
      <c r="N97" s="30">
        <v>0.25026485016530198</v>
      </c>
      <c r="O97" s="29">
        <v>34343.3379314497</v>
      </c>
      <c r="P97" s="30">
        <v>-1.4555709747909899E-3</v>
      </c>
      <c r="Q97" s="29">
        <v>12777.695879426599</v>
      </c>
      <c r="R97" s="30">
        <v>-4.0282502090231299E-2</v>
      </c>
      <c r="S97" s="29">
        <v>21660.3777773359</v>
      </c>
      <c r="T97" s="30">
        <v>1.8150274972416301E-2</v>
      </c>
      <c r="U97" s="29"/>
      <c r="V97" s="30"/>
      <c r="W97" s="29"/>
      <c r="X97" s="30"/>
      <c r="Y97" s="29"/>
      <c r="Z97" s="30"/>
      <c r="AA97" s="29">
        <v>64675.178256127401</v>
      </c>
      <c r="AB97" s="30">
        <v>-1.67901855307988E-2</v>
      </c>
      <c r="AC97" s="29">
        <v>44755.140940614998</v>
      </c>
      <c r="AD97" s="30">
        <v>-1.6861707063036201E-2</v>
      </c>
      <c r="AE97" s="29">
        <v>33211.5812971259</v>
      </c>
      <c r="AF97" s="30">
        <v>4.2375023706733302E-2</v>
      </c>
      <c r="AG97" s="29">
        <v>29830.064036836498</v>
      </c>
      <c r="AH97" s="30">
        <v>7.9905105387088296E-2</v>
      </c>
      <c r="AI97" s="29">
        <v>19773.627665858701</v>
      </c>
      <c r="AJ97" s="30">
        <v>-1.6802417983200701E-2</v>
      </c>
      <c r="AK97" s="29">
        <v>65443.1442759294</v>
      </c>
      <c r="AL97" s="30">
        <v>9.4164555964887403E-2</v>
      </c>
      <c r="AM97" s="29">
        <v>48982.739924073299</v>
      </c>
      <c r="AN97" s="30">
        <v>0.12714555942238101</v>
      </c>
      <c r="AO97" s="29">
        <v>32519.5784349268</v>
      </c>
      <c r="AP97" s="30">
        <v>5.9893072098439602E-2</v>
      </c>
      <c r="AQ97" s="29">
        <v>30276.981265124199</v>
      </c>
      <c r="AR97" s="30">
        <v>6.3238976255451496E-2</v>
      </c>
      <c r="AS97" s="29">
        <v>16751.424330564099</v>
      </c>
      <c r="AT97" s="30">
        <v>1.7382799816576502E-2</v>
      </c>
      <c r="AU97" s="29">
        <v>171716.58699801899</v>
      </c>
      <c r="AV97" s="30">
        <v>2.1136585433697098E-2</v>
      </c>
      <c r="AW97" s="29">
        <v>122466.835366965</v>
      </c>
      <c r="AX97" s="30">
        <v>1.3628824866849E-2</v>
      </c>
      <c r="AY97" s="29">
        <v>50687.495379325301</v>
      </c>
      <c r="AZ97" s="30">
        <v>3.74793711161703E-2</v>
      </c>
      <c r="BA97" s="29">
        <v>31099.976206788899</v>
      </c>
      <c r="BB97" s="30">
        <v>7.2112030697656399E-2</v>
      </c>
      <c r="BC97" s="29">
        <v>47294.308050439497</v>
      </c>
      <c r="BD97" s="30">
        <v>4.7886591071259602E-2</v>
      </c>
      <c r="BE97" s="29"/>
      <c r="BF97" s="30"/>
    </row>
    <row r="98" spans="1:58" x14ac:dyDescent="0.2">
      <c r="A98" s="28">
        <v>2001</v>
      </c>
      <c r="B98" s="28">
        <v>3</v>
      </c>
      <c r="C98" s="29">
        <v>129115.673184136</v>
      </c>
      <c r="D98" s="30">
        <v>1.6328757154225899E-2</v>
      </c>
      <c r="E98" s="29">
        <v>129041.328432479</v>
      </c>
      <c r="F98" s="30">
        <v>2.5932343808484401E-2</v>
      </c>
      <c r="G98" s="29">
        <v>88929.1563396657</v>
      </c>
      <c r="H98" s="30">
        <v>1.69987028385679E-2</v>
      </c>
      <c r="I98" s="29">
        <v>71492.580008314093</v>
      </c>
      <c r="J98" s="30">
        <v>2.0077340605813902E-2</v>
      </c>
      <c r="K98" s="29">
        <v>17536.090919312501</v>
      </c>
      <c r="L98" s="30">
        <v>1.9414138925228899E-3</v>
      </c>
      <c r="M98" s="29">
        <v>40013.832819285999</v>
      </c>
      <c r="N98" s="30">
        <v>4.9734827731828801E-2</v>
      </c>
      <c r="O98" s="29">
        <v>33474.310241010302</v>
      </c>
      <c r="P98" s="30">
        <v>-1.6043416421959399E-2</v>
      </c>
      <c r="Q98" s="29">
        <v>12953.2396263875</v>
      </c>
      <c r="R98" s="30">
        <v>-3.5603911532540597E-2</v>
      </c>
      <c r="S98" s="29">
        <v>20703.376288503699</v>
      </c>
      <c r="T98" s="30">
        <v>-6.4207411627987803E-3</v>
      </c>
      <c r="U98" s="29"/>
      <c r="V98" s="30"/>
      <c r="W98" s="29"/>
      <c r="X98" s="30"/>
      <c r="Y98" s="29"/>
      <c r="Z98" s="30"/>
      <c r="AA98" s="29">
        <v>62113.289603611702</v>
      </c>
      <c r="AB98" s="30">
        <v>-2.94842158320461E-2</v>
      </c>
      <c r="AC98" s="29">
        <v>42000.204417178502</v>
      </c>
      <c r="AD98" s="30">
        <v>-2.0929643429743801E-2</v>
      </c>
      <c r="AE98" s="29">
        <v>31257.098970533702</v>
      </c>
      <c r="AF98" s="30">
        <v>-9.0238970615661405E-3</v>
      </c>
      <c r="AG98" s="29">
        <v>28208.432034884001</v>
      </c>
      <c r="AH98" s="30">
        <v>2.8602603123411001E-2</v>
      </c>
      <c r="AI98" s="29">
        <v>19881.269128186101</v>
      </c>
      <c r="AJ98" s="30">
        <v>-4.5224481102151499E-2</v>
      </c>
      <c r="AK98" s="29">
        <v>60212.216670953101</v>
      </c>
      <c r="AL98" s="30">
        <v>-1.40484426390998E-2</v>
      </c>
      <c r="AM98" s="29">
        <v>42984.082320449197</v>
      </c>
      <c r="AN98" s="30">
        <v>-2.2564710712479698E-2</v>
      </c>
      <c r="AO98" s="29">
        <v>30562.5063406849</v>
      </c>
      <c r="AP98" s="30">
        <v>8.3161965259737104E-3</v>
      </c>
      <c r="AQ98" s="29">
        <v>28863.4619844628</v>
      </c>
      <c r="AR98" s="30">
        <v>2.4146850084417502E-2</v>
      </c>
      <c r="AS98" s="29">
        <v>17289.844005305498</v>
      </c>
      <c r="AT98" s="30">
        <v>8.0577082815962396E-3</v>
      </c>
      <c r="AU98" s="29">
        <v>169919.938075782</v>
      </c>
      <c r="AV98" s="30">
        <v>4.2086589885486098E-3</v>
      </c>
      <c r="AW98" s="29">
        <v>122350.993152585</v>
      </c>
      <c r="AX98" s="30">
        <v>7.4809209196999796E-3</v>
      </c>
      <c r="AY98" s="29">
        <v>49130.913498134803</v>
      </c>
      <c r="AZ98" s="30">
        <v>-2.8871139387218699E-3</v>
      </c>
      <c r="BA98" s="29">
        <v>29486.688450709498</v>
      </c>
      <c r="BB98" s="30">
        <v>2.4794717386020598E-2</v>
      </c>
      <c r="BC98" s="29">
        <v>46293.229943236802</v>
      </c>
      <c r="BD98" s="30">
        <v>1.8278833265094899E-2</v>
      </c>
      <c r="BE98" s="29"/>
      <c r="BF98" s="30"/>
    </row>
    <row r="99" spans="1:58" x14ac:dyDescent="0.2">
      <c r="A99" s="28">
        <v>2001</v>
      </c>
      <c r="B99" s="28">
        <v>4</v>
      </c>
      <c r="C99" s="29">
        <v>133621.234031817</v>
      </c>
      <c r="D99" s="30">
        <v>1.37708787538915E-3</v>
      </c>
      <c r="E99" s="29">
        <v>131389.28678246</v>
      </c>
      <c r="F99" s="30">
        <v>-1.6880677802352799E-2</v>
      </c>
      <c r="G99" s="29">
        <v>90441.157864990106</v>
      </c>
      <c r="H99" s="30">
        <v>1.3850102441219E-2</v>
      </c>
      <c r="I99" s="29">
        <v>72891.511413267799</v>
      </c>
      <c r="J99" s="30">
        <v>1.5925255207833101E-2</v>
      </c>
      <c r="K99" s="29">
        <v>17610.089901584401</v>
      </c>
      <c r="L99" s="30">
        <v>3.82523939080559E-3</v>
      </c>
      <c r="M99" s="29">
        <v>40859.123611252602</v>
      </c>
      <c r="N99" s="30">
        <v>-8.6858233418276795E-2</v>
      </c>
      <c r="O99" s="29">
        <v>33938.120059457098</v>
      </c>
      <c r="P99" s="30">
        <v>-5.0081166036235698E-2</v>
      </c>
      <c r="Q99" s="29">
        <v>13211.7132084236</v>
      </c>
      <c r="R99" s="30">
        <v>-4.0306357616473998E-2</v>
      </c>
      <c r="S99" s="29">
        <v>20925.4849878813</v>
      </c>
      <c r="T99" s="30">
        <v>-5.52669895746732E-2</v>
      </c>
      <c r="U99" s="29"/>
      <c r="V99" s="30"/>
      <c r="W99" s="29"/>
      <c r="X99" s="30"/>
      <c r="Y99" s="29"/>
      <c r="Z99" s="30"/>
      <c r="AA99" s="29">
        <v>64666.561225561098</v>
      </c>
      <c r="AB99" s="30">
        <v>-3.1708595368344097E-2</v>
      </c>
      <c r="AC99" s="29">
        <v>46043.241298905101</v>
      </c>
      <c r="AD99" s="30">
        <v>-1.1165361935062099E-2</v>
      </c>
      <c r="AE99" s="29">
        <v>32593.131257996502</v>
      </c>
      <c r="AF99" s="30">
        <v>-2.6261270118300699E-2</v>
      </c>
      <c r="AG99" s="29">
        <v>29646.2239830486</v>
      </c>
      <c r="AH99" s="30">
        <v>1.3272614089014499E-2</v>
      </c>
      <c r="AI99" s="29">
        <v>18597.105641209801</v>
      </c>
      <c r="AJ99" s="30">
        <v>-7.51225704269088E-2</v>
      </c>
      <c r="AK99" s="29">
        <v>60557.640238263397</v>
      </c>
      <c r="AL99" s="30">
        <v>-7.1984763037113902E-2</v>
      </c>
      <c r="AM99" s="29">
        <v>44642.251895262503</v>
      </c>
      <c r="AN99" s="30">
        <v>-8.5737234857873004E-2</v>
      </c>
      <c r="AO99" s="29">
        <v>30781.28828044</v>
      </c>
      <c r="AP99" s="30">
        <v>-7.6081441264435806E-2</v>
      </c>
      <c r="AQ99" s="29">
        <v>29502.145270694698</v>
      </c>
      <c r="AR99" s="30">
        <v>-4.4818105732622099E-2</v>
      </c>
      <c r="AS99" s="29">
        <v>16117.0560121868</v>
      </c>
      <c r="AT99" s="30">
        <v>-3.76795413051687E-2</v>
      </c>
      <c r="AU99" s="29">
        <v>172247.96819412199</v>
      </c>
      <c r="AV99" s="30">
        <v>-9.3802025312295107E-3</v>
      </c>
      <c r="AW99" s="29">
        <v>124322.98300911501</v>
      </c>
      <c r="AX99" s="30">
        <v>-4.9212135781277998E-3</v>
      </c>
      <c r="AY99" s="29">
        <v>49543.686035058199</v>
      </c>
      <c r="AZ99" s="30">
        <v>-1.9097849638855E-2</v>
      </c>
      <c r="BA99" s="29">
        <v>31070.615180956502</v>
      </c>
      <c r="BB99" s="30">
        <v>1.53803508978008E-2</v>
      </c>
      <c r="BC99" s="29">
        <v>45895.987218753398</v>
      </c>
      <c r="BD99" s="30">
        <v>-4.2294875018202498E-2</v>
      </c>
      <c r="BE99" s="29"/>
      <c r="BF99" s="30"/>
    </row>
    <row r="100" spans="1:58" x14ac:dyDescent="0.2">
      <c r="A100" s="28">
        <v>2002</v>
      </c>
      <c r="B100" s="28">
        <v>1</v>
      </c>
      <c r="C100" s="29">
        <v>128472.32066939501</v>
      </c>
      <c r="D100" s="30">
        <v>2.0711201988823399E-3</v>
      </c>
      <c r="E100" s="29">
        <v>129820.748969821</v>
      </c>
      <c r="F100" s="30">
        <v>8.5861448179900303E-3</v>
      </c>
      <c r="G100" s="29">
        <v>89494.959079596796</v>
      </c>
      <c r="H100" s="30">
        <v>8.8949032730443207E-3</v>
      </c>
      <c r="I100" s="29">
        <v>71804.841221000199</v>
      </c>
      <c r="J100" s="30">
        <v>8.9634058770267106E-3</v>
      </c>
      <c r="K100" s="29">
        <v>17817.869813563299</v>
      </c>
      <c r="L100" s="30">
        <v>8.3260906498712206E-3</v>
      </c>
      <c r="M100" s="29">
        <v>40224.946839700802</v>
      </c>
      <c r="N100" s="30">
        <v>7.8554042483216496E-3</v>
      </c>
      <c r="O100" s="29">
        <v>32738.2363467873</v>
      </c>
      <c r="P100" s="30">
        <v>-1.5819971917976901E-2</v>
      </c>
      <c r="Q100" s="29">
        <v>11386.377179475199</v>
      </c>
      <c r="R100" s="30">
        <v>-3.8968048182796999E-4</v>
      </c>
      <c r="S100" s="29">
        <v>21316.181568702301</v>
      </c>
      <c r="T100" s="30">
        <v>-2.1641503809528999E-2</v>
      </c>
      <c r="U100" s="29"/>
      <c r="V100" s="30"/>
      <c r="W100" s="29"/>
      <c r="X100" s="30"/>
      <c r="Y100" s="29"/>
      <c r="Z100" s="30"/>
      <c r="AA100" s="29">
        <v>62274.1111821983</v>
      </c>
      <c r="AB100" s="30">
        <v>-6.8679342402206398E-2</v>
      </c>
      <c r="AC100" s="29">
        <v>42890.758651393597</v>
      </c>
      <c r="AD100" s="30">
        <v>-8.3747042867828303E-2</v>
      </c>
      <c r="AE100" s="29">
        <v>31987.710049736299</v>
      </c>
      <c r="AF100" s="30">
        <v>-4.7743166209595699E-2</v>
      </c>
      <c r="AG100" s="29">
        <v>28993.900731960301</v>
      </c>
      <c r="AH100" s="30">
        <v>-2.9404275933413802E-2</v>
      </c>
      <c r="AI100" s="29">
        <v>19222.946686736999</v>
      </c>
      <c r="AJ100" s="30">
        <v>-3.66439653408039E-2</v>
      </c>
      <c r="AK100" s="29">
        <v>61841.891482917898</v>
      </c>
      <c r="AL100" s="30">
        <v>-6.0389777762279301E-2</v>
      </c>
      <c r="AM100" s="29">
        <v>45775.225064689097</v>
      </c>
      <c r="AN100" s="30">
        <v>-8.3788054787673094E-2</v>
      </c>
      <c r="AO100" s="29">
        <v>30497.112637792601</v>
      </c>
      <c r="AP100" s="30">
        <v>-0.120044714754536</v>
      </c>
      <c r="AQ100" s="29">
        <v>29442.874226899501</v>
      </c>
      <c r="AR100" s="30">
        <v>-1.81889707861436E-2</v>
      </c>
      <c r="AS100" s="29">
        <v>16291.0612248913</v>
      </c>
      <c r="AT100" s="30">
        <v>4.5685652679103798E-3</v>
      </c>
      <c r="AU100" s="29">
        <v>170263.86608339701</v>
      </c>
      <c r="AV100" s="30">
        <v>-6.8412330576266304E-3</v>
      </c>
      <c r="AW100" s="29">
        <v>122147.696802494</v>
      </c>
      <c r="AX100" s="30">
        <v>1.91223499999227E-3</v>
      </c>
      <c r="AY100" s="29">
        <v>49625.930306595597</v>
      </c>
      <c r="AZ100" s="30">
        <v>-2.5325693839343799E-2</v>
      </c>
      <c r="BA100" s="29">
        <v>30574.534153543998</v>
      </c>
      <c r="BB100" s="30">
        <v>-1.8645956061859901E-2</v>
      </c>
      <c r="BC100" s="29">
        <v>45992.686696800098</v>
      </c>
      <c r="BD100" s="30">
        <v>-1.09291234384649E-2</v>
      </c>
      <c r="BE100" s="29"/>
      <c r="BF100" s="30"/>
    </row>
    <row r="101" spans="1:58" x14ac:dyDescent="0.2">
      <c r="A101" s="28">
        <v>2002</v>
      </c>
      <c r="B101" s="28">
        <v>2</v>
      </c>
      <c r="C101" s="29">
        <v>130721.012521767</v>
      </c>
      <c r="D101" s="30">
        <v>6.5366698323785499E-3</v>
      </c>
      <c r="E101" s="29">
        <v>131095.73372325001</v>
      </c>
      <c r="F101" s="30">
        <v>-9.5790684562324594E-3</v>
      </c>
      <c r="G101" s="29">
        <v>88465.982949776895</v>
      </c>
      <c r="H101" s="30">
        <v>3.66305074603979E-3</v>
      </c>
      <c r="I101" s="29">
        <v>70789.060753727201</v>
      </c>
      <c r="J101" s="30">
        <v>-5.4863093801682495E-4</v>
      </c>
      <c r="K101" s="29">
        <v>17840.065377704101</v>
      </c>
      <c r="L101" s="30">
        <v>2.4049151566487799E-2</v>
      </c>
      <c r="M101" s="29">
        <v>42725.392321885898</v>
      </c>
      <c r="N101" s="30">
        <v>-3.8628306249205401E-2</v>
      </c>
      <c r="O101" s="29">
        <v>34846.821812957904</v>
      </c>
      <c r="P101" s="30">
        <v>1.4660307117298399E-2</v>
      </c>
      <c r="Q101" s="29">
        <v>13102.7516720449</v>
      </c>
      <c r="R101" s="30">
        <v>2.5439312039166301E-2</v>
      </c>
      <c r="S101" s="29">
        <v>21862.6658587112</v>
      </c>
      <c r="T101" s="30">
        <v>9.3390837156583899E-3</v>
      </c>
      <c r="U101" s="29"/>
      <c r="V101" s="30"/>
      <c r="W101" s="29"/>
      <c r="X101" s="30"/>
      <c r="Y101" s="29"/>
      <c r="Z101" s="30"/>
      <c r="AA101" s="29">
        <v>64613.227625215201</v>
      </c>
      <c r="AB101" s="30">
        <v>-9.5787336939157097E-4</v>
      </c>
      <c r="AC101" s="29">
        <v>45857.200852660499</v>
      </c>
      <c r="AD101" s="30">
        <v>2.4624208278279901E-2</v>
      </c>
      <c r="AE101" s="29">
        <v>34549.551284018002</v>
      </c>
      <c r="AF101" s="30">
        <v>4.0286247587007801E-2</v>
      </c>
      <c r="AG101" s="29">
        <v>30704.410753833799</v>
      </c>
      <c r="AH101" s="30">
        <v>2.9310923232265501E-2</v>
      </c>
      <c r="AI101" s="29">
        <v>18717.439703047399</v>
      </c>
      <c r="AJ101" s="30">
        <v>-5.3413970398308197E-2</v>
      </c>
      <c r="AK101" s="29">
        <v>63225.964272834302</v>
      </c>
      <c r="AL101" s="30">
        <v>-3.3879484667589103E-2</v>
      </c>
      <c r="AM101" s="29">
        <v>46859.395736078099</v>
      </c>
      <c r="AN101" s="30">
        <v>-4.3348824326415902E-2</v>
      </c>
      <c r="AO101" s="29">
        <v>32974.5765016554</v>
      </c>
      <c r="AP101" s="30">
        <v>1.3991511840754299E-2</v>
      </c>
      <c r="AQ101" s="29">
        <v>30737.211802774102</v>
      </c>
      <c r="AR101" s="30">
        <v>1.52006745196891E-2</v>
      </c>
      <c r="AS101" s="29">
        <v>16601.483023356399</v>
      </c>
      <c r="AT101" s="30">
        <v>-8.9509586915603699E-3</v>
      </c>
      <c r="AU101" s="29">
        <v>172934.438872931</v>
      </c>
      <c r="AV101" s="30">
        <v>7.09222036264934E-3</v>
      </c>
      <c r="AW101" s="29">
        <v>123310.619974111</v>
      </c>
      <c r="AX101" s="30">
        <v>6.8899029244764397E-3</v>
      </c>
      <c r="AY101" s="29">
        <v>51074.849236029302</v>
      </c>
      <c r="AZ101" s="30">
        <v>7.6420003356885103E-3</v>
      </c>
      <c r="BA101" s="29">
        <v>32450.539319928499</v>
      </c>
      <c r="BB101" s="30">
        <v>4.3426499884098101E-2</v>
      </c>
      <c r="BC101" s="29">
        <v>47644.318740464099</v>
      </c>
      <c r="BD101" s="30">
        <v>7.4006937505328701E-3</v>
      </c>
      <c r="BE101" s="29"/>
      <c r="BF101" s="30"/>
    </row>
    <row r="102" spans="1:58" x14ac:dyDescent="0.2">
      <c r="A102" s="28">
        <v>2002</v>
      </c>
      <c r="B102" s="28">
        <v>3</v>
      </c>
      <c r="C102" s="29">
        <v>130160.549023</v>
      </c>
      <c r="D102" s="30">
        <v>8.0925561792515293E-3</v>
      </c>
      <c r="E102" s="29">
        <v>129167.157217698</v>
      </c>
      <c r="F102" s="30">
        <v>9.7510454012694802E-4</v>
      </c>
      <c r="G102" s="29">
        <v>89393.099007033699</v>
      </c>
      <c r="H102" s="30">
        <v>5.2169916646458399E-3</v>
      </c>
      <c r="I102" s="29">
        <v>71551.514442986198</v>
      </c>
      <c r="J102" s="30">
        <v>8.2434337472903096E-4</v>
      </c>
      <c r="K102" s="29">
        <v>18002.447108000499</v>
      </c>
      <c r="L102" s="30">
        <v>2.6594079081468502E-2</v>
      </c>
      <c r="M102" s="29">
        <v>39637.630490037198</v>
      </c>
      <c r="N102" s="30">
        <v>-9.4018068938269694E-3</v>
      </c>
      <c r="O102" s="29">
        <v>34238.870620220499</v>
      </c>
      <c r="P102" s="30">
        <v>2.28402130979093E-2</v>
      </c>
      <c r="Q102" s="29">
        <v>13200.702541758999</v>
      </c>
      <c r="R102" s="30">
        <v>1.9104326215606801E-2</v>
      </c>
      <c r="S102" s="29">
        <v>21206.7063423687</v>
      </c>
      <c r="T102" s="30">
        <v>2.43114961951627E-2</v>
      </c>
      <c r="U102" s="29"/>
      <c r="V102" s="30"/>
      <c r="W102" s="29"/>
      <c r="X102" s="30"/>
      <c r="Y102" s="29"/>
      <c r="Z102" s="30"/>
      <c r="AA102" s="29">
        <v>63433.711853398097</v>
      </c>
      <c r="AB102" s="30">
        <v>2.1258288817303E-2</v>
      </c>
      <c r="AC102" s="29">
        <v>44149.697035433499</v>
      </c>
      <c r="AD102" s="30">
        <v>5.1178146584825598E-2</v>
      </c>
      <c r="AE102" s="29">
        <v>33029.713574904803</v>
      </c>
      <c r="AF102" s="30">
        <v>5.67107845178536E-2</v>
      </c>
      <c r="AG102" s="29">
        <v>29237.9711374373</v>
      </c>
      <c r="AH102" s="30">
        <v>3.6497565737796202E-2</v>
      </c>
      <c r="AI102" s="29">
        <v>19164.0360556862</v>
      </c>
      <c r="AJ102" s="30">
        <v>-3.6075819298830497E-2</v>
      </c>
      <c r="AK102" s="29">
        <v>60614.248246519797</v>
      </c>
      <c r="AL102" s="30">
        <v>6.6769103978305804E-3</v>
      </c>
      <c r="AM102" s="29">
        <v>43554.122068722099</v>
      </c>
      <c r="AN102" s="30">
        <v>1.3261647509960299E-2</v>
      </c>
      <c r="AO102" s="29">
        <v>30666.6366659901</v>
      </c>
      <c r="AP102" s="30">
        <v>3.4071265014885598E-3</v>
      </c>
      <c r="AQ102" s="29">
        <v>29246.258607617299</v>
      </c>
      <c r="AR102" s="30">
        <v>1.3262325335766399E-2</v>
      </c>
      <c r="AS102" s="29">
        <v>17159.178267435</v>
      </c>
      <c r="AT102" s="30">
        <v>-7.5573693915594901E-3</v>
      </c>
      <c r="AU102" s="29">
        <v>172111.83502376199</v>
      </c>
      <c r="AV102" s="30">
        <v>1.2899586551186301E-2</v>
      </c>
      <c r="AW102" s="29">
        <v>123597.520587167</v>
      </c>
      <c r="AX102" s="30">
        <v>1.0188126818289499E-2</v>
      </c>
      <c r="AY102" s="29">
        <v>50054.043104784701</v>
      </c>
      <c r="AZ102" s="30">
        <v>1.8789180597770901E-2</v>
      </c>
      <c r="BA102" s="29">
        <v>31045.460672154401</v>
      </c>
      <c r="BB102" s="30">
        <v>5.2863590431680103E-2</v>
      </c>
      <c r="BC102" s="29">
        <v>46576.993752791197</v>
      </c>
      <c r="BD102" s="30">
        <v>6.1297042764634196E-3</v>
      </c>
      <c r="BE102" s="29"/>
      <c r="BF102" s="30"/>
    </row>
    <row r="103" spans="1:58" x14ac:dyDescent="0.2">
      <c r="A103" s="28">
        <v>2002</v>
      </c>
      <c r="B103" s="28">
        <v>4</v>
      </c>
      <c r="C103" s="29">
        <v>133443.13200529999</v>
      </c>
      <c r="D103" s="30">
        <v>-1.3328871553006699E-3</v>
      </c>
      <c r="E103" s="29">
        <v>133165.97218050901</v>
      </c>
      <c r="F103" s="30">
        <v>1.35223003454688E-2</v>
      </c>
      <c r="G103" s="29">
        <v>90482.620343528499</v>
      </c>
      <c r="H103" s="30">
        <v>4.5844701148456402E-4</v>
      </c>
      <c r="I103" s="29">
        <v>72591.977964951802</v>
      </c>
      <c r="J103" s="30">
        <v>-4.1093049452316502E-3</v>
      </c>
      <c r="K103" s="29">
        <v>18020.830822053998</v>
      </c>
      <c r="L103" s="30">
        <v>2.3324180783008699E-2</v>
      </c>
      <c r="M103" s="29">
        <v>42716.373341835599</v>
      </c>
      <c r="N103" s="30">
        <v>4.5454957581898103E-2</v>
      </c>
      <c r="O103" s="29">
        <v>34759.3741043423</v>
      </c>
      <c r="P103" s="30">
        <v>2.4198572090805798E-2</v>
      </c>
      <c r="Q103" s="29">
        <v>13711.471044083701</v>
      </c>
      <c r="R103" s="30">
        <v>3.7826875877196901E-2</v>
      </c>
      <c r="S103" s="29">
        <v>21268.393881358399</v>
      </c>
      <c r="T103" s="30">
        <v>1.63871419790604E-2</v>
      </c>
      <c r="U103" s="29"/>
      <c r="V103" s="30"/>
      <c r="W103" s="29"/>
      <c r="X103" s="30"/>
      <c r="Y103" s="29"/>
      <c r="Z103" s="30"/>
      <c r="AA103" s="29">
        <v>62956.180982075202</v>
      </c>
      <c r="AB103" s="30">
        <v>-2.6449222149296101E-2</v>
      </c>
      <c r="AC103" s="29">
        <v>45008.619828095201</v>
      </c>
      <c r="AD103" s="30">
        <v>-2.2470648060881501E-2</v>
      </c>
      <c r="AE103" s="29">
        <v>33357.267052129202</v>
      </c>
      <c r="AF103" s="30">
        <v>2.34446880259527E-2</v>
      </c>
      <c r="AG103" s="29">
        <v>29852.440504266</v>
      </c>
      <c r="AH103" s="30">
        <v>6.9559118670659004E-3</v>
      </c>
      <c r="AI103" s="29">
        <v>17940.8499944744</v>
      </c>
      <c r="AJ103" s="30">
        <v>-3.5288052850609097E-2</v>
      </c>
      <c r="AK103" s="29">
        <v>60708.364259325201</v>
      </c>
      <c r="AL103" s="30">
        <v>2.4889348473418099E-3</v>
      </c>
      <c r="AM103" s="29">
        <v>44553.033695637198</v>
      </c>
      <c r="AN103" s="30">
        <v>-1.9985147665636501E-3</v>
      </c>
      <c r="AO103" s="29">
        <v>31440.9693572838</v>
      </c>
      <c r="AP103" s="30">
        <v>2.14312367576566E-2</v>
      </c>
      <c r="AQ103" s="29">
        <v>29337.700971554099</v>
      </c>
      <c r="AR103" s="30">
        <v>-5.5739776762586696E-3</v>
      </c>
      <c r="AS103" s="29">
        <v>16340.3189694838</v>
      </c>
      <c r="AT103" s="30">
        <v>1.3852589277358E-2</v>
      </c>
      <c r="AU103" s="29">
        <v>173090.33470526201</v>
      </c>
      <c r="AV103" s="30">
        <v>4.8904293035829704E-3</v>
      </c>
      <c r="AW103" s="29">
        <v>125210.544705824</v>
      </c>
      <c r="AX103" s="30">
        <v>7.1391602359220903E-3</v>
      </c>
      <c r="AY103" s="29">
        <v>49527.909872687298</v>
      </c>
      <c r="AZ103" s="30">
        <v>-3.18429322351932E-4</v>
      </c>
      <c r="BA103" s="29">
        <v>31660.970070860702</v>
      </c>
      <c r="BB103" s="30">
        <v>1.9000424885890599E-2</v>
      </c>
      <c r="BC103" s="29">
        <v>45926.446328684098</v>
      </c>
      <c r="BD103" s="30">
        <v>6.6365518592159699E-4</v>
      </c>
      <c r="BE103" s="29"/>
      <c r="BF103" s="30"/>
    </row>
    <row r="104" spans="1:58" x14ac:dyDescent="0.2">
      <c r="A104" s="28">
        <v>2003</v>
      </c>
      <c r="B104" s="28">
        <v>1</v>
      </c>
      <c r="C104" s="29">
        <v>127895.345316078</v>
      </c>
      <c r="D104" s="30">
        <v>-4.4910479573461197E-3</v>
      </c>
      <c r="E104" s="29">
        <v>130710.17831017201</v>
      </c>
      <c r="F104" s="30">
        <v>6.8512109767480097E-3</v>
      </c>
      <c r="G104" s="29">
        <v>89875.104820396606</v>
      </c>
      <c r="H104" s="30">
        <v>4.2476776872051297E-3</v>
      </c>
      <c r="I104" s="29">
        <v>71905.237656414698</v>
      </c>
      <c r="J104" s="30">
        <v>1.3981847700987901E-3</v>
      </c>
      <c r="K104" s="29">
        <v>18135.6093083823</v>
      </c>
      <c r="L104" s="30">
        <v>1.7832630844410301E-2</v>
      </c>
      <c r="M104" s="29">
        <v>40733.291073971501</v>
      </c>
      <c r="N104" s="30">
        <v>1.26375365092837E-2</v>
      </c>
      <c r="O104" s="29">
        <v>32252.122418852599</v>
      </c>
      <c r="P104" s="30">
        <v>-1.48485068891758E-2</v>
      </c>
      <c r="Q104" s="29">
        <v>11518.129561756799</v>
      </c>
      <c r="R104" s="30">
        <v>1.1571053742984099E-2</v>
      </c>
      <c r="S104" s="29">
        <v>20742.338911525301</v>
      </c>
      <c r="T104" s="30">
        <v>-2.69205183549176E-2</v>
      </c>
      <c r="U104" s="29"/>
      <c r="V104" s="30"/>
      <c r="W104" s="29"/>
      <c r="X104" s="30"/>
      <c r="Y104" s="29"/>
      <c r="Z104" s="30"/>
      <c r="AA104" s="29">
        <v>60791.589631441399</v>
      </c>
      <c r="AB104" s="30">
        <v>-2.3806386355630101E-2</v>
      </c>
      <c r="AC104" s="29">
        <v>43295.103951277102</v>
      </c>
      <c r="AD104" s="30">
        <v>9.4273291636066698E-3</v>
      </c>
      <c r="AE104" s="29">
        <v>32179.772553477302</v>
      </c>
      <c r="AF104" s="30">
        <v>6.0042592433911003E-3</v>
      </c>
      <c r="AG104" s="29">
        <v>29095.599702224499</v>
      </c>
      <c r="AH104" s="30">
        <v>3.5075987603172499E-3</v>
      </c>
      <c r="AI104" s="29">
        <v>17476.945558262501</v>
      </c>
      <c r="AJ104" s="30">
        <v>-9.08290054031681E-2</v>
      </c>
      <c r="AK104" s="29">
        <v>61830.038449398897</v>
      </c>
      <c r="AL104" s="30">
        <v>-1.9166673649184701E-4</v>
      </c>
      <c r="AM104" s="29">
        <v>46071.443035226999</v>
      </c>
      <c r="AN104" s="30">
        <v>6.4711417610590098E-3</v>
      </c>
      <c r="AO104" s="29">
        <v>32213.761645626098</v>
      </c>
      <c r="AP104" s="30">
        <v>5.62889027634128E-2</v>
      </c>
      <c r="AQ104" s="29">
        <v>30820.8458296139</v>
      </c>
      <c r="AR104" s="30">
        <v>4.6801531402647797E-2</v>
      </c>
      <c r="AS104" s="29">
        <v>16033.7924145991</v>
      </c>
      <c r="AT104" s="30">
        <v>-1.57920227995373E-2</v>
      </c>
      <c r="AU104" s="29">
        <v>168635.660340923</v>
      </c>
      <c r="AV104" s="30">
        <v>-9.5628378464985807E-3</v>
      </c>
      <c r="AW104" s="29">
        <v>122025.622927392</v>
      </c>
      <c r="AX104" s="30">
        <v>-9.9939563576123503E-4</v>
      </c>
      <c r="AY104" s="29">
        <v>48211.551700086799</v>
      </c>
      <c r="AZ104" s="30">
        <v>-2.85007978242541E-2</v>
      </c>
      <c r="BA104" s="29">
        <v>30808.8407181824</v>
      </c>
      <c r="BB104" s="30">
        <v>7.6634549348071302E-3</v>
      </c>
      <c r="BC104" s="29">
        <v>47196.018516342701</v>
      </c>
      <c r="BD104" s="30">
        <v>2.6163546989011601E-2</v>
      </c>
      <c r="BE104" s="29"/>
      <c r="BF104" s="30"/>
    </row>
    <row r="105" spans="1:58" x14ac:dyDescent="0.2">
      <c r="A105" s="28">
        <v>2003</v>
      </c>
      <c r="B105" s="28">
        <v>2</v>
      </c>
      <c r="C105" s="29">
        <v>128828.047764004</v>
      </c>
      <c r="D105" s="30">
        <v>-1.44809523828358E-2</v>
      </c>
      <c r="E105" s="29">
        <v>128296.72492050201</v>
      </c>
      <c r="F105" s="30">
        <v>-2.1350876365330701E-2</v>
      </c>
      <c r="G105" s="29">
        <v>88929.958071413901</v>
      </c>
      <c r="H105" s="30">
        <v>5.2446726545769496E-3</v>
      </c>
      <c r="I105" s="29">
        <v>70981.041529998198</v>
      </c>
      <c r="J105" s="30">
        <v>2.7120119157810802E-3</v>
      </c>
      <c r="K105" s="29">
        <v>18142.1825098714</v>
      </c>
      <c r="L105" s="30">
        <v>1.6934754765239399E-2</v>
      </c>
      <c r="M105" s="29">
        <v>39157.106634928103</v>
      </c>
      <c r="N105" s="30">
        <v>-8.3516744798385098E-2</v>
      </c>
      <c r="O105" s="29">
        <v>33517.331324490799</v>
      </c>
      <c r="P105" s="30">
        <v>-3.81524173310019E-2</v>
      </c>
      <c r="Q105" s="29">
        <v>13212.1861554184</v>
      </c>
      <c r="R105" s="30">
        <v>8.3520230034588305E-3</v>
      </c>
      <c r="S105" s="29">
        <v>20520.539579523502</v>
      </c>
      <c r="T105" s="30">
        <v>-6.1388958138100899E-2</v>
      </c>
      <c r="U105" s="29"/>
      <c r="V105" s="30"/>
      <c r="W105" s="29"/>
      <c r="X105" s="30"/>
      <c r="Y105" s="29"/>
      <c r="Z105" s="30"/>
      <c r="AA105" s="29">
        <v>62293.045559984101</v>
      </c>
      <c r="AB105" s="30">
        <v>-3.59087782874613E-2</v>
      </c>
      <c r="AC105" s="29">
        <v>44850.720387216199</v>
      </c>
      <c r="AD105" s="30">
        <v>-2.19481443858324E-2</v>
      </c>
      <c r="AE105" s="29">
        <v>33323.591924045002</v>
      </c>
      <c r="AF105" s="30">
        <v>-3.5484089211313602E-2</v>
      </c>
      <c r="AG105" s="29">
        <v>29629.410225078602</v>
      </c>
      <c r="AH105" s="30">
        <v>-3.50112737018069E-2</v>
      </c>
      <c r="AI105" s="29">
        <v>17470.298021100702</v>
      </c>
      <c r="AJ105" s="30">
        <v>-6.6629929185435602E-2</v>
      </c>
      <c r="AK105" s="29">
        <v>59917.215464319903</v>
      </c>
      <c r="AL105" s="30">
        <v>-5.2332120934310902E-2</v>
      </c>
      <c r="AM105" s="29">
        <v>44285.263441089897</v>
      </c>
      <c r="AN105" s="30">
        <v>-5.4933109028684E-2</v>
      </c>
      <c r="AO105" s="29">
        <v>31089.522939770999</v>
      </c>
      <c r="AP105" s="30">
        <v>-5.7166877087558403E-2</v>
      </c>
      <c r="AQ105" s="29">
        <v>29411.088047114601</v>
      </c>
      <c r="AR105" s="30">
        <v>-4.31439183283302E-2</v>
      </c>
      <c r="AS105" s="29">
        <v>15853.9189358519</v>
      </c>
      <c r="AT105" s="30">
        <v>-4.5029958254502303E-2</v>
      </c>
      <c r="AU105" s="29">
        <v>169665.91184890101</v>
      </c>
      <c r="AV105" s="30">
        <v>-1.8900382395385201E-2</v>
      </c>
      <c r="AW105" s="29">
        <v>122396.02334773399</v>
      </c>
      <c r="AX105" s="30">
        <v>-7.4170142569132099E-3</v>
      </c>
      <c r="AY105" s="29">
        <v>48843.419961132699</v>
      </c>
      <c r="AZ105" s="30">
        <v>-4.3689395236090701E-2</v>
      </c>
      <c r="BA105" s="29">
        <v>31430.4077657177</v>
      </c>
      <c r="BB105" s="30">
        <v>-3.1436505389118803E-2</v>
      </c>
      <c r="BC105" s="29">
        <v>45550.999163962297</v>
      </c>
      <c r="BD105" s="30">
        <v>-4.3936394345461101E-2</v>
      </c>
      <c r="BE105" s="29"/>
      <c r="BF105" s="30"/>
    </row>
    <row r="106" spans="1:58" x14ac:dyDescent="0.2">
      <c r="A106" s="28">
        <v>2003</v>
      </c>
      <c r="B106" s="28">
        <v>3</v>
      </c>
      <c r="C106" s="29">
        <v>129506.389828809</v>
      </c>
      <c r="D106" s="30">
        <v>-5.0257869923060498E-3</v>
      </c>
      <c r="E106" s="29">
        <v>130861.60730530501</v>
      </c>
      <c r="F106" s="30">
        <v>1.31182734381237E-2</v>
      </c>
      <c r="G106" s="29">
        <v>89931.654116275095</v>
      </c>
      <c r="H106" s="30">
        <v>6.0245714179678602E-3</v>
      </c>
      <c r="I106" s="29">
        <v>71817.383938930405</v>
      </c>
      <c r="J106" s="30">
        <v>3.7157773390814599E-3</v>
      </c>
      <c r="K106" s="29">
        <v>18303.299569143201</v>
      </c>
      <c r="L106" s="30">
        <v>1.67117536487058E-2</v>
      </c>
      <c r="M106" s="29">
        <v>40835.362385356399</v>
      </c>
      <c r="N106" s="30">
        <v>3.0217040739110201E-2</v>
      </c>
      <c r="O106" s="29">
        <v>33871.626017942297</v>
      </c>
      <c r="P106" s="30">
        <v>-1.0725955489351501E-2</v>
      </c>
      <c r="Q106" s="29">
        <v>13464.3621225154</v>
      </c>
      <c r="R106" s="30">
        <v>1.9973147635314398E-2</v>
      </c>
      <c r="S106" s="29">
        <v>20643.659380600799</v>
      </c>
      <c r="T106" s="30">
        <v>-2.6550420073624698E-2</v>
      </c>
      <c r="U106" s="29"/>
      <c r="V106" s="30"/>
      <c r="W106" s="29"/>
      <c r="X106" s="30"/>
      <c r="Y106" s="29"/>
      <c r="Z106" s="30"/>
      <c r="AA106" s="29">
        <v>62161.521294324499</v>
      </c>
      <c r="AB106" s="30">
        <v>-2.0055433016653999E-2</v>
      </c>
      <c r="AC106" s="29">
        <v>43438.410739317398</v>
      </c>
      <c r="AD106" s="30">
        <v>-1.6110785438579099E-2</v>
      </c>
      <c r="AE106" s="29">
        <v>32710.708024187501</v>
      </c>
      <c r="AF106" s="30">
        <v>-9.6581385725268403E-3</v>
      </c>
      <c r="AG106" s="29">
        <v>29168.616693463999</v>
      </c>
      <c r="AH106" s="30">
        <v>-2.3720675982379399E-3</v>
      </c>
      <c r="AI106" s="29">
        <v>18620.980929062898</v>
      </c>
      <c r="AJ106" s="30">
        <v>-2.8337200214260901E-2</v>
      </c>
      <c r="AK106" s="29">
        <v>61704.0794353862</v>
      </c>
      <c r="AL106" s="30">
        <v>1.7979785617961801E-2</v>
      </c>
      <c r="AM106" s="29">
        <v>44958.704312198497</v>
      </c>
      <c r="AN106" s="30">
        <v>3.2249123085528603E-2</v>
      </c>
      <c r="AO106" s="29">
        <v>31029.6439331988</v>
      </c>
      <c r="AP106" s="30">
        <v>1.1837205076071101E-2</v>
      </c>
      <c r="AQ106" s="29">
        <v>29670.954872283801</v>
      </c>
      <c r="AR106" s="30">
        <v>1.4521387859022201E-2</v>
      </c>
      <c r="AS106" s="29">
        <v>16893.761419381401</v>
      </c>
      <c r="AT106" s="30">
        <v>-1.54679229924027E-2</v>
      </c>
      <c r="AU106" s="29">
        <v>171758.536172205</v>
      </c>
      <c r="AV106" s="30">
        <v>-2.0527283990017199E-3</v>
      </c>
      <c r="AW106" s="29">
        <v>123750.722930038</v>
      </c>
      <c r="AX106" s="30">
        <v>1.23952602077471E-3</v>
      </c>
      <c r="AY106" s="29">
        <v>49585.155189241297</v>
      </c>
      <c r="AZ106" s="30">
        <v>-9.3676331912243595E-3</v>
      </c>
      <c r="BA106" s="29">
        <v>31089.649807723301</v>
      </c>
      <c r="BB106" s="30">
        <v>1.42336865397286E-3</v>
      </c>
      <c r="BC106" s="29">
        <v>46788.582745827</v>
      </c>
      <c r="BD106" s="30">
        <v>4.54277908443124E-3</v>
      </c>
      <c r="BE106" s="29"/>
      <c r="BF106" s="30"/>
    </row>
    <row r="107" spans="1:58" x14ac:dyDescent="0.2">
      <c r="A107" s="28">
        <v>2003</v>
      </c>
      <c r="B107" s="28">
        <v>4</v>
      </c>
      <c r="C107" s="29">
        <v>135081.324804248</v>
      </c>
      <c r="D107" s="30">
        <v>1.2276336551233301E-2</v>
      </c>
      <c r="E107" s="29">
        <v>136415.44043017199</v>
      </c>
      <c r="F107" s="30">
        <v>2.4401641023260801E-2</v>
      </c>
      <c r="G107" s="29">
        <v>91508.846606452804</v>
      </c>
      <c r="H107" s="30">
        <v>1.13416947810325E-2</v>
      </c>
      <c r="I107" s="29">
        <v>73283.408390116107</v>
      </c>
      <c r="J107" s="30">
        <v>9.5248875226696707E-3</v>
      </c>
      <c r="K107" s="29">
        <v>18381.811738041699</v>
      </c>
      <c r="L107" s="30">
        <v>2.0031313736431602E-2</v>
      </c>
      <c r="M107" s="29">
        <v>45152.100950393498</v>
      </c>
      <c r="N107" s="30">
        <v>5.7020936423279697E-2</v>
      </c>
      <c r="O107" s="29">
        <v>36005.856416297102</v>
      </c>
      <c r="P107" s="30">
        <v>3.5860320965878503E-2</v>
      </c>
      <c r="Q107" s="29">
        <v>14140.7902595782</v>
      </c>
      <c r="R107" s="30">
        <v>3.1310952275960501E-2</v>
      </c>
      <c r="S107" s="29">
        <v>22087.741526477701</v>
      </c>
      <c r="T107" s="30">
        <v>3.8524189917199102E-2</v>
      </c>
      <c r="U107" s="29"/>
      <c r="V107" s="30"/>
      <c r="W107" s="29"/>
      <c r="X107" s="30"/>
      <c r="Y107" s="29"/>
      <c r="Z107" s="30"/>
      <c r="AA107" s="29">
        <v>64339.601002158503</v>
      </c>
      <c r="AB107" s="30">
        <v>2.1974331963961799E-2</v>
      </c>
      <c r="AC107" s="29">
        <v>45889.822340656399</v>
      </c>
      <c r="AD107" s="30">
        <v>1.9578527755945499E-2</v>
      </c>
      <c r="AE107" s="29">
        <v>34879.6557791214</v>
      </c>
      <c r="AF107" s="30">
        <v>4.5638892557148897E-2</v>
      </c>
      <c r="AG107" s="29">
        <v>31194.184682622599</v>
      </c>
      <c r="AH107" s="30">
        <v>4.4945878986506503E-2</v>
      </c>
      <c r="AI107" s="29">
        <v>18435.795988039699</v>
      </c>
      <c r="AJ107" s="30">
        <v>2.75876557530867E-2</v>
      </c>
      <c r="AK107" s="29">
        <v>63740.453613019898</v>
      </c>
      <c r="AL107" s="30">
        <v>4.9945166381729397E-2</v>
      </c>
      <c r="AM107" s="29">
        <v>47818.713511264999</v>
      </c>
      <c r="AN107" s="30">
        <v>7.3298708185332698E-2</v>
      </c>
      <c r="AO107" s="29">
        <v>33814.998977236202</v>
      </c>
      <c r="AP107" s="30">
        <v>7.5507519916920798E-2</v>
      </c>
      <c r="AQ107" s="29">
        <v>31985.0469834455</v>
      </c>
      <c r="AR107" s="30">
        <v>9.0236996227421401E-2</v>
      </c>
      <c r="AS107" s="29">
        <v>16245.5575451271</v>
      </c>
      <c r="AT107" s="30">
        <v>-5.7992395701525999E-3</v>
      </c>
      <c r="AU107" s="29">
        <v>177708.754475511</v>
      </c>
      <c r="AV107" s="30">
        <v>2.6682135534106501E-2</v>
      </c>
      <c r="AW107" s="29">
        <v>127508.522956245</v>
      </c>
      <c r="AX107" s="30">
        <v>1.8352913133788999E-2</v>
      </c>
      <c r="AY107" s="29">
        <v>51778.925098910899</v>
      </c>
      <c r="AZ107" s="30">
        <v>4.5449429059493597E-2</v>
      </c>
      <c r="BA107" s="29">
        <v>33397.434967983201</v>
      </c>
      <c r="BB107" s="30">
        <v>5.4845599905374499E-2</v>
      </c>
      <c r="BC107" s="29">
        <v>48613.182316719001</v>
      </c>
      <c r="BD107" s="30">
        <v>5.8500846523299899E-2</v>
      </c>
      <c r="BE107" s="29"/>
      <c r="BF107" s="30"/>
    </row>
    <row r="108" spans="1:58" x14ac:dyDescent="0.2">
      <c r="A108" s="28">
        <v>2004</v>
      </c>
      <c r="B108" s="28">
        <v>1</v>
      </c>
      <c r="C108" s="29">
        <v>131311.35872297001</v>
      </c>
      <c r="D108" s="30">
        <v>2.6709442774876899E-2</v>
      </c>
      <c r="E108" s="29">
        <v>129411.57684759601</v>
      </c>
      <c r="F108" s="30">
        <v>-9.9349681820053402E-3</v>
      </c>
      <c r="G108" s="29">
        <v>91401.762249282605</v>
      </c>
      <c r="H108" s="30">
        <v>1.6986432805134101E-2</v>
      </c>
      <c r="I108" s="29">
        <v>73216.780887245099</v>
      </c>
      <c r="J108" s="30">
        <v>1.8239884514356298E-2</v>
      </c>
      <c r="K108" s="29">
        <v>18337.4004224325</v>
      </c>
      <c r="L108" s="30">
        <v>1.1126789876143101E-2</v>
      </c>
      <c r="M108" s="29">
        <v>37457.434972727599</v>
      </c>
      <c r="N108" s="30">
        <v>-8.04220826472129E-2</v>
      </c>
      <c r="O108" s="29">
        <v>33659.302803076404</v>
      </c>
      <c r="P108" s="30">
        <v>4.3630628891610797E-2</v>
      </c>
      <c r="Q108" s="29">
        <v>11969.5435010037</v>
      </c>
      <c r="R108" s="30">
        <v>3.9191601103859303E-2</v>
      </c>
      <c r="S108" s="29">
        <v>21676.517661435999</v>
      </c>
      <c r="T108" s="30">
        <v>4.5037290823145802E-2</v>
      </c>
      <c r="U108" s="29"/>
      <c r="V108" s="30"/>
      <c r="W108" s="29"/>
      <c r="X108" s="30"/>
      <c r="Y108" s="29"/>
      <c r="Z108" s="30"/>
      <c r="AA108" s="29">
        <v>67029.420865546301</v>
      </c>
      <c r="AB108" s="30">
        <v>0.10261010235005701</v>
      </c>
      <c r="AC108" s="29">
        <v>47929.016334336498</v>
      </c>
      <c r="AD108" s="30">
        <v>0.107030864004261</v>
      </c>
      <c r="AE108" s="29">
        <v>35886.066082127603</v>
      </c>
      <c r="AF108" s="30">
        <v>0.115174634080804</v>
      </c>
      <c r="AG108" s="29">
        <v>31704.422568219801</v>
      </c>
      <c r="AH108" s="30">
        <v>8.9663828644024807E-2</v>
      </c>
      <c r="AI108" s="29">
        <v>19104.8507828293</v>
      </c>
      <c r="AJ108" s="30">
        <v>9.3145865742951403E-2</v>
      </c>
      <c r="AK108" s="29">
        <v>63511.995104287897</v>
      </c>
      <c r="AL108" s="30">
        <v>2.72029048836109E-2</v>
      </c>
      <c r="AM108" s="29">
        <v>46221.968932401702</v>
      </c>
      <c r="AN108" s="30">
        <v>3.2672277501617501E-3</v>
      </c>
      <c r="AO108" s="29">
        <v>33812.177094540297</v>
      </c>
      <c r="AP108" s="30">
        <v>4.9619025138939697E-2</v>
      </c>
      <c r="AQ108" s="29">
        <v>32035.722055595001</v>
      </c>
      <c r="AR108" s="30">
        <v>3.9417355146488503E-2</v>
      </c>
      <c r="AS108" s="29">
        <v>17406.675449814</v>
      </c>
      <c r="AT108" s="30">
        <v>8.5624348857405302E-2</v>
      </c>
      <c r="AU108" s="29">
        <v>176872.64919905001</v>
      </c>
      <c r="AV108" s="30">
        <v>4.88448815717515E-2</v>
      </c>
      <c r="AW108" s="29">
        <v>124992.659264824</v>
      </c>
      <c r="AX108" s="30">
        <v>2.4314863274231199E-2</v>
      </c>
      <c r="AY108" s="29">
        <v>53248.2095925389</v>
      </c>
      <c r="AZ108" s="30">
        <v>0.10446993956519</v>
      </c>
      <c r="BA108" s="29">
        <v>34216.3440499727</v>
      </c>
      <c r="BB108" s="30">
        <v>0.110601478418473</v>
      </c>
      <c r="BC108" s="29">
        <v>49752.6204750256</v>
      </c>
      <c r="BD108" s="30">
        <v>5.4169865150757397E-2</v>
      </c>
      <c r="BE108" s="29"/>
      <c r="BF108" s="30"/>
    </row>
    <row r="109" spans="1:58" x14ac:dyDescent="0.2">
      <c r="A109" s="28">
        <v>2004</v>
      </c>
      <c r="B109" s="28">
        <v>2</v>
      </c>
      <c r="C109" s="29">
        <v>133300.94437581499</v>
      </c>
      <c r="D109" s="30">
        <v>3.4719897486955802E-2</v>
      </c>
      <c r="E109" s="29">
        <v>129231.904571908</v>
      </c>
      <c r="F109" s="30">
        <v>7.2891934847498802E-3</v>
      </c>
      <c r="G109" s="29">
        <v>90804.358644535998</v>
      </c>
      <c r="H109" s="30">
        <v>2.1077268153178601E-2</v>
      </c>
      <c r="I109" s="29">
        <v>72507.836991062199</v>
      </c>
      <c r="J109" s="30">
        <v>2.15099050134211E-2</v>
      </c>
      <c r="K109" s="29">
        <v>18488.7574681349</v>
      </c>
      <c r="L109" s="30">
        <v>1.9103267100028E-2</v>
      </c>
      <c r="M109" s="29">
        <v>37961.554596198999</v>
      </c>
      <c r="N109" s="30">
        <v>-3.05321853801808E-2</v>
      </c>
      <c r="O109" s="29">
        <v>35947.201132866998</v>
      </c>
      <c r="P109" s="30">
        <v>7.2495921135601299E-2</v>
      </c>
      <c r="Q109" s="29">
        <v>13646.1517154472</v>
      </c>
      <c r="R109" s="30">
        <v>3.2845855706540097E-2</v>
      </c>
      <c r="S109" s="29">
        <v>22441.932695923198</v>
      </c>
      <c r="T109" s="30">
        <v>9.3632680025477005E-2</v>
      </c>
      <c r="U109" s="29"/>
      <c r="V109" s="30"/>
      <c r="W109" s="29"/>
      <c r="X109" s="30"/>
      <c r="Y109" s="29"/>
      <c r="Z109" s="30"/>
      <c r="AA109" s="29">
        <v>69773.166741884299</v>
      </c>
      <c r="AB109" s="30">
        <v>0.120079554862948</v>
      </c>
      <c r="AC109" s="29">
        <v>50535.575036447903</v>
      </c>
      <c r="AD109" s="30">
        <v>0.12675057613683399</v>
      </c>
      <c r="AE109" s="29">
        <v>36594.536685280204</v>
      </c>
      <c r="AF109" s="30">
        <v>9.81570284707209E-2</v>
      </c>
      <c r="AG109" s="29">
        <v>31956.798057863201</v>
      </c>
      <c r="AH109" s="30">
        <v>7.8549921011074705E-2</v>
      </c>
      <c r="AI109" s="29">
        <v>19323.048316936001</v>
      </c>
      <c r="AJ109" s="30">
        <v>0.106051441915732</v>
      </c>
      <c r="AK109" s="29">
        <v>64117.163070688002</v>
      </c>
      <c r="AL109" s="30">
        <v>7.0095840966927198E-2</v>
      </c>
      <c r="AM109" s="29">
        <v>46172.527667197799</v>
      </c>
      <c r="AN109" s="30">
        <v>4.2616077662458E-2</v>
      </c>
      <c r="AO109" s="29">
        <v>33835.555977283802</v>
      </c>
      <c r="AP109" s="30">
        <v>8.8326637974880398E-2</v>
      </c>
      <c r="AQ109" s="29">
        <v>32329.0207146377</v>
      </c>
      <c r="AR109" s="30">
        <v>9.9211993206396801E-2</v>
      </c>
      <c r="AS109" s="29">
        <v>17984.380088428901</v>
      </c>
      <c r="AT109" s="30">
        <v>0.13438072701123899</v>
      </c>
      <c r="AU109" s="29">
        <v>179316.556257505</v>
      </c>
      <c r="AV109" s="30">
        <v>5.6880279034472001E-2</v>
      </c>
      <c r="AW109" s="29">
        <v>126732.347454098</v>
      </c>
      <c r="AX109" s="30">
        <v>3.5428635569672198E-2</v>
      </c>
      <c r="AY109" s="29">
        <v>53972.656228492502</v>
      </c>
      <c r="AZ109" s="30">
        <v>0.10501386412829999</v>
      </c>
      <c r="BA109" s="29">
        <v>34721.568553845696</v>
      </c>
      <c r="BB109" s="30">
        <v>0.104712634104537</v>
      </c>
      <c r="BC109" s="29">
        <v>50607.830493413603</v>
      </c>
      <c r="BD109" s="30">
        <v>0.11101471805808601</v>
      </c>
      <c r="BE109" s="29"/>
      <c r="BF109" s="30"/>
    </row>
    <row r="110" spans="1:58" x14ac:dyDescent="0.2">
      <c r="A110" s="28">
        <v>2004</v>
      </c>
      <c r="B110" s="28">
        <v>3</v>
      </c>
      <c r="C110" s="29">
        <v>132832.99456544701</v>
      </c>
      <c r="D110" s="30">
        <v>2.5686800018402501E-2</v>
      </c>
      <c r="E110" s="29">
        <v>131962.87126030601</v>
      </c>
      <c r="F110" s="30">
        <v>8.4154854710882798E-3</v>
      </c>
      <c r="G110" s="29">
        <v>91633.483102908198</v>
      </c>
      <c r="H110" s="30">
        <v>1.8923581505936999E-2</v>
      </c>
      <c r="I110" s="29">
        <v>73335.314888610097</v>
      </c>
      <c r="J110" s="30">
        <v>2.1135982215259499E-2</v>
      </c>
      <c r="K110" s="29">
        <v>18462.857123019599</v>
      </c>
      <c r="L110" s="30">
        <v>8.7174202265363192E-3</v>
      </c>
      <c r="M110" s="29">
        <v>40051.865634319904</v>
      </c>
      <c r="N110" s="30">
        <v>-1.91867221268377E-2</v>
      </c>
      <c r="O110" s="29">
        <v>36349.058379153998</v>
      </c>
      <c r="P110" s="30">
        <v>7.3141819642768197E-2</v>
      </c>
      <c r="Q110" s="29">
        <v>14057.438157169299</v>
      </c>
      <c r="R110" s="30">
        <v>4.40478374881332E-2</v>
      </c>
      <c r="S110" s="29">
        <v>22480.555646879398</v>
      </c>
      <c r="T110" s="30">
        <v>8.8981136164492103E-2</v>
      </c>
      <c r="U110" s="29"/>
      <c r="V110" s="30"/>
      <c r="W110" s="29"/>
      <c r="X110" s="30"/>
      <c r="Y110" s="29"/>
      <c r="Z110" s="30"/>
      <c r="AA110" s="29">
        <v>67639.717736225793</v>
      </c>
      <c r="AB110" s="30">
        <v>8.8128416548284294E-2</v>
      </c>
      <c r="AC110" s="29">
        <v>47939.741920567903</v>
      </c>
      <c r="AD110" s="30">
        <v>0.103625595518766</v>
      </c>
      <c r="AE110" s="29">
        <v>35525.336321398703</v>
      </c>
      <c r="AF110" s="30">
        <v>8.6046082986950101E-2</v>
      </c>
      <c r="AG110" s="29">
        <v>31095.036947489301</v>
      </c>
      <c r="AH110" s="30">
        <v>6.6044278831259406E-2</v>
      </c>
      <c r="AI110" s="29">
        <v>19651.092102093</v>
      </c>
      <c r="AJ110" s="30">
        <v>5.5319919877172302E-2</v>
      </c>
      <c r="AK110" s="29">
        <v>65172.234381682902</v>
      </c>
      <c r="AL110" s="30">
        <v>5.6206250511013203E-2</v>
      </c>
      <c r="AM110" s="29">
        <v>46338.828077873703</v>
      </c>
      <c r="AN110" s="30">
        <v>3.0697587637122499E-2</v>
      </c>
      <c r="AO110" s="29">
        <v>33526.610105279899</v>
      </c>
      <c r="AP110" s="30">
        <v>8.04703456300222E-2</v>
      </c>
      <c r="AQ110" s="29">
        <v>31954.350336716001</v>
      </c>
      <c r="AR110" s="30">
        <v>7.6957262557303605E-2</v>
      </c>
      <c r="AS110" s="29">
        <v>18779.2858987031</v>
      </c>
      <c r="AT110" s="30">
        <v>0.11161069654734</v>
      </c>
      <c r="AU110" s="29">
        <v>180046.457639495</v>
      </c>
      <c r="AV110" s="30">
        <v>4.82533308212423E-2</v>
      </c>
      <c r="AW110" s="29">
        <v>127964.58483962101</v>
      </c>
      <c r="AX110" s="30">
        <v>3.40512104480011E-2</v>
      </c>
      <c r="AY110" s="29">
        <v>53551.028326489497</v>
      </c>
      <c r="AZ110" s="30">
        <v>7.9981057276364398E-2</v>
      </c>
      <c r="BA110" s="29">
        <v>33994.495561144402</v>
      </c>
      <c r="BB110" s="30">
        <v>9.3434495769053799E-2</v>
      </c>
      <c r="BC110" s="29">
        <v>50979.963824273698</v>
      </c>
      <c r="BD110" s="30">
        <v>8.9581278860611402E-2</v>
      </c>
      <c r="BE110" s="29"/>
      <c r="BF110" s="30"/>
    </row>
    <row r="111" spans="1:58" x14ac:dyDescent="0.2">
      <c r="A111" s="28">
        <v>2004</v>
      </c>
      <c r="B111" s="28">
        <v>4</v>
      </c>
      <c r="C111" s="29">
        <v>137351.75801146199</v>
      </c>
      <c r="D111" s="30">
        <v>1.6807898578905099E-2</v>
      </c>
      <c r="E111" s="29">
        <v>136192.63799897701</v>
      </c>
      <c r="F111" s="30">
        <v>-1.6332640241605301E-3</v>
      </c>
      <c r="G111" s="29">
        <v>92955.084347955097</v>
      </c>
      <c r="H111" s="30">
        <v>1.5804348925104499E-2</v>
      </c>
      <c r="I111" s="29">
        <v>74535.241938216102</v>
      </c>
      <c r="J111" s="30">
        <v>1.7082086867958E-2</v>
      </c>
      <c r="K111" s="29">
        <v>18561.710937813601</v>
      </c>
      <c r="L111" s="30">
        <v>9.7868046053133408E-3</v>
      </c>
      <c r="M111" s="29">
        <v>43245.121592104697</v>
      </c>
      <c r="N111" s="30">
        <v>-4.2234565350212701E-2</v>
      </c>
      <c r="O111" s="29">
        <v>37287.401172679703</v>
      </c>
      <c r="P111" s="30">
        <v>3.5592675301638198E-2</v>
      </c>
      <c r="Q111" s="29">
        <v>14736.0723731035</v>
      </c>
      <c r="R111" s="30">
        <v>4.2096806656336999E-2</v>
      </c>
      <c r="S111" s="29">
        <v>22801.859568566899</v>
      </c>
      <c r="T111" s="30">
        <v>3.2330966986060701E-2</v>
      </c>
      <c r="U111" s="29"/>
      <c r="V111" s="30"/>
      <c r="W111" s="29"/>
      <c r="X111" s="30"/>
      <c r="Y111" s="29"/>
      <c r="Z111" s="30"/>
      <c r="AA111" s="29">
        <v>69490.402650666598</v>
      </c>
      <c r="AB111" s="30">
        <v>8.0056474834764302E-2</v>
      </c>
      <c r="AC111" s="29">
        <v>50277.482746666901</v>
      </c>
      <c r="AD111" s="30">
        <v>9.5612930759228998E-2</v>
      </c>
      <c r="AE111" s="29">
        <v>37650.079050493398</v>
      </c>
      <c r="AF111" s="30">
        <v>7.94280565414964E-2</v>
      </c>
      <c r="AG111" s="29">
        <v>32738.036756196601</v>
      </c>
      <c r="AH111" s="30">
        <v>4.94916629263287E-2</v>
      </c>
      <c r="AI111" s="29">
        <v>19291.3484972724</v>
      </c>
      <c r="AJ111" s="30">
        <v>4.6407136951811999E-2</v>
      </c>
      <c r="AK111" s="29">
        <v>66622.345324062306</v>
      </c>
      <c r="AL111" s="30">
        <v>4.52129149964779E-2</v>
      </c>
      <c r="AM111" s="29">
        <v>49073.408009604602</v>
      </c>
      <c r="AN111" s="30">
        <v>2.62385665821812E-2</v>
      </c>
      <c r="AO111" s="29">
        <v>34674.318645659201</v>
      </c>
      <c r="AP111" s="30">
        <v>2.5412381913762602E-2</v>
      </c>
      <c r="AQ111" s="29">
        <v>32807.6455507008</v>
      </c>
      <c r="AR111" s="30">
        <v>2.57182228833692E-2</v>
      </c>
      <c r="AS111" s="29">
        <v>17764.9171798151</v>
      </c>
      <c r="AT111" s="30">
        <v>9.3524622375532801E-2</v>
      </c>
      <c r="AU111" s="29">
        <v>183763.16488083301</v>
      </c>
      <c r="AV111" s="30">
        <v>3.4069286137255801E-2</v>
      </c>
      <c r="AW111" s="29">
        <v>130232.318657592</v>
      </c>
      <c r="AX111" s="30">
        <v>2.1361675582121101E-2</v>
      </c>
      <c r="AY111" s="29">
        <v>54991.161051976997</v>
      </c>
      <c r="AZ111" s="30">
        <v>6.2037517135203002E-2</v>
      </c>
      <c r="BA111" s="29">
        <v>35753.966830835299</v>
      </c>
      <c r="BB111" s="30">
        <v>7.0560265035660902E-2</v>
      </c>
      <c r="BC111" s="29">
        <v>50892.985989456</v>
      </c>
      <c r="BD111" s="30">
        <v>4.6896820246899597E-2</v>
      </c>
      <c r="BE111" s="29"/>
      <c r="BF111" s="30"/>
    </row>
    <row r="112" spans="1:58" x14ac:dyDescent="0.2">
      <c r="A112" s="28">
        <v>2005</v>
      </c>
      <c r="B112" s="28">
        <v>1</v>
      </c>
      <c r="C112" s="29">
        <v>133527.82277894401</v>
      </c>
      <c r="D112" s="30">
        <v>1.6879454127419799E-2</v>
      </c>
      <c r="E112" s="29">
        <v>131963.806626768</v>
      </c>
      <c r="F112" s="30">
        <v>1.97218041951321E-2</v>
      </c>
      <c r="G112" s="29">
        <v>92918.120246204606</v>
      </c>
      <c r="H112" s="30">
        <v>1.6590030209552999E-2</v>
      </c>
      <c r="I112" s="29">
        <v>74390.101467749395</v>
      </c>
      <c r="J112" s="30">
        <v>1.60252959265073E-2</v>
      </c>
      <c r="K112" s="29">
        <v>18690.127401976199</v>
      </c>
      <c r="L112" s="30">
        <v>1.9235386228041398E-2</v>
      </c>
      <c r="M112" s="29">
        <v>38537.324666876098</v>
      </c>
      <c r="N112" s="30">
        <v>2.88297822564396E-2</v>
      </c>
      <c r="O112" s="29">
        <v>34602.152970847797</v>
      </c>
      <c r="P112" s="30">
        <v>2.8011577461588999E-2</v>
      </c>
      <c r="Q112" s="29">
        <v>12131.3144886219</v>
      </c>
      <c r="R112" s="30">
        <v>1.35152178196791E-2</v>
      </c>
      <c r="S112" s="29">
        <v>22437.437010162801</v>
      </c>
      <c r="T112" s="30">
        <v>3.51033944017956E-2</v>
      </c>
      <c r="U112" s="29"/>
      <c r="V112" s="30"/>
      <c r="W112" s="29"/>
      <c r="X112" s="30"/>
      <c r="Y112" s="29"/>
      <c r="Z112" s="30"/>
      <c r="AA112" s="29">
        <v>71582.431725714297</v>
      </c>
      <c r="AB112" s="30">
        <v>6.7925558678193707E-2</v>
      </c>
      <c r="AC112" s="29">
        <v>50852.680392784401</v>
      </c>
      <c r="AD112" s="30">
        <v>6.0999876109566503E-2</v>
      </c>
      <c r="AE112" s="29">
        <v>36122.699660088598</v>
      </c>
      <c r="AF112" s="30">
        <v>6.5940239150046303E-3</v>
      </c>
      <c r="AG112" s="29">
        <v>31791.467295687999</v>
      </c>
      <c r="AH112" s="30">
        <v>2.7455074219004901E-3</v>
      </c>
      <c r="AI112" s="29">
        <v>20708.870541984601</v>
      </c>
      <c r="AJ112" s="30">
        <v>8.3958769287896001E-2</v>
      </c>
      <c r="AK112" s="29">
        <v>68696.367730573504</v>
      </c>
      <c r="AL112" s="30">
        <v>8.1628243889564606E-2</v>
      </c>
      <c r="AM112" s="29">
        <v>49878.885255392699</v>
      </c>
      <c r="AN112" s="30">
        <v>7.9116411685947699E-2</v>
      </c>
      <c r="AO112" s="29">
        <v>34663.3866130104</v>
      </c>
      <c r="AP112" s="30">
        <v>2.51746439186726E-2</v>
      </c>
      <c r="AQ112" s="29">
        <v>32551.4515605872</v>
      </c>
      <c r="AR112" s="30">
        <v>1.6098575961459999E-2</v>
      </c>
      <c r="AS112" s="29">
        <v>18927.927413457299</v>
      </c>
      <c r="AT112" s="30">
        <v>8.7394745080946495E-2</v>
      </c>
      <c r="AU112" s="29">
        <v>181301.36156944701</v>
      </c>
      <c r="AV112" s="30">
        <v>2.5038989297961899E-2</v>
      </c>
      <c r="AW112" s="29">
        <v>127459.57516322201</v>
      </c>
      <c r="AX112" s="30">
        <v>1.97364862297322E-2</v>
      </c>
      <c r="AY112" s="29">
        <v>55172.669467883599</v>
      </c>
      <c r="AZ112" s="30">
        <v>3.6141306723190998E-2</v>
      </c>
      <c r="BA112" s="29">
        <v>34609.259534919503</v>
      </c>
      <c r="BB112" s="30">
        <v>1.1483269059165999E-2</v>
      </c>
      <c r="BC112" s="29">
        <v>51752.3673791779</v>
      </c>
      <c r="BD112" s="30">
        <v>4.0193800548778698E-2</v>
      </c>
      <c r="BE112" s="29"/>
      <c r="BF112" s="30"/>
    </row>
    <row r="113" spans="1:58" x14ac:dyDescent="0.2">
      <c r="A113" s="28">
        <v>2005</v>
      </c>
      <c r="B113" s="28">
        <v>2</v>
      </c>
      <c r="C113" s="29">
        <v>136974.064409938</v>
      </c>
      <c r="D113" s="30">
        <v>2.75550938616618E-2</v>
      </c>
      <c r="E113" s="29">
        <v>137480.301449169</v>
      </c>
      <c r="F113" s="30">
        <v>6.38263198595206E-2</v>
      </c>
      <c r="G113" s="29">
        <v>92090.689284294596</v>
      </c>
      <c r="H113" s="30">
        <v>1.4165956997659801E-2</v>
      </c>
      <c r="I113" s="29">
        <v>73605.149299921395</v>
      </c>
      <c r="J113" s="30">
        <v>1.5133706291562399E-2</v>
      </c>
      <c r="K113" s="29">
        <v>18669.223349419099</v>
      </c>
      <c r="L113" s="30">
        <v>9.7608442100696208E-3</v>
      </c>
      <c r="M113" s="29">
        <v>45704.592383017</v>
      </c>
      <c r="N113" s="30">
        <v>0.20397051356778101</v>
      </c>
      <c r="O113" s="29">
        <v>37440.219819881197</v>
      </c>
      <c r="P113" s="30">
        <v>4.1533656027787497E-2</v>
      </c>
      <c r="Q113" s="29">
        <v>14353.9927269251</v>
      </c>
      <c r="R113" s="30">
        <v>5.18711081510679E-2</v>
      </c>
      <c r="S113" s="29">
        <v>23256.808970512098</v>
      </c>
      <c r="T113" s="30">
        <v>3.6310432155292102E-2</v>
      </c>
      <c r="U113" s="29"/>
      <c r="V113" s="30"/>
      <c r="W113" s="29"/>
      <c r="X113" s="30"/>
      <c r="Y113" s="29"/>
      <c r="Z113" s="30"/>
      <c r="AA113" s="29">
        <v>74202.812088672697</v>
      </c>
      <c r="AB113" s="30">
        <v>6.3486373825846404E-2</v>
      </c>
      <c r="AC113" s="29">
        <v>52927.417594478698</v>
      </c>
      <c r="AD113" s="30">
        <v>4.7329877147053397E-2</v>
      </c>
      <c r="AE113" s="29">
        <v>39375.777183411898</v>
      </c>
      <c r="AF113" s="30">
        <v>7.6001522359769397E-2</v>
      </c>
      <c r="AG113" s="29">
        <v>34657.030826776601</v>
      </c>
      <c r="AH113" s="30">
        <v>8.4496349228234E-2</v>
      </c>
      <c r="AI113" s="29">
        <v>21274.2025786757</v>
      </c>
      <c r="AJ113" s="30">
        <v>0.100975489464029</v>
      </c>
      <c r="AK113" s="29">
        <v>73507.262336639993</v>
      </c>
      <c r="AL113" s="30">
        <v>0.146452194954409</v>
      </c>
      <c r="AM113" s="29">
        <v>54511.928606081899</v>
      </c>
      <c r="AN113" s="30">
        <v>0.18061391394884899</v>
      </c>
      <c r="AO113" s="29">
        <v>36068.519322688597</v>
      </c>
      <c r="AP113" s="30">
        <v>6.5994581170881306E-2</v>
      </c>
      <c r="AQ113" s="29">
        <v>34242.117545368703</v>
      </c>
      <c r="AR113" s="30">
        <v>5.9175836089115898E-2</v>
      </c>
      <c r="AS113" s="29">
        <v>19316.5061987644</v>
      </c>
      <c r="AT113" s="30">
        <v>7.4071283179371894E-2</v>
      </c>
      <c r="AU113" s="29">
        <v>187078.097557509</v>
      </c>
      <c r="AV113" s="30">
        <v>4.3284019401187902E-2</v>
      </c>
      <c r="AW113" s="29">
        <v>129529.346097281</v>
      </c>
      <c r="AX113" s="30">
        <v>2.20701241582868E-2</v>
      </c>
      <c r="AY113" s="29">
        <v>58708.841651474097</v>
      </c>
      <c r="AZ113" s="30">
        <v>8.7751571887272103E-2</v>
      </c>
      <c r="BA113" s="29">
        <v>37531.427948757497</v>
      </c>
      <c r="BB113" s="30">
        <v>8.0925474048048104E-2</v>
      </c>
      <c r="BC113" s="29">
        <v>53862.498644234198</v>
      </c>
      <c r="BD113" s="30">
        <v>6.4311552561894206E-2</v>
      </c>
      <c r="BE113" s="29"/>
      <c r="BF113" s="30"/>
    </row>
    <row r="114" spans="1:58" x14ac:dyDescent="0.2">
      <c r="A114" s="28">
        <v>2005</v>
      </c>
      <c r="B114" s="28">
        <v>3</v>
      </c>
      <c r="C114" s="29">
        <v>137404.13843522701</v>
      </c>
      <c r="D114" s="30">
        <v>3.4412714135778601E-2</v>
      </c>
      <c r="E114" s="29">
        <v>137707.20702261999</v>
      </c>
      <c r="F114" s="30">
        <v>4.35299391976973E-2</v>
      </c>
      <c r="G114" s="29">
        <v>93301.514910730795</v>
      </c>
      <c r="H114" s="30">
        <v>1.82033002712494E-2</v>
      </c>
      <c r="I114" s="29">
        <v>74870.312332079702</v>
      </c>
      <c r="J114" s="30">
        <v>2.09312177332448E-2</v>
      </c>
      <c r="K114" s="29">
        <v>18561.425922563802</v>
      </c>
      <c r="L114" s="30">
        <v>5.3387619742371103E-3</v>
      </c>
      <c r="M114" s="29">
        <v>44531.391387947297</v>
      </c>
      <c r="N114" s="30">
        <v>0.111843123477098</v>
      </c>
      <c r="O114" s="29">
        <v>36977.326836605796</v>
      </c>
      <c r="P114" s="30">
        <v>1.7284311766716499E-2</v>
      </c>
      <c r="Q114" s="29">
        <v>14475.1600109335</v>
      </c>
      <c r="R114" s="30">
        <v>2.9715361297973301E-2</v>
      </c>
      <c r="S114" s="29">
        <v>22720.925543531699</v>
      </c>
      <c r="T114" s="30">
        <v>1.06923467741609E-2</v>
      </c>
      <c r="U114" s="29"/>
      <c r="V114" s="30"/>
      <c r="W114" s="29"/>
      <c r="X114" s="30"/>
      <c r="Y114" s="29"/>
      <c r="Z114" s="30"/>
      <c r="AA114" s="29">
        <v>71408.462457902497</v>
      </c>
      <c r="AB114" s="30">
        <v>5.5717925027032801E-2</v>
      </c>
      <c r="AC114" s="29">
        <v>48898.508204212303</v>
      </c>
      <c r="AD114" s="30">
        <v>1.99994043612703E-2</v>
      </c>
      <c r="AE114" s="29">
        <v>37484.404518834301</v>
      </c>
      <c r="AF114" s="30">
        <v>5.5145662231369498E-2</v>
      </c>
      <c r="AG114" s="29">
        <v>32945.217105182797</v>
      </c>
      <c r="AH114" s="30">
        <v>5.9500818758246601E-2</v>
      </c>
      <c r="AI114" s="29">
        <v>22313.507963333901</v>
      </c>
      <c r="AJ114" s="30">
        <v>0.135484371423679</v>
      </c>
      <c r="AK114" s="29">
        <v>70225.909744506207</v>
      </c>
      <c r="AL114" s="30">
        <v>7.7543380409919302E-2</v>
      </c>
      <c r="AM114" s="29">
        <v>50520.400440598103</v>
      </c>
      <c r="AN114" s="30">
        <v>9.0239061628774306E-2</v>
      </c>
      <c r="AO114" s="29">
        <v>35231.4477506353</v>
      </c>
      <c r="AP114" s="30">
        <v>5.0850283998351099E-2</v>
      </c>
      <c r="AQ114" s="29">
        <v>33539.729929902402</v>
      </c>
      <c r="AR114" s="30">
        <v>4.9613889078656798E-2</v>
      </c>
      <c r="AS114" s="29">
        <v>19734.8894271266</v>
      </c>
      <c r="AT114" s="30">
        <v>5.0886041864324903E-2</v>
      </c>
      <c r="AU114" s="29">
        <v>187046.69629709001</v>
      </c>
      <c r="AV114" s="30">
        <v>3.8880179867864899E-2</v>
      </c>
      <c r="AW114" s="29">
        <v>130259.46928898399</v>
      </c>
      <c r="AX114" s="30">
        <v>1.7933746686545501E-2</v>
      </c>
      <c r="AY114" s="29">
        <v>58027.615747985503</v>
      </c>
      <c r="AZ114" s="30">
        <v>8.3594798482732505E-2</v>
      </c>
      <c r="BA114" s="29">
        <v>35907.666733388898</v>
      </c>
      <c r="BB114" s="30">
        <v>5.6278851639478801E-2</v>
      </c>
      <c r="BC114" s="29">
        <v>53549.367255841498</v>
      </c>
      <c r="BD114" s="30">
        <v>5.0400260000662299E-2</v>
      </c>
      <c r="BE114" s="29"/>
      <c r="BF114" s="30"/>
    </row>
    <row r="115" spans="1:58" x14ac:dyDescent="0.2">
      <c r="A115" s="28">
        <v>2005</v>
      </c>
      <c r="B115" s="28">
        <v>4</v>
      </c>
      <c r="C115" s="29">
        <v>142678.69314618499</v>
      </c>
      <c r="D115" s="30">
        <v>3.8783159472035603E-2</v>
      </c>
      <c r="E115" s="29">
        <v>143289.74031347601</v>
      </c>
      <c r="F115" s="30">
        <v>5.2110763245165198E-2</v>
      </c>
      <c r="G115" s="29">
        <v>94662.566299956001</v>
      </c>
      <c r="H115" s="30">
        <v>1.8368892503064501E-2</v>
      </c>
      <c r="I115" s="29">
        <v>76191.789274643103</v>
      </c>
      <c r="J115" s="30">
        <v>2.2225021256389001E-2</v>
      </c>
      <c r="K115" s="29">
        <v>18559.8189752158</v>
      </c>
      <c r="L115" s="30">
        <v>-1.0192824379973199E-4</v>
      </c>
      <c r="M115" s="29">
        <v>49192.000462572702</v>
      </c>
      <c r="N115" s="30">
        <v>0.137515600639535</v>
      </c>
      <c r="O115" s="29">
        <v>38978.321295222398</v>
      </c>
      <c r="P115" s="30">
        <v>4.53482964584178E-2</v>
      </c>
      <c r="Q115" s="29">
        <v>15360.3986964385</v>
      </c>
      <c r="R115" s="30">
        <v>4.2367213428899299E-2</v>
      </c>
      <c r="S115" s="29">
        <v>23865.682649553899</v>
      </c>
      <c r="T115" s="30">
        <v>4.6655101869567103E-2</v>
      </c>
      <c r="U115" s="29"/>
      <c r="V115" s="30"/>
      <c r="W115" s="29"/>
      <c r="X115" s="30"/>
      <c r="Y115" s="29"/>
      <c r="Z115" s="30"/>
      <c r="AA115" s="29">
        <v>73854.566075717099</v>
      </c>
      <c r="AB115" s="30">
        <v>6.2802390813440301E-2</v>
      </c>
      <c r="AC115" s="29">
        <v>52181.294348939897</v>
      </c>
      <c r="AD115" s="30">
        <v>3.7866088321600003E-2</v>
      </c>
      <c r="AE115" s="29">
        <v>40422.413258713001</v>
      </c>
      <c r="AF115" s="30">
        <v>7.3634220116816307E-2</v>
      </c>
      <c r="AG115" s="29">
        <v>35337.996015278302</v>
      </c>
      <c r="AH115" s="30">
        <v>7.9417079235501994E-2</v>
      </c>
      <c r="AI115" s="29">
        <v>21624.336249255201</v>
      </c>
      <c r="AJ115" s="30">
        <v>0.120934404990543</v>
      </c>
      <c r="AK115" s="29">
        <v>72908.402604832299</v>
      </c>
      <c r="AL115" s="30">
        <v>9.4353587376632103E-2</v>
      </c>
      <c r="AM115" s="29">
        <v>54092.919277946799</v>
      </c>
      <c r="AN115" s="30">
        <v>0.102285768849797</v>
      </c>
      <c r="AO115" s="29">
        <v>38032.689048255801</v>
      </c>
      <c r="AP115" s="30">
        <v>9.6854690554015493E-2</v>
      </c>
      <c r="AQ115" s="29">
        <v>35813.406742904801</v>
      </c>
      <c r="AR115" s="30">
        <v>9.1617705012051007E-2</v>
      </c>
      <c r="AS115" s="29">
        <v>19138.508143712501</v>
      </c>
      <c r="AT115" s="30">
        <v>7.7320425983079796E-2</v>
      </c>
      <c r="AU115" s="29">
        <v>192559.292179343</v>
      </c>
      <c r="AV115" s="30">
        <v>4.7866651100694699E-2</v>
      </c>
      <c r="AW115" s="29">
        <v>133648.452919831</v>
      </c>
      <c r="AX115" s="30">
        <v>2.6231079177979202E-2</v>
      </c>
      <c r="AY115" s="29">
        <v>60139.6090632181</v>
      </c>
      <c r="AZ115" s="30">
        <v>9.3623191668472203E-2</v>
      </c>
      <c r="BA115" s="29">
        <v>38601.608385791602</v>
      </c>
      <c r="BB115" s="30">
        <v>7.9645471743861898E-2</v>
      </c>
      <c r="BC115" s="29">
        <v>55299.647369462</v>
      </c>
      <c r="BD115" s="30">
        <v>8.6586811410888295E-2</v>
      </c>
      <c r="BE115" s="29"/>
      <c r="BF115" s="30"/>
    </row>
    <row r="116" spans="1:58" x14ac:dyDescent="0.2">
      <c r="A116" s="28">
        <v>2006</v>
      </c>
      <c r="B116" s="28">
        <v>1</v>
      </c>
      <c r="C116" s="29">
        <v>139844.345529457</v>
      </c>
      <c r="D116" s="30">
        <v>4.7304918323798399E-2</v>
      </c>
      <c r="E116" s="29">
        <v>137787.69072548201</v>
      </c>
      <c r="F116" s="30">
        <v>4.4132434851519999E-2</v>
      </c>
      <c r="G116" s="29">
        <v>94457.182597444596</v>
      </c>
      <c r="H116" s="30">
        <v>1.6563640624260401E-2</v>
      </c>
      <c r="I116" s="29">
        <v>75903.139125371497</v>
      </c>
      <c r="J116" s="30">
        <v>2.0339233685251298E-2</v>
      </c>
      <c r="K116" s="29">
        <v>18666.123115654202</v>
      </c>
      <c r="L116" s="30">
        <v>-1.2843297322562299E-3</v>
      </c>
      <c r="M116" s="29">
        <v>43266.356676507799</v>
      </c>
      <c r="N116" s="30">
        <v>0.122713033416573</v>
      </c>
      <c r="O116" s="29">
        <v>36680.941115178401</v>
      </c>
      <c r="P116" s="30">
        <v>6.00768439490433E-2</v>
      </c>
      <c r="Q116" s="29">
        <v>12397.7434948513</v>
      </c>
      <c r="R116" s="30">
        <v>2.19620888139733E-2</v>
      </c>
      <c r="S116" s="29">
        <v>24210.412860457502</v>
      </c>
      <c r="T116" s="30">
        <v>7.9018644129968493E-2</v>
      </c>
      <c r="U116" s="29"/>
      <c r="V116" s="30"/>
      <c r="W116" s="29"/>
      <c r="X116" s="30"/>
      <c r="Y116" s="29"/>
      <c r="Z116" s="30"/>
      <c r="AA116" s="29">
        <v>75782.530305403707</v>
      </c>
      <c r="AB116" s="30">
        <v>5.8674991592672497E-2</v>
      </c>
      <c r="AC116" s="29">
        <v>53340.075338182804</v>
      </c>
      <c r="AD116" s="30">
        <v>4.8913743114144398E-2</v>
      </c>
      <c r="AE116" s="29">
        <v>42620.629067814603</v>
      </c>
      <c r="AF116" s="30">
        <v>0.17988493298870101</v>
      </c>
      <c r="AG116" s="29">
        <v>36187.310125743199</v>
      </c>
      <c r="AH116" s="30">
        <v>0.13827115273322099</v>
      </c>
      <c r="AI116" s="29">
        <v>22372.751420097298</v>
      </c>
      <c r="AJ116" s="30">
        <v>8.0346288067205701E-2</v>
      </c>
      <c r="AK116" s="29">
        <v>72428.825112097897</v>
      </c>
      <c r="AL116" s="30">
        <v>5.4332674416834002E-2</v>
      </c>
      <c r="AM116" s="29">
        <v>53572.981849843098</v>
      </c>
      <c r="AN116" s="30">
        <v>7.4061330271029097E-2</v>
      </c>
      <c r="AO116" s="29">
        <v>38530.913694383402</v>
      </c>
      <c r="AP116" s="30">
        <v>0.111573837967734</v>
      </c>
      <c r="AQ116" s="29">
        <v>36189.113854224699</v>
      </c>
      <c r="AR116" s="30">
        <v>0.111751154533517</v>
      </c>
      <c r="AS116" s="29">
        <v>19133.237265356202</v>
      </c>
      <c r="AT116" s="30">
        <v>1.0846927263306501E-2</v>
      </c>
      <c r="AU116" s="29">
        <v>193324.51449738099</v>
      </c>
      <c r="AV116" s="30">
        <v>6.6315844645924896E-2</v>
      </c>
      <c r="AW116" s="29">
        <v>131108.995246687</v>
      </c>
      <c r="AX116" s="30">
        <v>2.8631980600841701E-2</v>
      </c>
      <c r="AY116" s="29">
        <v>63083.910582089702</v>
      </c>
      <c r="AZ116" s="30">
        <v>0.14339058070792099</v>
      </c>
      <c r="BA116" s="29">
        <v>40761.803306367503</v>
      </c>
      <c r="BB116" s="30">
        <v>0.17777160950930701</v>
      </c>
      <c r="BC116" s="29">
        <v>55699.243666037997</v>
      </c>
      <c r="BD116" s="30">
        <v>7.6264651971227101E-2</v>
      </c>
      <c r="BE116" s="29"/>
      <c r="BF116" s="30"/>
    </row>
    <row r="117" spans="1:58" x14ac:dyDescent="0.2">
      <c r="A117" s="28">
        <v>2006</v>
      </c>
      <c r="B117" s="28">
        <v>2</v>
      </c>
      <c r="C117" s="29">
        <v>142138.05541687901</v>
      </c>
      <c r="D117" s="30">
        <v>3.7700502129263597E-2</v>
      </c>
      <c r="E117" s="29">
        <v>140287.65804917601</v>
      </c>
      <c r="F117" s="30">
        <v>2.04200643322285E-2</v>
      </c>
      <c r="G117" s="29">
        <v>93265.140695429305</v>
      </c>
      <c r="H117" s="30">
        <v>1.27532046970467E-2</v>
      </c>
      <c r="I117" s="29">
        <v>74936.917150355206</v>
      </c>
      <c r="J117" s="30">
        <v>1.8093406006245899E-2</v>
      </c>
      <c r="K117" s="29">
        <v>18440.451090877799</v>
      </c>
      <c r="L117" s="30">
        <v>-1.22539783396201E-2</v>
      </c>
      <c r="M117" s="29">
        <v>47458.267708763196</v>
      </c>
      <c r="N117" s="30">
        <v>3.8369783741859301E-2</v>
      </c>
      <c r="O117" s="29">
        <v>38644.839372525697</v>
      </c>
      <c r="P117" s="30">
        <v>3.2174478633933301E-2</v>
      </c>
      <c r="Q117" s="29">
        <v>14088.1331058</v>
      </c>
      <c r="R117" s="30">
        <v>-1.85216494241588E-2</v>
      </c>
      <c r="S117" s="29">
        <v>24626.273061915101</v>
      </c>
      <c r="T117" s="30">
        <v>5.8884436516605201E-2</v>
      </c>
      <c r="U117" s="29"/>
      <c r="V117" s="30"/>
      <c r="W117" s="29"/>
      <c r="X117" s="30"/>
      <c r="Y117" s="29"/>
      <c r="Z117" s="30"/>
      <c r="AA117" s="29">
        <v>75893.315764718805</v>
      </c>
      <c r="AB117" s="30">
        <v>2.27822049927973E-2</v>
      </c>
      <c r="AC117" s="29">
        <v>53679.8188404584</v>
      </c>
      <c r="AD117" s="30">
        <v>1.42157180564622E-2</v>
      </c>
      <c r="AE117" s="29">
        <v>42322.169237093403</v>
      </c>
      <c r="AF117" s="30">
        <v>7.4827527592845597E-2</v>
      </c>
      <c r="AG117" s="29">
        <v>37348.563676401602</v>
      </c>
      <c r="AH117" s="30">
        <v>7.7661957340716195E-2</v>
      </c>
      <c r="AI117" s="29">
        <v>22162.1938916131</v>
      </c>
      <c r="AJ117" s="30">
        <v>4.1740286605502101E-2</v>
      </c>
      <c r="AK117" s="29">
        <v>72634.7404474785</v>
      </c>
      <c r="AL117" s="30">
        <v>-1.18698732808957E-2</v>
      </c>
      <c r="AM117" s="29">
        <v>53436.4539415369</v>
      </c>
      <c r="AN117" s="30">
        <v>-1.9729161892559698E-2</v>
      </c>
      <c r="AO117" s="29">
        <v>38482.826887673597</v>
      </c>
      <c r="AP117" s="30">
        <v>6.6936697439261797E-2</v>
      </c>
      <c r="AQ117" s="29">
        <v>36262.365955228597</v>
      </c>
      <c r="AR117" s="30">
        <v>5.8998933321898997E-2</v>
      </c>
      <c r="AS117" s="29">
        <v>19432.962570330899</v>
      </c>
      <c r="AT117" s="30">
        <v>6.0288527525706997E-3</v>
      </c>
      <c r="AU117" s="29">
        <v>193691.615274665</v>
      </c>
      <c r="AV117" s="30">
        <v>3.53516408574912E-2</v>
      </c>
      <c r="AW117" s="29">
        <v>131912.66707745401</v>
      </c>
      <c r="AX117" s="30">
        <v>1.8399853407607102E-2</v>
      </c>
      <c r="AY117" s="29">
        <v>62714.128355909299</v>
      </c>
      <c r="AZ117" s="30">
        <v>6.8222887588426095E-2</v>
      </c>
      <c r="BA117" s="29">
        <v>40594.923432645199</v>
      </c>
      <c r="BB117" s="30">
        <v>8.1624804898719802E-2</v>
      </c>
      <c r="BC117" s="29">
        <v>56061.879243382202</v>
      </c>
      <c r="BD117" s="30">
        <v>4.0833244920088101E-2</v>
      </c>
      <c r="BE117" s="29"/>
      <c r="BF117" s="30"/>
    </row>
    <row r="118" spans="1:58" x14ac:dyDescent="0.2">
      <c r="A118" s="28">
        <v>2006</v>
      </c>
      <c r="B118" s="28">
        <v>3</v>
      </c>
      <c r="C118" s="29">
        <v>142820.55743972299</v>
      </c>
      <c r="D118" s="30">
        <v>3.9419620589153E-2</v>
      </c>
      <c r="E118" s="29">
        <v>138484.79884173899</v>
      </c>
      <c r="F118" s="30">
        <v>5.6467038721554896E-3</v>
      </c>
      <c r="G118" s="29">
        <v>94466.977215881096</v>
      </c>
      <c r="H118" s="30">
        <v>1.24913545751677E-2</v>
      </c>
      <c r="I118" s="29">
        <v>75995.924806122595</v>
      </c>
      <c r="J118" s="30">
        <v>1.5034162927628001E-2</v>
      </c>
      <c r="K118" s="29">
        <v>18567.218501908901</v>
      </c>
      <c r="L118" s="30">
        <v>3.12076204125322E-4</v>
      </c>
      <c r="M118" s="29">
        <v>44034.060662415599</v>
      </c>
      <c r="N118" s="30">
        <v>-1.116809311434E-2</v>
      </c>
      <c r="O118" s="29">
        <v>38304.346412466199</v>
      </c>
      <c r="P118" s="30">
        <v>3.5887385308412303E-2</v>
      </c>
      <c r="Q118" s="29">
        <v>14127.218248486701</v>
      </c>
      <c r="R118" s="30">
        <v>-2.40371617435652E-2</v>
      </c>
      <c r="S118" s="29">
        <v>24269.332897591899</v>
      </c>
      <c r="T118" s="30">
        <v>6.8148955952236995E-2</v>
      </c>
      <c r="U118" s="29"/>
      <c r="V118" s="30"/>
      <c r="W118" s="29"/>
      <c r="X118" s="30"/>
      <c r="Y118" s="29"/>
      <c r="Z118" s="30"/>
      <c r="AA118" s="29">
        <v>76854.887201039703</v>
      </c>
      <c r="AB118" s="30">
        <v>7.6271418760039303E-2</v>
      </c>
      <c r="AC118" s="29">
        <v>53755.500496997702</v>
      </c>
      <c r="AD118" s="30">
        <v>9.93280259696558E-2</v>
      </c>
      <c r="AE118" s="29">
        <v>41979.067943507602</v>
      </c>
      <c r="AF118" s="30">
        <v>0.119907558419794</v>
      </c>
      <c r="AG118" s="29">
        <v>36828.491305578798</v>
      </c>
      <c r="AH118" s="30">
        <v>0.11787065139070201</v>
      </c>
      <c r="AI118" s="29">
        <v>23004.709798096501</v>
      </c>
      <c r="AJ118" s="30">
        <v>3.0976834117628398E-2</v>
      </c>
      <c r="AK118" s="29">
        <v>71107.287808161796</v>
      </c>
      <c r="AL118" s="30">
        <v>1.25506108338387E-2</v>
      </c>
      <c r="AM118" s="29">
        <v>50537.554960982801</v>
      </c>
      <c r="AN118" s="30">
        <v>3.3955630270288102E-4</v>
      </c>
      <c r="AO118" s="29">
        <v>36454.161933779098</v>
      </c>
      <c r="AP118" s="30">
        <v>3.47051926959678E-2</v>
      </c>
      <c r="AQ118" s="29">
        <v>34594.917002343602</v>
      </c>
      <c r="AR118" s="30">
        <v>3.14608100496492E-2</v>
      </c>
      <c r="AS118" s="29">
        <v>20532.084692379001</v>
      </c>
      <c r="AT118" s="30">
        <v>4.03952233021663E-2</v>
      </c>
      <c r="AU118" s="29">
        <v>194694.685382144</v>
      </c>
      <c r="AV118" s="30">
        <v>4.0888127063773101E-2</v>
      </c>
      <c r="AW118" s="29">
        <v>132763.179801285</v>
      </c>
      <c r="AX118" s="30">
        <v>1.9220948204135401E-2</v>
      </c>
      <c r="AY118" s="29">
        <v>62891.183879338103</v>
      </c>
      <c r="AZ118" s="30">
        <v>8.3814715953092894E-2</v>
      </c>
      <c r="BA118" s="29">
        <v>40001.852464798001</v>
      </c>
      <c r="BB118" s="30">
        <v>0.114019820942641</v>
      </c>
      <c r="BC118" s="29">
        <v>55391.913038267201</v>
      </c>
      <c r="BD118" s="30">
        <v>3.4408357686518003E-2</v>
      </c>
      <c r="BE118" s="29"/>
      <c r="BF118" s="30"/>
    </row>
    <row r="119" spans="1:58" x14ac:dyDescent="0.2">
      <c r="A119" s="28">
        <v>2006</v>
      </c>
      <c r="B119" s="28">
        <v>4</v>
      </c>
      <c r="C119" s="29">
        <v>148544.70880796199</v>
      </c>
      <c r="D119" s="30">
        <v>4.1113466435857698E-2</v>
      </c>
      <c r="E119" s="29">
        <v>145795.437019859</v>
      </c>
      <c r="F119" s="30">
        <v>1.7486923354742299E-2</v>
      </c>
      <c r="G119" s="29">
        <v>95718.393151972006</v>
      </c>
      <c r="H119" s="30">
        <v>1.11535836528076E-2</v>
      </c>
      <c r="I119" s="29">
        <v>77131.353680836604</v>
      </c>
      <c r="J119" s="30">
        <v>1.2331570306175E-2</v>
      </c>
      <c r="K119" s="29">
        <v>18660.342522179901</v>
      </c>
      <c r="L119" s="30">
        <v>5.4161922106246204E-3</v>
      </c>
      <c r="M119" s="29">
        <v>50738.270496514597</v>
      </c>
      <c r="N119" s="30">
        <v>3.1433363542886499E-2</v>
      </c>
      <c r="O119" s="29">
        <v>41285.352359370903</v>
      </c>
      <c r="P119" s="30">
        <v>5.9187542908146498E-2</v>
      </c>
      <c r="Q119" s="29">
        <v>14911.749405479601</v>
      </c>
      <c r="R119" s="30">
        <v>-2.9208180062602101E-2</v>
      </c>
      <c r="S119" s="29">
        <v>26428.122490990601</v>
      </c>
      <c r="T119" s="30">
        <v>0.107369224633706</v>
      </c>
      <c r="U119" s="29"/>
      <c r="V119" s="30"/>
      <c r="W119" s="29"/>
      <c r="X119" s="30"/>
      <c r="Y119" s="29"/>
      <c r="Z119" s="30"/>
      <c r="AA119" s="29">
        <v>82242.546619146699</v>
      </c>
      <c r="AB119" s="30">
        <v>0.11357429864025</v>
      </c>
      <c r="AC119" s="29">
        <v>59470.240477226202</v>
      </c>
      <c r="AD119" s="30">
        <v>0.139685038848302</v>
      </c>
      <c r="AE119" s="29">
        <v>46324.016974203201</v>
      </c>
      <c r="AF119" s="30">
        <v>0.14599830241996001</v>
      </c>
      <c r="AG119" s="29">
        <v>39779.8699866647</v>
      </c>
      <c r="AH119" s="30">
        <v>0.12569682699228299</v>
      </c>
      <c r="AI119" s="29">
        <v>22808.568568182302</v>
      </c>
      <c r="AJ119" s="30">
        <v>5.47638690629337E-2</v>
      </c>
      <c r="AK119" s="29">
        <v>78250.364831015802</v>
      </c>
      <c r="AL119" s="30">
        <v>7.3269500295284604E-2</v>
      </c>
      <c r="AM119" s="29">
        <v>59093.359216910903</v>
      </c>
      <c r="AN119" s="30">
        <v>9.2441672694171306E-2</v>
      </c>
      <c r="AO119" s="29">
        <v>42119.248068476802</v>
      </c>
      <c r="AP119" s="30">
        <v>0.107448595471016</v>
      </c>
      <c r="AQ119" s="29">
        <v>38718.892584072499</v>
      </c>
      <c r="AR119" s="30">
        <v>8.1128440587221295E-2</v>
      </c>
      <c r="AS119" s="29">
        <v>19639.616394555102</v>
      </c>
      <c r="AT119" s="30">
        <v>2.61832451662227E-2</v>
      </c>
      <c r="AU119" s="29">
        <v>203116.52491367899</v>
      </c>
      <c r="AV119" s="30">
        <v>5.4825880459216998E-2</v>
      </c>
      <c r="AW119" s="29">
        <v>137027.547810252</v>
      </c>
      <c r="AX119" s="30">
        <v>2.5283456834685601E-2</v>
      </c>
      <c r="AY119" s="29">
        <v>66916.544664889894</v>
      </c>
      <c r="AZ119" s="30">
        <v>0.11268672522543299</v>
      </c>
      <c r="BA119" s="29">
        <v>44076.1343681164</v>
      </c>
      <c r="BB119" s="30">
        <v>0.141821188578761</v>
      </c>
      <c r="BC119" s="29">
        <v>58797.109844316103</v>
      </c>
      <c r="BD119" s="30">
        <v>6.3245656007302697E-2</v>
      </c>
      <c r="BE119" s="29"/>
      <c r="BF119" s="30"/>
    </row>
    <row r="120" spans="1:58" x14ac:dyDescent="0.2">
      <c r="A120" s="28">
        <v>2007</v>
      </c>
      <c r="B120" s="28">
        <v>1</v>
      </c>
      <c r="C120" s="29">
        <v>144833.18055163501</v>
      </c>
      <c r="D120" s="30">
        <v>3.5674199076770198E-2</v>
      </c>
      <c r="E120" s="29">
        <v>138351.59770100901</v>
      </c>
      <c r="F120" s="30">
        <v>4.0925787532804002E-3</v>
      </c>
      <c r="G120" s="29">
        <v>95926.4562134468</v>
      </c>
      <c r="H120" s="30">
        <v>1.5554916795093699E-2</v>
      </c>
      <c r="I120" s="29">
        <v>77252.957731404007</v>
      </c>
      <c r="J120" s="30">
        <v>1.7783435857677599E-2</v>
      </c>
      <c r="K120" s="29">
        <v>18755.551662417602</v>
      </c>
      <c r="L120" s="30">
        <v>4.7909545120477003E-3</v>
      </c>
      <c r="M120" s="29">
        <v>42285.571673676401</v>
      </c>
      <c r="N120" s="30">
        <v>-2.2668536899570602E-2</v>
      </c>
      <c r="O120" s="29">
        <v>38661.601898637797</v>
      </c>
      <c r="P120" s="30">
        <v>5.39970001652939E-2</v>
      </c>
      <c r="Q120" s="29">
        <v>12249.723732745801</v>
      </c>
      <c r="R120" s="30">
        <v>-1.19392502487992E-2</v>
      </c>
      <c r="S120" s="29">
        <v>26263.9335259894</v>
      </c>
      <c r="T120" s="30">
        <v>8.48197293192781E-2</v>
      </c>
      <c r="U120" s="29"/>
      <c r="V120" s="30"/>
      <c r="W120" s="29"/>
      <c r="X120" s="30"/>
      <c r="Y120" s="29"/>
      <c r="Z120" s="30"/>
      <c r="AA120" s="29">
        <v>82795.529095444304</v>
      </c>
      <c r="AB120" s="30">
        <v>9.2541100986971894E-2</v>
      </c>
      <c r="AC120" s="29">
        <v>58223.457656592902</v>
      </c>
      <c r="AD120" s="30">
        <v>9.1551845164238296E-2</v>
      </c>
      <c r="AE120" s="29">
        <v>45955.686450051697</v>
      </c>
      <c r="AF120" s="30">
        <v>7.8249839459915094E-2</v>
      </c>
      <c r="AG120" s="29">
        <v>39775.3124555135</v>
      </c>
      <c r="AH120" s="30">
        <v>9.9150843688096305E-2</v>
      </c>
      <c r="AI120" s="29">
        <v>24503.911374750802</v>
      </c>
      <c r="AJ120" s="30">
        <v>9.5256945139927898E-2</v>
      </c>
      <c r="AK120" s="29">
        <v>75326.370236306102</v>
      </c>
      <c r="AL120" s="30">
        <v>4.0005413862832503E-2</v>
      </c>
      <c r="AM120" s="29">
        <v>55301.685763973997</v>
      </c>
      <c r="AN120" s="30">
        <v>3.2268204129016501E-2</v>
      </c>
      <c r="AO120" s="29">
        <v>40752.979880650098</v>
      </c>
      <c r="AP120" s="30">
        <v>5.76696987746401E-2</v>
      </c>
      <c r="AQ120" s="29">
        <v>38984.106583341301</v>
      </c>
      <c r="AR120" s="30">
        <v>7.7232969571326096E-2</v>
      </c>
      <c r="AS120" s="29">
        <v>20255.793411918701</v>
      </c>
      <c r="AT120" s="30">
        <v>5.8670476459053801E-2</v>
      </c>
      <c r="AU120" s="29">
        <v>202303.29934038699</v>
      </c>
      <c r="AV120" s="30">
        <v>4.6444109099924802E-2</v>
      </c>
      <c r="AW120" s="29">
        <v>134579.344472255</v>
      </c>
      <c r="AX120" s="30">
        <v>2.64691924382356E-2</v>
      </c>
      <c r="AY120" s="29">
        <v>68291.117862838102</v>
      </c>
      <c r="AZ120" s="30">
        <v>8.2544142122775097E-2</v>
      </c>
      <c r="BA120" s="29">
        <v>43867.575287446904</v>
      </c>
      <c r="BB120" s="30">
        <v>7.6193193852006402E-2</v>
      </c>
      <c r="BC120" s="29">
        <v>59666.968578462001</v>
      </c>
      <c r="BD120" s="30">
        <v>7.1234807715052403E-2</v>
      </c>
      <c r="BE120" s="29"/>
      <c r="BF120" s="30"/>
    </row>
    <row r="121" spans="1:58" x14ac:dyDescent="0.2">
      <c r="A121" s="28">
        <v>2007</v>
      </c>
      <c r="B121" s="28">
        <v>2</v>
      </c>
      <c r="C121" s="29">
        <v>148390.896743961</v>
      </c>
      <c r="D121" s="30">
        <v>4.3991324552339298E-2</v>
      </c>
      <c r="E121" s="29">
        <v>138947.728583455</v>
      </c>
      <c r="F121" s="30">
        <v>-9.5512996963068603E-3</v>
      </c>
      <c r="G121" s="29">
        <v>94905.144395537005</v>
      </c>
      <c r="H121" s="30">
        <v>1.7584315939257002E-2</v>
      </c>
      <c r="I121" s="29">
        <v>76253.889726457797</v>
      </c>
      <c r="J121" s="30">
        <v>1.7574416271490801E-2</v>
      </c>
      <c r="K121" s="29">
        <v>18765.6352297632</v>
      </c>
      <c r="L121" s="30">
        <v>1.7634283309166301E-2</v>
      </c>
      <c r="M121" s="29">
        <v>44095.606167523598</v>
      </c>
      <c r="N121" s="30">
        <v>-7.0855126063075896E-2</v>
      </c>
      <c r="O121" s="29">
        <v>41320.1906394744</v>
      </c>
      <c r="P121" s="30">
        <v>6.9229198785356605E-2</v>
      </c>
      <c r="Q121" s="29">
        <v>13560.898487050899</v>
      </c>
      <c r="R121" s="30">
        <v>-3.7424023097290898E-2</v>
      </c>
      <c r="S121" s="29">
        <v>27654.769973730399</v>
      </c>
      <c r="T121" s="30">
        <v>0.12297828844020001</v>
      </c>
      <c r="U121" s="29"/>
      <c r="V121" s="30"/>
      <c r="W121" s="29"/>
      <c r="X121" s="30"/>
      <c r="Y121" s="29"/>
      <c r="Z121" s="30"/>
      <c r="AA121" s="29">
        <v>87665.022129631005</v>
      </c>
      <c r="AB121" s="30">
        <v>0.15510860536659499</v>
      </c>
      <c r="AC121" s="29">
        <v>62346.500934580501</v>
      </c>
      <c r="AD121" s="30">
        <v>0.16145140355038001</v>
      </c>
      <c r="AE121" s="29">
        <v>47252.7219439689</v>
      </c>
      <c r="AF121" s="30">
        <v>0.11650047234710401</v>
      </c>
      <c r="AG121" s="29">
        <v>40815.847363428402</v>
      </c>
      <c r="AH121" s="30">
        <v>9.2835797303164602E-2</v>
      </c>
      <c r="AI121" s="29">
        <v>25277.692778290999</v>
      </c>
      <c r="AJ121" s="30">
        <v>0.14057718752550499</v>
      </c>
      <c r="AK121" s="29">
        <v>77457.013463600204</v>
      </c>
      <c r="AL121" s="30">
        <v>6.6390724141276003E-2</v>
      </c>
      <c r="AM121" s="29">
        <v>57108.945889789502</v>
      </c>
      <c r="AN121" s="30">
        <v>6.8726340865930005E-2</v>
      </c>
      <c r="AO121" s="29">
        <v>40468.366906056202</v>
      </c>
      <c r="AP121" s="30">
        <v>5.1595482425919E-2</v>
      </c>
      <c r="AQ121" s="29">
        <v>38699.194002939497</v>
      </c>
      <c r="AR121" s="30">
        <v>6.7199918800654498E-2</v>
      </c>
      <c r="AS121" s="29">
        <v>20612.478403317498</v>
      </c>
      <c r="AT121" s="30">
        <v>6.0696655423373699E-2</v>
      </c>
      <c r="AU121" s="29">
        <v>205945.41436763399</v>
      </c>
      <c r="AV121" s="30">
        <v>6.3264478824200707E-2</v>
      </c>
      <c r="AW121" s="29">
        <v>136244.454068819</v>
      </c>
      <c r="AX121" s="30">
        <v>3.2838294360475299E-2</v>
      </c>
      <c r="AY121" s="29">
        <v>70180.018530583693</v>
      </c>
      <c r="AZ121" s="30">
        <v>0.119046383492801</v>
      </c>
      <c r="BA121" s="29">
        <v>44993.601216758201</v>
      </c>
      <c r="BB121" s="30">
        <v>0.108355365946466</v>
      </c>
      <c r="BC121" s="29">
        <v>59710.3976546552</v>
      </c>
      <c r="BD121" s="30">
        <v>6.5080201743393101E-2</v>
      </c>
      <c r="BE121" s="29"/>
      <c r="BF121" s="30"/>
    </row>
    <row r="122" spans="1:58" x14ac:dyDescent="0.2">
      <c r="A122" s="28">
        <v>2007</v>
      </c>
      <c r="B122" s="28">
        <v>3</v>
      </c>
      <c r="C122" s="29">
        <v>149193.231058495</v>
      </c>
      <c r="D122" s="30">
        <v>4.4620142457161498E-2</v>
      </c>
      <c r="E122" s="29">
        <v>137717.56855888999</v>
      </c>
      <c r="F122" s="30">
        <v>-5.5401768949771002E-3</v>
      </c>
      <c r="G122" s="29">
        <v>96161.130880707104</v>
      </c>
      <c r="H122" s="30">
        <v>1.7933818936054498E-2</v>
      </c>
      <c r="I122" s="29">
        <v>77502.574672348695</v>
      </c>
      <c r="J122" s="30">
        <v>1.9825403402482501E-2</v>
      </c>
      <c r="K122" s="29">
        <v>18729.410567286999</v>
      </c>
      <c r="L122" s="30">
        <v>8.7353991854761705E-3</v>
      </c>
      <c r="M122" s="29">
        <v>41326.706775344697</v>
      </c>
      <c r="N122" s="30">
        <v>-6.1483175667732398E-2</v>
      </c>
      <c r="O122" s="29">
        <v>40533.120050744401</v>
      </c>
      <c r="P122" s="30">
        <v>5.8185920059265803E-2</v>
      </c>
      <c r="Q122" s="29">
        <v>13792.8601134242</v>
      </c>
      <c r="R122" s="30">
        <v>-2.3667655527179799E-2</v>
      </c>
      <c r="S122" s="29">
        <v>26693.777546110101</v>
      </c>
      <c r="T122" s="30">
        <v>9.9897457369288095E-2</v>
      </c>
      <c r="U122" s="29"/>
      <c r="V122" s="30"/>
      <c r="W122" s="29"/>
      <c r="X122" s="30"/>
      <c r="Y122" s="29"/>
      <c r="Z122" s="30"/>
      <c r="AA122" s="29">
        <v>90811.047680644202</v>
      </c>
      <c r="AB122" s="30">
        <v>0.181591060606171</v>
      </c>
      <c r="AC122" s="29">
        <v>64841.789498274396</v>
      </c>
      <c r="AD122" s="30">
        <v>0.206235434490947</v>
      </c>
      <c r="AE122" s="29">
        <v>47834.130334667097</v>
      </c>
      <c r="AF122" s="30">
        <v>0.139475759658095</v>
      </c>
      <c r="AG122" s="29">
        <v>40513.323090997001</v>
      </c>
      <c r="AH122" s="30">
        <v>0.100053834810769</v>
      </c>
      <c r="AI122" s="29">
        <v>25938.530898393201</v>
      </c>
      <c r="AJ122" s="30">
        <v>0.12753132406562701</v>
      </c>
      <c r="AK122" s="29">
        <v>78790.0891394996</v>
      </c>
      <c r="AL122" s="30">
        <v>0.10804520279363</v>
      </c>
      <c r="AM122" s="29">
        <v>57610.715291912398</v>
      </c>
      <c r="AN122" s="30">
        <v>0.13995849891017501</v>
      </c>
      <c r="AO122" s="29">
        <v>39468.8592630243</v>
      </c>
      <c r="AP122" s="30">
        <v>8.2698303000947396E-2</v>
      </c>
      <c r="AQ122" s="29">
        <v>37727.334596158602</v>
      </c>
      <c r="AR122" s="30">
        <v>9.0545602222511998E-2</v>
      </c>
      <c r="AS122" s="29">
        <v>21395.3501409403</v>
      </c>
      <c r="AT122" s="30">
        <v>4.2044705225754E-2</v>
      </c>
      <c r="AU122" s="29">
        <v>208004.896568228</v>
      </c>
      <c r="AV122" s="30">
        <v>6.8364532703903497E-2</v>
      </c>
      <c r="AW122" s="29">
        <v>136701.57090488399</v>
      </c>
      <c r="AX122" s="30">
        <v>2.9664784388963899E-2</v>
      </c>
      <c r="AY122" s="29">
        <v>71669.709622214796</v>
      </c>
      <c r="AZ122" s="30">
        <v>0.13958277140591099</v>
      </c>
      <c r="BA122" s="29">
        <v>45835.631355141399</v>
      </c>
      <c r="BB122" s="30">
        <v>0.145837718277604</v>
      </c>
      <c r="BC122" s="29">
        <v>59446.407028046502</v>
      </c>
      <c r="BD122" s="30">
        <v>7.3196496878131595E-2</v>
      </c>
      <c r="BE122" s="29"/>
      <c r="BF122" s="30"/>
    </row>
    <row r="123" spans="1:58" x14ac:dyDescent="0.2">
      <c r="A123" s="28">
        <v>2007</v>
      </c>
      <c r="B123" s="28">
        <v>4</v>
      </c>
      <c r="C123" s="29">
        <v>153767.907208285</v>
      </c>
      <c r="D123" s="30">
        <v>3.51624668575388E-2</v>
      </c>
      <c r="E123" s="29">
        <v>150129.35416275199</v>
      </c>
      <c r="F123" s="30">
        <v>2.972601359467E-2</v>
      </c>
      <c r="G123" s="29">
        <v>97713.997541286793</v>
      </c>
      <c r="H123" s="30">
        <v>2.0848703405900199E-2</v>
      </c>
      <c r="I123" s="29">
        <v>79031.225342135105</v>
      </c>
      <c r="J123" s="30">
        <v>2.46316390239949E-2</v>
      </c>
      <c r="K123" s="29">
        <v>18702.667935439698</v>
      </c>
      <c r="L123" s="30">
        <v>2.2682013049595299E-3</v>
      </c>
      <c r="M123" s="29">
        <v>53122.867132515603</v>
      </c>
      <c r="N123" s="30">
        <v>4.69979881589528E-2</v>
      </c>
      <c r="O123" s="29">
        <v>42527.252184982302</v>
      </c>
      <c r="P123" s="30">
        <v>3.0080882313931401E-2</v>
      </c>
      <c r="Q123" s="29">
        <v>14667.1436944097</v>
      </c>
      <c r="R123" s="30">
        <v>-1.64035556404954E-2</v>
      </c>
      <c r="S123" s="29">
        <v>27833.713047571699</v>
      </c>
      <c r="T123" s="30">
        <v>5.3185410997708599E-2</v>
      </c>
      <c r="U123" s="29"/>
      <c r="V123" s="30"/>
      <c r="W123" s="29"/>
      <c r="X123" s="30"/>
      <c r="Y123" s="29"/>
      <c r="Z123" s="30"/>
      <c r="AA123" s="29">
        <v>84851.240163324299</v>
      </c>
      <c r="AB123" s="30">
        <v>3.1719513213253898E-2</v>
      </c>
      <c r="AC123" s="29">
        <v>58676.078564187803</v>
      </c>
      <c r="AD123" s="30">
        <v>-1.335393814899E-2</v>
      </c>
      <c r="AE123" s="29">
        <v>47339.562704492397</v>
      </c>
      <c r="AF123" s="30">
        <v>2.1922661215990201E-2</v>
      </c>
      <c r="AG123" s="29">
        <v>41499.861632565597</v>
      </c>
      <c r="AH123" s="30">
        <v>4.3237739250468803E-2</v>
      </c>
      <c r="AI123" s="29">
        <v>26060.7693313571</v>
      </c>
      <c r="AJ123" s="30">
        <v>0.14258679817862799</v>
      </c>
      <c r="AK123" s="29">
        <v>79895.240824187</v>
      </c>
      <c r="AL123" s="30">
        <v>2.10206814590999E-2</v>
      </c>
      <c r="AM123" s="29">
        <v>59120.0649464093</v>
      </c>
      <c r="AN123" s="30">
        <v>4.5192437614360902E-4</v>
      </c>
      <c r="AO123" s="29">
        <v>42343.321605123703</v>
      </c>
      <c r="AP123" s="30">
        <v>5.3199795087184301E-3</v>
      </c>
      <c r="AQ123" s="29">
        <v>40065.973424231197</v>
      </c>
      <c r="AR123" s="30">
        <v>3.4791306007362598E-2</v>
      </c>
      <c r="AS123" s="29">
        <v>21071.414085299999</v>
      </c>
      <c r="AT123" s="30">
        <v>7.2903546687495699E-2</v>
      </c>
      <c r="AU123" s="29">
        <v>210980.17022673</v>
      </c>
      <c r="AV123" s="30">
        <v>3.8714946095068002E-2</v>
      </c>
      <c r="AW123" s="29">
        <v>140260.79124097299</v>
      </c>
      <c r="AX123" s="30">
        <v>2.35955724406476E-2</v>
      </c>
      <c r="AY123" s="29">
        <v>71299.097792677698</v>
      </c>
      <c r="AZ123" s="30">
        <v>6.5492818700293401E-2</v>
      </c>
      <c r="BA123" s="29">
        <v>45365.427386989999</v>
      </c>
      <c r="BB123" s="30">
        <v>2.92514994192925E-2</v>
      </c>
      <c r="BC123" s="29">
        <v>61563.640303288201</v>
      </c>
      <c r="BD123" s="30">
        <v>4.7052150459390797E-2</v>
      </c>
      <c r="BE123" s="29"/>
      <c r="BF123" s="30"/>
    </row>
    <row r="124" spans="1:58" x14ac:dyDescent="0.2">
      <c r="A124" s="28">
        <v>2008</v>
      </c>
      <c r="B124" s="28">
        <v>1</v>
      </c>
      <c r="C124" s="29">
        <v>149448.00267501199</v>
      </c>
      <c r="D124" s="30">
        <v>3.1863017202277799E-2</v>
      </c>
      <c r="E124" s="29">
        <v>144527.037158252</v>
      </c>
      <c r="F124" s="30">
        <v>4.4635837676327797E-2</v>
      </c>
      <c r="G124" s="29">
        <v>97365.555063338194</v>
      </c>
      <c r="H124" s="30">
        <v>1.50021058496028E-2</v>
      </c>
      <c r="I124" s="29">
        <v>78588.403953050802</v>
      </c>
      <c r="J124" s="30">
        <v>1.7286667861831299E-2</v>
      </c>
      <c r="K124" s="29">
        <v>18827.389393299902</v>
      </c>
      <c r="L124" s="30">
        <v>3.8302115648383198E-3</v>
      </c>
      <c r="M124" s="29">
        <v>47358.022640669798</v>
      </c>
      <c r="N124" s="30">
        <v>0.119957015270792</v>
      </c>
      <c r="O124" s="29">
        <v>39368.895655748202</v>
      </c>
      <c r="P124" s="30">
        <v>1.82944762341926E-2</v>
      </c>
      <c r="Q124" s="29">
        <v>12182.687501501399</v>
      </c>
      <c r="R124" s="30">
        <v>-5.4724688251681598E-3</v>
      </c>
      <c r="S124" s="29">
        <v>27027.282171295101</v>
      </c>
      <c r="T124" s="30">
        <v>2.9064520916117099E-2</v>
      </c>
      <c r="U124" s="29"/>
      <c r="V124" s="30"/>
      <c r="W124" s="29"/>
      <c r="X124" s="30"/>
      <c r="Y124" s="29"/>
      <c r="Z124" s="30"/>
      <c r="AA124" s="29">
        <v>87659.379518206202</v>
      </c>
      <c r="AB124" s="30">
        <v>5.8745326902313898E-2</v>
      </c>
      <c r="AC124" s="29">
        <v>62187.470969485097</v>
      </c>
      <c r="AD124" s="30">
        <v>6.8082753454326198E-2</v>
      </c>
      <c r="AE124" s="29">
        <v>47292.939780414999</v>
      </c>
      <c r="AF124" s="30">
        <v>2.9098756512249101E-2</v>
      </c>
      <c r="AG124" s="29">
        <v>40626.426079987301</v>
      </c>
      <c r="AH124" s="30">
        <v>2.13980374239853E-2</v>
      </c>
      <c r="AI124" s="29">
        <v>25423.657390093998</v>
      </c>
      <c r="AJ124" s="30">
        <v>3.7534661355775198E-2</v>
      </c>
      <c r="AK124" s="29">
        <v>81794.589349444694</v>
      </c>
      <c r="AL124" s="30">
        <v>8.5869252598355802E-2</v>
      </c>
      <c r="AM124" s="29">
        <v>61969.470476775103</v>
      </c>
      <c r="AN124" s="30">
        <v>0.120571093280213</v>
      </c>
      <c r="AO124" s="29">
        <v>40369.293653889697</v>
      </c>
      <c r="AP124" s="30">
        <v>-9.4149244517603998E-3</v>
      </c>
      <c r="AQ124" s="29">
        <v>38496.996635754003</v>
      </c>
      <c r="AR124" s="30">
        <v>-1.24950906992288E-2</v>
      </c>
      <c r="AS124" s="29">
        <v>20279.334722572599</v>
      </c>
      <c r="AT124" s="30">
        <v>1.1622013601289001E-3</v>
      </c>
      <c r="AU124" s="29">
        <v>206650.78420881799</v>
      </c>
      <c r="AV124" s="30">
        <v>2.1489935570033501E-2</v>
      </c>
      <c r="AW124" s="29">
        <v>136724.747791859</v>
      </c>
      <c r="AX124" s="30">
        <v>1.59415497825268E-2</v>
      </c>
      <c r="AY124" s="29">
        <v>70406.869132349704</v>
      </c>
      <c r="AZ124" s="30">
        <v>3.0981353589218299E-2</v>
      </c>
      <c r="BA124" s="29">
        <v>45080.861149144701</v>
      </c>
      <c r="BB124" s="30">
        <v>2.76579194028308E-2</v>
      </c>
      <c r="BC124" s="29">
        <v>59183.767246057199</v>
      </c>
      <c r="BD124" s="30">
        <v>-8.0983053759370299E-3</v>
      </c>
      <c r="BE124" s="29"/>
      <c r="BF124" s="30"/>
    </row>
    <row r="125" spans="1:58" x14ac:dyDescent="0.2">
      <c r="A125" s="28">
        <v>2008</v>
      </c>
      <c r="B125" s="28">
        <v>2</v>
      </c>
      <c r="C125" s="29">
        <v>153678.10358188199</v>
      </c>
      <c r="D125" s="30">
        <v>3.5630264079095302E-2</v>
      </c>
      <c r="E125" s="29">
        <v>139002.19908163801</v>
      </c>
      <c r="F125" s="30">
        <v>3.92021508652585E-4</v>
      </c>
      <c r="G125" s="29">
        <v>96238.911756560105</v>
      </c>
      <c r="H125" s="30">
        <v>1.4053688759635899E-2</v>
      </c>
      <c r="I125" s="29">
        <v>77516.359840780598</v>
      </c>
      <c r="J125" s="30">
        <v>1.6556140530688199E-2</v>
      </c>
      <c r="K125" s="29">
        <v>18802.607858241499</v>
      </c>
      <c r="L125" s="30">
        <v>1.9702305850886098E-3</v>
      </c>
      <c r="M125" s="29">
        <v>42706.073464572401</v>
      </c>
      <c r="N125" s="30">
        <v>-3.1511817700662102E-2</v>
      </c>
      <c r="O125" s="29">
        <v>42244.017722402103</v>
      </c>
      <c r="P125" s="30">
        <v>2.2357764294658199E-2</v>
      </c>
      <c r="Q125" s="29">
        <v>13613.479671855899</v>
      </c>
      <c r="R125" s="30">
        <v>3.8774115782400599E-3</v>
      </c>
      <c r="S125" s="29">
        <v>28507.183070969299</v>
      </c>
      <c r="T125" s="30">
        <v>3.0823366025051899E-2</v>
      </c>
      <c r="U125" s="29"/>
      <c r="V125" s="30"/>
      <c r="W125" s="29"/>
      <c r="X125" s="30"/>
      <c r="Y125" s="29"/>
      <c r="Z125" s="30"/>
      <c r="AA125" s="29">
        <v>93957.5886681431</v>
      </c>
      <c r="AB125" s="30">
        <v>7.1779672047617801E-2</v>
      </c>
      <c r="AC125" s="29">
        <v>68584.053339484599</v>
      </c>
      <c r="AD125" s="30">
        <v>0.100046551312463</v>
      </c>
      <c r="AE125" s="29">
        <v>53004.069094971303</v>
      </c>
      <c r="AF125" s="30">
        <v>0.121714621177214</v>
      </c>
      <c r="AG125" s="29">
        <v>44547.0756647417</v>
      </c>
      <c r="AH125" s="30">
        <v>9.1416166571041305E-2</v>
      </c>
      <c r="AI125" s="29">
        <v>25405.854000470499</v>
      </c>
      <c r="AJ125" s="30">
        <v>5.0701313329359898E-3</v>
      </c>
      <c r="AK125" s="29">
        <v>78879.769790699793</v>
      </c>
      <c r="AL125" s="30">
        <v>1.8368334428077799E-2</v>
      </c>
      <c r="AM125" s="29">
        <v>58954.803233547798</v>
      </c>
      <c r="AN125" s="30">
        <v>3.2321684720296999E-2</v>
      </c>
      <c r="AO125" s="29">
        <v>42141.865175736602</v>
      </c>
      <c r="AP125" s="30">
        <v>4.13532444628966E-2</v>
      </c>
      <c r="AQ125" s="29">
        <v>40089.136261528503</v>
      </c>
      <c r="AR125" s="30">
        <v>3.5916568662472899E-2</v>
      </c>
      <c r="AS125" s="29">
        <v>20277.8272283199</v>
      </c>
      <c r="AT125" s="30">
        <v>-1.6235368132332E-2</v>
      </c>
      <c r="AU125" s="29">
        <v>214914.654711676</v>
      </c>
      <c r="AV125" s="30">
        <v>4.3551541905328901E-2</v>
      </c>
      <c r="AW125" s="29">
        <v>138506.96148168499</v>
      </c>
      <c r="AX125" s="30">
        <v>1.6606234935063999E-2</v>
      </c>
      <c r="AY125" s="29">
        <v>76378.185511233503</v>
      </c>
      <c r="AZ125" s="30">
        <v>8.83181154754E-2</v>
      </c>
      <c r="BA125" s="29">
        <v>50896.732601752999</v>
      </c>
      <c r="BB125" s="30">
        <v>0.13119935336041</v>
      </c>
      <c r="BC125" s="29">
        <v>60832.1194365466</v>
      </c>
      <c r="BD125" s="30">
        <v>1.8786037707855301E-2</v>
      </c>
      <c r="BE125" s="29"/>
      <c r="BF125" s="30"/>
    </row>
    <row r="126" spans="1:58" x14ac:dyDescent="0.2">
      <c r="A126" s="28">
        <v>2008</v>
      </c>
      <c r="B126" s="28">
        <v>3</v>
      </c>
      <c r="C126" s="29">
        <v>154054.632773666</v>
      </c>
      <c r="D126" s="30">
        <v>3.2584599721319697E-2</v>
      </c>
      <c r="E126" s="29">
        <v>139494.70546309801</v>
      </c>
      <c r="F126" s="30">
        <v>1.29042134769275E-2</v>
      </c>
      <c r="G126" s="29">
        <v>97631.273194978407</v>
      </c>
      <c r="H126" s="30">
        <v>1.52883218074376E-2</v>
      </c>
      <c r="I126" s="29">
        <v>78866.496216312895</v>
      </c>
      <c r="J126" s="30">
        <v>1.75984030173231E-2</v>
      </c>
      <c r="K126" s="29">
        <v>18803.264124709502</v>
      </c>
      <c r="L126" s="30">
        <v>3.9431864210122099E-3</v>
      </c>
      <c r="M126" s="29">
        <v>41706.263834474303</v>
      </c>
      <c r="N126" s="30">
        <v>9.18430450296648E-3</v>
      </c>
      <c r="O126" s="29">
        <v>41077.001998065498</v>
      </c>
      <c r="P126" s="30">
        <v>1.3418210753088199E-2</v>
      </c>
      <c r="Q126" s="29">
        <v>13871.093710782799</v>
      </c>
      <c r="R126" s="30">
        <v>5.67203587328469E-3</v>
      </c>
      <c r="S126" s="29">
        <v>27141.212930211001</v>
      </c>
      <c r="T126" s="30">
        <v>1.6761785900403899E-2</v>
      </c>
      <c r="U126" s="29"/>
      <c r="V126" s="30"/>
      <c r="W126" s="29"/>
      <c r="X126" s="30"/>
      <c r="Y126" s="29"/>
      <c r="Z126" s="30"/>
      <c r="AA126" s="29">
        <v>95075.233794500804</v>
      </c>
      <c r="AB126" s="30">
        <v>4.6956688891560197E-2</v>
      </c>
      <c r="AC126" s="29">
        <v>69088.299823669295</v>
      </c>
      <c r="AD126" s="30">
        <v>6.5490332056733894E-2</v>
      </c>
      <c r="AE126" s="29">
        <v>51068.4780621217</v>
      </c>
      <c r="AF126" s="30">
        <v>6.7615899041661501E-2</v>
      </c>
      <c r="AG126" s="29">
        <v>41642.031464689302</v>
      </c>
      <c r="AH126" s="30">
        <v>2.7860177531156001E-2</v>
      </c>
      <c r="AI126" s="29">
        <v>26006.059803998702</v>
      </c>
      <c r="AJ126" s="30">
        <v>2.6034205973348699E-3</v>
      </c>
      <c r="AK126" s="29">
        <v>80164.801490603801</v>
      </c>
      <c r="AL126" s="30">
        <v>1.7447782660459502E-2</v>
      </c>
      <c r="AM126" s="29">
        <v>59597.2243499498</v>
      </c>
      <c r="AN126" s="30">
        <v>3.44815898912521E-2</v>
      </c>
      <c r="AO126" s="29">
        <v>40505.400054764497</v>
      </c>
      <c r="AP126" s="30">
        <v>2.62622434773854E-2</v>
      </c>
      <c r="AQ126" s="29">
        <v>38108.904792499699</v>
      </c>
      <c r="AR126" s="30">
        <v>1.0113892232926899E-2</v>
      </c>
      <c r="AS126" s="29">
        <v>20892.596217140999</v>
      </c>
      <c r="AT126" s="30">
        <v>-2.3498279789179299E-2</v>
      </c>
      <c r="AU126" s="29">
        <v>213039.652473522</v>
      </c>
      <c r="AV126" s="30">
        <v>2.4204987422697499E-2</v>
      </c>
      <c r="AW126" s="29">
        <v>138714.704283005</v>
      </c>
      <c r="AX126" s="30">
        <v>1.47264831325287E-2</v>
      </c>
      <c r="AY126" s="29">
        <v>74499.190300104703</v>
      </c>
      <c r="AZ126" s="30">
        <v>3.9479449446698997E-2</v>
      </c>
      <c r="BA126" s="29">
        <v>48521.696837257201</v>
      </c>
      <c r="BB126" s="30">
        <v>5.86021268323711E-2</v>
      </c>
      <c r="BC126" s="29">
        <v>59365.054938248199</v>
      </c>
      <c r="BD126" s="30">
        <v>-1.36849464695032E-3</v>
      </c>
      <c r="BE126" s="29"/>
      <c r="BF126" s="30"/>
    </row>
    <row r="127" spans="1:58" x14ac:dyDescent="0.2">
      <c r="A127" s="28">
        <v>2008</v>
      </c>
      <c r="B127" s="28">
        <v>4</v>
      </c>
      <c r="C127" s="29">
        <v>154097.479327979</v>
      </c>
      <c r="D127" s="30">
        <v>2.14330887164316E-3</v>
      </c>
      <c r="E127" s="29">
        <v>155412.05281491301</v>
      </c>
      <c r="F127" s="30">
        <v>3.5187646557340899E-2</v>
      </c>
      <c r="G127" s="29">
        <v>98763.683882477504</v>
      </c>
      <c r="H127" s="30">
        <v>1.07424357574477E-2</v>
      </c>
      <c r="I127" s="29">
        <v>79860.278085910904</v>
      </c>
      <c r="J127" s="30">
        <v>1.04901922017129E-2</v>
      </c>
      <c r="K127" s="29">
        <v>18927.572852596099</v>
      </c>
      <c r="L127" s="30">
        <v>1.20252852658633E-2</v>
      </c>
      <c r="M127" s="29">
        <v>57422.805141328499</v>
      </c>
      <c r="N127" s="30">
        <v>8.0943259295224196E-2</v>
      </c>
      <c r="O127" s="29">
        <v>41310.313837648202</v>
      </c>
      <c r="P127" s="30">
        <v>-2.8615494413812399E-2</v>
      </c>
      <c r="Q127" s="29">
        <v>14626.635065042499</v>
      </c>
      <c r="R127" s="30">
        <v>-2.76186217379382E-3</v>
      </c>
      <c r="S127" s="29">
        <v>26677.6223180495</v>
      </c>
      <c r="T127" s="30">
        <v>-4.1535627228256503E-2</v>
      </c>
      <c r="U127" s="29"/>
      <c r="V127" s="30"/>
      <c r="W127" s="29"/>
      <c r="X127" s="30"/>
      <c r="Y127" s="29"/>
      <c r="Z127" s="30"/>
      <c r="AA127" s="29">
        <v>84341.854231751699</v>
      </c>
      <c r="AB127" s="30">
        <v>-6.0032821039760504E-3</v>
      </c>
      <c r="AC127" s="29">
        <v>58535.5649106356</v>
      </c>
      <c r="AD127" s="30">
        <v>-2.3947349071473702E-3</v>
      </c>
      <c r="AE127" s="29">
        <v>45170.224572041901</v>
      </c>
      <c r="AF127" s="30">
        <v>-4.5825056433076203E-2</v>
      </c>
      <c r="AG127" s="29">
        <v>39005.1210864768</v>
      </c>
      <c r="AH127" s="30">
        <v>-6.0114430457069802E-2</v>
      </c>
      <c r="AI127" s="29">
        <v>25703.285665622901</v>
      </c>
      <c r="AJ127" s="30">
        <v>-1.3717310536339801E-2</v>
      </c>
      <c r="AK127" s="29">
        <v>84078.214815550498</v>
      </c>
      <c r="AL127" s="30">
        <v>5.2355734186574403E-2</v>
      </c>
      <c r="AM127" s="29">
        <v>62878.490445064803</v>
      </c>
      <c r="AN127" s="30">
        <v>6.3572756593931204E-2</v>
      </c>
      <c r="AO127" s="29">
        <v>39962.221715965403</v>
      </c>
      <c r="AP127" s="30">
        <v>-5.6233186223874798E-2</v>
      </c>
      <c r="AQ127" s="29">
        <v>37958.862057083599</v>
      </c>
      <c r="AR127" s="30">
        <v>-5.2591043897445303E-2</v>
      </c>
      <c r="AS127" s="29">
        <v>21579.892083587001</v>
      </c>
      <c r="AT127" s="30">
        <v>2.4131175830371901E-2</v>
      </c>
      <c r="AU127" s="29">
        <v>207476.25098734</v>
      </c>
      <c r="AV127" s="30">
        <v>-1.6607813121130601E-2</v>
      </c>
      <c r="AW127" s="29">
        <v>140078.04697382101</v>
      </c>
      <c r="AX127" s="30">
        <v>-1.30288917903987E-3</v>
      </c>
      <c r="AY127" s="29">
        <v>68284.3332923376</v>
      </c>
      <c r="AZ127" s="30">
        <v>-4.2283347106388001E-2</v>
      </c>
      <c r="BA127" s="29">
        <v>42763.099500926503</v>
      </c>
      <c r="BB127" s="30">
        <v>-5.7363680581345E-2</v>
      </c>
      <c r="BC127" s="29">
        <v>59863.443991603403</v>
      </c>
      <c r="BD127" s="30">
        <v>-2.76168904780307E-2</v>
      </c>
      <c r="BE127" s="29"/>
      <c r="BF127" s="30"/>
    </row>
    <row r="128" spans="1:58" x14ac:dyDescent="0.2">
      <c r="A128" s="28">
        <v>2009</v>
      </c>
      <c r="B128" s="28">
        <v>1</v>
      </c>
      <c r="C128" s="29">
        <v>146342.41919662099</v>
      </c>
      <c r="D128" s="30">
        <v>-2.0780361214628701E-2</v>
      </c>
      <c r="E128" s="29">
        <v>155302.32091134001</v>
      </c>
      <c r="F128" s="30">
        <v>7.4555487782467705E-2</v>
      </c>
      <c r="G128" s="29">
        <v>98799.652290803599</v>
      </c>
      <c r="H128" s="30">
        <v>1.47289996604292E-2</v>
      </c>
      <c r="I128" s="29">
        <v>79704.324387609697</v>
      </c>
      <c r="J128" s="30">
        <v>1.4199555894092801E-2</v>
      </c>
      <c r="K128" s="29">
        <v>19152.153852470499</v>
      </c>
      <c r="L128" s="30">
        <v>1.7249574669451401E-2</v>
      </c>
      <c r="M128" s="29">
        <v>57347.190107423703</v>
      </c>
      <c r="N128" s="30">
        <v>0.210928727800716</v>
      </c>
      <c r="O128" s="29">
        <v>36746.149207704497</v>
      </c>
      <c r="P128" s="30">
        <v>-6.6619761727067406E-2</v>
      </c>
      <c r="Q128" s="29">
        <v>12178.6711377913</v>
      </c>
      <c r="R128" s="30">
        <v>-3.2967797208927101E-4</v>
      </c>
      <c r="S128" s="29">
        <v>24489.250211793598</v>
      </c>
      <c r="T128" s="30">
        <v>-9.3906295994388406E-2</v>
      </c>
      <c r="U128" s="29"/>
      <c r="V128" s="30"/>
      <c r="W128" s="29"/>
      <c r="X128" s="30"/>
      <c r="Y128" s="29"/>
      <c r="Z128" s="30"/>
      <c r="AA128" s="29">
        <v>78096.9153131434</v>
      </c>
      <c r="AB128" s="30">
        <v>-0.109086606106729</v>
      </c>
      <c r="AC128" s="29">
        <v>54235.002786598103</v>
      </c>
      <c r="AD128" s="30">
        <v>-0.12787894504970701</v>
      </c>
      <c r="AE128" s="29">
        <v>43972.068837482999</v>
      </c>
      <c r="AF128" s="30">
        <v>-7.0219169253404698E-2</v>
      </c>
      <c r="AG128" s="29">
        <v>35815.452168019103</v>
      </c>
      <c r="AH128" s="30">
        <v>-0.11841981626678499</v>
      </c>
      <c r="AI128" s="29">
        <v>23876.718340863801</v>
      </c>
      <c r="AJ128" s="30">
        <v>-6.0846440207021298E-2</v>
      </c>
      <c r="AK128" s="29">
        <v>85010.718094693904</v>
      </c>
      <c r="AL128" s="30">
        <v>3.9319578114258999E-2</v>
      </c>
      <c r="AM128" s="29">
        <v>63968.914602241101</v>
      </c>
      <c r="AN128" s="30">
        <v>3.2264986453537599E-2</v>
      </c>
      <c r="AO128" s="29">
        <v>39067.843959983198</v>
      </c>
      <c r="AP128" s="30">
        <v>-3.2238604545933601E-2</v>
      </c>
      <c r="AQ128" s="29">
        <v>36948.660811668698</v>
      </c>
      <c r="AR128" s="30">
        <v>-4.0219652424711497E-2</v>
      </c>
      <c r="AS128" s="29">
        <v>21458.6890398748</v>
      </c>
      <c r="AT128" s="30">
        <v>5.8155473709376598E-2</v>
      </c>
      <c r="AU128" s="29">
        <v>200459.01329642799</v>
      </c>
      <c r="AV128" s="30">
        <v>-2.9962484469129001E-2</v>
      </c>
      <c r="AW128" s="29">
        <v>135508.68656309199</v>
      </c>
      <c r="AX128" s="30">
        <v>-8.8942290873211798E-3</v>
      </c>
      <c r="AY128" s="29">
        <v>65807.709694693898</v>
      </c>
      <c r="AZ128" s="30">
        <v>-6.5322595569622402E-2</v>
      </c>
      <c r="BA128" s="29">
        <v>42060.394349494098</v>
      </c>
      <c r="BB128" s="30">
        <v>-6.7001089212951906E-2</v>
      </c>
      <c r="BC128" s="29">
        <v>58681.980481906998</v>
      </c>
      <c r="BD128" s="30">
        <v>-8.4784525808235794E-3</v>
      </c>
      <c r="BE128" s="29"/>
      <c r="BF128" s="30"/>
    </row>
    <row r="129" spans="1:58" x14ac:dyDescent="0.2">
      <c r="A129" s="28">
        <v>2009</v>
      </c>
      <c r="B129" s="28">
        <v>2</v>
      </c>
      <c r="C129" s="29">
        <v>148585.048899446</v>
      </c>
      <c r="D129" s="30">
        <v>-3.3141056297082999E-2</v>
      </c>
      <c r="E129" s="29">
        <v>142784.19946069</v>
      </c>
      <c r="F129" s="30">
        <v>2.7208205366815501E-2</v>
      </c>
      <c r="G129" s="29">
        <v>97521.550267485698</v>
      </c>
      <c r="H129" s="30">
        <v>1.33276497781902E-2</v>
      </c>
      <c r="I129" s="29">
        <v>78406.037958309898</v>
      </c>
      <c r="J129" s="30">
        <v>1.1477294849199E-2</v>
      </c>
      <c r="K129" s="29">
        <v>19211.7875215073</v>
      </c>
      <c r="L129" s="30">
        <v>2.17618569908355E-2</v>
      </c>
      <c r="M129" s="29">
        <v>45313.533051526101</v>
      </c>
      <c r="N129" s="30">
        <v>6.1055942994073999E-2</v>
      </c>
      <c r="O129" s="29">
        <v>38010.857722502398</v>
      </c>
      <c r="P129" s="30">
        <v>-0.100207324684813</v>
      </c>
      <c r="Q129" s="29">
        <v>13944.3965298525</v>
      </c>
      <c r="R129" s="30">
        <v>2.43080289516833E-2</v>
      </c>
      <c r="S129" s="29">
        <v>24072.670266089099</v>
      </c>
      <c r="T129" s="30">
        <v>-0.155557734127583</v>
      </c>
      <c r="U129" s="29"/>
      <c r="V129" s="30"/>
      <c r="W129" s="29"/>
      <c r="X129" s="30"/>
      <c r="Y129" s="29"/>
      <c r="Z129" s="30"/>
      <c r="AA129" s="29">
        <v>81840.270379307301</v>
      </c>
      <c r="AB129" s="30">
        <v>-0.12896582873826201</v>
      </c>
      <c r="AC129" s="29">
        <v>57388.511819584302</v>
      </c>
      <c r="AD129" s="30">
        <v>-0.163238259839841</v>
      </c>
      <c r="AE129" s="29">
        <v>44111.614733336603</v>
      </c>
      <c r="AF129" s="30">
        <v>-0.16776927721721399</v>
      </c>
      <c r="AG129" s="29">
        <v>35980.443674527603</v>
      </c>
      <c r="AH129" s="30">
        <v>-0.192305148259025</v>
      </c>
      <c r="AI129" s="29">
        <v>24455.127018361101</v>
      </c>
      <c r="AJ129" s="30">
        <v>-3.7421571504419597E-2</v>
      </c>
      <c r="AK129" s="29">
        <v>74815.379046577596</v>
      </c>
      <c r="AL129" s="30">
        <v>-5.1526402205618202E-2</v>
      </c>
      <c r="AM129" s="29">
        <v>53556.339808777899</v>
      </c>
      <c r="AN129" s="30">
        <v>-9.1569526631850695E-2</v>
      </c>
      <c r="AO129" s="29">
        <v>36599.9096528636</v>
      </c>
      <c r="AP129" s="30">
        <v>-0.131507124797688</v>
      </c>
      <c r="AQ129" s="29">
        <v>34764.0851620701</v>
      </c>
      <c r="AR129" s="30">
        <v>-0.13283027762732399</v>
      </c>
      <c r="AS129" s="29">
        <v>21422.742489770699</v>
      </c>
      <c r="AT129" s="30">
        <v>5.6461436847224697E-2</v>
      </c>
      <c r="AU129" s="29">
        <v>201254.11160139801</v>
      </c>
      <c r="AV129" s="30">
        <v>-6.3562641312689003E-2</v>
      </c>
      <c r="AW129" s="29">
        <v>135511.50449644099</v>
      </c>
      <c r="AX129" s="30">
        <v>-2.1626761234242502E-2</v>
      </c>
      <c r="AY129" s="29">
        <v>66529.952076322195</v>
      </c>
      <c r="AZ129" s="30">
        <v>-0.128940395336609</v>
      </c>
      <c r="BA129" s="29">
        <v>42247.854389016902</v>
      </c>
      <c r="BB129" s="30">
        <v>-0.169929930088247</v>
      </c>
      <c r="BC129" s="29">
        <v>56370.5262728288</v>
      </c>
      <c r="BD129" s="30">
        <v>-7.3342721000731706E-2</v>
      </c>
      <c r="BE129" s="29"/>
      <c r="BF129" s="30"/>
    </row>
    <row r="130" spans="1:58" x14ac:dyDescent="0.2">
      <c r="A130" s="28">
        <v>2009</v>
      </c>
      <c r="B130" s="28">
        <v>3</v>
      </c>
      <c r="C130" s="29">
        <v>150111.47070693801</v>
      </c>
      <c r="D130" s="30">
        <v>-2.5595868139331901E-2</v>
      </c>
      <c r="E130" s="29">
        <v>143623.444353434</v>
      </c>
      <c r="F130" s="30">
        <v>2.9597817900185199E-2</v>
      </c>
      <c r="G130" s="29">
        <v>98950.8687674057</v>
      </c>
      <c r="H130" s="30">
        <v>1.3516115576941899E-2</v>
      </c>
      <c r="I130" s="29">
        <v>79681.928799981106</v>
      </c>
      <c r="J130" s="30">
        <v>1.0339404218385801E-2</v>
      </c>
      <c r="K130" s="29">
        <v>19347.566595605302</v>
      </c>
      <c r="L130" s="30">
        <v>2.8947233165786301E-2</v>
      </c>
      <c r="M130" s="29">
        <v>44630.847779748598</v>
      </c>
      <c r="N130" s="30">
        <v>7.0123374198216598E-2</v>
      </c>
      <c r="O130" s="29">
        <v>38579.749387836498</v>
      </c>
      <c r="P130" s="30">
        <v>-6.0794422395932197E-2</v>
      </c>
      <c r="Q130" s="29">
        <v>14686.472149764701</v>
      </c>
      <c r="R130" s="30">
        <v>5.87825629314358E-2</v>
      </c>
      <c r="S130" s="29">
        <v>23934.091231403301</v>
      </c>
      <c r="T130" s="30">
        <v>-0.118164273168422</v>
      </c>
      <c r="U130" s="29"/>
      <c r="V130" s="30"/>
      <c r="W130" s="29"/>
      <c r="X130" s="30"/>
      <c r="Y130" s="29"/>
      <c r="Z130" s="30"/>
      <c r="AA130" s="29">
        <v>84038.617607417997</v>
      </c>
      <c r="AB130" s="30">
        <v>-0.116082977097251</v>
      </c>
      <c r="AC130" s="29">
        <v>57916.9822105528</v>
      </c>
      <c r="AD130" s="30">
        <v>-0.16169622992067301</v>
      </c>
      <c r="AE130" s="29">
        <v>46723.963630860897</v>
      </c>
      <c r="AF130" s="30">
        <v>-8.5072330253820203E-2</v>
      </c>
      <c r="AG130" s="29">
        <v>36879.325913576198</v>
      </c>
      <c r="AH130" s="30">
        <v>-0.114372555410792</v>
      </c>
      <c r="AI130" s="29">
        <v>26147.310618619598</v>
      </c>
      <c r="AJ130" s="30">
        <v>5.4314577327530004E-3</v>
      </c>
      <c r="AK130" s="29">
        <v>76418.280794641803</v>
      </c>
      <c r="AL130" s="30">
        <v>-4.6735233248237397E-2</v>
      </c>
      <c r="AM130" s="29">
        <v>54389.0115962001</v>
      </c>
      <c r="AN130" s="30">
        <v>-8.7390189904944696E-2</v>
      </c>
      <c r="AO130" s="29">
        <v>36766.626447795599</v>
      </c>
      <c r="AP130" s="30">
        <v>-9.2303090499389895E-2</v>
      </c>
      <c r="AQ130" s="29">
        <v>34922.856904138302</v>
      </c>
      <c r="AR130" s="30">
        <v>-8.3603764151954696E-2</v>
      </c>
      <c r="AS130" s="29">
        <v>22173.145306482998</v>
      </c>
      <c r="AT130" s="30">
        <v>6.1292003924883903E-2</v>
      </c>
      <c r="AU130" s="29">
        <v>207819.90515508901</v>
      </c>
      <c r="AV130" s="30">
        <v>-2.4501294748786501E-2</v>
      </c>
      <c r="AW130" s="29">
        <v>137509.51486107899</v>
      </c>
      <c r="AX130" s="30">
        <v>-8.6882600381473808E-3</v>
      </c>
      <c r="AY130" s="29">
        <v>70790.613979334201</v>
      </c>
      <c r="AZ130" s="30">
        <v>-4.9780088962459799E-2</v>
      </c>
      <c r="BA130" s="29">
        <v>44844.229748250502</v>
      </c>
      <c r="BB130" s="30">
        <v>-7.5790158397408894E-2</v>
      </c>
      <c r="BC130" s="29">
        <v>57241.001139165099</v>
      </c>
      <c r="BD130" s="30">
        <v>-3.5779530589040202E-2</v>
      </c>
      <c r="BE130" s="29"/>
      <c r="BF130" s="30"/>
    </row>
    <row r="131" spans="1:58" x14ac:dyDescent="0.2">
      <c r="A131" s="28">
        <v>2009</v>
      </c>
      <c r="B131" s="28">
        <v>4</v>
      </c>
      <c r="C131" s="29">
        <v>154411.599268341</v>
      </c>
      <c r="D131" s="30">
        <v>2.0384495692715699E-3</v>
      </c>
      <c r="E131" s="29">
        <v>148654.58389025801</v>
      </c>
      <c r="F131" s="30">
        <v>-4.3480983631963697E-2</v>
      </c>
      <c r="G131" s="29">
        <v>100901.421185941</v>
      </c>
      <c r="H131" s="30">
        <v>2.1644973328529101E-2</v>
      </c>
      <c r="I131" s="29">
        <v>81532.799336379598</v>
      </c>
      <c r="J131" s="30">
        <v>2.0943093244296399E-2</v>
      </c>
      <c r="K131" s="29">
        <v>19406.667023727201</v>
      </c>
      <c r="L131" s="30">
        <v>2.5311970787916398E-2</v>
      </c>
      <c r="M131" s="29">
        <v>47874.466515399203</v>
      </c>
      <c r="N131" s="30">
        <v>-0.166281298909537</v>
      </c>
      <c r="O131" s="29">
        <v>39676.694702891204</v>
      </c>
      <c r="P131" s="30">
        <v>-3.9545067151441099E-2</v>
      </c>
      <c r="Q131" s="29">
        <v>15101.120265863799</v>
      </c>
      <c r="R131" s="30">
        <v>3.2439805786593098E-2</v>
      </c>
      <c r="S131" s="29">
        <v>24617.3589856131</v>
      </c>
      <c r="T131" s="30">
        <v>-7.7228146791871996E-2</v>
      </c>
      <c r="U131" s="29"/>
      <c r="V131" s="30"/>
      <c r="W131" s="29"/>
      <c r="X131" s="30"/>
      <c r="Y131" s="29"/>
      <c r="Z131" s="30"/>
      <c r="AA131" s="29">
        <v>87166.539677600696</v>
      </c>
      <c r="AB131" s="30">
        <v>3.3490909958980401E-2</v>
      </c>
      <c r="AC131" s="29">
        <v>61982.912417175503</v>
      </c>
      <c r="AD131" s="30">
        <v>5.8893213242289501E-2</v>
      </c>
      <c r="AE131" s="29">
        <v>47699.109995507002</v>
      </c>
      <c r="AF131" s="30">
        <v>5.5985673027412197E-2</v>
      </c>
      <c r="AG131" s="29">
        <v>38714.694798276898</v>
      </c>
      <c r="AH131" s="30">
        <v>-7.4458501886451901E-3</v>
      </c>
      <c r="AI131" s="29">
        <v>25168.3667257245</v>
      </c>
      <c r="AJ131" s="30">
        <v>-2.0811305871833601E-2</v>
      </c>
      <c r="AK131" s="29">
        <v>80240.215948216995</v>
      </c>
      <c r="AL131" s="30">
        <v>-4.5647958579439499E-2</v>
      </c>
      <c r="AM131" s="29">
        <v>57802.229764729702</v>
      </c>
      <c r="AN131" s="30">
        <v>-8.0731274628324995E-2</v>
      </c>
      <c r="AO131" s="29">
        <v>38449.887976742197</v>
      </c>
      <c r="AP131" s="30">
        <v>-3.7844085595947201E-2</v>
      </c>
      <c r="AQ131" s="29">
        <v>36505.2884181552</v>
      </c>
      <c r="AR131" s="30">
        <v>-3.8293393430563497E-2</v>
      </c>
      <c r="AS131" s="29">
        <v>22640.435959000901</v>
      </c>
      <c r="AT131" s="30">
        <v>4.9145003659240703E-2</v>
      </c>
      <c r="AU131" s="29">
        <v>210971.495826689</v>
      </c>
      <c r="AV131" s="30">
        <v>1.6846481574231301E-2</v>
      </c>
      <c r="AW131" s="29">
        <v>140559.63830626299</v>
      </c>
      <c r="AX131" s="30">
        <v>3.4380214662195199E-3</v>
      </c>
      <c r="AY131" s="29">
        <v>71031.882927660205</v>
      </c>
      <c r="AZ131" s="30">
        <v>4.0236896266671499E-2</v>
      </c>
      <c r="BA131" s="29">
        <v>45922.636069487999</v>
      </c>
      <c r="BB131" s="30">
        <v>7.3884648340165796E-2</v>
      </c>
      <c r="BC131" s="29">
        <v>59329.855924892297</v>
      </c>
      <c r="BD131" s="30">
        <v>-8.9134207979405505E-3</v>
      </c>
      <c r="BE131" s="29"/>
      <c r="BF131" s="30"/>
    </row>
    <row r="132" spans="1:58" x14ac:dyDescent="0.2">
      <c r="A132" s="28">
        <v>2010</v>
      </c>
      <c r="B132" s="28">
        <v>1</v>
      </c>
      <c r="C132" s="29">
        <v>150934.706559963</v>
      </c>
      <c r="D132" s="30">
        <v>3.1380425365064898E-2</v>
      </c>
      <c r="E132" s="29">
        <v>140926.38368130301</v>
      </c>
      <c r="F132" s="30">
        <v>-9.2567433285455206E-2</v>
      </c>
      <c r="G132" s="29">
        <v>100187.56984763499</v>
      </c>
      <c r="H132" s="30">
        <v>1.40477979896805E-2</v>
      </c>
      <c r="I132" s="29">
        <v>80991.361544894593</v>
      </c>
      <c r="J132" s="30">
        <v>1.6147645277386099E-2</v>
      </c>
      <c r="K132" s="29">
        <v>19238.9072582956</v>
      </c>
      <c r="L132" s="30">
        <v>4.5296944925012897E-3</v>
      </c>
      <c r="M132" s="29">
        <v>40330.157082031903</v>
      </c>
      <c r="N132" s="30">
        <v>-0.29673699781131901</v>
      </c>
      <c r="O132" s="29">
        <v>37451.877327493603</v>
      </c>
      <c r="P132" s="30">
        <v>1.9205498671441199E-2</v>
      </c>
      <c r="Q132" s="29">
        <v>12586.8494585837</v>
      </c>
      <c r="R132" s="30">
        <v>3.3515834049061999E-2</v>
      </c>
      <c r="S132" s="29">
        <v>24787.382721211699</v>
      </c>
      <c r="T132" s="30">
        <v>1.21740154083814E-2</v>
      </c>
      <c r="U132" s="29"/>
      <c r="V132" s="30"/>
      <c r="W132" s="29"/>
      <c r="X132" s="30"/>
      <c r="Y132" s="29"/>
      <c r="Z132" s="30"/>
      <c r="AA132" s="29">
        <v>91820.876655696105</v>
      </c>
      <c r="AB132" s="30">
        <v>0.175729877262425</v>
      </c>
      <c r="AC132" s="29">
        <v>67158.863333355504</v>
      </c>
      <c r="AD132" s="30">
        <v>0.238293719604103</v>
      </c>
      <c r="AE132" s="29">
        <v>47708.250387111802</v>
      </c>
      <c r="AF132" s="30">
        <v>8.4967154114068896E-2</v>
      </c>
      <c r="AG132" s="29">
        <v>38899.328800711803</v>
      </c>
      <c r="AH132" s="30">
        <v>8.6104640483819495E-2</v>
      </c>
      <c r="AI132" s="29">
        <v>24727.9281943112</v>
      </c>
      <c r="AJ132" s="30">
        <v>3.5650202900393099E-2</v>
      </c>
      <c r="AK132" s="29">
        <v>81173.402252789107</v>
      </c>
      <c r="AL132" s="30">
        <v>-4.5139200419768502E-2</v>
      </c>
      <c r="AM132" s="29">
        <v>59562.890946668202</v>
      </c>
      <c r="AN132" s="30">
        <v>-6.8877574099382902E-2</v>
      </c>
      <c r="AO132" s="29">
        <v>39861.884024634099</v>
      </c>
      <c r="AP132" s="30">
        <v>2.03246451343513E-2</v>
      </c>
      <c r="AQ132" s="29">
        <v>37834.5727663656</v>
      </c>
      <c r="AR132" s="30">
        <v>2.3976835296209299E-2</v>
      </c>
      <c r="AS132" s="29">
        <v>21908.547975248199</v>
      </c>
      <c r="AT132" s="30">
        <v>2.0963952389518599E-2</v>
      </c>
      <c r="AU132" s="29">
        <v>206487.383047248</v>
      </c>
      <c r="AV132" s="30">
        <v>3.0072829610837001E-2</v>
      </c>
      <c r="AW132" s="29">
        <v>137606.46329637701</v>
      </c>
      <c r="AX132" s="30">
        <v>1.54807546769968E-2</v>
      </c>
      <c r="AY132" s="29">
        <v>69505.1409459477</v>
      </c>
      <c r="AZ132" s="30">
        <v>5.6185381141626002E-2</v>
      </c>
      <c r="BA132" s="29">
        <v>44878.325922647797</v>
      </c>
      <c r="BB132" s="30">
        <v>6.69972694439918E-2</v>
      </c>
      <c r="BC132" s="29">
        <v>59977.047354432398</v>
      </c>
      <c r="BD132" s="30">
        <v>2.2069242753739001E-2</v>
      </c>
      <c r="BE132" s="29"/>
      <c r="BF132" s="30"/>
    </row>
    <row r="133" spans="1:58" x14ac:dyDescent="0.2">
      <c r="A133" s="28">
        <v>2010</v>
      </c>
      <c r="B133" s="28">
        <v>2</v>
      </c>
      <c r="C133" s="29">
        <v>154065.34177321001</v>
      </c>
      <c r="D133" s="30">
        <v>3.6883205371977E-2</v>
      </c>
      <c r="E133" s="29">
        <v>149374.05615859799</v>
      </c>
      <c r="F133" s="30">
        <v>4.6152562558033898E-2</v>
      </c>
      <c r="G133" s="29">
        <v>99223.223497477098</v>
      </c>
      <c r="H133" s="30">
        <v>1.7449202000214398E-2</v>
      </c>
      <c r="I133" s="29">
        <v>80114.915427802</v>
      </c>
      <c r="J133" s="30">
        <v>2.17952279440621E-2</v>
      </c>
      <c r="K133" s="29">
        <v>19160.991617320899</v>
      </c>
      <c r="L133" s="30">
        <v>-2.6439967717466501E-3</v>
      </c>
      <c r="M133" s="29">
        <v>50513.613388105397</v>
      </c>
      <c r="N133" s="30">
        <v>0.11475777734361001</v>
      </c>
      <c r="O133" s="29">
        <v>40059.120802196499</v>
      </c>
      <c r="P133" s="30">
        <v>5.3886263094807998E-2</v>
      </c>
      <c r="Q133" s="29">
        <v>14613.6552653609</v>
      </c>
      <c r="R133" s="30">
        <v>4.7994815270461198E-2</v>
      </c>
      <c r="S133" s="29">
        <v>25446.494037760101</v>
      </c>
      <c r="T133" s="30">
        <v>5.7069853758859E-2</v>
      </c>
      <c r="U133" s="29"/>
      <c r="V133" s="30"/>
      <c r="W133" s="29"/>
      <c r="X133" s="30"/>
      <c r="Y133" s="29"/>
      <c r="Z133" s="30"/>
      <c r="AA133" s="29">
        <v>91359.405796438296</v>
      </c>
      <c r="AB133" s="30">
        <v>0.116313587100977</v>
      </c>
      <c r="AC133" s="29">
        <v>66329.149591573601</v>
      </c>
      <c r="AD133" s="30">
        <v>0.155791420416974</v>
      </c>
      <c r="AE133" s="29">
        <v>52277.341930573799</v>
      </c>
      <c r="AF133" s="30">
        <v>0.18511512776398201</v>
      </c>
      <c r="AG133" s="29">
        <v>39967.980634043299</v>
      </c>
      <c r="AH133" s="30">
        <v>0.1108251192116</v>
      </c>
      <c r="AI133" s="29">
        <v>25086.200384157099</v>
      </c>
      <c r="AJ133" s="30">
        <v>2.5805360377895999E-2</v>
      </c>
      <c r="AK133" s="29">
        <v>85726.876823846993</v>
      </c>
      <c r="AL133" s="30">
        <v>0.14584565254259099</v>
      </c>
      <c r="AM133" s="29">
        <v>62958.845248243699</v>
      </c>
      <c r="AN133" s="30">
        <v>0.17556288336800699</v>
      </c>
      <c r="AO133" s="29">
        <v>41470.672194523999</v>
      </c>
      <c r="AP133" s="30">
        <v>0.133081272272465</v>
      </c>
      <c r="AQ133" s="29">
        <v>39721.034141997799</v>
      </c>
      <c r="AR133" s="30">
        <v>0.14258821875560501</v>
      </c>
      <c r="AS133" s="29">
        <v>23087.910347366898</v>
      </c>
      <c r="AT133" s="30">
        <v>7.7728976968812799E-2</v>
      </c>
      <c r="AU133" s="29">
        <v>213715.73692669801</v>
      </c>
      <c r="AV133" s="30">
        <v>6.1919854586535199E-2</v>
      </c>
      <c r="AW133" s="29">
        <v>139269.49333258101</v>
      </c>
      <c r="AX133" s="30">
        <v>2.7731880404582101E-2</v>
      </c>
      <c r="AY133" s="29">
        <v>74728.281544814003</v>
      </c>
      <c r="AZ133" s="30">
        <v>0.123227647287147</v>
      </c>
      <c r="BA133" s="29">
        <v>49634.419509305699</v>
      </c>
      <c r="BB133" s="30">
        <v>0.17483882263637601</v>
      </c>
      <c r="BC133" s="29">
        <v>63052.769639618396</v>
      </c>
      <c r="BD133" s="30">
        <v>0.118541440157008</v>
      </c>
      <c r="BE133" s="29"/>
      <c r="BF133" s="30"/>
    </row>
    <row r="134" spans="1:58" x14ac:dyDescent="0.2">
      <c r="A134" s="28">
        <v>2010</v>
      </c>
      <c r="B134" s="28">
        <v>3</v>
      </c>
      <c r="C134" s="29">
        <v>154561.49358354701</v>
      </c>
      <c r="D134" s="30">
        <v>2.96447890068057E-2</v>
      </c>
      <c r="E134" s="29">
        <v>150043.33379194301</v>
      </c>
      <c r="F134" s="30">
        <v>4.4699453264123799E-2</v>
      </c>
      <c r="G134" s="29">
        <v>100810.72004742701</v>
      </c>
      <c r="H134" s="30">
        <v>1.8795704405516301E-2</v>
      </c>
      <c r="I134" s="29">
        <v>81609.361362715295</v>
      </c>
      <c r="J134" s="30">
        <v>2.4189080156084501E-2</v>
      </c>
      <c r="K134" s="29">
        <v>19232.062979909399</v>
      </c>
      <c r="L134" s="30">
        <v>-5.9699298681905599E-3</v>
      </c>
      <c r="M134" s="29">
        <v>49466.504353688702</v>
      </c>
      <c r="N134" s="30">
        <v>0.108347853883569</v>
      </c>
      <c r="O134" s="29">
        <v>39779.755463710397</v>
      </c>
      <c r="P134" s="30">
        <v>3.1104558606909399E-2</v>
      </c>
      <c r="Q134" s="29">
        <v>14980.9369513368</v>
      </c>
      <c r="R134" s="30">
        <v>2.0050070470924101E-2</v>
      </c>
      <c r="S134" s="29">
        <v>24834.1269309899</v>
      </c>
      <c r="T134" s="30">
        <v>3.76047576189453E-2</v>
      </c>
      <c r="U134" s="29"/>
      <c r="V134" s="30"/>
      <c r="W134" s="29"/>
      <c r="X134" s="30"/>
      <c r="Y134" s="29"/>
      <c r="Z134" s="30"/>
      <c r="AA134" s="29">
        <v>91007.878132077603</v>
      </c>
      <c r="AB134" s="30">
        <v>8.2929261845026803E-2</v>
      </c>
      <c r="AC134" s="29">
        <v>65399.368243886398</v>
      </c>
      <c r="AD134" s="30">
        <v>0.12919157296787101</v>
      </c>
      <c r="AE134" s="29">
        <v>49070.914998444503</v>
      </c>
      <c r="AF134" s="30">
        <v>5.0230142847586201E-2</v>
      </c>
      <c r="AG134" s="29">
        <v>40179.0744168655</v>
      </c>
      <c r="AH134" s="30">
        <v>8.9474208694107604E-2</v>
      </c>
      <c r="AI134" s="29">
        <v>25651.027606133499</v>
      </c>
      <c r="AJ134" s="30">
        <v>-1.8980269891797699E-2</v>
      </c>
      <c r="AK134" s="29">
        <v>85495.983617785794</v>
      </c>
      <c r="AL134" s="30">
        <v>0.118789676092537</v>
      </c>
      <c r="AM134" s="29">
        <v>61349.479563217799</v>
      </c>
      <c r="AN134" s="30">
        <v>0.12797562895046299</v>
      </c>
      <c r="AO134" s="29">
        <v>40906.573705731098</v>
      </c>
      <c r="AP134" s="30">
        <v>0.11260068322596301</v>
      </c>
      <c r="AQ134" s="29">
        <v>38986.452441255802</v>
      </c>
      <c r="AR134" s="30">
        <v>0.11635919559135501</v>
      </c>
      <c r="AS134" s="29">
        <v>24330.748234158302</v>
      </c>
      <c r="AT134" s="30">
        <v>9.7307030547643295E-2</v>
      </c>
      <c r="AU134" s="29">
        <v>212815.265011351</v>
      </c>
      <c r="AV134" s="30">
        <v>2.4036965335608101E-2</v>
      </c>
      <c r="AW134" s="29">
        <v>140571.27426115199</v>
      </c>
      <c r="AX134" s="30">
        <v>2.22658003205525E-2</v>
      </c>
      <c r="AY134" s="29">
        <v>72742.816322622093</v>
      </c>
      <c r="AZ134" s="30">
        <v>2.75771353509906E-2</v>
      </c>
      <c r="BA134" s="29">
        <v>47179.862931621799</v>
      </c>
      <c r="BB134" s="30">
        <v>5.2083248981713799E-2</v>
      </c>
      <c r="BC134" s="29">
        <v>63522.630346667698</v>
      </c>
      <c r="BD134" s="30">
        <v>0.109740030441303</v>
      </c>
      <c r="BE134" s="29"/>
      <c r="BF134" s="30"/>
    </row>
    <row r="135" spans="1:58" x14ac:dyDescent="0.2">
      <c r="A135" s="28">
        <v>2010</v>
      </c>
      <c r="B135" s="28">
        <v>4</v>
      </c>
      <c r="C135" s="29">
        <v>159434.865008058</v>
      </c>
      <c r="D135" s="30">
        <v>3.2531660597515E-2</v>
      </c>
      <c r="E135" s="29">
        <v>150891.67106240601</v>
      </c>
      <c r="F135" s="30">
        <v>1.5048894649622099E-2</v>
      </c>
      <c r="G135" s="29">
        <v>102446.416516859</v>
      </c>
      <c r="H135" s="30">
        <v>1.5311928343118199E-2</v>
      </c>
      <c r="I135" s="29">
        <v>83126.102639862002</v>
      </c>
      <c r="J135" s="30">
        <v>1.9541869240977901E-2</v>
      </c>
      <c r="K135" s="29">
        <v>19330.848308881501</v>
      </c>
      <c r="L135" s="30">
        <v>-3.90683854950458E-3</v>
      </c>
      <c r="M135" s="29">
        <v>48558.768299606098</v>
      </c>
      <c r="N135" s="30">
        <v>1.42936691312652E-2</v>
      </c>
      <c r="O135" s="29">
        <v>41622.840693747603</v>
      </c>
      <c r="P135" s="30">
        <v>4.9050103730402299E-2</v>
      </c>
      <c r="Q135" s="29">
        <v>15700.183942821001</v>
      </c>
      <c r="R135" s="30">
        <v>3.9670148069172802E-2</v>
      </c>
      <c r="S135" s="29">
        <v>25961.438712458599</v>
      </c>
      <c r="T135" s="30">
        <v>5.4598859594605198E-2</v>
      </c>
      <c r="U135" s="29"/>
      <c r="V135" s="30"/>
      <c r="W135" s="29"/>
      <c r="X135" s="30"/>
      <c r="Y135" s="29"/>
      <c r="Z135" s="30"/>
      <c r="AA135" s="29">
        <v>98502.813344355105</v>
      </c>
      <c r="AB135" s="30">
        <v>0.130053042241707</v>
      </c>
      <c r="AC135" s="29">
        <v>73082.320259052707</v>
      </c>
      <c r="AD135" s="30">
        <v>0.17907206049261901</v>
      </c>
      <c r="AE135" s="29">
        <v>54517.974641546702</v>
      </c>
      <c r="AF135" s="30">
        <v>0.14295580455656201</v>
      </c>
      <c r="AG135" s="29">
        <v>42257.599812211898</v>
      </c>
      <c r="AH135" s="30">
        <v>9.1513184654958404E-2</v>
      </c>
      <c r="AI135" s="29">
        <v>25511.498658344201</v>
      </c>
      <c r="AJ135" s="30">
        <v>1.36334604608641E-2</v>
      </c>
      <c r="AK135" s="29">
        <v>89345.240110131097</v>
      </c>
      <c r="AL135" s="30">
        <v>0.113472079484308</v>
      </c>
      <c r="AM135" s="29">
        <v>65148.968315189697</v>
      </c>
      <c r="AN135" s="30">
        <v>0.127101300077232</v>
      </c>
      <c r="AO135" s="29">
        <v>43204.418028267297</v>
      </c>
      <c r="AP135" s="30">
        <v>0.123655238069901</v>
      </c>
      <c r="AQ135" s="29">
        <v>41020.5350167656</v>
      </c>
      <c r="AR135" s="30">
        <v>0.123687465412952</v>
      </c>
      <c r="AS135" s="29">
        <v>24485.915097800302</v>
      </c>
      <c r="AT135" s="30">
        <v>8.1512526620129505E-2</v>
      </c>
      <c r="AU135" s="29">
        <v>221919.425257503</v>
      </c>
      <c r="AV135" s="30">
        <v>5.1892931734283602E-2</v>
      </c>
      <c r="AW135" s="29">
        <v>144057.74101656699</v>
      </c>
      <c r="AX135" s="30">
        <v>2.4886964369396702E-2</v>
      </c>
      <c r="AY135" s="29">
        <v>78090.174336716096</v>
      </c>
      <c r="AZ135" s="30">
        <v>9.9367933358097696E-2</v>
      </c>
      <c r="BA135" s="29">
        <v>52516.105890468498</v>
      </c>
      <c r="BB135" s="30">
        <v>0.14357777308348799</v>
      </c>
      <c r="BC135" s="29">
        <v>65745.210224316907</v>
      </c>
      <c r="BD135" s="30">
        <v>0.10813028616732299</v>
      </c>
      <c r="BE135" s="29"/>
      <c r="BF135" s="30"/>
    </row>
    <row r="136" spans="1:58" x14ac:dyDescent="0.2">
      <c r="A136" s="28">
        <v>2011</v>
      </c>
      <c r="B136" s="28">
        <v>1</v>
      </c>
      <c r="C136" s="29">
        <v>154402.32905010201</v>
      </c>
      <c r="D136" s="30">
        <v>2.2974321606812599E-2</v>
      </c>
      <c r="E136" s="29">
        <v>144271.253201263</v>
      </c>
      <c r="F136" s="30">
        <v>2.37348708778575E-2</v>
      </c>
      <c r="G136" s="29">
        <v>101531.71357884401</v>
      </c>
      <c r="H136" s="30">
        <v>1.3416272430331101E-2</v>
      </c>
      <c r="I136" s="29">
        <v>82272.191776027394</v>
      </c>
      <c r="J136" s="30">
        <v>1.5814405471166901E-2</v>
      </c>
      <c r="K136" s="29">
        <v>19283.792405239699</v>
      </c>
      <c r="L136" s="30">
        <v>2.3330403510721802E-3</v>
      </c>
      <c r="M136" s="29">
        <v>42351.654795984301</v>
      </c>
      <c r="N136" s="30">
        <v>5.01237252768627E-2</v>
      </c>
      <c r="O136" s="29">
        <v>39108.209931238402</v>
      </c>
      <c r="P136" s="30">
        <v>4.42256229043239E-2</v>
      </c>
      <c r="Q136" s="29">
        <v>13165.684110919001</v>
      </c>
      <c r="R136" s="30">
        <v>4.5987254732804399E-2</v>
      </c>
      <c r="S136" s="29">
        <v>25870.9129013565</v>
      </c>
      <c r="T136" s="30">
        <v>4.3712972536530399E-2</v>
      </c>
      <c r="U136" s="29"/>
      <c r="V136" s="30"/>
      <c r="W136" s="29"/>
      <c r="X136" s="30"/>
      <c r="Y136" s="29"/>
      <c r="Z136" s="30"/>
      <c r="AA136" s="29">
        <v>102850.276418227</v>
      </c>
      <c r="AB136" s="30">
        <v>0.120118650183314</v>
      </c>
      <c r="AC136" s="29">
        <v>77861.7248246534</v>
      </c>
      <c r="AD136" s="30">
        <v>0.15936632873269799</v>
      </c>
      <c r="AE136" s="29">
        <v>56618.344678515103</v>
      </c>
      <c r="AF136" s="30">
        <v>0.18676212644784501</v>
      </c>
      <c r="AG136" s="29">
        <v>42846.303637783501</v>
      </c>
      <c r="AH136" s="30">
        <v>0.101466399517914</v>
      </c>
      <c r="AI136" s="29">
        <v>24912.220578646899</v>
      </c>
      <c r="AJ136" s="30">
        <v>7.45280327925646E-3</v>
      </c>
      <c r="AK136" s="29">
        <v>92827.077897048206</v>
      </c>
      <c r="AL136" s="30">
        <v>0.143565198954792</v>
      </c>
      <c r="AM136" s="29">
        <v>68856.504523210097</v>
      </c>
      <c r="AN136" s="30">
        <v>0.15603026362275299</v>
      </c>
      <c r="AO136" s="29">
        <v>43019.090148951</v>
      </c>
      <c r="AP136" s="30">
        <v>7.9203635291441393E-2</v>
      </c>
      <c r="AQ136" s="29">
        <v>41144.144933883799</v>
      </c>
      <c r="AR136" s="30">
        <v>8.7474812731609397E-2</v>
      </c>
      <c r="AS136" s="29">
        <v>24285.2166682979</v>
      </c>
      <c r="AT136" s="30">
        <v>0.108481342338836</v>
      </c>
      <c r="AU136" s="29">
        <v>220062.184066469</v>
      </c>
      <c r="AV136" s="30">
        <v>6.5741551948071297E-2</v>
      </c>
      <c r="AW136" s="29">
        <v>140618.95557758899</v>
      </c>
      <c r="AX136" s="30">
        <v>2.18920842019108E-2</v>
      </c>
      <c r="AY136" s="29">
        <v>79428.108129670494</v>
      </c>
      <c r="AZ136" s="30">
        <v>0.14276594578003399</v>
      </c>
      <c r="BA136" s="29">
        <v>54306.826409070498</v>
      </c>
      <c r="BB136" s="30">
        <v>0.210090289523583</v>
      </c>
      <c r="BC136" s="29">
        <v>65678.349973016797</v>
      </c>
      <c r="BD136" s="30">
        <v>9.5058074214502394E-2</v>
      </c>
      <c r="BE136" s="29"/>
      <c r="BF136" s="30"/>
    </row>
    <row r="137" spans="1:58" x14ac:dyDescent="0.2">
      <c r="A137" s="28">
        <v>2011</v>
      </c>
      <c r="B137" s="28">
        <v>2</v>
      </c>
      <c r="C137" s="29">
        <v>157244.27159939101</v>
      </c>
      <c r="D137" s="30">
        <v>2.0633646669609099E-2</v>
      </c>
      <c r="E137" s="29">
        <v>149066.49660658999</v>
      </c>
      <c r="F137" s="30">
        <v>-2.0589890903290899E-3</v>
      </c>
      <c r="G137" s="29">
        <v>100845.602801181</v>
      </c>
      <c r="H137" s="30">
        <v>1.6350802226712299E-2</v>
      </c>
      <c r="I137" s="29">
        <v>81524.622239902397</v>
      </c>
      <c r="J137" s="30">
        <v>1.7596059417559502E-2</v>
      </c>
      <c r="K137" s="29">
        <v>19362.4980474111</v>
      </c>
      <c r="L137" s="30">
        <v>1.0516492784642799E-2</v>
      </c>
      <c r="M137" s="29">
        <v>48392.464958715696</v>
      </c>
      <c r="N137" s="30">
        <v>-4.1991619429252301E-2</v>
      </c>
      <c r="O137" s="29">
        <v>40721.052785735701</v>
      </c>
      <c r="P137" s="30">
        <v>1.6523876966936898E-2</v>
      </c>
      <c r="Q137" s="29">
        <v>15044.8169457039</v>
      </c>
      <c r="R137" s="30">
        <v>2.9504027056463902E-2</v>
      </c>
      <c r="S137" s="29">
        <v>25689.5950496275</v>
      </c>
      <c r="T137" s="30">
        <v>9.5534186951906595E-3</v>
      </c>
      <c r="U137" s="29"/>
      <c r="V137" s="30"/>
      <c r="W137" s="29"/>
      <c r="X137" s="30"/>
      <c r="Y137" s="29"/>
      <c r="Z137" s="30"/>
      <c r="AA137" s="29">
        <v>98250.639168691298</v>
      </c>
      <c r="AB137" s="30">
        <v>7.5429927681530895E-2</v>
      </c>
      <c r="AC137" s="29">
        <v>73660.684077024998</v>
      </c>
      <c r="AD137" s="30">
        <v>0.11053261696548</v>
      </c>
      <c r="AE137" s="29">
        <v>55493.545173058403</v>
      </c>
      <c r="AF137" s="30">
        <v>6.1521935196242203E-2</v>
      </c>
      <c r="AG137" s="29">
        <v>43639.1270938936</v>
      </c>
      <c r="AH137" s="30">
        <v>9.1852187716567002E-2</v>
      </c>
      <c r="AI137" s="29">
        <v>24554.636304710901</v>
      </c>
      <c r="AJ137" s="30">
        <v>-2.1189501451240399E-2</v>
      </c>
      <c r="AK137" s="29">
        <v>89587.972589686804</v>
      </c>
      <c r="AL137" s="30">
        <v>4.5039501133042399E-2</v>
      </c>
      <c r="AM137" s="29">
        <v>65276.972671857999</v>
      </c>
      <c r="AN137" s="30">
        <v>3.6819725877658797E-2</v>
      </c>
      <c r="AO137" s="29">
        <v>43209.688028397402</v>
      </c>
      <c r="AP137" s="30">
        <v>4.1933630246366198E-2</v>
      </c>
      <c r="AQ137" s="29">
        <v>40834.197394288298</v>
      </c>
      <c r="AR137" s="30">
        <v>2.8024528473027201E-2</v>
      </c>
      <c r="AS137" s="29">
        <v>24597.158137957998</v>
      </c>
      <c r="AT137" s="30">
        <v>6.5369614135014895E-2</v>
      </c>
      <c r="AU137" s="29">
        <v>219218.60200858099</v>
      </c>
      <c r="AV137" s="30">
        <v>2.5748525405828102E-2</v>
      </c>
      <c r="AW137" s="29">
        <v>141549.08095234999</v>
      </c>
      <c r="AX137" s="30">
        <v>1.63681762977748E-2</v>
      </c>
      <c r="AY137" s="29">
        <v>77818.001780794104</v>
      </c>
      <c r="AZ137" s="30">
        <v>4.1346062991254297E-2</v>
      </c>
      <c r="BA137" s="29">
        <v>53074.202650126099</v>
      </c>
      <c r="BB137" s="30">
        <v>6.9302374739681497E-2</v>
      </c>
      <c r="BC137" s="29">
        <v>65659.235462905301</v>
      </c>
      <c r="BD137" s="30">
        <v>4.1337848252889199E-2</v>
      </c>
      <c r="BE137" s="29"/>
      <c r="BF137" s="30"/>
    </row>
    <row r="138" spans="1:58" x14ac:dyDescent="0.2">
      <c r="A138" s="28">
        <v>2011</v>
      </c>
      <c r="B138" s="28">
        <v>3</v>
      </c>
      <c r="C138" s="29">
        <v>155909.331659574</v>
      </c>
      <c r="D138" s="30">
        <v>8.72040017715703E-3</v>
      </c>
      <c r="E138" s="29">
        <v>158120.149293119</v>
      </c>
      <c r="F138" s="30">
        <v>5.3829885654073102E-2</v>
      </c>
      <c r="G138" s="29">
        <v>101678.574409633</v>
      </c>
      <c r="H138" s="30">
        <v>8.6087507538694704E-3</v>
      </c>
      <c r="I138" s="29">
        <v>82291.998598372797</v>
      </c>
      <c r="J138" s="30">
        <v>8.3646927786076297E-3</v>
      </c>
      <c r="K138" s="29">
        <v>19419.895241835598</v>
      </c>
      <c r="L138" s="30">
        <v>9.7666205711981497E-3</v>
      </c>
      <c r="M138" s="29">
        <v>57369.441177341803</v>
      </c>
      <c r="N138" s="30">
        <v>0.15976339801872</v>
      </c>
      <c r="O138" s="29">
        <v>40241.867482894697</v>
      </c>
      <c r="P138" s="30">
        <v>1.16167636979536E-2</v>
      </c>
      <c r="Q138" s="29">
        <v>15265.9306876067</v>
      </c>
      <c r="R138" s="30">
        <v>1.90237591410807E-2</v>
      </c>
      <c r="S138" s="29">
        <v>25015.338891644002</v>
      </c>
      <c r="T138" s="30">
        <v>7.2968927459231602E-3</v>
      </c>
      <c r="U138" s="29"/>
      <c r="V138" s="30"/>
      <c r="W138" s="29"/>
      <c r="X138" s="30"/>
      <c r="Y138" s="29"/>
      <c r="Z138" s="30"/>
      <c r="AA138" s="29">
        <v>92502.698681796101</v>
      </c>
      <c r="AB138" s="30">
        <v>1.6425177472538102E-2</v>
      </c>
      <c r="AC138" s="29">
        <v>67869.328729068395</v>
      </c>
      <c r="AD138" s="30">
        <v>3.7767344723746099E-2</v>
      </c>
      <c r="AE138" s="29">
        <v>49838.297858025799</v>
      </c>
      <c r="AF138" s="30">
        <v>1.5638242319420299E-2</v>
      </c>
      <c r="AG138" s="29">
        <v>42019.343555757499</v>
      </c>
      <c r="AH138" s="30">
        <v>4.5801680740547697E-2</v>
      </c>
      <c r="AI138" s="29">
        <v>24677.6224542317</v>
      </c>
      <c r="AJ138" s="30">
        <v>-3.7947998296531803E-2</v>
      </c>
      <c r="AK138" s="29">
        <v>93379.100500859204</v>
      </c>
      <c r="AL138" s="30">
        <v>9.2204528791845999E-2</v>
      </c>
      <c r="AM138" s="29">
        <v>67821.435401456896</v>
      </c>
      <c r="AN138" s="30">
        <v>0.10549324760888899</v>
      </c>
      <c r="AO138" s="29">
        <v>42600.904804492297</v>
      </c>
      <c r="AP138" s="30">
        <v>4.14195310257384E-2</v>
      </c>
      <c r="AQ138" s="29">
        <v>40371.050016686597</v>
      </c>
      <c r="AR138" s="30">
        <v>3.5514838840929701E-2</v>
      </c>
      <c r="AS138" s="29">
        <v>25852.691671116401</v>
      </c>
      <c r="AT138" s="30">
        <v>6.2552266059021602E-2</v>
      </c>
      <c r="AU138" s="29">
        <v>213167.86958945001</v>
      </c>
      <c r="AV138" s="30">
        <v>1.6568575476947299E-3</v>
      </c>
      <c r="AW138" s="29">
        <v>141901.30939773799</v>
      </c>
      <c r="AX138" s="30">
        <v>9.4616424555924398E-3</v>
      </c>
      <c r="AY138" s="29">
        <v>71885.059553313797</v>
      </c>
      <c r="AZ138" s="30">
        <v>-1.17916354173587E-2</v>
      </c>
      <c r="BA138" s="29">
        <v>47244.635029960802</v>
      </c>
      <c r="BB138" s="30">
        <v>1.37287593295787E-3</v>
      </c>
      <c r="BC138" s="29">
        <v>66389.401122237803</v>
      </c>
      <c r="BD138" s="30">
        <v>4.5129912913319102E-2</v>
      </c>
      <c r="BE138" s="29"/>
      <c r="BF138" s="30"/>
    </row>
    <row r="139" spans="1:58" x14ac:dyDescent="0.2">
      <c r="A139" s="28">
        <v>2011</v>
      </c>
      <c r="B139" s="28">
        <v>4</v>
      </c>
      <c r="C139" s="29">
        <v>160153.84323455801</v>
      </c>
      <c r="D139" s="30">
        <v>4.5095420406588999E-3</v>
      </c>
      <c r="E139" s="29">
        <v>165364.59951427599</v>
      </c>
      <c r="F139" s="30">
        <v>9.5916019419553605E-2</v>
      </c>
      <c r="G139" s="29">
        <v>104105.54621299</v>
      </c>
      <c r="H139" s="30">
        <v>1.6195097423034301E-2</v>
      </c>
      <c r="I139" s="29">
        <v>84678.0374890987</v>
      </c>
      <c r="J139" s="30">
        <v>1.86696452732826E-2</v>
      </c>
      <c r="K139" s="29">
        <v>19423.294848229802</v>
      </c>
      <c r="L139" s="30">
        <v>4.7823322531481702E-3</v>
      </c>
      <c r="M139" s="29">
        <v>62543.956066733903</v>
      </c>
      <c r="N139" s="30">
        <v>0.28800540575575601</v>
      </c>
      <c r="O139" s="29">
        <v>42323.933313922404</v>
      </c>
      <c r="P139" s="30">
        <v>1.6843939733315501E-2</v>
      </c>
      <c r="Q139" s="29">
        <v>15883.8579935491</v>
      </c>
      <c r="R139" s="30">
        <v>1.1698847057905099E-2</v>
      </c>
      <c r="S139" s="29">
        <v>26470.203439470199</v>
      </c>
      <c r="T139" s="30">
        <v>1.9596938854066701E-2</v>
      </c>
      <c r="U139" s="29"/>
      <c r="V139" s="30"/>
      <c r="W139" s="29"/>
      <c r="X139" s="30"/>
      <c r="Y139" s="29"/>
      <c r="Z139" s="30"/>
      <c r="AA139" s="29">
        <v>94440.658228560904</v>
      </c>
      <c r="AB139" s="30">
        <v>-4.1238975597512703E-2</v>
      </c>
      <c r="AC139" s="29">
        <v>69102.306034202295</v>
      </c>
      <c r="AD139" s="30">
        <v>-5.4459330392665997E-2</v>
      </c>
      <c r="AE139" s="29">
        <v>50698.229057480799</v>
      </c>
      <c r="AF139" s="30">
        <v>-7.0063967144424297E-2</v>
      </c>
      <c r="AG139" s="29">
        <v>43600.809592155798</v>
      </c>
      <c r="AH139" s="30">
        <v>3.1786229835885103E-2</v>
      </c>
      <c r="AI139" s="29">
        <v>25393.411133597401</v>
      </c>
      <c r="AJ139" s="30">
        <v>-4.62879607067768E-3</v>
      </c>
      <c r="AK139" s="29">
        <v>98100.025681021201</v>
      </c>
      <c r="AL139" s="30">
        <v>9.7988270668907501E-2</v>
      </c>
      <c r="AM139" s="29">
        <v>71504.284969426502</v>
      </c>
      <c r="AN139" s="30">
        <v>9.7550534085050697E-2</v>
      </c>
      <c r="AO139" s="29">
        <v>43585.969267757799</v>
      </c>
      <c r="AP139" s="30">
        <v>8.8313014479428596E-3</v>
      </c>
      <c r="AQ139" s="29">
        <v>41154.278655961403</v>
      </c>
      <c r="AR139" s="30">
        <v>3.2604069922810299E-3</v>
      </c>
      <c r="AS139" s="29">
        <v>26909.461575124798</v>
      </c>
      <c r="AT139" s="30">
        <v>9.8977165756089794E-2</v>
      </c>
      <c r="AU139" s="29">
        <v>219441.85447659201</v>
      </c>
      <c r="AV139" s="30">
        <v>-1.11642808106397E-2</v>
      </c>
      <c r="AW139" s="29">
        <v>146411.83310634</v>
      </c>
      <c r="AX139" s="30">
        <v>1.6341309208108799E-2</v>
      </c>
      <c r="AY139" s="29">
        <v>73703.911529238394</v>
      </c>
      <c r="AZ139" s="30">
        <v>-5.6169202396252997E-2</v>
      </c>
      <c r="BA139" s="29">
        <v>48358.348016902499</v>
      </c>
      <c r="BB139" s="30">
        <v>-7.91711000476263E-2</v>
      </c>
      <c r="BC139" s="29">
        <v>68211.036568226904</v>
      </c>
      <c r="BD139" s="30">
        <v>3.7505794498135403E-2</v>
      </c>
      <c r="BE139" s="29"/>
      <c r="BF139" s="30"/>
    </row>
    <row r="140" spans="1:58" x14ac:dyDescent="0.2">
      <c r="A140" s="28">
        <v>2012</v>
      </c>
      <c r="B140" s="28">
        <v>1</v>
      </c>
      <c r="C140" s="29">
        <v>155730.81833784701</v>
      </c>
      <c r="D140" s="30">
        <v>8.6040754431513395E-3</v>
      </c>
      <c r="E140" s="29">
        <v>152770.01635569599</v>
      </c>
      <c r="F140" s="30">
        <v>5.89082229886633E-2</v>
      </c>
      <c r="G140" s="29">
        <v>103854.981929981</v>
      </c>
      <c r="H140" s="30">
        <v>2.2882193841161001E-2</v>
      </c>
      <c r="I140" s="29">
        <v>84508.570935033698</v>
      </c>
      <c r="J140" s="30">
        <v>2.7182686041651302E-2</v>
      </c>
      <c r="K140" s="29">
        <v>19347.2455647016</v>
      </c>
      <c r="L140" s="30">
        <v>3.2904917315241802E-3</v>
      </c>
      <c r="M140" s="29">
        <v>49002.154032168197</v>
      </c>
      <c r="N140" s="30">
        <v>0.15703044587562201</v>
      </c>
      <c r="O140" s="29">
        <v>40204.328804959703</v>
      </c>
      <c r="P140" s="30">
        <v>2.8027845704228699E-2</v>
      </c>
      <c r="Q140" s="29">
        <v>13306.4823673682</v>
      </c>
      <c r="R140" s="30">
        <v>1.0694336523875201E-2</v>
      </c>
      <c r="S140" s="29">
        <v>26847.898560331399</v>
      </c>
      <c r="T140" s="30">
        <v>3.7763864874043901E-2</v>
      </c>
      <c r="U140" s="29"/>
      <c r="V140" s="30"/>
      <c r="W140" s="29"/>
      <c r="X140" s="30"/>
      <c r="Y140" s="29"/>
      <c r="Z140" s="30"/>
      <c r="AA140" s="29">
        <v>95058.884939825599</v>
      </c>
      <c r="AB140" s="30">
        <v>-7.5754696533032795E-2</v>
      </c>
      <c r="AC140" s="29">
        <v>69233.396088042398</v>
      </c>
      <c r="AD140" s="30">
        <v>-0.11081604929819</v>
      </c>
      <c r="AE140" s="29">
        <v>52399.351737960103</v>
      </c>
      <c r="AF140" s="30">
        <v>-7.4516359750727804E-2</v>
      </c>
      <c r="AG140" s="29">
        <v>43169.187200205801</v>
      </c>
      <c r="AH140" s="30">
        <v>7.5358557216969003E-3</v>
      </c>
      <c r="AI140" s="29">
        <v>25888.510044430801</v>
      </c>
      <c r="AJ140" s="30">
        <v>3.9189178768779302E-2</v>
      </c>
      <c r="AK140" s="29">
        <v>91198.6361120699</v>
      </c>
      <c r="AL140" s="30">
        <v>-1.7542745305247701E-2</v>
      </c>
      <c r="AM140" s="29">
        <v>65575.129945871595</v>
      </c>
      <c r="AN140" s="30">
        <v>-4.7655259296997099E-2</v>
      </c>
      <c r="AO140" s="29">
        <v>44060.263448122401</v>
      </c>
      <c r="AP140" s="30">
        <v>2.4202587631825902E-2</v>
      </c>
      <c r="AQ140" s="29">
        <v>42204.527577393303</v>
      </c>
      <c r="AR140" s="30">
        <v>2.57723825641154E-2</v>
      </c>
      <c r="AS140" s="29">
        <v>25966.041255342399</v>
      </c>
      <c r="AT140" s="30">
        <v>6.9211842331992096E-2</v>
      </c>
      <c r="AU140" s="29">
        <v>219773.94444705499</v>
      </c>
      <c r="AV140" s="30">
        <v>-1.30980986414098E-3</v>
      </c>
      <c r="AW140" s="29">
        <v>144034.37812929199</v>
      </c>
      <c r="AX140" s="30">
        <v>2.4288493238159702E-2</v>
      </c>
      <c r="AY140" s="29">
        <v>76121.955098884297</v>
      </c>
      <c r="AZ140" s="30">
        <v>-4.1624471596235703E-2</v>
      </c>
      <c r="BA140" s="29">
        <v>50220.654550727697</v>
      </c>
      <c r="BB140" s="30">
        <v>-7.5242324557200604E-2</v>
      </c>
      <c r="BC140" s="29">
        <v>68388.273166727202</v>
      </c>
      <c r="BD140" s="30">
        <v>4.1260524888699898E-2</v>
      </c>
      <c r="BE140" s="29"/>
      <c r="BF140" s="30"/>
    </row>
    <row r="141" spans="1:58" x14ac:dyDescent="0.2">
      <c r="A141" s="28">
        <v>2012</v>
      </c>
      <c r="B141" s="28">
        <v>2</v>
      </c>
      <c r="C141" s="29">
        <v>157908.63512452799</v>
      </c>
      <c r="D141" s="30">
        <v>4.2250411946951304E-3</v>
      </c>
      <c r="E141" s="29">
        <v>151666.40834482099</v>
      </c>
      <c r="F141" s="30">
        <v>1.7441288266757199E-2</v>
      </c>
      <c r="G141" s="29">
        <v>102760.84157992</v>
      </c>
      <c r="H141" s="30">
        <v>1.8991792656691198E-2</v>
      </c>
      <c r="I141" s="29">
        <v>83419.127253747807</v>
      </c>
      <c r="J141" s="30">
        <v>2.3238439649194701E-2</v>
      </c>
      <c r="K141" s="29">
        <v>19355.943025706201</v>
      </c>
      <c r="L141" s="30">
        <v>-3.38542149307064E-4</v>
      </c>
      <c r="M141" s="29">
        <v>49042.727969883403</v>
      </c>
      <c r="N141" s="30">
        <v>1.3437278132503E-2</v>
      </c>
      <c r="O141" s="29">
        <v>42256.547015821903</v>
      </c>
      <c r="P141" s="30">
        <v>3.7707626032304403E-2</v>
      </c>
      <c r="Q141" s="29">
        <v>15471.56017395</v>
      </c>
      <c r="R141" s="30">
        <v>2.8364800302066701E-2</v>
      </c>
      <c r="S141" s="29">
        <v>26788.889730388099</v>
      </c>
      <c r="T141" s="30">
        <v>4.2791436713462097E-2</v>
      </c>
      <c r="U141" s="29"/>
      <c r="V141" s="30"/>
      <c r="W141" s="29"/>
      <c r="X141" s="30"/>
      <c r="Y141" s="29"/>
      <c r="Z141" s="30"/>
      <c r="AA141" s="29">
        <v>95790.200405392694</v>
      </c>
      <c r="AB141" s="30">
        <v>-2.50424708085016E-2</v>
      </c>
      <c r="AC141" s="29">
        <v>69252.734695286606</v>
      </c>
      <c r="AD141" s="30">
        <v>-5.98412767539485E-2</v>
      </c>
      <c r="AE141" s="29">
        <v>53328.957378119099</v>
      </c>
      <c r="AF141" s="30">
        <v>-3.9006118426726903E-2</v>
      </c>
      <c r="AG141" s="29">
        <v>43163.861261047801</v>
      </c>
      <c r="AH141" s="30">
        <v>-1.0890818962148901E-2</v>
      </c>
      <c r="AI141" s="29">
        <v>26624.533723131899</v>
      </c>
      <c r="AJ141" s="30">
        <v>8.4297620731766706E-2</v>
      </c>
      <c r="AK141" s="29">
        <v>88733.748006198497</v>
      </c>
      <c r="AL141" s="30">
        <v>-9.5350364429010997E-3</v>
      </c>
      <c r="AM141" s="29">
        <v>62582.997999879299</v>
      </c>
      <c r="AN141" s="30">
        <v>-4.1269908234272401E-2</v>
      </c>
      <c r="AO141" s="29">
        <v>43309.752922229003</v>
      </c>
      <c r="AP141" s="30">
        <v>2.315797646254E-3</v>
      </c>
      <c r="AQ141" s="29">
        <v>41653.349128987204</v>
      </c>
      <c r="AR141" s="30">
        <v>2.00604343165918E-2</v>
      </c>
      <c r="AS141" s="29">
        <v>26535.498485033499</v>
      </c>
      <c r="AT141" s="30">
        <v>7.8803426648066804E-2</v>
      </c>
      <c r="AU141" s="29">
        <v>222056.53525509901</v>
      </c>
      <c r="AV141" s="30">
        <v>1.2945677148359799E-2</v>
      </c>
      <c r="AW141" s="29">
        <v>145005.50841575</v>
      </c>
      <c r="AX141" s="30">
        <v>2.4418579337606199E-2</v>
      </c>
      <c r="AY141" s="29">
        <v>77386.112360196406</v>
      </c>
      <c r="AZ141" s="30">
        <v>-5.5499937124352501E-3</v>
      </c>
      <c r="BA141" s="29">
        <v>50771.819764658198</v>
      </c>
      <c r="BB141" s="30">
        <v>-4.3380451716733E-2</v>
      </c>
      <c r="BC141" s="29">
        <v>68357.347767583997</v>
      </c>
      <c r="BD141" s="30">
        <v>4.1092654912240102E-2</v>
      </c>
      <c r="BE141" s="29"/>
      <c r="BF141" s="30"/>
    </row>
    <row r="142" spans="1:58" x14ac:dyDescent="0.2">
      <c r="A142" s="28">
        <v>2012</v>
      </c>
      <c r="B142" s="28">
        <v>3</v>
      </c>
      <c r="C142" s="29">
        <v>158411.12713867499</v>
      </c>
      <c r="D142" s="30">
        <v>1.6046476836699498E-2</v>
      </c>
      <c r="E142" s="29">
        <v>154212.34354249999</v>
      </c>
      <c r="F142" s="30">
        <v>-2.4714154192806599E-2</v>
      </c>
      <c r="G142" s="29">
        <v>103588.14202343801</v>
      </c>
      <c r="H142" s="30">
        <v>1.8780432602361698E-2</v>
      </c>
      <c r="I142" s="29">
        <v>84178.516242610698</v>
      </c>
      <c r="J142" s="30">
        <v>2.2924678904022298E-2</v>
      </c>
      <c r="K142" s="29">
        <v>19418.0589933009</v>
      </c>
      <c r="L142" s="30">
        <v>-9.4555017512543097E-5</v>
      </c>
      <c r="M142" s="29">
        <v>50895.934473966801</v>
      </c>
      <c r="N142" s="30">
        <v>-0.112838936035022</v>
      </c>
      <c r="O142" s="29">
        <v>42021.261940133802</v>
      </c>
      <c r="P142" s="30">
        <v>4.4217492093165903E-2</v>
      </c>
      <c r="Q142" s="29">
        <v>15779.8469205526</v>
      </c>
      <c r="R142" s="30">
        <v>3.3664258240287299E-2</v>
      </c>
      <c r="S142" s="29">
        <v>26260.268145447899</v>
      </c>
      <c r="T142" s="30">
        <v>4.97666355509465E-2</v>
      </c>
      <c r="U142" s="29"/>
      <c r="V142" s="30"/>
      <c r="W142" s="29"/>
      <c r="X142" s="30"/>
      <c r="Y142" s="29"/>
      <c r="Z142" s="30"/>
      <c r="AA142" s="29">
        <v>98967.381254718304</v>
      </c>
      <c r="AB142" s="30">
        <v>6.9886421315774397E-2</v>
      </c>
      <c r="AC142" s="29">
        <v>71291.423092551398</v>
      </c>
      <c r="AD142" s="30">
        <v>5.0421809491351603E-2</v>
      </c>
      <c r="AE142" s="29">
        <v>50990.783847991202</v>
      </c>
      <c r="AF142" s="30">
        <v>2.3124505440543602E-2</v>
      </c>
      <c r="AG142" s="29">
        <v>42187.070419927702</v>
      </c>
      <c r="AH142" s="30">
        <v>3.9916583643837501E-3</v>
      </c>
      <c r="AI142" s="29">
        <v>27777.770680557998</v>
      </c>
      <c r="AJ142" s="30">
        <v>0.12562588766709601</v>
      </c>
      <c r="AK142" s="29">
        <v>94098.754682009894</v>
      </c>
      <c r="AL142" s="30">
        <v>7.7068013858641003E-3</v>
      </c>
      <c r="AM142" s="29">
        <v>66561.553823143404</v>
      </c>
      <c r="AN142" s="30">
        <v>-1.8576451100685499E-2</v>
      </c>
      <c r="AO142" s="29">
        <v>42879.363675939501</v>
      </c>
      <c r="AP142" s="30">
        <v>6.5364543951609297E-3</v>
      </c>
      <c r="AQ142" s="29">
        <v>40987.079542148502</v>
      </c>
      <c r="AR142" s="30">
        <v>1.52591900683108E-2</v>
      </c>
      <c r="AS142" s="29">
        <v>27936.997383739599</v>
      </c>
      <c r="AT142" s="30">
        <v>8.0622386989273695E-2</v>
      </c>
      <c r="AU142" s="29">
        <v>221627.07291339099</v>
      </c>
      <c r="AV142" s="30">
        <v>3.96832943925058E-2</v>
      </c>
      <c r="AW142" s="29">
        <v>145594.45523372499</v>
      </c>
      <c r="AX142" s="30">
        <v>2.60261575573957E-2</v>
      </c>
      <c r="AY142" s="29">
        <v>76451.993914479201</v>
      </c>
      <c r="AZ142" s="30">
        <v>6.3531064584822203E-2</v>
      </c>
      <c r="BA142" s="29">
        <v>48796.320018858503</v>
      </c>
      <c r="BB142" s="30">
        <v>3.2843623152420301E-2</v>
      </c>
      <c r="BC142" s="29">
        <v>68996.709824285601</v>
      </c>
      <c r="BD142" s="30">
        <v>3.9272966135772198E-2</v>
      </c>
      <c r="BE142" s="29"/>
      <c r="BF142" s="30"/>
    </row>
    <row r="143" spans="1:58" x14ac:dyDescent="0.2">
      <c r="A143" s="28">
        <v>2012</v>
      </c>
      <c r="B143" s="28">
        <v>4</v>
      </c>
      <c r="C143" s="29">
        <v>162715.50581858199</v>
      </c>
      <c r="D143" s="30">
        <v>1.599501162312E-2</v>
      </c>
      <c r="E143" s="29">
        <v>155440.40199287501</v>
      </c>
      <c r="F143" s="30">
        <v>-6.0014038981449601E-2</v>
      </c>
      <c r="G143" s="29">
        <v>105902.138603083</v>
      </c>
      <c r="H143" s="30">
        <v>1.72574128415512E-2</v>
      </c>
      <c r="I143" s="29">
        <v>86411.404480653306</v>
      </c>
      <c r="J143" s="30">
        <v>2.0470089328389601E-2</v>
      </c>
      <c r="K143" s="29">
        <v>19475.6308967308</v>
      </c>
      <c r="L143" s="30">
        <v>2.6944989977217798E-3</v>
      </c>
      <c r="M143" s="29">
        <v>49592.752059924402</v>
      </c>
      <c r="N143" s="30">
        <v>-0.207073629832285</v>
      </c>
      <c r="O143" s="29">
        <v>44404.438671757402</v>
      </c>
      <c r="P143" s="30">
        <v>4.9156710989113103E-2</v>
      </c>
      <c r="Q143" s="29">
        <v>16536.678943823401</v>
      </c>
      <c r="R143" s="30">
        <v>4.10996466059734E-2</v>
      </c>
      <c r="S143" s="29">
        <v>27882.440057244301</v>
      </c>
      <c r="T143" s="30">
        <v>5.3351936678670601E-2</v>
      </c>
      <c r="U143" s="29"/>
      <c r="V143" s="30"/>
      <c r="W143" s="29"/>
      <c r="X143" s="30"/>
      <c r="Y143" s="29"/>
      <c r="Z143" s="30"/>
      <c r="AA143" s="29">
        <v>99697.167714115494</v>
      </c>
      <c r="AB143" s="30">
        <v>5.5659390607305702E-2</v>
      </c>
      <c r="AC143" s="29">
        <v>70618.202564339095</v>
      </c>
      <c r="AD143" s="30">
        <v>2.1936989040372199E-2</v>
      </c>
      <c r="AE143" s="29">
        <v>53528.573441202003</v>
      </c>
      <c r="AF143" s="30">
        <v>5.5827283049910498E-2</v>
      </c>
      <c r="AG143" s="29">
        <v>43815.846839435202</v>
      </c>
      <c r="AH143" s="30">
        <v>4.9319553763091904E-3</v>
      </c>
      <c r="AI143" s="29">
        <v>29236.563235328998</v>
      </c>
      <c r="AJ143" s="30">
        <v>0.15134446024255599</v>
      </c>
      <c r="AK143" s="29">
        <v>91704.793695465603</v>
      </c>
      <c r="AL143" s="30">
        <v>-6.5190930799040994E-2</v>
      </c>
      <c r="AM143" s="29">
        <v>62374.368359385502</v>
      </c>
      <c r="AN143" s="30">
        <v>-0.12768348937332499</v>
      </c>
      <c r="AO143" s="29">
        <v>43570.173627085504</v>
      </c>
      <c r="AP143" s="30">
        <v>-3.6240195956771499E-4</v>
      </c>
      <c r="AQ143" s="29">
        <v>41739.2426542955</v>
      </c>
      <c r="AR143" s="30">
        <v>1.4213929084367E-2</v>
      </c>
      <c r="AS143" s="29">
        <v>29825.2812607866</v>
      </c>
      <c r="AT143" s="30">
        <v>0.108356671407994</v>
      </c>
      <c r="AU143" s="29">
        <v>229270.59266356699</v>
      </c>
      <c r="AV143" s="30">
        <v>4.4789715300290502E-2</v>
      </c>
      <c r="AW143" s="29">
        <v>150298.756758709</v>
      </c>
      <c r="AX143" s="30">
        <v>2.6547879156365101E-2</v>
      </c>
      <c r="AY143" s="29">
        <v>79374.706025992899</v>
      </c>
      <c r="AZ143" s="30">
        <v>7.6940210893757605E-2</v>
      </c>
      <c r="BA143" s="29">
        <v>50295.044364330599</v>
      </c>
      <c r="BB143" s="30">
        <v>4.0048852511487702E-2</v>
      </c>
      <c r="BC143" s="29">
        <v>71568.297235726393</v>
      </c>
      <c r="BD143" s="30">
        <v>4.9218731108734003E-2</v>
      </c>
      <c r="BE143" s="29"/>
      <c r="BF143" s="30"/>
    </row>
    <row r="144" spans="1:58" x14ac:dyDescent="0.2">
      <c r="A144" s="28">
        <v>2013</v>
      </c>
      <c r="B144" s="28">
        <v>1</v>
      </c>
      <c r="C144" s="29">
        <v>157493.36175221601</v>
      </c>
      <c r="D144" s="30">
        <v>1.13178844956996E-2</v>
      </c>
      <c r="E144" s="29">
        <v>154416.334044786</v>
      </c>
      <c r="F144" s="30">
        <v>1.07764450666592E-2</v>
      </c>
      <c r="G144" s="29">
        <v>105725.328997099</v>
      </c>
      <c r="H144" s="30">
        <v>1.8009218550335299E-2</v>
      </c>
      <c r="I144" s="29">
        <v>86190.036926374902</v>
      </c>
      <c r="J144" s="30">
        <v>1.9896987639678398E-2</v>
      </c>
      <c r="K144" s="29">
        <v>19529.510669197902</v>
      </c>
      <c r="L144" s="30">
        <v>9.4207262675594095E-3</v>
      </c>
      <c r="M144" s="29">
        <v>48692.826830569</v>
      </c>
      <c r="N144" s="30">
        <v>-6.3125225351533497E-3</v>
      </c>
      <c r="O144" s="29">
        <v>40708.173319180401</v>
      </c>
      <c r="P144" s="30">
        <v>1.2532096149768799E-2</v>
      </c>
      <c r="Q144" s="29">
        <v>13824.108917842101</v>
      </c>
      <c r="R144" s="30">
        <v>3.8900329642584497E-2</v>
      </c>
      <c r="S144" s="29">
        <v>26858.997361185498</v>
      </c>
      <c r="T144" s="30">
        <v>4.1339551507801902E-4</v>
      </c>
      <c r="U144" s="29"/>
      <c r="V144" s="30"/>
      <c r="W144" s="29"/>
      <c r="X144" s="30"/>
      <c r="Y144" s="29"/>
      <c r="Z144" s="30"/>
      <c r="AA144" s="29">
        <v>99698.610705444196</v>
      </c>
      <c r="AB144" s="30">
        <v>4.8808964764899897E-2</v>
      </c>
      <c r="AC144" s="29">
        <v>73566.971919385207</v>
      </c>
      <c r="AD144" s="30">
        <v>6.2593720317169602E-2</v>
      </c>
      <c r="AE144" s="29">
        <v>50271.47850048</v>
      </c>
      <c r="AF144" s="30">
        <v>-4.0608770278709197E-2</v>
      </c>
      <c r="AG144" s="29">
        <v>41472.1395286193</v>
      </c>
      <c r="AH144" s="30">
        <v>-3.9311550243374599E-2</v>
      </c>
      <c r="AI144" s="29">
        <v>26093.395749004801</v>
      </c>
      <c r="AJ144" s="30">
        <v>7.9141559024593598E-3</v>
      </c>
      <c r="AK144" s="29">
        <v>95958.393455674595</v>
      </c>
      <c r="AL144" s="30">
        <v>5.2191102263367699E-2</v>
      </c>
      <c r="AM144" s="29">
        <v>69840.350047597894</v>
      </c>
      <c r="AN144" s="30">
        <v>6.5043258095667494E-2</v>
      </c>
      <c r="AO144" s="29">
        <v>42043.307432234302</v>
      </c>
      <c r="AP144" s="30">
        <v>-4.5777211892136203E-2</v>
      </c>
      <c r="AQ144" s="29">
        <v>39979.129888407297</v>
      </c>
      <c r="AR144" s="30">
        <v>-5.27288851866696E-2</v>
      </c>
      <c r="AS144" s="29">
        <v>26354.898446344901</v>
      </c>
      <c r="AT144" s="30">
        <v>1.4975605529489001E-2</v>
      </c>
      <c r="AU144" s="29">
        <v>219421.87153663201</v>
      </c>
      <c r="AV144" s="30">
        <v>-1.60197748331314E-3</v>
      </c>
      <c r="AW144" s="29">
        <v>146405.52595322399</v>
      </c>
      <c r="AX144" s="30">
        <v>1.64623741548959E-2</v>
      </c>
      <c r="AY144" s="29">
        <v>73685.133757194504</v>
      </c>
      <c r="AZ144" s="30">
        <v>-3.20120698230126E-2</v>
      </c>
      <c r="BA144" s="29">
        <v>47657.865328654203</v>
      </c>
      <c r="BB144" s="30">
        <v>-5.10305818392877E-2</v>
      </c>
      <c r="BC144" s="29">
        <v>66450.499986869399</v>
      </c>
      <c r="BD144" s="30">
        <v>-2.83348751200896E-2</v>
      </c>
      <c r="BE144" s="29"/>
      <c r="BF144" s="30"/>
    </row>
    <row r="145" spans="1:58" x14ac:dyDescent="0.2">
      <c r="A145" s="28">
        <v>2013</v>
      </c>
      <c r="B145" s="28">
        <v>2</v>
      </c>
      <c r="C145" s="29">
        <v>161219.51587582199</v>
      </c>
      <c r="D145" s="30">
        <v>2.09670658522416E-2</v>
      </c>
      <c r="E145" s="29">
        <v>144489.00993368999</v>
      </c>
      <c r="F145" s="30">
        <v>-4.7323586609983398E-2</v>
      </c>
      <c r="G145" s="29">
        <v>105265.881873911</v>
      </c>
      <c r="H145" s="30">
        <v>2.43773820404409E-2</v>
      </c>
      <c r="I145" s="29">
        <v>85666.616531654407</v>
      </c>
      <c r="J145" s="30">
        <v>2.6942133679607599E-2</v>
      </c>
      <c r="K145" s="29">
        <v>19600.1057881452</v>
      </c>
      <c r="L145" s="30">
        <v>1.2614356330494601E-2</v>
      </c>
      <c r="M145" s="29">
        <v>38432.752519463502</v>
      </c>
      <c r="N145" s="30">
        <v>-0.216341461611503</v>
      </c>
      <c r="O145" s="29">
        <v>43253.962116028997</v>
      </c>
      <c r="P145" s="30">
        <v>2.36038003728423E-2</v>
      </c>
      <c r="Q145" s="29">
        <v>15950.997817186901</v>
      </c>
      <c r="R145" s="30">
        <v>3.0988319073610202E-2</v>
      </c>
      <c r="S145" s="29">
        <v>27307.1894913912</v>
      </c>
      <c r="T145" s="30">
        <v>1.9347564091661801E-2</v>
      </c>
      <c r="U145" s="29"/>
      <c r="V145" s="30"/>
      <c r="W145" s="29"/>
      <c r="X145" s="30"/>
      <c r="Y145" s="29"/>
      <c r="Z145" s="30"/>
      <c r="AA145" s="29">
        <v>125928.695260447</v>
      </c>
      <c r="AB145" s="30">
        <v>0.31463025160721197</v>
      </c>
      <c r="AC145" s="29">
        <v>98160.550457272606</v>
      </c>
      <c r="AD145" s="30">
        <v>0.41742489865824001</v>
      </c>
      <c r="AE145" s="29">
        <v>53172.602353128103</v>
      </c>
      <c r="AF145" s="30">
        <v>-2.9318972782921299E-3</v>
      </c>
      <c r="AG145" s="29">
        <v>43771.1382514254</v>
      </c>
      <c r="AH145" s="30">
        <v>1.4069107179844701E-2</v>
      </c>
      <c r="AI145" s="29">
        <v>27302.991399439401</v>
      </c>
      <c r="AJ145" s="30">
        <v>2.5482424720101302E-2</v>
      </c>
      <c r="AK145" s="29">
        <v>111495.345088908</v>
      </c>
      <c r="AL145" s="30">
        <v>0.25651567294463601</v>
      </c>
      <c r="AM145" s="29">
        <v>84173.2360152076</v>
      </c>
      <c r="AN145" s="30">
        <v>0.34498567830467203</v>
      </c>
      <c r="AO145" s="29">
        <v>44429.022724291397</v>
      </c>
      <c r="AP145" s="30">
        <v>2.5843366136775001E-2</v>
      </c>
      <c r="AQ145" s="29">
        <v>42486.452109413403</v>
      </c>
      <c r="AR145" s="30">
        <v>2.0000864224541101E-2</v>
      </c>
      <c r="AS145" s="29">
        <v>27358.142832945701</v>
      </c>
      <c r="AT145" s="30">
        <v>3.1001654194517302E-2</v>
      </c>
      <c r="AU145" s="29">
        <v>224907.24316771701</v>
      </c>
      <c r="AV145" s="30">
        <v>1.28377573276273E-2</v>
      </c>
      <c r="AW145" s="29">
        <v>148507.85544172701</v>
      </c>
      <c r="AX145" s="30">
        <v>2.4153199862825499E-2</v>
      </c>
      <c r="AY145" s="29">
        <v>76913.321524255894</v>
      </c>
      <c r="AZ145" s="30">
        <v>-6.1095049424352297E-3</v>
      </c>
      <c r="BA145" s="29">
        <v>49684.725304523301</v>
      </c>
      <c r="BB145" s="30">
        <v>-2.14113747581627E-2</v>
      </c>
      <c r="BC145" s="29">
        <v>70001.231461315299</v>
      </c>
      <c r="BD145" s="30">
        <v>2.40483832011829E-2</v>
      </c>
      <c r="BE145" s="29"/>
      <c r="BF145" s="30"/>
    </row>
    <row r="146" spans="1:58" x14ac:dyDescent="0.2">
      <c r="A146" s="28">
        <v>2013</v>
      </c>
      <c r="B146" s="28">
        <v>3</v>
      </c>
      <c r="C146" s="29">
        <v>161654.75801209701</v>
      </c>
      <c r="D146" s="30">
        <v>2.04760292538173E-2</v>
      </c>
      <c r="E146" s="29">
        <v>153037.00565271199</v>
      </c>
      <c r="F146" s="30">
        <v>-7.6215552062084404E-3</v>
      </c>
      <c r="G146" s="29">
        <v>106181.88122767099</v>
      </c>
      <c r="H146" s="30">
        <v>2.50389586449642E-2</v>
      </c>
      <c r="I146" s="29">
        <v>86379.110769390798</v>
      </c>
      <c r="J146" s="30">
        <v>2.61419970914878E-2</v>
      </c>
      <c r="K146" s="29">
        <v>19805.078628159601</v>
      </c>
      <c r="L146" s="30">
        <v>1.9930912507382999E-2</v>
      </c>
      <c r="M146" s="29">
        <v>46681.837083428298</v>
      </c>
      <c r="N146" s="30">
        <v>-8.2798310593824101E-2</v>
      </c>
      <c r="O146" s="29">
        <v>42307.742381071803</v>
      </c>
      <c r="P146" s="30">
        <v>6.8175116051030198E-3</v>
      </c>
      <c r="Q146" s="29">
        <v>16184.4108140263</v>
      </c>
      <c r="R146" s="30">
        <v>2.56380112881049E-2</v>
      </c>
      <c r="S146" s="29">
        <v>26141.700655135999</v>
      </c>
      <c r="T146" s="30">
        <v>-4.5150906173217998E-3</v>
      </c>
      <c r="U146" s="29"/>
      <c r="V146" s="30"/>
      <c r="W146" s="29"/>
      <c r="X146" s="30"/>
      <c r="Y146" s="29"/>
      <c r="Z146" s="30"/>
      <c r="AA146" s="29">
        <v>110456.317546961</v>
      </c>
      <c r="AB146" s="30">
        <v>0.116088110512621</v>
      </c>
      <c r="AC146" s="29">
        <v>81972.939143617405</v>
      </c>
      <c r="AD146" s="30">
        <v>0.14982890771024601</v>
      </c>
      <c r="AE146" s="29">
        <v>51961.0825802416</v>
      </c>
      <c r="AF146" s="30">
        <v>1.9028904029854601E-2</v>
      </c>
      <c r="AG146" s="29">
        <v>42590.811096096702</v>
      </c>
      <c r="AH146" s="30">
        <v>9.5702468114078308E-3</v>
      </c>
      <c r="AI146" s="29">
        <v>28403.774725338801</v>
      </c>
      <c r="AJ146" s="30">
        <v>2.2536151370092301E-2</v>
      </c>
      <c r="AK146" s="29">
        <v>102231.321220443</v>
      </c>
      <c r="AL146" s="30">
        <v>8.6425867865267E-2</v>
      </c>
      <c r="AM146" s="29">
        <v>73931.740456044499</v>
      </c>
      <c r="AN146" s="30">
        <v>0.110727382544043</v>
      </c>
      <c r="AO146" s="29">
        <v>42433.474635753802</v>
      </c>
      <c r="AP146" s="30">
        <v>-1.0398686033577201E-2</v>
      </c>
      <c r="AQ146" s="29">
        <v>40895.626040219002</v>
      </c>
      <c r="AR146" s="30">
        <v>-2.23127636687137E-3</v>
      </c>
      <c r="AS146" s="29">
        <v>28589.4117516189</v>
      </c>
      <c r="AT146" s="30">
        <v>2.33530597049427E-2</v>
      </c>
      <c r="AU146" s="29">
        <v>226250.078767008</v>
      </c>
      <c r="AV146" s="30">
        <v>2.0859391376896901E-2</v>
      </c>
      <c r="AW146" s="29">
        <v>148469.82337781301</v>
      </c>
      <c r="AX146" s="30">
        <v>1.9749159674197901E-2</v>
      </c>
      <c r="AY146" s="29">
        <v>78195.403908861597</v>
      </c>
      <c r="AZ146" s="30">
        <v>2.28039833249165E-2</v>
      </c>
      <c r="BA146" s="29">
        <v>49919.466381620798</v>
      </c>
      <c r="BB146" s="30">
        <v>2.30170300204646E-2</v>
      </c>
      <c r="BC146" s="29">
        <v>69521.710918915196</v>
      </c>
      <c r="BD146" s="30">
        <v>7.6090743452350597E-3</v>
      </c>
      <c r="BE146" s="29"/>
      <c r="BF146" s="30"/>
    </row>
    <row r="147" spans="1:58" x14ac:dyDescent="0.2">
      <c r="A147" s="28">
        <v>2013</v>
      </c>
      <c r="B147" s="28">
        <v>4</v>
      </c>
      <c r="C147" s="29">
        <v>166053.54264223401</v>
      </c>
      <c r="D147" s="30">
        <v>2.0514558872913199E-2</v>
      </c>
      <c r="E147" s="29">
        <v>158105.986771383</v>
      </c>
      <c r="F147" s="30">
        <v>1.7148596789078999E-2</v>
      </c>
      <c r="G147" s="29">
        <v>108346.60796023899</v>
      </c>
      <c r="H147" s="30">
        <v>2.3082341767601201E-2</v>
      </c>
      <c r="I147" s="29">
        <v>88358.898997731594</v>
      </c>
      <c r="J147" s="30">
        <v>2.2537470936655701E-2</v>
      </c>
      <c r="K147" s="29">
        <v>19980.3694318528</v>
      </c>
      <c r="L147" s="30">
        <v>2.5916415124027599E-2</v>
      </c>
      <c r="M147" s="29">
        <v>49749.3635785714</v>
      </c>
      <c r="N147" s="30">
        <v>3.1579517599220602E-3</v>
      </c>
      <c r="O147" s="29">
        <v>44897.504070794697</v>
      </c>
      <c r="P147" s="30">
        <v>1.1103966490424199E-2</v>
      </c>
      <c r="Q147" s="29">
        <v>17026.006864682498</v>
      </c>
      <c r="R147" s="30">
        <v>2.9590459034816399E-2</v>
      </c>
      <c r="S147" s="29">
        <v>27887.3459973553</v>
      </c>
      <c r="T147" s="30">
        <v>1.75950888833043E-4</v>
      </c>
      <c r="U147" s="29"/>
      <c r="V147" s="30"/>
      <c r="W147" s="29"/>
      <c r="X147" s="30"/>
      <c r="Y147" s="29"/>
      <c r="Z147" s="30"/>
      <c r="AA147" s="29">
        <v>107467.937343898</v>
      </c>
      <c r="AB147" s="30">
        <v>7.7943735092510499E-2</v>
      </c>
      <c r="AC147" s="29">
        <v>78772.518610324201</v>
      </c>
      <c r="AD147" s="30">
        <v>0.115470455914761</v>
      </c>
      <c r="AE147" s="29">
        <v>51437.866712405703</v>
      </c>
      <c r="AF147" s="30">
        <v>-3.90577703531131E-2</v>
      </c>
      <c r="AG147" s="29">
        <v>43659.896448346801</v>
      </c>
      <c r="AH147" s="30">
        <v>-3.5592234850531099E-3</v>
      </c>
      <c r="AI147" s="29">
        <v>28696.161549430399</v>
      </c>
      <c r="AJ147" s="30">
        <v>-1.8483762320107702E-2</v>
      </c>
      <c r="AK147" s="29">
        <v>99358.116753074006</v>
      </c>
      <c r="AL147" s="30">
        <v>8.3456085000569197E-2</v>
      </c>
      <c r="AM147" s="29">
        <v>70709.683634407906</v>
      </c>
      <c r="AN147" s="30">
        <v>0.13363366226005499</v>
      </c>
      <c r="AO147" s="29">
        <v>45187.595041813598</v>
      </c>
      <c r="AP147" s="30">
        <v>3.7122216417393397E-2</v>
      </c>
      <c r="AQ147" s="29">
        <v>43420.848037992298</v>
      </c>
      <c r="AR147" s="30">
        <v>4.0288353998769302E-2</v>
      </c>
      <c r="AS147" s="29">
        <v>29020.591375777902</v>
      </c>
      <c r="AT147" s="30">
        <v>-2.6980127294447199E-2</v>
      </c>
      <c r="AU147" s="29">
        <v>230269.49709679099</v>
      </c>
      <c r="AV147" s="30">
        <v>4.3568798842428301E-3</v>
      </c>
      <c r="AW147" s="29">
        <v>153233.97343424</v>
      </c>
      <c r="AX147" s="30">
        <v>1.9529214604500099E-2</v>
      </c>
      <c r="AY147" s="29">
        <v>77692.275977652404</v>
      </c>
      <c r="AZ147" s="30">
        <v>-2.11960476148354E-2</v>
      </c>
      <c r="BA147" s="29">
        <v>49161.544384249697</v>
      </c>
      <c r="BB147" s="30">
        <v>-2.2537011238521899E-2</v>
      </c>
      <c r="BC147" s="29">
        <v>72547.863490441203</v>
      </c>
      <c r="BD147" s="30">
        <v>1.3687153286438001E-2</v>
      </c>
      <c r="BE147" s="29"/>
      <c r="BF147" s="30"/>
    </row>
    <row r="148" spans="1:58" x14ac:dyDescent="0.2">
      <c r="A148" s="28">
        <v>2014</v>
      </c>
      <c r="B148" s="28">
        <v>1</v>
      </c>
      <c r="C148" s="29">
        <v>161418.39235179799</v>
      </c>
      <c r="D148" s="30">
        <v>2.4921879601233401E-2</v>
      </c>
      <c r="E148" s="29">
        <v>152150.95671250101</v>
      </c>
      <c r="F148" s="30">
        <v>-1.4670580973823901E-2</v>
      </c>
      <c r="G148" s="29">
        <v>106917.41127370601</v>
      </c>
      <c r="H148" s="30">
        <v>1.12752761132575E-2</v>
      </c>
      <c r="I148" s="29">
        <v>86916.213538603901</v>
      </c>
      <c r="J148" s="30">
        <v>8.4252964510187506E-3</v>
      </c>
      <c r="K148" s="29">
        <v>20004.291322207198</v>
      </c>
      <c r="L148" s="30">
        <v>2.4310934413639199E-2</v>
      </c>
      <c r="M148" s="29">
        <v>44933.864659868297</v>
      </c>
      <c r="N148" s="30">
        <v>-7.7197452178744505E-2</v>
      </c>
      <c r="O148" s="29">
        <v>41784.518874201603</v>
      </c>
      <c r="P148" s="30">
        <v>2.64405269816941E-2</v>
      </c>
      <c r="Q148" s="29">
        <v>14656.2209394129</v>
      </c>
      <c r="R148" s="30">
        <v>6.0192814344572201E-2</v>
      </c>
      <c r="S148" s="29">
        <v>27115.8026425731</v>
      </c>
      <c r="T148" s="30">
        <v>9.5612385650201102E-3</v>
      </c>
      <c r="U148" s="29"/>
      <c r="V148" s="30"/>
      <c r="W148" s="29"/>
      <c r="X148" s="30"/>
      <c r="Y148" s="29"/>
      <c r="Z148" s="30"/>
      <c r="AA148" s="29">
        <v>108321.410878753</v>
      </c>
      <c r="AB148" s="30">
        <v>8.6488669323428594E-2</v>
      </c>
      <c r="AC148" s="29">
        <v>79502.7954297916</v>
      </c>
      <c r="AD148" s="30">
        <v>8.0685983880251597E-2</v>
      </c>
      <c r="AE148" s="29">
        <v>54640.478055138097</v>
      </c>
      <c r="AF148" s="30">
        <v>8.6908117385415803E-2</v>
      </c>
      <c r="AG148" s="29">
        <v>43459.787461325497</v>
      </c>
      <c r="AH148" s="30">
        <v>4.7927306266283699E-2</v>
      </c>
      <c r="AI148" s="29">
        <v>28684.8887349898</v>
      </c>
      <c r="AJ148" s="30">
        <v>9.9316049582540505E-2</v>
      </c>
      <c r="AK148" s="29">
        <v>99335.360588360607</v>
      </c>
      <c r="AL148" s="30">
        <v>3.5191993228252103E-2</v>
      </c>
      <c r="AM148" s="29">
        <v>71188.791217151607</v>
      </c>
      <c r="AN148" s="30">
        <v>1.9307480111922602E-2</v>
      </c>
      <c r="AO148" s="29">
        <v>43956.015135982198</v>
      </c>
      <c r="AP148" s="30">
        <v>4.54937496730188E-2</v>
      </c>
      <c r="AQ148" s="29">
        <v>42059.303293574703</v>
      </c>
      <c r="AR148" s="30">
        <v>5.2031482700441299E-2</v>
      </c>
      <c r="AS148" s="29">
        <v>28347.458644875402</v>
      </c>
      <c r="AT148" s="30">
        <v>7.5604927963853305E-2</v>
      </c>
      <c r="AU148" s="29">
        <v>228880.23535216399</v>
      </c>
      <c r="AV148" s="30">
        <v>4.31058387629948E-2</v>
      </c>
      <c r="AW148" s="29">
        <v>148670.58033504599</v>
      </c>
      <c r="AX148" s="30">
        <v>1.5471098970300899E-2</v>
      </c>
      <c r="AY148" s="29">
        <v>80457.9739296896</v>
      </c>
      <c r="AZ148" s="30">
        <v>9.1915964959943905E-2</v>
      </c>
      <c r="BA148" s="29">
        <v>51861.3364730619</v>
      </c>
      <c r="BB148" s="30">
        <v>8.8200995059683998E-2</v>
      </c>
      <c r="BC148" s="29">
        <v>70500.784744319593</v>
      </c>
      <c r="BD148" s="30">
        <v>6.0951907935238102E-2</v>
      </c>
      <c r="BE148" s="29"/>
      <c r="BF148" s="30"/>
    </row>
    <row r="149" spans="1:58" x14ac:dyDescent="0.2">
      <c r="A149" s="28">
        <v>2014</v>
      </c>
      <c r="B149" s="28">
        <v>2</v>
      </c>
      <c r="C149" s="29">
        <v>164973.94833010199</v>
      </c>
      <c r="D149" s="30">
        <v>2.3287704555399202E-2</v>
      </c>
      <c r="E149" s="29">
        <v>153915.98984605601</v>
      </c>
      <c r="F149" s="30">
        <v>6.5243577464423594E-2</v>
      </c>
      <c r="G149" s="29">
        <v>106425.04939729899</v>
      </c>
      <c r="H149" s="30">
        <v>1.1011806510837101E-2</v>
      </c>
      <c r="I149" s="29">
        <v>86372.161603073997</v>
      </c>
      <c r="J149" s="30">
        <v>8.2359395057798306E-3</v>
      </c>
      <c r="K149" s="29">
        <v>20060.6965066948</v>
      </c>
      <c r="L149" s="30">
        <v>2.3499399622026702E-2</v>
      </c>
      <c r="M149" s="29">
        <v>47313.537291115703</v>
      </c>
      <c r="N149" s="30">
        <v>0.23107334732672899</v>
      </c>
      <c r="O149" s="29">
        <v>43870.195289058502</v>
      </c>
      <c r="P149" s="30">
        <v>1.42468607009103E-2</v>
      </c>
      <c r="Q149" s="29">
        <v>16326.582355803301</v>
      </c>
      <c r="R149" s="30">
        <v>2.3546146950865099E-2</v>
      </c>
      <c r="S149" s="29">
        <v>27551.058509757499</v>
      </c>
      <c r="T149" s="30">
        <v>8.9305791957530207E-3</v>
      </c>
      <c r="U149" s="29"/>
      <c r="V149" s="30"/>
      <c r="W149" s="29"/>
      <c r="X149" s="30"/>
      <c r="Y149" s="29"/>
      <c r="Z149" s="30"/>
      <c r="AA149" s="29">
        <v>100692.51169437</v>
      </c>
      <c r="AB149" s="30">
        <v>-0.200400579978081</v>
      </c>
      <c r="AC149" s="29">
        <v>72570.535592784101</v>
      </c>
      <c r="AD149" s="30">
        <v>-0.26069551103044503</v>
      </c>
      <c r="AE149" s="29">
        <v>56074.5776491426</v>
      </c>
      <c r="AF149" s="30">
        <v>5.4576514362453497E-2</v>
      </c>
      <c r="AG149" s="29">
        <v>44288.7550373747</v>
      </c>
      <c r="AH149" s="30">
        <v>1.1825527199591099E-2</v>
      </c>
      <c r="AI149" s="29">
        <v>28004.340529883699</v>
      </c>
      <c r="AJ149" s="30">
        <v>2.5687629614779901E-2</v>
      </c>
      <c r="AK149" s="29">
        <v>89180.470121837003</v>
      </c>
      <c r="AL149" s="30">
        <v>-0.200141763311079</v>
      </c>
      <c r="AM149" s="29">
        <v>61609.1215636294</v>
      </c>
      <c r="AN149" s="30">
        <v>-0.26806756541356602</v>
      </c>
      <c r="AO149" s="29">
        <v>44717.222070727898</v>
      </c>
      <c r="AP149" s="30">
        <v>6.4867361189779897E-3</v>
      </c>
      <c r="AQ149" s="29">
        <v>43053.550484618303</v>
      </c>
      <c r="AR149" s="30">
        <v>1.33477460943179E-2</v>
      </c>
      <c r="AS149" s="29">
        <v>27706.751861001099</v>
      </c>
      <c r="AT149" s="30">
        <v>1.2742422984779201E-2</v>
      </c>
      <c r="AU149" s="29">
        <v>231517.63205206901</v>
      </c>
      <c r="AV149" s="30">
        <v>2.9391622925287499E-2</v>
      </c>
      <c r="AW149" s="29">
        <v>150289.70662208099</v>
      </c>
      <c r="AX149" s="30">
        <v>1.1998363150919299E-2</v>
      </c>
      <c r="AY149" s="29">
        <v>81468.6326436893</v>
      </c>
      <c r="AZ149" s="30">
        <v>5.9226555675363099E-2</v>
      </c>
      <c r="BA149" s="29">
        <v>53470.900079231003</v>
      </c>
      <c r="BB149" s="30">
        <v>7.6203999347926002E-2</v>
      </c>
      <c r="BC149" s="29">
        <v>70908.890965666302</v>
      </c>
      <c r="BD149" s="30">
        <v>1.2966336240135099E-2</v>
      </c>
      <c r="BE149" s="29"/>
      <c r="BF149" s="30"/>
    </row>
    <row r="150" spans="1:58" x14ac:dyDescent="0.2">
      <c r="A150" s="28">
        <v>2014</v>
      </c>
      <c r="B150" s="28">
        <v>3</v>
      </c>
      <c r="C150" s="29">
        <v>165469.07151373601</v>
      </c>
      <c r="D150" s="30">
        <v>2.3595429844099E-2</v>
      </c>
      <c r="E150" s="29">
        <v>157167.22570363601</v>
      </c>
      <c r="F150" s="30">
        <v>2.6988374696100999E-2</v>
      </c>
      <c r="G150" s="29">
        <v>107362.93160652</v>
      </c>
      <c r="H150" s="30">
        <v>1.11228993609267E-2</v>
      </c>
      <c r="I150" s="29">
        <v>87211.696016044996</v>
      </c>
      <c r="J150" s="30">
        <v>9.6387337081649295E-3</v>
      </c>
      <c r="K150" s="29">
        <v>20156.535573902798</v>
      </c>
      <c r="L150" s="30">
        <v>1.7745799062041798E-2</v>
      </c>
      <c r="M150" s="29">
        <v>49718.234656389002</v>
      </c>
      <c r="N150" s="30">
        <v>6.5044517582590694E-2</v>
      </c>
      <c r="O150" s="29">
        <v>43718.4247660724</v>
      </c>
      <c r="P150" s="30">
        <v>3.3343362363664801E-2</v>
      </c>
      <c r="Q150" s="29">
        <v>16673.322045474699</v>
      </c>
      <c r="R150" s="30">
        <v>3.0208775411500102E-2</v>
      </c>
      <c r="S150" s="29">
        <v>27061.355229905999</v>
      </c>
      <c r="T150" s="30">
        <v>3.5179600091905301E-2</v>
      </c>
      <c r="U150" s="29"/>
      <c r="V150" s="30"/>
      <c r="W150" s="29"/>
      <c r="X150" s="30"/>
      <c r="Y150" s="29"/>
      <c r="Z150" s="30"/>
      <c r="AA150" s="29">
        <v>101468.18212394101</v>
      </c>
      <c r="AB150" s="30">
        <v>-8.1372760043339404E-2</v>
      </c>
      <c r="AC150" s="29">
        <v>71917.133735263298</v>
      </c>
      <c r="AD150" s="30">
        <v>-0.12267225639837399</v>
      </c>
      <c r="AE150" s="29">
        <v>54721.681793978001</v>
      </c>
      <c r="AF150" s="30">
        <v>5.312820820223E-2</v>
      </c>
      <c r="AG150" s="29">
        <v>45102.680092517599</v>
      </c>
      <c r="AH150" s="30">
        <v>5.8976782356961799E-2</v>
      </c>
      <c r="AI150" s="29">
        <v>29438.576049609001</v>
      </c>
      <c r="AJ150" s="30">
        <v>3.64318240894628E-2</v>
      </c>
      <c r="AK150" s="29">
        <v>92697.143150862001</v>
      </c>
      <c r="AL150" s="30">
        <v>-9.3260831961887003E-2</v>
      </c>
      <c r="AM150" s="29">
        <v>62466.252585990798</v>
      </c>
      <c r="AN150" s="30">
        <v>-0.15508207705282401</v>
      </c>
      <c r="AO150" s="29">
        <v>43692.713115858001</v>
      </c>
      <c r="AP150" s="30">
        <v>2.9675591992252899E-2</v>
      </c>
      <c r="AQ150" s="29">
        <v>42255.998219031702</v>
      </c>
      <c r="AR150" s="30">
        <v>3.3264490864495899E-2</v>
      </c>
      <c r="AS150" s="29">
        <v>30340.9339546915</v>
      </c>
      <c r="AT150" s="30">
        <v>6.1264716402339901E-2</v>
      </c>
      <c r="AU150" s="29">
        <v>232373.584329737</v>
      </c>
      <c r="AV150" s="30">
        <v>2.7065208534293499E-2</v>
      </c>
      <c r="AW150" s="29">
        <v>151069.703546184</v>
      </c>
      <c r="AX150" s="30">
        <v>1.7511168998665599E-2</v>
      </c>
      <c r="AY150" s="29">
        <v>81570.471702568699</v>
      </c>
      <c r="AZ150" s="30">
        <v>4.3161971484165999E-2</v>
      </c>
      <c r="BA150" s="29">
        <v>52249.754383646097</v>
      </c>
      <c r="BB150" s="30">
        <v>4.6680947753145997E-2</v>
      </c>
      <c r="BC150" s="29">
        <v>72617.085532078694</v>
      </c>
      <c r="BD150" s="30">
        <v>4.4523855530162602E-2</v>
      </c>
      <c r="BE150" s="29"/>
      <c r="BF150" s="30"/>
    </row>
    <row r="151" spans="1:58" x14ac:dyDescent="0.2">
      <c r="A151" s="28">
        <v>2014</v>
      </c>
      <c r="B151" s="28">
        <v>4</v>
      </c>
      <c r="C151" s="29">
        <v>171000.99411646801</v>
      </c>
      <c r="D151" s="30">
        <v>2.9794314505493299E-2</v>
      </c>
      <c r="E151" s="29">
        <v>159499.03139363701</v>
      </c>
      <c r="F151" s="30">
        <v>8.8108277915412998E-3</v>
      </c>
      <c r="G151" s="29">
        <v>109587.56737749701</v>
      </c>
      <c r="H151" s="30">
        <v>1.1453606537574801E-2</v>
      </c>
      <c r="I151" s="29">
        <v>89225.092507425899</v>
      </c>
      <c r="J151" s="30">
        <v>9.8031270140259696E-3</v>
      </c>
      <c r="K151" s="29">
        <v>20361.099341214402</v>
      </c>
      <c r="L151" s="30">
        <v>1.9055198686900102E-2</v>
      </c>
      <c r="M151" s="29">
        <v>49778.276277576399</v>
      </c>
      <c r="N151" s="30">
        <v>5.8116721351297905E-4</v>
      </c>
      <c r="O151" s="29">
        <v>46279.816064195998</v>
      </c>
      <c r="P151" s="30">
        <v>3.0788170122367099E-2</v>
      </c>
      <c r="Q151" s="29">
        <v>17343.0865801459</v>
      </c>
      <c r="R151" s="30">
        <v>1.8623257818668498E-2</v>
      </c>
      <c r="S151" s="29">
        <v>28947.207129659899</v>
      </c>
      <c r="T151" s="30">
        <v>3.8005091355957303E-2</v>
      </c>
      <c r="U151" s="29"/>
      <c r="V151" s="30"/>
      <c r="W151" s="29"/>
      <c r="X151" s="30"/>
      <c r="Y151" s="29"/>
      <c r="Z151" s="30"/>
      <c r="AA151" s="29">
        <v>112133.067603045</v>
      </c>
      <c r="AB151" s="30">
        <v>4.34095077513088E-2</v>
      </c>
      <c r="AC151" s="29">
        <v>82003.481153331304</v>
      </c>
      <c r="AD151" s="30">
        <v>4.1016367129127498E-2</v>
      </c>
      <c r="AE151" s="29">
        <v>55785.070261007102</v>
      </c>
      <c r="AF151" s="30">
        <v>8.4513682748683899E-2</v>
      </c>
      <c r="AG151" s="29">
        <v>46069.0599988674</v>
      </c>
      <c r="AH151" s="30">
        <v>5.5180239682216498E-2</v>
      </c>
      <c r="AI151" s="29">
        <v>29992.640327847301</v>
      </c>
      <c r="AJ151" s="30">
        <v>4.5179519085983798E-2</v>
      </c>
      <c r="AK151" s="29">
        <v>100758.08239836</v>
      </c>
      <c r="AL151" s="30">
        <v>1.40900984341865E-2</v>
      </c>
      <c r="AM151" s="29">
        <v>68489.42581447</v>
      </c>
      <c r="AN151" s="30">
        <v>-3.1399628817707102E-2</v>
      </c>
      <c r="AO151" s="29">
        <v>44683.911756517096</v>
      </c>
      <c r="AP151" s="30">
        <v>-1.1146494626024E-2</v>
      </c>
      <c r="AQ151" s="29">
        <v>43177.4864018769</v>
      </c>
      <c r="AR151" s="30">
        <v>-5.6047186342934596E-3</v>
      </c>
      <c r="AS151" s="29">
        <v>32399.810724494699</v>
      </c>
      <c r="AT151" s="30">
        <v>0.116442125694835</v>
      </c>
      <c r="AU151" s="29">
        <v>238599.11705291999</v>
      </c>
      <c r="AV151" s="30">
        <v>3.61733536623308E-2</v>
      </c>
      <c r="AW151" s="29">
        <v>155874.14188950401</v>
      </c>
      <c r="AX151" s="30">
        <v>1.72296547305619E-2</v>
      </c>
      <c r="AY151" s="29">
        <v>83083.053724899597</v>
      </c>
      <c r="AZ151" s="30">
        <v>6.9386276555958998E-2</v>
      </c>
      <c r="BA151" s="29">
        <v>53211.107727235103</v>
      </c>
      <c r="BB151" s="30">
        <v>8.2372581937901299E-2</v>
      </c>
      <c r="BC151" s="29">
        <v>75542.096426247706</v>
      </c>
      <c r="BD151" s="30">
        <v>4.1272517090748001E-2</v>
      </c>
      <c r="BE151" s="29"/>
      <c r="BF151" s="30"/>
    </row>
    <row r="152" spans="1:58" x14ac:dyDescent="0.2">
      <c r="A152" s="28">
        <v>2015</v>
      </c>
      <c r="B152" s="28">
        <v>1</v>
      </c>
      <c r="C152" s="29">
        <v>164410.87795495</v>
      </c>
      <c r="D152" s="30">
        <v>1.85386904153413E-2</v>
      </c>
      <c r="E152" s="29">
        <v>158529.82197425701</v>
      </c>
      <c r="F152" s="30">
        <v>4.1924582004494199E-2</v>
      </c>
      <c r="G152" s="29">
        <v>108939.16618752301</v>
      </c>
      <c r="H152" s="30">
        <v>1.89095011722797E-2</v>
      </c>
      <c r="I152" s="29">
        <v>88634.551855557598</v>
      </c>
      <c r="J152" s="30">
        <v>1.97700549413664E-2</v>
      </c>
      <c r="K152" s="29">
        <v>20305.655701736399</v>
      </c>
      <c r="L152" s="30">
        <v>1.5064986540896301E-2</v>
      </c>
      <c r="M152" s="29">
        <v>49457.590499054597</v>
      </c>
      <c r="N152" s="30">
        <v>0.100675200618267</v>
      </c>
      <c r="O152" s="29">
        <v>42635.672775154802</v>
      </c>
      <c r="P152" s="30">
        <v>2.0370077815558399E-2</v>
      </c>
      <c r="Q152" s="29">
        <v>15033.6554352278</v>
      </c>
      <c r="R152" s="30">
        <v>2.5752511331209399E-2</v>
      </c>
      <c r="S152" s="29">
        <v>27591.798610092501</v>
      </c>
      <c r="T152" s="30">
        <v>1.75541905874519E-2</v>
      </c>
      <c r="U152" s="29"/>
      <c r="V152" s="30"/>
      <c r="W152" s="29"/>
      <c r="X152" s="30"/>
      <c r="Y152" s="29"/>
      <c r="Z152" s="30"/>
      <c r="AA152" s="29">
        <v>106655.644426484</v>
      </c>
      <c r="AB152" s="30">
        <v>-1.5377998114640801E-2</v>
      </c>
      <c r="AC152" s="29">
        <v>78363.135487565902</v>
      </c>
      <c r="AD152" s="30">
        <v>-1.4334841134387001E-2</v>
      </c>
      <c r="AE152" s="29">
        <v>55542.650453636699</v>
      </c>
      <c r="AF152" s="30">
        <v>1.6511063420568101E-2</v>
      </c>
      <c r="AG152" s="29">
        <v>43866.181954305503</v>
      </c>
      <c r="AH152" s="30">
        <v>9.3510464896244799E-3</v>
      </c>
      <c r="AI152" s="29">
        <v>28197.528669296698</v>
      </c>
      <c r="AJ152" s="30">
        <v>-1.6990132686085398E-2</v>
      </c>
      <c r="AK152" s="29">
        <v>100823.73220609</v>
      </c>
      <c r="AL152" s="30">
        <v>1.4983301101575201E-2</v>
      </c>
      <c r="AM152" s="29">
        <v>69916.469596959403</v>
      </c>
      <c r="AN152" s="30">
        <v>-1.7872499285893899E-2</v>
      </c>
      <c r="AO152" s="29">
        <v>44720.141455754798</v>
      </c>
      <c r="AP152" s="30">
        <v>1.7383885172682401E-2</v>
      </c>
      <c r="AQ152" s="29">
        <v>42749.730766797496</v>
      </c>
      <c r="AR152" s="30">
        <v>1.6415570852508402E-2</v>
      </c>
      <c r="AS152" s="29">
        <v>31078.655833163699</v>
      </c>
      <c r="AT152" s="30">
        <v>9.6347161927405695E-2</v>
      </c>
      <c r="AU152" s="29">
        <v>233022.53676603199</v>
      </c>
      <c r="AV152" s="30">
        <v>1.8098117591910198E-2</v>
      </c>
      <c r="AW152" s="29">
        <v>151542.956475802</v>
      </c>
      <c r="AX152" s="30">
        <v>1.9320407132888101E-2</v>
      </c>
      <c r="AY152" s="29">
        <v>81753.305603922301</v>
      </c>
      <c r="AZ152" s="30">
        <v>1.60994816419886E-2</v>
      </c>
      <c r="BA152" s="29">
        <v>53578.200060127499</v>
      </c>
      <c r="BB152" s="30">
        <v>3.3104885138418097E-2</v>
      </c>
      <c r="BC152" s="29">
        <v>73848.660864454097</v>
      </c>
      <c r="BD152" s="30">
        <v>4.7487075956331899E-2</v>
      </c>
      <c r="BE152" s="29"/>
      <c r="BF152" s="30"/>
    </row>
    <row r="153" spans="1:58" x14ac:dyDescent="0.2">
      <c r="A153" s="28">
        <v>2015</v>
      </c>
      <c r="B153" s="28">
        <v>2</v>
      </c>
      <c r="C153" s="29">
        <v>167025.058865228</v>
      </c>
      <c r="D153" s="30">
        <v>1.24329359628437E-2</v>
      </c>
      <c r="E153" s="29">
        <v>158234.37497387</v>
      </c>
      <c r="F153" s="30">
        <v>2.8056767410149699E-2</v>
      </c>
      <c r="G153" s="29">
        <v>108772.561107979</v>
      </c>
      <c r="H153" s="30">
        <v>2.20578869727894E-2</v>
      </c>
      <c r="I153" s="29">
        <v>88452.725535135294</v>
      </c>
      <c r="J153" s="30">
        <v>2.40883624242565E-2</v>
      </c>
      <c r="K153" s="29">
        <v>20322.223645373699</v>
      </c>
      <c r="L153" s="30">
        <v>1.30367925456425E-2</v>
      </c>
      <c r="M153" s="29">
        <v>49326.317732351701</v>
      </c>
      <c r="N153" s="30">
        <v>4.2541322346108398E-2</v>
      </c>
      <c r="O153" s="29">
        <v>45280.189862892097</v>
      </c>
      <c r="P153" s="30">
        <v>3.2140148101535301E-2</v>
      </c>
      <c r="Q153" s="29">
        <v>16671.741809389299</v>
      </c>
      <c r="R153" s="30">
        <v>2.1140949530280999E-2</v>
      </c>
      <c r="S153" s="29">
        <v>28612.289824381201</v>
      </c>
      <c r="T153" s="30">
        <v>3.8518712965161198E-2</v>
      </c>
      <c r="U153" s="29"/>
      <c r="V153" s="30"/>
      <c r="W153" s="29"/>
      <c r="X153" s="30"/>
      <c r="Y153" s="29"/>
      <c r="Z153" s="30"/>
      <c r="AA153" s="29">
        <v>103683.51839350699</v>
      </c>
      <c r="AB153" s="30">
        <v>2.97043608189618E-2</v>
      </c>
      <c r="AC153" s="29">
        <v>75262.758261128503</v>
      </c>
      <c r="AD153" s="30">
        <v>3.7098012938078503E-2</v>
      </c>
      <c r="AE153" s="29">
        <v>56940.078502210803</v>
      </c>
      <c r="AF153" s="30">
        <v>1.5434817155176099E-2</v>
      </c>
      <c r="AG153" s="29">
        <v>44603.888730159502</v>
      </c>
      <c r="AH153" s="30">
        <v>7.1154335342873401E-3</v>
      </c>
      <c r="AI153" s="29">
        <v>28303.160047045501</v>
      </c>
      <c r="AJ153" s="30">
        <v>1.0670471487909601E-2</v>
      </c>
      <c r="AK153" s="29">
        <v>94570.450306893603</v>
      </c>
      <c r="AL153" s="30">
        <v>6.0439019638413499E-2</v>
      </c>
      <c r="AM153" s="29">
        <v>63223.219795567202</v>
      </c>
      <c r="AN153" s="30">
        <v>2.6199013895545201E-2</v>
      </c>
      <c r="AO153" s="29">
        <v>43323.481511911203</v>
      </c>
      <c r="AP153" s="30">
        <v>-3.1167869878237602E-2</v>
      </c>
      <c r="AQ153" s="29">
        <v>41644.762991974298</v>
      </c>
      <c r="AR153" s="30">
        <v>-3.27217494674992E-2</v>
      </c>
      <c r="AS153" s="29">
        <v>31357.526639908701</v>
      </c>
      <c r="AT153" s="30">
        <v>0.13176480582144101</v>
      </c>
      <c r="AU153" s="29">
        <v>236618.43377055399</v>
      </c>
      <c r="AV153" s="30">
        <v>2.2032022672633201E-2</v>
      </c>
      <c r="AW153" s="29">
        <v>154052.37426927601</v>
      </c>
      <c r="AX153" s="30">
        <v>2.5036096827688099E-2</v>
      </c>
      <c r="AY153" s="29">
        <v>82860.765578709295</v>
      </c>
      <c r="AZ153" s="30">
        <v>1.70879624444975E-2</v>
      </c>
      <c r="BA153" s="29">
        <v>54560.967857697302</v>
      </c>
      <c r="BB153" s="30">
        <v>2.03861871943634E-2</v>
      </c>
      <c r="BC153" s="29">
        <v>72991.458909972906</v>
      </c>
      <c r="BD153" s="30">
        <v>2.9369630746515898E-2</v>
      </c>
      <c r="BE153" s="29"/>
      <c r="BF153" s="30"/>
    </row>
    <row r="154" spans="1:58" x14ac:dyDescent="0.2">
      <c r="A154" s="28">
        <v>2015</v>
      </c>
      <c r="B154" s="28">
        <v>3</v>
      </c>
      <c r="C154" s="29">
        <v>167635.35623648899</v>
      </c>
      <c r="D154" s="30">
        <v>1.3091780251953899E-2</v>
      </c>
      <c r="E154" s="29">
        <v>153596.119054057</v>
      </c>
      <c r="F154" s="30">
        <v>-2.27217006191455E-2</v>
      </c>
      <c r="G154" s="29">
        <v>109861.639534673</v>
      </c>
      <c r="H154" s="30">
        <v>2.3273469630192799E-2</v>
      </c>
      <c r="I154" s="29">
        <v>89527.318067323795</v>
      </c>
      <c r="J154" s="30">
        <v>2.6551737405184201E-2</v>
      </c>
      <c r="K154" s="29">
        <v>20331.227520975001</v>
      </c>
      <c r="L154" s="30">
        <v>8.6667645058211597E-3</v>
      </c>
      <c r="M154" s="29">
        <v>43288.341392637099</v>
      </c>
      <c r="N154" s="30">
        <v>-0.12932666069481399</v>
      </c>
      <c r="O154" s="29">
        <v>44986.579921873803</v>
      </c>
      <c r="P154" s="30">
        <v>2.9007338727023501E-2</v>
      </c>
      <c r="Q154" s="29">
        <v>16868.0820142374</v>
      </c>
      <c r="R154" s="30">
        <v>1.16809336634609E-2</v>
      </c>
      <c r="S154" s="29">
        <v>28128.654826533599</v>
      </c>
      <c r="T154" s="30">
        <v>3.9439990627229103E-2</v>
      </c>
      <c r="U154" s="29"/>
      <c r="V154" s="30"/>
      <c r="W154" s="29"/>
      <c r="X154" s="30"/>
      <c r="Y154" s="29"/>
      <c r="Z154" s="30"/>
      <c r="AA154" s="29">
        <v>111832.53990799301</v>
      </c>
      <c r="AB154" s="30">
        <v>0.102143919079901</v>
      </c>
      <c r="AC154" s="29">
        <v>80738.522623507102</v>
      </c>
      <c r="AD154" s="30">
        <v>0.122660462536182</v>
      </c>
      <c r="AE154" s="29">
        <v>57768.528628471897</v>
      </c>
      <c r="AF154" s="30">
        <v>5.5678969187478798E-2</v>
      </c>
      <c r="AG154" s="29">
        <v>44613.399658845701</v>
      </c>
      <c r="AH154" s="30">
        <v>-1.0848145446530601E-2</v>
      </c>
      <c r="AI154" s="29">
        <v>30955.0595727574</v>
      </c>
      <c r="AJ154" s="30">
        <v>5.1513480835242702E-2</v>
      </c>
      <c r="AK154" s="29">
        <v>97987.273201301694</v>
      </c>
      <c r="AL154" s="30">
        <v>5.70689653491274E-2</v>
      </c>
      <c r="AM154" s="29">
        <v>65798.930993616494</v>
      </c>
      <c r="AN154" s="30">
        <v>5.3351662212134401E-2</v>
      </c>
      <c r="AO154" s="29">
        <v>42455.141439659899</v>
      </c>
      <c r="AP154" s="30">
        <v>-2.83244410324563E-2</v>
      </c>
      <c r="AQ154" s="29">
        <v>40878.976258543204</v>
      </c>
      <c r="AR154" s="30">
        <v>-3.2587609298702698E-2</v>
      </c>
      <c r="AS154" s="29">
        <v>32217.617559223901</v>
      </c>
      <c r="AT154" s="30">
        <v>6.1853191709090802E-2</v>
      </c>
      <c r="AU154" s="29">
        <v>240951.45756350801</v>
      </c>
      <c r="AV154" s="30">
        <v>3.6914149508487898E-2</v>
      </c>
      <c r="AW154" s="29">
        <v>154839.16738675701</v>
      </c>
      <c r="AX154" s="30">
        <v>2.4951818611468099E-2</v>
      </c>
      <c r="AY154" s="29">
        <v>86212.906232455804</v>
      </c>
      <c r="AZ154" s="30">
        <v>5.6913174988306899E-2</v>
      </c>
      <c r="BA154" s="29">
        <v>55366.939639944198</v>
      </c>
      <c r="BB154" s="30">
        <v>5.9659328413488803E-2</v>
      </c>
      <c r="BC154" s="29">
        <v>73045.362460481294</v>
      </c>
      <c r="BD154" s="30">
        <v>5.8977432826521304E-3</v>
      </c>
      <c r="BE154" s="29"/>
      <c r="BF154" s="30"/>
    </row>
    <row r="155" spans="1:58" x14ac:dyDescent="0.2">
      <c r="A155" s="28">
        <v>2015</v>
      </c>
      <c r="B155" s="28">
        <v>4</v>
      </c>
      <c r="C155" s="29">
        <v>173432.468492035</v>
      </c>
      <c r="D155" s="30">
        <v>1.42190657319274E-2</v>
      </c>
      <c r="E155" s="29">
        <v>163147.17642878101</v>
      </c>
      <c r="F155" s="30">
        <v>2.28725215649777E-2</v>
      </c>
      <c r="G155" s="29">
        <v>111856.059303972</v>
      </c>
      <c r="H155" s="30">
        <v>2.07002671996654E-2</v>
      </c>
      <c r="I155" s="29">
        <v>91409.890415527901</v>
      </c>
      <c r="J155" s="30">
        <v>2.4486361926944901E-2</v>
      </c>
      <c r="K155" s="29">
        <v>20435.521747029601</v>
      </c>
      <c r="L155" s="30">
        <v>3.6551270915168299E-3</v>
      </c>
      <c r="M155" s="29">
        <v>51173.011091101696</v>
      </c>
      <c r="N155" s="30">
        <v>2.8018945568704101E-2</v>
      </c>
      <c r="O155" s="29">
        <v>47116.2116088521</v>
      </c>
      <c r="P155" s="30">
        <v>1.80725771143069E-2</v>
      </c>
      <c r="Q155" s="29">
        <v>17478.681562882099</v>
      </c>
      <c r="R155" s="30">
        <v>7.8183881577025306E-3</v>
      </c>
      <c r="S155" s="29">
        <v>29644.2542880736</v>
      </c>
      <c r="T155" s="30">
        <v>2.4079945097691201E-2</v>
      </c>
      <c r="U155" s="29"/>
      <c r="V155" s="30"/>
      <c r="W155" s="29"/>
      <c r="X155" s="30"/>
      <c r="Y155" s="29"/>
      <c r="Z155" s="30"/>
      <c r="AA155" s="29">
        <v>116731.309082879</v>
      </c>
      <c r="AB155" s="30">
        <v>4.1007006926020398E-2</v>
      </c>
      <c r="AC155" s="29">
        <v>84174.667023914299</v>
      </c>
      <c r="AD155" s="30">
        <v>2.6476752450584898E-2</v>
      </c>
      <c r="AE155" s="29">
        <v>59313.975787121002</v>
      </c>
      <c r="AF155" s="30">
        <v>6.32589599619202E-2</v>
      </c>
      <c r="AG155" s="29">
        <v>47871.491528389299</v>
      </c>
      <c r="AH155" s="30">
        <v>3.9124556254593698E-2</v>
      </c>
      <c r="AI155" s="29">
        <v>32408.8253960703</v>
      </c>
      <c r="AJ155" s="30">
        <v>8.0559265266806596E-2</v>
      </c>
      <c r="AK155" s="29">
        <v>106766.285305524</v>
      </c>
      <c r="AL155" s="30">
        <v>5.9629984653833699E-2</v>
      </c>
      <c r="AM155" s="29">
        <v>71759.307007327603</v>
      </c>
      <c r="AN155" s="30">
        <v>4.7742861820966299E-2</v>
      </c>
      <c r="AO155" s="29">
        <v>46535.731989030501</v>
      </c>
      <c r="AP155" s="30">
        <v>4.14426615692014E-2</v>
      </c>
      <c r="AQ155" s="29">
        <v>44874.9603851024</v>
      </c>
      <c r="AR155" s="30">
        <v>3.9313867588913497E-2</v>
      </c>
      <c r="AS155" s="29">
        <v>35043.040672390001</v>
      </c>
      <c r="AT155" s="30">
        <v>8.1581647817992001E-2</v>
      </c>
      <c r="AU155" s="29">
        <v>248176.26662609199</v>
      </c>
      <c r="AV155" s="30">
        <v>4.0139082203927402E-2</v>
      </c>
      <c r="AW155" s="29">
        <v>158978.296471065</v>
      </c>
      <c r="AX155" s="30">
        <v>1.9914493474881199E-2</v>
      </c>
      <c r="AY155" s="29">
        <v>89252.213760179104</v>
      </c>
      <c r="AZ155" s="30">
        <v>7.4252928349341593E-2</v>
      </c>
      <c r="BA155" s="29">
        <v>56981.728630608202</v>
      </c>
      <c r="BB155" s="30">
        <v>7.0861537457584695E-2</v>
      </c>
      <c r="BC155" s="29">
        <v>79870.914788233102</v>
      </c>
      <c r="BD155" s="30">
        <v>5.7303391973132299E-2</v>
      </c>
      <c r="BE155" s="29"/>
      <c r="BF155" s="30"/>
    </row>
    <row r="156" spans="1:58" x14ac:dyDescent="0.2">
      <c r="A156" s="28">
        <v>2016</v>
      </c>
      <c r="B156" s="28">
        <v>1</v>
      </c>
      <c r="C156" s="29">
        <v>168064.23800399</v>
      </c>
      <c r="D156" s="30">
        <v>2.2220914421738899E-2</v>
      </c>
      <c r="E156" s="29">
        <v>164501.87478269401</v>
      </c>
      <c r="F156" s="30">
        <v>3.7671478678673799E-2</v>
      </c>
      <c r="G156" s="29">
        <v>110595.239999286</v>
      </c>
      <c r="H156" s="30">
        <v>1.5201821986704099E-2</v>
      </c>
      <c r="I156" s="29">
        <v>90175.810535934797</v>
      </c>
      <c r="J156" s="30">
        <v>1.7388914910845699E-2</v>
      </c>
      <c r="K156" s="29">
        <v>20415.7685590488</v>
      </c>
      <c r="L156" s="30">
        <v>5.4227678696894301E-3</v>
      </c>
      <c r="M156" s="29">
        <v>53983.871474419997</v>
      </c>
      <c r="N156" s="30">
        <v>9.1518428813305297E-2</v>
      </c>
      <c r="O156" s="29">
        <v>44331.148562816503</v>
      </c>
      <c r="P156" s="30">
        <v>3.9766601001068401E-2</v>
      </c>
      <c r="Q156" s="29">
        <v>15013.9437820232</v>
      </c>
      <c r="R156" s="30">
        <v>-1.3111683508771901E-3</v>
      </c>
      <c r="S156" s="29">
        <v>29318.873151046901</v>
      </c>
      <c r="T156" s="30">
        <v>6.2593764377600405E-2</v>
      </c>
      <c r="U156" s="29"/>
      <c r="V156" s="30"/>
      <c r="W156" s="29"/>
      <c r="X156" s="30"/>
      <c r="Y156" s="29"/>
      <c r="Z156" s="30"/>
      <c r="AA156" s="29">
        <v>107576.136067552</v>
      </c>
      <c r="AB156" s="30">
        <v>8.6305009549005902E-3</v>
      </c>
      <c r="AC156" s="29">
        <v>78552.4039526001</v>
      </c>
      <c r="AD156" s="30">
        <v>2.4152742722278698E-3</v>
      </c>
      <c r="AE156" s="29">
        <v>60529.884469906698</v>
      </c>
      <c r="AF156" s="30">
        <v>8.9791070025241407E-2</v>
      </c>
      <c r="AG156" s="29">
        <v>46548.428528082703</v>
      </c>
      <c r="AH156" s="30">
        <v>6.1146114256562599E-2</v>
      </c>
      <c r="AI156" s="29">
        <v>28931.1512275512</v>
      </c>
      <c r="AJ156" s="30">
        <v>2.60172643800951E-2</v>
      </c>
      <c r="AK156" s="29">
        <v>104317.37061373801</v>
      </c>
      <c r="AL156" s="30">
        <v>3.4650953016766503E-2</v>
      </c>
      <c r="AM156" s="29">
        <v>71691.557183604498</v>
      </c>
      <c r="AN156" s="30">
        <v>2.5388690202433801E-2</v>
      </c>
      <c r="AO156" s="29">
        <v>45615.5614322213</v>
      </c>
      <c r="AP156" s="30">
        <v>2.00227447257166E-2</v>
      </c>
      <c r="AQ156" s="29">
        <v>43341.523966447399</v>
      </c>
      <c r="AR156" s="30">
        <v>1.3843202963737001E-2</v>
      </c>
      <c r="AS156" s="29">
        <v>32755.724504174501</v>
      </c>
      <c r="AT156" s="30">
        <v>5.3962072234193102E-2</v>
      </c>
      <c r="AU156" s="29">
        <v>241945.55604401999</v>
      </c>
      <c r="AV156" s="30">
        <v>3.8292516259691697E-2</v>
      </c>
      <c r="AW156" s="29">
        <v>154909.44210561801</v>
      </c>
      <c r="AX156" s="30">
        <v>2.22147284710912E-2</v>
      </c>
      <c r="AY156" s="29">
        <v>87145.774580576704</v>
      </c>
      <c r="AZ156" s="30">
        <v>6.5960256124440994E-2</v>
      </c>
      <c r="BA156" s="29">
        <v>58236.348034047704</v>
      </c>
      <c r="BB156" s="30">
        <v>8.6941106059790899E-2</v>
      </c>
      <c r="BC156" s="29">
        <v>76081.707316405198</v>
      </c>
      <c r="BD156" s="30">
        <v>3.02381441425148E-2</v>
      </c>
      <c r="BE156" s="29"/>
      <c r="BF156" s="30"/>
    </row>
    <row r="157" spans="1:58" x14ac:dyDescent="0.2">
      <c r="A157" s="28">
        <v>2016</v>
      </c>
      <c r="B157" s="28">
        <v>2</v>
      </c>
      <c r="C157" s="29">
        <v>171552.85429967701</v>
      </c>
      <c r="D157" s="30">
        <v>2.7108479800640701E-2</v>
      </c>
      <c r="E157" s="29">
        <v>157724.957854651</v>
      </c>
      <c r="F157" s="30">
        <v>-3.2193833944302898E-3</v>
      </c>
      <c r="G157" s="29">
        <v>110060.102487308</v>
      </c>
      <c r="H157" s="30">
        <v>1.18370052724199E-2</v>
      </c>
      <c r="I157" s="29">
        <v>89607.538899300605</v>
      </c>
      <c r="J157" s="30">
        <v>1.3055712610083601E-2</v>
      </c>
      <c r="K157" s="29">
        <v>20450.9730093781</v>
      </c>
      <c r="L157" s="30">
        <v>6.3353974570465902E-3</v>
      </c>
      <c r="M157" s="29">
        <v>47402.758432610201</v>
      </c>
      <c r="N157" s="30">
        <v>-3.8996612521915802E-2</v>
      </c>
      <c r="O157" s="29">
        <v>46620.1174101953</v>
      </c>
      <c r="P157" s="30">
        <v>2.9591915390824602E-2</v>
      </c>
      <c r="Q157" s="29">
        <v>16556.8749826815</v>
      </c>
      <c r="R157" s="30">
        <v>-6.8899115653970897E-3</v>
      </c>
      <c r="S157" s="29">
        <v>30065.560092982501</v>
      </c>
      <c r="T157" s="30">
        <v>5.07918197921697E-2</v>
      </c>
      <c r="U157" s="29"/>
      <c r="V157" s="30"/>
      <c r="W157" s="29"/>
      <c r="X157" s="30"/>
      <c r="Y157" s="29"/>
      <c r="Z157" s="30"/>
      <c r="AA157" s="29">
        <v>116756.45830656899</v>
      </c>
      <c r="AB157" s="30">
        <v>0.12608503372200899</v>
      </c>
      <c r="AC157" s="29">
        <v>86833.778045773099</v>
      </c>
      <c r="AD157" s="30">
        <v>0.153741638653453</v>
      </c>
      <c r="AE157" s="29">
        <v>63450.935688052799</v>
      </c>
      <c r="AF157" s="30">
        <v>0.114345771152901</v>
      </c>
      <c r="AG157" s="29">
        <v>49029.860907411297</v>
      </c>
      <c r="AH157" s="30">
        <v>9.9228392484511901E-2</v>
      </c>
      <c r="AI157" s="29">
        <v>29920.661278559401</v>
      </c>
      <c r="AJ157" s="30">
        <v>5.7149139135885797E-2</v>
      </c>
      <c r="AK157" s="29">
        <v>103134.852006894</v>
      </c>
      <c r="AL157" s="30">
        <v>9.0561075602445501E-2</v>
      </c>
      <c r="AM157" s="29">
        <v>71182.246967628496</v>
      </c>
      <c r="AN157" s="30">
        <v>0.125887722861899</v>
      </c>
      <c r="AO157" s="29">
        <v>47616.906487264299</v>
      </c>
      <c r="AP157" s="30">
        <v>9.9101568607144794E-2</v>
      </c>
      <c r="AQ157" s="29">
        <v>45030.083843133099</v>
      </c>
      <c r="AR157" s="30">
        <v>8.1290433849058097E-2</v>
      </c>
      <c r="AS157" s="29">
        <v>32098.766489128098</v>
      </c>
      <c r="AT157" s="30">
        <v>2.36383391372448E-2</v>
      </c>
      <c r="AU157" s="29">
        <v>247667.158180842</v>
      </c>
      <c r="AV157" s="30">
        <v>4.6694267366344903E-2</v>
      </c>
      <c r="AW157" s="29">
        <v>156684.04869548199</v>
      </c>
      <c r="AX157" s="30">
        <v>1.7082985177532699E-2</v>
      </c>
      <c r="AY157" s="29">
        <v>90997.033993350706</v>
      </c>
      <c r="AZ157" s="30">
        <v>9.8192049733269296E-2</v>
      </c>
      <c r="BA157" s="29">
        <v>61091.234991104902</v>
      </c>
      <c r="BB157" s="30">
        <v>0.11968752369714999</v>
      </c>
      <c r="BC157" s="29">
        <v>77161.416249626098</v>
      </c>
      <c r="BD157" s="30">
        <v>5.7129387491712501E-2</v>
      </c>
      <c r="BE157" s="29"/>
      <c r="BF157" s="30"/>
    </row>
    <row r="158" spans="1:58" x14ac:dyDescent="0.2">
      <c r="A158" s="28">
        <v>2016</v>
      </c>
      <c r="B158" s="28">
        <v>3</v>
      </c>
      <c r="C158" s="29">
        <v>170899.70177711599</v>
      </c>
      <c r="D158" s="30">
        <v>1.9472894107269899E-2</v>
      </c>
      <c r="E158" s="29">
        <v>157685.01248173701</v>
      </c>
      <c r="F158" s="30">
        <v>2.6621072543125499E-2</v>
      </c>
      <c r="G158" s="29">
        <v>110705.429204299</v>
      </c>
      <c r="H158" s="30">
        <v>7.6804758530766301E-3</v>
      </c>
      <c r="I158" s="29">
        <v>90213.078392188705</v>
      </c>
      <c r="J158" s="30">
        <v>7.6597885390605703E-3</v>
      </c>
      <c r="K158" s="29">
        <v>20489.5042217554</v>
      </c>
      <c r="L158" s="30">
        <v>7.7849062786330397E-3</v>
      </c>
      <c r="M158" s="29">
        <v>46661.273941323801</v>
      </c>
      <c r="N158" s="30">
        <v>7.7917805122014405E-2</v>
      </c>
      <c r="O158" s="29">
        <v>45975.956716974499</v>
      </c>
      <c r="P158" s="30">
        <v>2.1992709755196401E-2</v>
      </c>
      <c r="Q158" s="29">
        <v>16918.692974548801</v>
      </c>
      <c r="R158" s="30">
        <v>3.0003980457689E-3</v>
      </c>
      <c r="S158" s="29">
        <v>29059.982608481601</v>
      </c>
      <c r="T158" s="30">
        <v>3.3109574122593501E-2</v>
      </c>
      <c r="U158" s="29"/>
      <c r="V158" s="30"/>
      <c r="W158" s="29"/>
      <c r="X158" s="30"/>
      <c r="Y158" s="29"/>
      <c r="Z158" s="30"/>
      <c r="AA158" s="29">
        <v>114373.31164342399</v>
      </c>
      <c r="AB158" s="30">
        <v>2.27194315493577E-2</v>
      </c>
      <c r="AC158" s="29">
        <v>82986.851799662603</v>
      </c>
      <c r="AD158" s="30">
        <v>2.7847043803857399E-2</v>
      </c>
      <c r="AE158" s="29">
        <v>59081.979011401003</v>
      </c>
      <c r="AF158" s="30">
        <v>2.2736434770154398E-2</v>
      </c>
      <c r="AG158" s="29">
        <v>47805.5493523529</v>
      </c>
      <c r="AH158" s="30">
        <v>7.15513661347775E-2</v>
      </c>
      <c r="AI158" s="29">
        <v>31255.026776130198</v>
      </c>
      <c r="AJ158" s="30">
        <v>9.6904095005141393E-3</v>
      </c>
      <c r="AK158" s="29">
        <v>101236.381818172</v>
      </c>
      <c r="AL158" s="30">
        <v>3.3158475695052897E-2</v>
      </c>
      <c r="AM158" s="29">
        <v>67680.618445303102</v>
      </c>
      <c r="AN158" s="30">
        <v>2.85975383379584E-2</v>
      </c>
      <c r="AO158" s="29">
        <v>44893.862830181497</v>
      </c>
      <c r="AP158" s="30">
        <v>5.7442309878714501E-2</v>
      </c>
      <c r="AQ158" s="29">
        <v>43247.2380012953</v>
      </c>
      <c r="AR158" s="30">
        <v>5.7933489522189199E-2</v>
      </c>
      <c r="AS158" s="29">
        <v>33571.215503758198</v>
      </c>
      <c r="AT158" s="30">
        <v>4.20142160433183E-2</v>
      </c>
      <c r="AU158" s="29">
        <v>245234.439026746</v>
      </c>
      <c r="AV158" s="30">
        <v>1.77752876307413E-2</v>
      </c>
      <c r="AW158" s="29">
        <v>156677.65317383301</v>
      </c>
      <c r="AX158" s="30">
        <v>1.1873518942944E-2</v>
      </c>
      <c r="AY158" s="29">
        <v>88650.364122692597</v>
      </c>
      <c r="AZ158" s="30">
        <v>2.8272540583015499E-2</v>
      </c>
      <c r="BA158" s="29">
        <v>57466.8091672765</v>
      </c>
      <c r="BB158" s="30">
        <v>3.7926414950652902E-2</v>
      </c>
      <c r="BC158" s="29">
        <v>76780.600838394006</v>
      </c>
      <c r="BD158" s="30">
        <v>5.1135872998556001E-2</v>
      </c>
      <c r="BE158" s="29"/>
      <c r="BF158" s="30"/>
    </row>
    <row r="159" spans="1:58" x14ac:dyDescent="0.2">
      <c r="A159" s="28">
        <v>2016</v>
      </c>
      <c r="B159" s="28">
        <v>4</v>
      </c>
      <c r="C159" s="29">
        <v>174842.48926972799</v>
      </c>
      <c r="D159" s="30">
        <v>8.1300853868542192E-3</v>
      </c>
      <c r="E159" s="29">
        <v>160512.25956055699</v>
      </c>
      <c r="F159" s="30">
        <v>-1.61505514585117E-2</v>
      </c>
      <c r="G159" s="29">
        <v>113389.321423773</v>
      </c>
      <c r="H159" s="30">
        <v>1.37074569705142E-2</v>
      </c>
      <c r="I159" s="29">
        <v>92741.759226068098</v>
      </c>
      <c r="J159" s="30">
        <v>1.45702921695436E-2</v>
      </c>
      <c r="K159" s="29">
        <v>20639.3322408243</v>
      </c>
      <c r="L159" s="30">
        <v>9.9733442736498201E-3</v>
      </c>
      <c r="M159" s="29">
        <v>46740.4880571213</v>
      </c>
      <c r="N159" s="30">
        <v>-8.6618374402267398E-2</v>
      </c>
      <c r="O159" s="29">
        <v>48549.460270316697</v>
      </c>
      <c r="P159" s="30">
        <v>3.0419437652651399E-2</v>
      </c>
      <c r="Q159" s="29">
        <v>17456.480150810999</v>
      </c>
      <c r="R159" s="30">
        <v>-1.2701994707804401E-3</v>
      </c>
      <c r="S159" s="29">
        <v>31095.550979766002</v>
      </c>
      <c r="T159" s="30">
        <v>4.8957098990891602E-2</v>
      </c>
      <c r="U159" s="29"/>
      <c r="V159" s="30"/>
      <c r="W159" s="29"/>
      <c r="X159" s="30"/>
      <c r="Y159" s="29"/>
      <c r="Z159" s="30"/>
      <c r="AA159" s="29">
        <v>125939.597306563</v>
      </c>
      <c r="AB159" s="30">
        <v>7.8884476632964801E-2</v>
      </c>
      <c r="AC159" s="29">
        <v>90983.610485011901</v>
      </c>
      <c r="AD159" s="30">
        <v>8.0890649192152206E-2</v>
      </c>
      <c r="AE159" s="29">
        <v>61814.670112878797</v>
      </c>
      <c r="AF159" s="30">
        <v>4.2160288407116199E-2</v>
      </c>
      <c r="AG159" s="29">
        <v>48409.126536694101</v>
      </c>
      <c r="AH159" s="30">
        <v>1.1230797101567901E-2</v>
      </c>
      <c r="AI159" s="29">
        <v>34786.582714261298</v>
      </c>
      <c r="AJ159" s="30">
        <v>7.3367587042489496E-2</v>
      </c>
      <c r="AK159" s="29">
        <v>112398.695126269</v>
      </c>
      <c r="AL159" s="30">
        <v>5.2754573268396103E-2</v>
      </c>
      <c r="AM159" s="29">
        <v>75177.333417033704</v>
      </c>
      <c r="AN159" s="30">
        <v>4.7631820209147899E-2</v>
      </c>
      <c r="AO159" s="29">
        <v>46637.921936572297</v>
      </c>
      <c r="AP159" s="30">
        <v>2.1959458500821999E-3</v>
      </c>
      <c r="AQ159" s="29">
        <v>44737.999541090001</v>
      </c>
      <c r="AR159" s="30">
        <v>-3.0520549285639699E-3</v>
      </c>
      <c r="AS159" s="29">
        <v>37240.518891133397</v>
      </c>
      <c r="AT159" s="30">
        <v>6.2707977863197997E-2</v>
      </c>
      <c r="AU159" s="29">
        <v>255815.29077587501</v>
      </c>
      <c r="AV159" s="30">
        <v>3.0780639315894899E-2</v>
      </c>
      <c r="AW159" s="29">
        <v>161947.01731219</v>
      </c>
      <c r="AX159" s="30">
        <v>1.86737492288187E-2</v>
      </c>
      <c r="AY159" s="29">
        <v>93888.285808711793</v>
      </c>
      <c r="AZ159" s="30">
        <v>5.1943496449173197E-2</v>
      </c>
      <c r="BA159" s="29">
        <v>59222.993981800297</v>
      </c>
      <c r="BB159" s="30">
        <v>3.9333052981271703E-2</v>
      </c>
      <c r="BC159" s="29">
        <v>81876.0586142026</v>
      </c>
      <c r="BD159" s="30">
        <v>2.5104806064708999E-2</v>
      </c>
      <c r="BE159" s="29"/>
      <c r="BF159" s="30"/>
    </row>
    <row r="160" spans="1:58" x14ac:dyDescent="0.2">
      <c r="A160" s="28">
        <v>2017</v>
      </c>
      <c r="B160" s="28">
        <v>1</v>
      </c>
      <c r="C160" s="29">
        <v>169865.56568416799</v>
      </c>
      <c r="D160" s="30">
        <v>1.0718090306248E-2</v>
      </c>
      <c r="E160" s="29">
        <v>165013.88434905701</v>
      </c>
      <c r="F160" s="30">
        <v>3.1124846877259599E-3</v>
      </c>
      <c r="G160" s="29">
        <v>112418.388034555</v>
      </c>
      <c r="H160" s="30">
        <v>1.6484868926376801E-2</v>
      </c>
      <c r="I160" s="29">
        <v>91770.330335127597</v>
      </c>
      <c r="J160" s="30">
        <v>1.7682345073652999E-2</v>
      </c>
      <c r="K160" s="29">
        <v>20643.389174500298</v>
      </c>
      <c r="L160" s="30">
        <v>1.11492552824157E-2</v>
      </c>
      <c r="M160" s="29">
        <v>52477.056796988698</v>
      </c>
      <c r="N160" s="30">
        <v>-2.79123122569159E-2</v>
      </c>
      <c r="O160" s="29">
        <v>45866.877555227402</v>
      </c>
      <c r="P160" s="30">
        <v>3.4642210775000397E-2</v>
      </c>
      <c r="Q160" s="29">
        <v>15105.563358858601</v>
      </c>
      <c r="R160" s="30">
        <v>6.1022991803878499E-3</v>
      </c>
      <c r="S160" s="29">
        <v>30767.209086829698</v>
      </c>
      <c r="T160" s="30">
        <v>4.9399440705689898E-2</v>
      </c>
      <c r="U160" s="29"/>
      <c r="V160" s="30"/>
      <c r="W160" s="29"/>
      <c r="X160" s="30"/>
      <c r="Y160" s="29"/>
      <c r="Z160" s="30"/>
      <c r="AA160" s="29">
        <v>109105.23063628199</v>
      </c>
      <c r="AB160" s="30">
        <v>1.4214068515802101E-2</v>
      </c>
      <c r="AC160" s="29">
        <v>79586.105929083802</v>
      </c>
      <c r="AD160" s="30">
        <v>1.31593932772247E-2</v>
      </c>
      <c r="AE160" s="29">
        <v>61989.072353159798</v>
      </c>
      <c r="AF160" s="30">
        <v>2.4106900187107001E-2</v>
      </c>
      <c r="AG160" s="29">
        <v>50536.167188387699</v>
      </c>
      <c r="AH160" s="30">
        <v>8.5668599056983902E-2</v>
      </c>
      <c r="AI160" s="29">
        <v>29421.724466389998</v>
      </c>
      <c r="AJ160" s="30">
        <v>1.69565751110414E-2</v>
      </c>
      <c r="AK160" s="29">
        <v>104547.881962895</v>
      </c>
      <c r="AL160" s="30">
        <v>2.2097120335828899E-3</v>
      </c>
      <c r="AM160" s="29">
        <v>70474.814506434501</v>
      </c>
      <c r="AN160" s="30">
        <v>-1.6971910291387698E-2</v>
      </c>
      <c r="AO160" s="29">
        <v>45983.509664244601</v>
      </c>
      <c r="AP160" s="30">
        <v>8.0662874788908195E-3</v>
      </c>
      <c r="AQ160" s="29">
        <v>43852.060902107303</v>
      </c>
      <c r="AR160" s="30">
        <v>1.1779395114373901E-2</v>
      </c>
      <c r="AS160" s="29">
        <v>34132.6100261959</v>
      </c>
      <c r="AT160" s="30">
        <v>4.2034958556509003E-2</v>
      </c>
      <c r="AU160" s="29">
        <v>246930.27336472101</v>
      </c>
      <c r="AV160" s="30">
        <v>2.06026405370059E-2</v>
      </c>
      <c r="AW160" s="29">
        <v>158280.19811959399</v>
      </c>
      <c r="AX160" s="30">
        <v>2.1759525876269899E-2</v>
      </c>
      <c r="AY160" s="29">
        <v>88751.951910187097</v>
      </c>
      <c r="AZ160" s="30">
        <v>1.84309260815083E-2</v>
      </c>
      <c r="BA160" s="29">
        <v>59368.300262084398</v>
      </c>
      <c r="BB160" s="30">
        <v>1.9437211745745302E-2</v>
      </c>
      <c r="BC160" s="29">
        <v>77945.811468407803</v>
      </c>
      <c r="BD160" s="30">
        <v>2.4501344906080198E-2</v>
      </c>
      <c r="BE160" s="29"/>
      <c r="BF160" s="30"/>
    </row>
    <row r="161" spans="1:58" x14ac:dyDescent="0.2">
      <c r="A161" s="28">
        <v>2017</v>
      </c>
      <c r="B161" s="28">
        <v>2</v>
      </c>
      <c r="C161" s="29">
        <v>172696.163151824</v>
      </c>
      <c r="D161" s="30">
        <v>6.6644700073039704E-3</v>
      </c>
      <c r="E161" s="29">
        <v>159133.688084778</v>
      </c>
      <c r="F161" s="30">
        <v>8.9315619372358802E-3</v>
      </c>
      <c r="G161" s="29">
        <v>111775.26268197301</v>
      </c>
      <c r="H161" s="30">
        <v>1.5583850604376399E-2</v>
      </c>
      <c r="I161" s="29">
        <v>91084.005647039099</v>
      </c>
      <c r="J161" s="30">
        <v>1.6477037154181098E-2</v>
      </c>
      <c r="K161" s="29">
        <v>20687.681631506701</v>
      </c>
      <c r="L161" s="30">
        <v>1.1574443036037401E-2</v>
      </c>
      <c r="M161" s="29">
        <v>47074.705391112802</v>
      </c>
      <c r="N161" s="30">
        <v>-6.9205475028173398E-3</v>
      </c>
      <c r="O161" s="29">
        <v>48084.6338014215</v>
      </c>
      <c r="P161" s="30">
        <v>3.1413828891514901E-2</v>
      </c>
      <c r="Q161" s="29">
        <v>16801.444433688099</v>
      </c>
      <c r="R161" s="30">
        <v>1.4771474161789901E-2</v>
      </c>
      <c r="S161" s="29">
        <v>31286.477588336002</v>
      </c>
      <c r="T161" s="30">
        <v>4.0608506596171899E-2</v>
      </c>
      <c r="U161" s="29"/>
      <c r="V161" s="30"/>
      <c r="W161" s="29"/>
      <c r="X161" s="30"/>
      <c r="Y161" s="29"/>
      <c r="Z161" s="30"/>
      <c r="AA161" s="29">
        <v>115849.321201265</v>
      </c>
      <c r="AB161" s="30">
        <v>-7.7694811786962496E-3</v>
      </c>
      <c r="AC161" s="29">
        <v>86566.964110113695</v>
      </c>
      <c r="AD161" s="30">
        <v>-3.0726975338870601E-3</v>
      </c>
      <c r="AE161" s="29">
        <v>64314.363966143697</v>
      </c>
      <c r="AF161" s="30">
        <v>1.36078100145887E-2</v>
      </c>
      <c r="AG161" s="29">
        <v>50751.115113788699</v>
      </c>
      <c r="AH161" s="30">
        <v>3.5106242900176103E-2</v>
      </c>
      <c r="AI161" s="29">
        <v>29273.068152673401</v>
      </c>
      <c r="AJ161" s="30">
        <v>-2.1643676917999202E-2</v>
      </c>
      <c r="AK161" s="29">
        <v>102451.86818610701</v>
      </c>
      <c r="AL161" s="30">
        <v>-6.6222407604823504E-3</v>
      </c>
      <c r="AM161" s="29">
        <v>68716.363552143594</v>
      </c>
      <c r="AN161" s="30">
        <v>-3.4641831643869803E-2</v>
      </c>
      <c r="AO161" s="29">
        <v>48093.004202807002</v>
      </c>
      <c r="AP161" s="30">
        <v>9.9985015966970198E-3</v>
      </c>
      <c r="AQ161" s="29">
        <v>45948.795970983199</v>
      </c>
      <c r="AR161" s="30">
        <v>2.0402185593314099E-2</v>
      </c>
      <c r="AS161" s="29">
        <v>33780.832233704597</v>
      </c>
      <c r="AT161" s="30">
        <v>5.2402815701540803E-2</v>
      </c>
      <c r="AU161" s="29">
        <v>250919.39081343499</v>
      </c>
      <c r="AV161" s="30">
        <v>1.31314650536656E-2</v>
      </c>
      <c r="AW161" s="29">
        <v>159861.91532456901</v>
      </c>
      <c r="AX161" s="30">
        <v>2.0282004808694201E-2</v>
      </c>
      <c r="AY161" s="29">
        <v>91126.055967975102</v>
      </c>
      <c r="AZ161" s="30">
        <v>1.41787011029271E-3</v>
      </c>
      <c r="BA161" s="29">
        <v>61878.968083905202</v>
      </c>
      <c r="BB161" s="30">
        <v>1.28943717198544E-2</v>
      </c>
      <c r="BC161" s="29">
        <v>79729.749349932099</v>
      </c>
      <c r="BD161" s="30">
        <v>3.32851990688856E-2</v>
      </c>
      <c r="BE161" s="29"/>
      <c r="BF161" s="30"/>
    </row>
    <row r="162" spans="1:58" x14ac:dyDescent="0.2">
      <c r="A162" s="28">
        <v>2017</v>
      </c>
      <c r="B162" s="28">
        <v>3</v>
      </c>
      <c r="C162" s="29">
        <v>173215.981346858</v>
      </c>
      <c r="D162" s="30">
        <v>1.35534441877656E-2</v>
      </c>
      <c r="E162" s="29">
        <v>163222.877887726</v>
      </c>
      <c r="F162" s="30">
        <v>3.5119795590147898E-2</v>
      </c>
      <c r="G162" s="29">
        <v>112598.696379678</v>
      </c>
      <c r="H162" s="30">
        <v>1.7101845763009001E-2</v>
      </c>
      <c r="I162" s="29">
        <v>91792.1150834414</v>
      </c>
      <c r="J162" s="30">
        <v>1.75034121370745E-2</v>
      </c>
      <c r="K162" s="29">
        <v>20802.734270266301</v>
      </c>
      <c r="L162" s="30">
        <v>1.5287341514996999E-2</v>
      </c>
      <c r="M162" s="29">
        <v>50436.438783615296</v>
      </c>
      <c r="N162" s="30">
        <v>8.0905738815420403E-2</v>
      </c>
      <c r="O162" s="29">
        <v>48295.4633224106</v>
      </c>
      <c r="P162" s="30">
        <v>5.0450426071933403E-2</v>
      </c>
      <c r="Q162" s="29">
        <v>17130.672341998801</v>
      </c>
      <c r="R162" s="30">
        <v>1.2529299264953501E-2</v>
      </c>
      <c r="S162" s="29">
        <v>31167.328202886099</v>
      </c>
      <c r="T162" s="30">
        <v>7.2517097576977302E-2</v>
      </c>
      <c r="U162" s="29"/>
      <c r="V162" s="30"/>
      <c r="W162" s="29"/>
      <c r="X162" s="30"/>
      <c r="Y162" s="29"/>
      <c r="Z162" s="30"/>
      <c r="AA162" s="29">
        <v>115375.443412059</v>
      </c>
      <c r="AB162" s="30">
        <v>8.7619371533089706E-3</v>
      </c>
      <c r="AC162" s="29">
        <v>82964.555263714603</v>
      </c>
      <c r="AD162" s="30">
        <v>-2.68675524670692E-4</v>
      </c>
      <c r="AE162" s="29">
        <v>65877.436204478101</v>
      </c>
      <c r="AF162" s="30">
        <v>0.11501742674811</v>
      </c>
      <c r="AG162" s="29">
        <v>49532.681902764903</v>
      </c>
      <c r="AH162" s="30">
        <v>3.6128285812220898E-2</v>
      </c>
      <c r="AI162" s="29">
        <v>32253.308020349901</v>
      </c>
      <c r="AJ162" s="30">
        <v>3.1939862069867903E-2</v>
      </c>
      <c r="AK162" s="29">
        <v>105676.571265017</v>
      </c>
      <c r="AL162" s="30">
        <v>4.3859622075596197E-2</v>
      </c>
      <c r="AM162" s="29">
        <v>69873.311920530497</v>
      </c>
      <c r="AN162" s="30">
        <v>3.2397657196342501E-2</v>
      </c>
      <c r="AO162" s="29">
        <v>46560.490129443897</v>
      </c>
      <c r="AP162" s="30">
        <v>3.7123722357479599E-2</v>
      </c>
      <c r="AQ162" s="29">
        <v>44486.353488943103</v>
      </c>
      <c r="AR162" s="30">
        <v>2.8651898824398201E-2</v>
      </c>
      <c r="AS162" s="29">
        <v>35812.107529237699</v>
      </c>
      <c r="AT162" s="30">
        <v>6.6750398871578506E-2</v>
      </c>
      <c r="AU162" s="29">
        <v>256056.35793948299</v>
      </c>
      <c r="AV162" s="30">
        <v>4.4128870951755501E-2</v>
      </c>
      <c r="AW162" s="29">
        <v>160895.785357908</v>
      </c>
      <c r="AX162" s="30">
        <v>2.6922360008768201E-2</v>
      </c>
      <c r="AY162" s="29">
        <v>95150.341428386004</v>
      </c>
      <c r="AZ162" s="30">
        <v>7.3321495856434299E-2</v>
      </c>
      <c r="BA162" s="29">
        <v>62947.806465396599</v>
      </c>
      <c r="BB162" s="30">
        <v>9.5376746639366197E-2</v>
      </c>
      <c r="BC162" s="29">
        <v>80234.628583576996</v>
      </c>
      <c r="BD162" s="30">
        <v>4.4985682678532202E-2</v>
      </c>
      <c r="BE162" s="29"/>
      <c r="BF162" s="30"/>
    </row>
    <row r="163" spans="1:58" x14ac:dyDescent="0.2">
      <c r="A163" s="28">
        <v>2017</v>
      </c>
      <c r="B163" s="28">
        <v>4</v>
      </c>
      <c r="C163" s="29">
        <v>179316.04720187801</v>
      </c>
      <c r="D163" s="30">
        <v>2.5586217348167399E-2</v>
      </c>
      <c r="E163" s="29">
        <v>164727.49126411401</v>
      </c>
      <c r="F163" s="30">
        <v>2.6261119961160699E-2</v>
      </c>
      <c r="G163" s="29">
        <v>114387.31096893099</v>
      </c>
      <c r="H163" s="30">
        <v>8.8014420813766793E-3</v>
      </c>
      <c r="I163" s="29">
        <v>93372.294358187894</v>
      </c>
      <c r="J163" s="30">
        <v>6.7988265198082303E-3</v>
      </c>
      <c r="K163" s="29">
        <v>21010.301512799801</v>
      </c>
      <c r="L163" s="30">
        <v>1.7973898944351599E-2</v>
      </c>
      <c r="M163" s="29">
        <v>50112.870586105797</v>
      </c>
      <c r="N163" s="30">
        <v>7.2151204858262694E-2</v>
      </c>
      <c r="O163" s="29">
        <v>50853.968114790798</v>
      </c>
      <c r="P163" s="30">
        <v>4.7467218618762401E-2</v>
      </c>
      <c r="Q163" s="29">
        <v>17881.532066897398</v>
      </c>
      <c r="R163" s="30">
        <v>2.4349233775325101E-2</v>
      </c>
      <c r="S163" s="29">
        <v>32975.5768742289</v>
      </c>
      <c r="T163" s="30">
        <v>6.0459642464166401E-2</v>
      </c>
      <c r="U163" s="29"/>
      <c r="V163" s="30"/>
      <c r="W163" s="29"/>
      <c r="X163" s="30"/>
      <c r="Y163" s="29"/>
      <c r="Z163" s="30"/>
      <c r="AA163" s="29">
        <v>120558.700637549</v>
      </c>
      <c r="AB163" s="30">
        <v>-4.2726011390328701E-2</v>
      </c>
      <c r="AC163" s="29">
        <v>87960.352240354594</v>
      </c>
      <c r="AD163" s="30">
        <v>-3.3228602696035899E-2</v>
      </c>
      <c r="AE163" s="29">
        <v>66995.826450633002</v>
      </c>
      <c r="AF163" s="30">
        <v>8.3817584536049594E-2</v>
      </c>
      <c r="AG163" s="29">
        <v>51483.665864431299</v>
      </c>
      <c r="AH163" s="30">
        <v>6.3511563783468894E-2</v>
      </c>
      <c r="AI163" s="29">
        <v>32491.6178254605</v>
      </c>
      <c r="AJ163" s="30">
        <v>-6.5972702971480196E-2</v>
      </c>
      <c r="AK163" s="29">
        <v>106132.426771051</v>
      </c>
      <c r="AL163" s="30">
        <v>-5.5750365679761098E-2</v>
      </c>
      <c r="AM163" s="29">
        <v>68107.939853863296</v>
      </c>
      <c r="AN163" s="30">
        <v>-9.4036237278517704E-2</v>
      </c>
      <c r="AO163" s="29">
        <v>50282.620156065597</v>
      </c>
      <c r="AP163" s="30">
        <v>7.8148812557516906E-2</v>
      </c>
      <c r="AQ163" s="29">
        <v>48163.4664945681</v>
      </c>
      <c r="AR163" s="30">
        <v>7.6567280357093995E-2</v>
      </c>
      <c r="AS163" s="29">
        <v>37955.4905735555</v>
      </c>
      <c r="AT163" s="30">
        <v>1.9198757259861299E-2</v>
      </c>
      <c r="AU163" s="29">
        <v>260667.51438932901</v>
      </c>
      <c r="AV163" s="30">
        <v>1.8967684061172298E-2</v>
      </c>
      <c r="AW163" s="29">
        <v>165248.02784981299</v>
      </c>
      <c r="AX163" s="30">
        <v>2.0383274680872501E-2</v>
      </c>
      <c r="AY163" s="29">
        <v>95461.1925824754</v>
      </c>
      <c r="AZ163" s="30">
        <v>1.6752960821631899E-2</v>
      </c>
      <c r="BA163" s="29">
        <v>63022.376468811301</v>
      </c>
      <c r="BB163" s="30">
        <v>6.4153840114509905E-2</v>
      </c>
      <c r="BC163" s="29">
        <v>86066.662023691504</v>
      </c>
      <c r="BD163" s="30">
        <v>5.1182280637554103E-2</v>
      </c>
      <c r="BE163" s="29"/>
      <c r="BF163" s="30"/>
    </row>
    <row r="164" spans="1:58" x14ac:dyDescent="0.2">
      <c r="A164" s="28">
        <v>2018</v>
      </c>
      <c r="B164" s="28">
        <v>1</v>
      </c>
      <c r="C164" s="29">
        <v>175978.890035769</v>
      </c>
      <c r="D164" s="30">
        <v>3.5989191376009998E-2</v>
      </c>
      <c r="E164" s="29">
        <v>158173.420715329</v>
      </c>
      <c r="F164" s="30">
        <v>-4.1453867113741501E-2</v>
      </c>
      <c r="G164" s="29">
        <v>113015.827584592</v>
      </c>
      <c r="H164" s="30">
        <v>5.3144290759001801E-3</v>
      </c>
      <c r="I164" s="29">
        <v>92105.618849664694</v>
      </c>
      <c r="J164" s="30">
        <v>3.6535611598287302E-3</v>
      </c>
      <c r="K164" s="29">
        <v>20906.932953325901</v>
      </c>
      <c r="L164" s="30">
        <v>1.2766497622936E-2</v>
      </c>
      <c r="M164" s="29">
        <v>44773.342455452701</v>
      </c>
      <c r="N164" s="30">
        <v>-0.14680157028124399</v>
      </c>
      <c r="O164" s="29">
        <v>48102.478306718796</v>
      </c>
      <c r="P164" s="30">
        <v>4.87410713493521E-2</v>
      </c>
      <c r="Q164" s="29">
        <v>15194.043633601101</v>
      </c>
      <c r="R164" s="30">
        <v>5.8574627533254401E-3</v>
      </c>
      <c r="S164" s="29">
        <v>32904.736833006296</v>
      </c>
      <c r="T164" s="30">
        <v>6.9474216531768093E-2</v>
      </c>
      <c r="U164" s="29"/>
      <c r="V164" s="30"/>
      <c r="W164" s="29"/>
      <c r="X164" s="30"/>
      <c r="Y164" s="29"/>
      <c r="Z164" s="30"/>
      <c r="AA164" s="29">
        <v>121254.22641021499</v>
      </c>
      <c r="AB164" s="30">
        <v>0.111351176319249</v>
      </c>
      <c r="AC164" s="29">
        <v>88597.2012680771</v>
      </c>
      <c r="AD164" s="30">
        <v>0.113224478491544</v>
      </c>
      <c r="AE164" s="29">
        <v>69292.047133950298</v>
      </c>
      <c r="AF164" s="30">
        <v>0.117810680230612</v>
      </c>
      <c r="AG164" s="29">
        <v>52271.232278905103</v>
      </c>
      <c r="AH164" s="30">
        <v>3.4333135792619103E-2</v>
      </c>
      <c r="AI164" s="29">
        <v>32556.537754968002</v>
      </c>
      <c r="AJ164" s="30">
        <v>0.106547571409657</v>
      </c>
      <c r="AK164" s="29">
        <v>103678.510630002</v>
      </c>
      <c r="AL164" s="30">
        <v>-8.3155327163946195E-3</v>
      </c>
      <c r="AM164" s="29">
        <v>68725.574029666896</v>
      </c>
      <c r="AN164" s="30">
        <v>-2.4820788660719399E-2</v>
      </c>
      <c r="AO164" s="29">
        <v>50656.5454852822</v>
      </c>
      <c r="AP164" s="30">
        <v>0.101624166036009</v>
      </c>
      <c r="AQ164" s="29">
        <v>48597.552453499098</v>
      </c>
      <c r="AR164" s="30">
        <v>0.108215929964738</v>
      </c>
      <c r="AS164" s="29">
        <v>34968.511867960398</v>
      </c>
      <c r="AT164" s="30">
        <v>2.4489830725601E-2</v>
      </c>
      <c r="AU164" s="29">
        <v>259699.55495671401</v>
      </c>
      <c r="AV164" s="30">
        <v>5.1712094341438003E-2</v>
      </c>
      <c r="AW164" s="29">
        <v>161120.19061284699</v>
      </c>
      <c r="AX164" s="30">
        <v>1.79428161386763E-2</v>
      </c>
      <c r="AY164" s="29">
        <v>98473.803661897502</v>
      </c>
      <c r="AZ164" s="30">
        <v>0.109539582425731</v>
      </c>
      <c r="BA164" s="29">
        <v>65955.072528975899</v>
      </c>
      <c r="BB164" s="30">
        <v>0.110947630937956</v>
      </c>
      <c r="BC164" s="29">
        <v>83585.609968120203</v>
      </c>
      <c r="BD164" s="30">
        <v>7.2355376042216604E-2</v>
      </c>
      <c r="BE164" s="29"/>
      <c r="BF164" s="30"/>
    </row>
    <row r="165" spans="1:58" x14ac:dyDescent="0.2">
      <c r="A165" s="28">
        <v>2018</v>
      </c>
      <c r="B165" s="28">
        <v>2</v>
      </c>
      <c r="C165" s="29">
        <v>180373.48431001499</v>
      </c>
      <c r="D165" s="30">
        <v>4.44556556328441E-2</v>
      </c>
      <c r="E165" s="29">
        <v>165271.822971652</v>
      </c>
      <c r="F165" s="30">
        <v>3.8572190217852603E-2</v>
      </c>
      <c r="G165" s="29">
        <v>112110.062059009</v>
      </c>
      <c r="H165" s="30">
        <v>2.99529045159841E-3</v>
      </c>
      <c r="I165" s="29">
        <v>91205.391129140306</v>
      </c>
      <c r="J165" s="30">
        <v>1.3326761514156299E-3</v>
      </c>
      <c r="K165" s="29">
        <v>20903.330832732801</v>
      </c>
      <c r="L165" s="30">
        <v>1.0424039052193501E-2</v>
      </c>
      <c r="M165" s="29">
        <v>53071.1133843235</v>
      </c>
      <c r="N165" s="30">
        <v>0.12738068020586599</v>
      </c>
      <c r="O165" s="29">
        <v>49485.457828599603</v>
      </c>
      <c r="P165" s="30">
        <v>2.9132467410757399E-2</v>
      </c>
      <c r="Q165" s="29">
        <v>17050.9084128377</v>
      </c>
      <c r="R165" s="30">
        <v>1.4847769793491899E-2</v>
      </c>
      <c r="S165" s="29">
        <v>32437.864999449299</v>
      </c>
      <c r="T165" s="30">
        <v>3.6801439467335099E-2</v>
      </c>
      <c r="U165" s="29"/>
      <c r="V165" s="30"/>
      <c r="W165" s="29"/>
      <c r="X165" s="30"/>
      <c r="Y165" s="29"/>
      <c r="Z165" s="30"/>
      <c r="AA165" s="29">
        <v>120056.497322932</v>
      </c>
      <c r="AB165" s="30">
        <v>3.6315932437426701E-2</v>
      </c>
      <c r="AC165" s="29">
        <v>87210.462937730394</v>
      </c>
      <c r="AD165" s="30">
        <v>7.4335381196699597E-3</v>
      </c>
      <c r="AE165" s="29">
        <v>69371.469404678195</v>
      </c>
      <c r="AF165" s="30">
        <v>7.8631041756030806E-2</v>
      </c>
      <c r="AG165" s="29">
        <v>53806.885565190401</v>
      </c>
      <c r="AH165" s="30">
        <v>6.0210902648155401E-2</v>
      </c>
      <c r="AI165" s="29">
        <v>32728.972961524702</v>
      </c>
      <c r="AJ165" s="30">
        <v>0.118057485154173</v>
      </c>
      <c r="AK165" s="29">
        <v>105103.52232561</v>
      </c>
      <c r="AL165" s="30">
        <v>2.58819500947109E-2</v>
      </c>
      <c r="AM165" s="29">
        <v>71232.606889014103</v>
      </c>
      <c r="AN165" s="30">
        <v>3.66178186213406E-2</v>
      </c>
      <c r="AO165" s="29">
        <v>52047.594886976702</v>
      </c>
      <c r="AP165" s="30">
        <v>8.2227982005310701E-2</v>
      </c>
      <c r="AQ165" s="29">
        <v>50004.647960900402</v>
      </c>
      <c r="AR165" s="30">
        <v>8.8268950343736594E-2</v>
      </c>
      <c r="AS165" s="29">
        <v>33950.711018990303</v>
      </c>
      <c r="AT165" s="30">
        <v>5.0288513944953799E-3</v>
      </c>
      <c r="AU165" s="29">
        <v>259606.09293654101</v>
      </c>
      <c r="AV165" s="30">
        <v>3.4619493116677898E-2</v>
      </c>
      <c r="AW165" s="29">
        <v>161593.746302858</v>
      </c>
      <c r="AX165" s="30">
        <v>1.0833293062782801E-2</v>
      </c>
      <c r="AY165" s="29">
        <v>97928.836308674901</v>
      </c>
      <c r="AZ165" s="30">
        <v>7.4652417120856004E-2</v>
      </c>
      <c r="BA165" s="29">
        <v>65246.866413023003</v>
      </c>
      <c r="BB165" s="30">
        <v>5.4427189615557897E-2</v>
      </c>
      <c r="BC165" s="29">
        <v>84020.0367059649</v>
      </c>
      <c r="BD165" s="30">
        <v>5.3810370545665197E-2</v>
      </c>
      <c r="BE165" s="29"/>
      <c r="BF165" s="30"/>
    </row>
    <row r="166" spans="1:58" x14ac:dyDescent="0.2">
      <c r="A166" s="28">
        <v>2018</v>
      </c>
      <c r="B166" s="28">
        <v>3</v>
      </c>
      <c r="C166" s="29">
        <v>178319.21833062</v>
      </c>
      <c r="D166" s="30">
        <v>2.94616983033602E-2</v>
      </c>
      <c r="E166" s="29">
        <v>166586.82638281901</v>
      </c>
      <c r="F166" s="30">
        <v>2.0609540394249899E-2</v>
      </c>
      <c r="G166" s="29">
        <v>112414.17322203401</v>
      </c>
      <c r="H166" s="30">
        <v>-1.6387681525411599E-3</v>
      </c>
      <c r="I166" s="29">
        <v>91472.816803818001</v>
      </c>
      <c r="J166" s="30">
        <v>-3.4784935430797201E-3</v>
      </c>
      <c r="K166" s="29">
        <v>20939.776777329502</v>
      </c>
      <c r="L166" s="30">
        <v>6.5877160801444097E-3</v>
      </c>
      <c r="M166" s="29">
        <v>54111.856550130797</v>
      </c>
      <c r="N166" s="30">
        <v>7.2872269635926495E-2</v>
      </c>
      <c r="O166" s="29">
        <v>48111.158525936597</v>
      </c>
      <c r="P166" s="30">
        <v>-3.8161927393392E-3</v>
      </c>
      <c r="Q166" s="29">
        <v>17101.959435242999</v>
      </c>
      <c r="R166" s="30">
        <v>-1.6761109069500799E-3</v>
      </c>
      <c r="S166" s="29">
        <v>31015.052765246499</v>
      </c>
      <c r="T166" s="30">
        <v>-4.8857392153833796E-3</v>
      </c>
      <c r="U166" s="29"/>
      <c r="V166" s="30"/>
      <c r="W166" s="29"/>
      <c r="X166" s="30"/>
      <c r="Y166" s="29"/>
      <c r="Z166" s="30"/>
      <c r="AA166" s="29">
        <v>118178.661002692</v>
      </c>
      <c r="AB166" s="30">
        <v>2.4296483790068098E-2</v>
      </c>
      <c r="AC166" s="29">
        <v>84955.863579556506</v>
      </c>
      <c r="AD166" s="30">
        <v>2.4001916354668501E-2</v>
      </c>
      <c r="AE166" s="29">
        <v>65054.168032442903</v>
      </c>
      <c r="AF166" s="30">
        <v>-1.24969673907758E-2</v>
      </c>
      <c r="AG166" s="29">
        <v>49620.406570002502</v>
      </c>
      <c r="AH166" s="30">
        <v>1.7710461834019599E-3</v>
      </c>
      <c r="AI166" s="29">
        <v>33076.989015262698</v>
      </c>
      <c r="AJ166" s="30">
        <v>2.5537876437143399E-2</v>
      </c>
      <c r="AK166" s="29">
        <v>106659.69339525601</v>
      </c>
      <c r="AL166" s="30">
        <v>9.3031229010334098E-3</v>
      </c>
      <c r="AM166" s="29">
        <v>71953.8034321179</v>
      </c>
      <c r="AN166" s="30">
        <v>2.97751953414431E-2</v>
      </c>
      <c r="AO166" s="29">
        <v>47864.7005902089</v>
      </c>
      <c r="AP166" s="30">
        <v>2.8011098189454801E-2</v>
      </c>
      <c r="AQ166" s="29">
        <v>46253.781024960903</v>
      </c>
      <c r="AR166" s="30">
        <v>3.9729656341850099E-2</v>
      </c>
      <c r="AS166" s="29">
        <v>34773.205781454497</v>
      </c>
      <c r="AT166" s="30">
        <v>-2.9009790807062799E-2</v>
      </c>
      <c r="AU166" s="29">
        <v>254366.854634719</v>
      </c>
      <c r="AV166" s="30">
        <v>-6.5981697090425903E-3</v>
      </c>
      <c r="AW166" s="29">
        <v>160526.66101578801</v>
      </c>
      <c r="AX166" s="30">
        <v>-2.2941827922909898E-3</v>
      </c>
      <c r="AY166" s="29">
        <v>93849.232338211499</v>
      </c>
      <c r="AZ166" s="30">
        <v>-1.36742451014092E-2</v>
      </c>
      <c r="BA166" s="29">
        <v>60862.941048885201</v>
      </c>
      <c r="BB166" s="30">
        <v>-3.3120541184505498E-2</v>
      </c>
      <c r="BC166" s="29">
        <v>81012.857707819901</v>
      </c>
      <c r="BD166" s="30">
        <v>9.6994170469952793E-3</v>
      </c>
      <c r="BE166" s="29"/>
      <c r="BF166" s="30"/>
    </row>
    <row r="167" spans="1:58" x14ac:dyDescent="0.2">
      <c r="A167" s="28">
        <v>2018</v>
      </c>
      <c r="B167" s="28">
        <v>4</v>
      </c>
      <c r="C167" s="29">
        <v>183550.94035485201</v>
      </c>
      <c r="D167" s="30">
        <v>2.36169222947826E-2</v>
      </c>
      <c r="E167" s="29">
        <v>170520.22209423201</v>
      </c>
      <c r="F167" s="30">
        <v>3.5165537856882E-2</v>
      </c>
      <c r="G167" s="29">
        <v>114602.227566325</v>
      </c>
      <c r="H167" s="30">
        <v>1.8788499840947099E-3</v>
      </c>
      <c r="I167" s="29">
        <v>93537.322984993501</v>
      </c>
      <c r="J167" s="30">
        <v>1.76742606508595E-3</v>
      </c>
      <c r="K167" s="29">
        <v>21059.9470741757</v>
      </c>
      <c r="L167" s="30">
        <v>2.3629152273558799E-3</v>
      </c>
      <c r="M167" s="29">
        <v>55880.007442740898</v>
      </c>
      <c r="N167" s="30">
        <v>0.115082947537913</v>
      </c>
      <c r="O167" s="29">
        <v>50057.4451668888</v>
      </c>
      <c r="P167" s="30">
        <v>-1.5662945831562601E-2</v>
      </c>
      <c r="Q167" s="29">
        <v>17588.130295771502</v>
      </c>
      <c r="R167" s="30">
        <v>-1.64080890847744E-2</v>
      </c>
      <c r="S167" s="29">
        <v>32474.374154293899</v>
      </c>
      <c r="T167" s="30">
        <v>-1.51992100652739E-2</v>
      </c>
      <c r="U167" s="29"/>
      <c r="V167" s="30"/>
      <c r="W167" s="29"/>
      <c r="X167" s="30"/>
      <c r="Y167" s="29"/>
      <c r="Z167" s="30"/>
      <c r="AA167" s="29">
        <v>118642.6871748</v>
      </c>
      <c r="AB167" s="30">
        <v>-1.58927846154359E-2</v>
      </c>
      <c r="AC167" s="29">
        <v>85092.645975332998</v>
      </c>
      <c r="AD167" s="30">
        <v>-3.2602259904387802E-2</v>
      </c>
      <c r="AE167" s="29">
        <v>70591.957133218399</v>
      </c>
      <c r="AF167" s="30">
        <v>5.3676935909363198E-2</v>
      </c>
      <c r="AG167" s="29">
        <v>55682.3245033165</v>
      </c>
      <c r="AH167" s="30">
        <v>8.1553218256471299E-2</v>
      </c>
      <c r="AI167" s="29">
        <v>33396.902857733003</v>
      </c>
      <c r="AJ167" s="30">
        <v>2.78621100720664E-2</v>
      </c>
      <c r="AK167" s="29">
        <v>105682.809751622</v>
      </c>
      <c r="AL167" s="30">
        <v>-4.2363774494580397E-3</v>
      </c>
      <c r="AM167" s="29">
        <v>67828.815445323504</v>
      </c>
      <c r="AN167" s="30">
        <v>-4.0982653291029604E-3</v>
      </c>
      <c r="AO167" s="29">
        <v>50563.275929556003</v>
      </c>
      <c r="AP167" s="30">
        <v>5.5815662075549E-3</v>
      </c>
      <c r="AQ167" s="29">
        <v>48136.183908890198</v>
      </c>
      <c r="AR167" s="30">
        <v>-5.6645809912880796E-4</v>
      </c>
      <c r="AS167" s="29">
        <v>37778.707427580797</v>
      </c>
      <c r="AT167" s="30">
        <v>-4.6576435531012804E-3</v>
      </c>
      <c r="AU167" s="29">
        <v>264660.342237273</v>
      </c>
      <c r="AV167" s="30">
        <v>1.53177040771599E-2</v>
      </c>
      <c r="AW167" s="29">
        <v>164658.94754725799</v>
      </c>
      <c r="AX167" s="30">
        <v>-3.56482501013733E-3</v>
      </c>
      <c r="AY167" s="29">
        <v>99912.9101560407</v>
      </c>
      <c r="AZ167" s="30">
        <v>4.6633793829039101E-2</v>
      </c>
      <c r="BA167" s="29">
        <v>66564.091475082794</v>
      </c>
      <c r="BB167" s="30">
        <v>5.6197738084728499E-2</v>
      </c>
      <c r="BC167" s="29">
        <v>85865.278375073205</v>
      </c>
      <c r="BD167" s="30">
        <v>-2.33985661675684E-3</v>
      </c>
      <c r="BE167" s="29"/>
      <c r="BF167" s="30"/>
    </row>
    <row r="168" spans="1:58" x14ac:dyDescent="0.2">
      <c r="A168" s="28">
        <v>2019</v>
      </c>
      <c r="B168" s="28">
        <v>1</v>
      </c>
      <c r="C168" s="29">
        <v>178053.87651618401</v>
      </c>
      <c r="D168" s="30">
        <v>1.17911101723238E-2</v>
      </c>
      <c r="E168" s="29">
        <v>162968.063109954</v>
      </c>
      <c r="F168" s="30">
        <v>3.0312566883497601E-2</v>
      </c>
      <c r="G168" s="29">
        <v>113820.76167485899</v>
      </c>
      <c r="H168" s="30">
        <v>7.12231293147791E-3</v>
      </c>
      <c r="I168" s="29">
        <v>92771.083079563701</v>
      </c>
      <c r="J168" s="30">
        <v>7.22501230880623E-3</v>
      </c>
      <c r="K168" s="29">
        <v>21046.021773791799</v>
      </c>
      <c r="L168" s="30">
        <v>6.6527606309529901E-3</v>
      </c>
      <c r="M168" s="29">
        <v>48877.865368771199</v>
      </c>
      <c r="N168" s="30">
        <v>9.1673363841493299E-2</v>
      </c>
      <c r="O168" s="29">
        <v>47280.384913988397</v>
      </c>
      <c r="P168" s="30">
        <v>-1.7090458156613999E-2</v>
      </c>
      <c r="Q168" s="29">
        <v>15109.820243631701</v>
      </c>
      <c r="R168" s="30">
        <v>-5.5431846847613401E-3</v>
      </c>
      <c r="S168" s="29">
        <v>32163.9584186469</v>
      </c>
      <c r="T168" s="30">
        <v>-2.2512819905500501E-2</v>
      </c>
      <c r="U168" s="29"/>
      <c r="V168" s="30"/>
      <c r="W168" s="29"/>
      <c r="X168" s="30"/>
      <c r="Y168" s="29"/>
      <c r="Z168" s="30"/>
      <c r="AA168" s="29">
        <v>115050.11387502799</v>
      </c>
      <c r="AB168" s="30">
        <v>-5.11661549363054E-2</v>
      </c>
      <c r="AC168" s="29">
        <v>82389.651274304604</v>
      </c>
      <c r="AD168" s="30">
        <v>-7.0064854249625205E-2</v>
      </c>
      <c r="AE168" s="29">
        <v>69525.153693104599</v>
      </c>
      <c r="AF168" s="30">
        <v>3.3641170783087499E-3</v>
      </c>
      <c r="AG168" s="29">
        <v>55303.390632413197</v>
      </c>
      <c r="AH168" s="30">
        <v>5.8008166659040801E-2</v>
      </c>
      <c r="AI168" s="29">
        <v>32510.142540585399</v>
      </c>
      <c r="AJ168" s="30">
        <v>-1.4250659800423299E-3</v>
      </c>
      <c r="AK168" s="29">
        <v>99995.189205221104</v>
      </c>
      <c r="AL168" s="30">
        <v>-3.5526372846211102E-2</v>
      </c>
      <c r="AM168" s="29">
        <v>65845.624262937301</v>
      </c>
      <c r="AN168" s="30">
        <v>-4.1905066743951502E-2</v>
      </c>
      <c r="AO168" s="29">
        <v>51800.272559628698</v>
      </c>
      <c r="AP168" s="30">
        <v>2.2578070876917E-2</v>
      </c>
      <c r="AQ168" s="29">
        <v>49850.0853318847</v>
      </c>
      <c r="AR168" s="30">
        <v>2.5773579432505401E-2</v>
      </c>
      <c r="AS168" s="29">
        <v>34135.667347160597</v>
      </c>
      <c r="AT168" s="30">
        <v>-2.3816984947615499E-2</v>
      </c>
      <c r="AU168" s="29">
        <v>259724.92696640201</v>
      </c>
      <c r="AV168" s="30">
        <v>9.7697547815078805E-5</v>
      </c>
      <c r="AW168" s="29">
        <v>161109.262563975</v>
      </c>
      <c r="AX168" s="30">
        <v>-6.7825446519731395E-5</v>
      </c>
      <c r="AY168" s="29">
        <v>98495.460143970296</v>
      </c>
      <c r="AZ168" s="30">
        <v>2.1992125080450001E-4</v>
      </c>
      <c r="BA168" s="29">
        <v>66014.550908649704</v>
      </c>
      <c r="BB168" s="30">
        <v>9.0180144442530996E-4</v>
      </c>
      <c r="BC168" s="29">
        <v>84026.7984121474</v>
      </c>
      <c r="BD168" s="30">
        <v>5.2782822808310498E-3</v>
      </c>
      <c r="BE168" s="29"/>
      <c r="BF168" s="30"/>
    </row>
    <row r="169" spans="1:58" x14ac:dyDescent="0.2">
      <c r="A169" s="28">
        <v>2019</v>
      </c>
      <c r="B169" s="28">
        <v>2</v>
      </c>
      <c r="C169" s="29">
        <v>181115.27460794599</v>
      </c>
      <c r="D169" s="30">
        <v>4.1125240817294602E-3</v>
      </c>
      <c r="E169" s="29">
        <v>167802.58885443601</v>
      </c>
      <c r="F169" s="30">
        <v>1.53127486420817E-2</v>
      </c>
      <c r="G169" s="29">
        <v>113700.368945625</v>
      </c>
      <c r="H169" s="30">
        <v>1.4185228849295401E-2</v>
      </c>
      <c r="I169" s="29">
        <v>92645.837971347995</v>
      </c>
      <c r="J169" s="30">
        <v>1.57934396681449E-2</v>
      </c>
      <c r="K169" s="29">
        <v>21051.328049848998</v>
      </c>
      <c r="L169" s="30">
        <v>7.0800782086086799E-3</v>
      </c>
      <c r="M169" s="29">
        <v>54021.774444153802</v>
      </c>
      <c r="N169" s="30">
        <v>1.7912966192096699E-2</v>
      </c>
      <c r="O169" s="29">
        <v>48728.839755766799</v>
      </c>
      <c r="P169" s="30">
        <v>-1.5289705421205699E-2</v>
      </c>
      <c r="Q169" s="29">
        <v>16720.786100289799</v>
      </c>
      <c r="R169" s="30">
        <v>-1.9360980925762501E-2</v>
      </c>
      <c r="S169" s="29">
        <v>32011.185263481999</v>
      </c>
      <c r="T169" s="30">
        <v>-1.31537552170742E-2</v>
      </c>
      <c r="U169" s="29"/>
      <c r="V169" s="30"/>
      <c r="W169" s="29"/>
      <c r="X169" s="30"/>
      <c r="Y169" s="29"/>
      <c r="Z169" s="30"/>
      <c r="AA169" s="29">
        <v>118916.104496228</v>
      </c>
      <c r="AB169" s="30">
        <v>-9.4988014154402407E-3</v>
      </c>
      <c r="AC169" s="29">
        <v>87504.020841905207</v>
      </c>
      <c r="AD169" s="30">
        <v>3.36608583748044E-3</v>
      </c>
      <c r="AE169" s="29">
        <v>71601.937740057605</v>
      </c>
      <c r="AF169" s="30">
        <v>3.2152531213776002E-2</v>
      </c>
      <c r="AG169" s="29">
        <v>55824.318520179499</v>
      </c>
      <c r="AH169" s="30">
        <v>3.7493955165736899E-2</v>
      </c>
      <c r="AI169" s="29">
        <v>31330.157182708099</v>
      </c>
      <c r="AJ169" s="30">
        <v>-4.2739372862722599E-2</v>
      </c>
      <c r="AK169" s="29">
        <v>105724.947590813</v>
      </c>
      <c r="AL169" s="30">
        <v>5.9125065597471797E-3</v>
      </c>
      <c r="AM169" s="29">
        <v>71512.493610720805</v>
      </c>
      <c r="AN169" s="30">
        <v>3.9291938612158201E-3</v>
      </c>
      <c r="AO169" s="29">
        <v>52503.657246168899</v>
      </c>
      <c r="AP169" s="30">
        <v>8.7624098708600807E-3</v>
      </c>
      <c r="AQ169" s="29">
        <v>50209.347877403197</v>
      </c>
      <c r="AR169" s="30">
        <v>4.0936177905475102E-3</v>
      </c>
      <c r="AS169" s="29">
        <v>34311.242757114</v>
      </c>
      <c r="AT169" s="30">
        <v>1.0619269149385199E-2</v>
      </c>
      <c r="AU169" s="29">
        <v>261901.17760664501</v>
      </c>
      <c r="AV169" s="30">
        <v>8.8406425447986603E-3</v>
      </c>
      <c r="AW169" s="29">
        <v>162431.36636935399</v>
      </c>
      <c r="AX169" s="30">
        <v>5.1834930847238798E-3</v>
      </c>
      <c r="AY169" s="29">
        <v>99347.052059627196</v>
      </c>
      <c r="AZ169" s="30">
        <v>1.4482105622924299E-2</v>
      </c>
      <c r="BA169" s="29">
        <v>67993.509083368306</v>
      </c>
      <c r="BB169" s="30">
        <v>4.2096162181317197E-2</v>
      </c>
      <c r="BC169" s="29">
        <v>84562.978706824797</v>
      </c>
      <c r="BD169" s="30">
        <v>6.4620538403228301E-3</v>
      </c>
      <c r="BE169" s="29"/>
      <c r="BF169" s="30"/>
    </row>
    <row r="170" spans="1:58" x14ac:dyDescent="0.2">
      <c r="A170" s="28">
        <v>2019</v>
      </c>
      <c r="B170" s="28">
        <v>3</v>
      </c>
      <c r="C170" s="29">
        <v>181080.49794678701</v>
      </c>
      <c r="D170" s="30">
        <v>1.54850365654207E-2</v>
      </c>
      <c r="E170" s="29">
        <v>167882.10403109799</v>
      </c>
      <c r="F170" s="30">
        <v>7.7753906260449304E-3</v>
      </c>
      <c r="G170" s="29">
        <v>114210.478382546</v>
      </c>
      <c r="H170" s="30">
        <v>1.5979347701680999E-2</v>
      </c>
      <c r="I170" s="29">
        <v>93012.119071074601</v>
      </c>
      <c r="J170" s="30">
        <v>1.6827974922406501E-2</v>
      </c>
      <c r="K170" s="29">
        <v>21195.961315198099</v>
      </c>
      <c r="L170" s="30">
        <v>1.22343490378543E-2</v>
      </c>
      <c r="M170" s="29">
        <v>53565.442440776002</v>
      </c>
      <c r="N170" s="30">
        <v>-1.009786291196E-2</v>
      </c>
      <c r="O170" s="29">
        <v>48698.124892245098</v>
      </c>
      <c r="P170" s="30">
        <v>1.22002126802261E-2</v>
      </c>
      <c r="Q170" s="29">
        <v>16921.919711533199</v>
      </c>
      <c r="R170" s="30">
        <v>-1.05274325080414E-2</v>
      </c>
      <c r="S170" s="29">
        <v>31781.167527373698</v>
      </c>
      <c r="T170" s="30">
        <v>2.4701385096003399E-2</v>
      </c>
      <c r="U170" s="29"/>
      <c r="V170" s="30"/>
      <c r="W170" s="29"/>
      <c r="X170" s="30"/>
      <c r="Y170" s="29"/>
      <c r="Z170" s="30"/>
      <c r="AA170" s="29">
        <v>122302.93521873299</v>
      </c>
      <c r="AB170" s="30">
        <v>3.4898637207832602E-2</v>
      </c>
      <c r="AC170" s="29">
        <v>90175.826651088893</v>
      </c>
      <c r="AD170" s="30">
        <v>6.14432347761866E-2</v>
      </c>
      <c r="AE170" s="29">
        <v>69977.091704040402</v>
      </c>
      <c r="AF170" s="30">
        <v>7.5674223812107505E-2</v>
      </c>
      <c r="AG170" s="29">
        <v>54722.689502049099</v>
      </c>
      <c r="AH170" s="30">
        <v>0.102826302417504</v>
      </c>
      <c r="AI170" s="29">
        <v>32048.472279498801</v>
      </c>
      <c r="AJ170" s="30">
        <v>-3.10946300247977E-2</v>
      </c>
      <c r="AK170" s="29">
        <v>109349.306553086</v>
      </c>
      <c r="AL170" s="30">
        <v>2.5216771886482602E-2</v>
      </c>
      <c r="AM170" s="29">
        <v>72594.082817208604</v>
      </c>
      <c r="AN170" s="30">
        <v>8.8984786703432094E-3</v>
      </c>
      <c r="AO170" s="29">
        <v>51226.360418122596</v>
      </c>
      <c r="AP170" s="30">
        <v>7.0232546876129301E-2</v>
      </c>
      <c r="AQ170" s="29">
        <v>49101.684777870199</v>
      </c>
      <c r="AR170" s="30">
        <v>6.1571263792952399E-2</v>
      </c>
      <c r="AS170" s="29">
        <v>36775.312291603303</v>
      </c>
      <c r="AT170" s="30">
        <v>5.7576126938993402E-2</v>
      </c>
      <c r="AU170" s="29">
        <v>261268.81044048801</v>
      </c>
      <c r="AV170" s="30">
        <v>2.71338646526114E-2</v>
      </c>
      <c r="AW170" s="29">
        <v>162911.76061348</v>
      </c>
      <c r="AX170" s="30">
        <v>1.4857965540426E-2</v>
      </c>
      <c r="AY170" s="29">
        <v>98283.096718666799</v>
      </c>
      <c r="AZ170" s="30">
        <v>4.7244546065935603E-2</v>
      </c>
      <c r="BA170" s="29">
        <v>66249.6247062701</v>
      </c>
      <c r="BB170" s="30">
        <v>8.8505148856647106E-2</v>
      </c>
      <c r="BC170" s="29">
        <v>85870.592442227906</v>
      </c>
      <c r="BD170" s="30">
        <v>5.9962515480294097E-2</v>
      </c>
      <c r="BE170" s="29"/>
      <c r="BF170" s="30"/>
    </row>
    <row r="171" spans="1:58" x14ac:dyDescent="0.2">
      <c r="A171" s="28">
        <v>2019</v>
      </c>
      <c r="B171" s="28">
        <v>4</v>
      </c>
      <c r="C171" s="29">
        <v>185983.37715501999</v>
      </c>
      <c r="D171" s="30">
        <v>1.3252107537367899E-2</v>
      </c>
      <c r="E171" s="29">
        <v>174132.031086036</v>
      </c>
      <c r="F171" s="30">
        <v>2.1181118271174301E-2</v>
      </c>
      <c r="G171" s="29">
        <v>116552.927595606</v>
      </c>
      <c r="H171" s="30">
        <v>1.7021484404843999E-2</v>
      </c>
      <c r="I171" s="29">
        <v>95111.159565551599</v>
      </c>
      <c r="J171" s="30">
        <v>1.6825760352481098E-2</v>
      </c>
      <c r="K171" s="29">
        <v>21436.144990613</v>
      </c>
      <c r="L171" s="30">
        <v>1.7863193820586001E-2</v>
      </c>
      <c r="M171" s="29">
        <v>57576.523536077897</v>
      </c>
      <c r="N171" s="30">
        <v>3.03599833102275E-2</v>
      </c>
      <c r="O171" s="29">
        <v>52623.218597854298</v>
      </c>
      <c r="P171" s="30">
        <v>5.1256579763737202E-2</v>
      </c>
      <c r="Q171" s="29">
        <v>17605.3641346849</v>
      </c>
      <c r="R171" s="30">
        <v>9.7985622255358806E-4</v>
      </c>
      <c r="S171" s="29">
        <v>35017.325109203499</v>
      </c>
      <c r="T171" s="30">
        <v>7.8306388379567396E-2</v>
      </c>
      <c r="U171" s="29"/>
      <c r="V171" s="30"/>
      <c r="W171" s="29"/>
      <c r="X171" s="30"/>
      <c r="Y171" s="29"/>
      <c r="Z171" s="30"/>
      <c r="AA171" s="29">
        <v>119317.223747974</v>
      </c>
      <c r="AB171" s="30">
        <v>5.6854458478381399E-3</v>
      </c>
      <c r="AC171" s="29">
        <v>86603.344704421193</v>
      </c>
      <c r="AD171" s="30">
        <v>1.7753575667703001E-2</v>
      </c>
      <c r="AE171" s="29">
        <v>71277.003419811299</v>
      </c>
      <c r="AF171" s="30">
        <v>9.7043107233882892E-3</v>
      </c>
      <c r="AG171" s="29">
        <v>56145.477019553698</v>
      </c>
      <c r="AH171" s="30">
        <v>8.3177654734862792E-3</v>
      </c>
      <c r="AI171" s="29">
        <v>32594.236591302099</v>
      </c>
      <c r="AJ171" s="30">
        <v>-2.4034152803038E-2</v>
      </c>
      <c r="AK171" s="29">
        <v>107510.825969878</v>
      </c>
      <c r="AL171" s="30">
        <v>1.7297195471542601E-2</v>
      </c>
      <c r="AM171" s="29">
        <v>68120.303354076197</v>
      </c>
      <c r="AN171" s="30">
        <v>4.2974052670523601E-3</v>
      </c>
      <c r="AO171" s="29">
        <v>51496.349310953701</v>
      </c>
      <c r="AP171" s="30">
        <v>1.8453578496330902E-2</v>
      </c>
      <c r="AQ171" s="29">
        <v>49655.188131443501</v>
      </c>
      <c r="AR171" s="30">
        <v>3.1556390623495897E-2</v>
      </c>
      <c r="AS171" s="29">
        <v>39215.336870310799</v>
      </c>
      <c r="AT171" s="30">
        <v>3.8027490630374403E-2</v>
      </c>
      <c r="AU171" s="29">
        <v>269075.157912358</v>
      </c>
      <c r="AV171" s="30">
        <v>1.66810623675793E-2</v>
      </c>
      <c r="AW171" s="29">
        <v>169167.749290935</v>
      </c>
      <c r="AX171" s="30">
        <v>2.7382670731471302E-2</v>
      </c>
      <c r="AY171" s="29">
        <v>99908.431640840703</v>
      </c>
      <c r="AZ171" s="30">
        <v>-4.4824189316949897E-5</v>
      </c>
      <c r="BA171" s="29">
        <v>67330.014044156502</v>
      </c>
      <c r="BB171" s="30">
        <v>1.15065428236247E-2</v>
      </c>
      <c r="BC171" s="29">
        <v>88833.953804978897</v>
      </c>
      <c r="BD171" s="30">
        <v>3.4573642409193597E-2</v>
      </c>
      <c r="BE171" s="29"/>
      <c r="BF171" s="30"/>
    </row>
    <row r="172" spans="1:58" x14ac:dyDescent="0.2">
      <c r="A172" s="28">
        <v>2020</v>
      </c>
      <c r="B172" s="28">
        <v>1</v>
      </c>
      <c r="C172" s="29">
        <v>178060.847234513</v>
      </c>
      <c r="D172" s="30">
        <v>3.9149489274858998E-5</v>
      </c>
      <c r="E172" s="29">
        <v>168971.848105287</v>
      </c>
      <c r="F172" s="30">
        <v>3.6840254960150497E-2</v>
      </c>
      <c r="G172" s="29">
        <v>113158.673420323</v>
      </c>
      <c r="H172" s="30">
        <v>-5.8169374795432596E-3</v>
      </c>
      <c r="I172" s="29">
        <v>91393.402825631507</v>
      </c>
      <c r="J172" s="30">
        <v>-1.4850319821648399E-2</v>
      </c>
      <c r="K172" s="29">
        <v>21763.991934206901</v>
      </c>
      <c r="L172" s="30">
        <v>3.4114293339236899E-2</v>
      </c>
      <c r="M172" s="29">
        <v>55799.285595143498</v>
      </c>
      <c r="N172" s="30">
        <v>0.141606434203946</v>
      </c>
      <c r="O172" s="29">
        <v>48599.600799015898</v>
      </c>
      <c r="P172" s="30">
        <v>2.79019700754859E-2</v>
      </c>
      <c r="Q172" s="29">
        <v>15319.084569434999</v>
      </c>
      <c r="R172" s="30">
        <v>1.38495576008935E-2</v>
      </c>
      <c r="S172" s="29">
        <v>33277.391870557498</v>
      </c>
      <c r="T172" s="30">
        <v>3.4617426046200897E-2</v>
      </c>
      <c r="U172" s="29"/>
      <c r="V172" s="30"/>
      <c r="W172" s="29"/>
      <c r="X172" s="30"/>
      <c r="Y172" s="29"/>
      <c r="Z172" s="30"/>
      <c r="AA172" s="29">
        <v>113163.52822997799</v>
      </c>
      <c r="AB172" s="30">
        <v>-1.63979467860359E-2</v>
      </c>
      <c r="AC172" s="29">
        <v>83912.339146542596</v>
      </c>
      <c r="AD172" s="30">
        <v>1.84815428720344E-2</v>
      </c>
      <c r="AE172" s="29">
        <v>71117.138888110494</v>
      </c>
      <c r="AF172" s="30">
        <v>2.2897974480332199E-2</v>
      </c>
      <c r="AG172" s="29">
        <v>57857.1091177977</v>
      </c>
      <c r="AH172" s="30">
        <v>4.6176526541714898E-2</v>
      </c>
      <c r="AI172" s="29">
        <v>29204.311822412099</v>
      </c>
      <c r="AJ172" s="30">
        <v>-0.101686134228612</v>
      </c>
      <c r="AK172" s="29">
        <v>104075.663195188</v>
      </c>
      <c r="AL172" s="30">
        <v>4.08067030264068E-2</v>
      </c>
      <c r="AM172" s="29">
        <v>66666.901832536707</v>
      </c>
      <c r="AN172" s="30">
        <v>1.24727736853067E-2</v>
      </c>
      <c r="AO172" s="29">
        <v>50503.923632347804</v>
      </c>
      <c r="AP172" s="30">
        <v>-2.5025909386645499E-2</v>
      </c>
      <c r="AQ172" s="29">
        <v>48976.317123221903</v>
      </c>
      <c r="AR172" s="30">
        <v>-1.7527918013491801E-2</v>
      </c>
      <c r="AS172" s="29">
        <v>37312.445484835</v>
      </c>
      <c r="AT172" s="30">
        <v>9.3063308397238295E-2</v>
      </c>
      <c r="AU172" s="29">
        <v>259022.531580435</v>
      </c>
      <c r="AV172" s="30">
        <v>-2.7043818788261599E-3</v>
      </c>
      <c r="AW172" s="29">
        <v>161759.689750839</v>
      </c>
      <c r="AX172" s="30">
        <v>4.0371805848540302E-3</v>
      </c>
      <c r="AY172" s="29">
        <v>97200.167028998098</v>
      </c>
      <c r="AZ172" s="30">
        <v>-1.3150790027062299E-2</v>
      </c>
      <c r="BA172" s="29">
        <v>67997.3487057686</v>
      </c>
      <c r="BB172" s="30">
        <v>3.0035768930136E-2</v>
      </c>
      <c r="BC172" s="29">
        <v>86284.680010163996</v>
      </c>
      <c r="BD172" s="30">
        <v>2.6870970222402101E-2</v>
      </c>
      <c r="BE172" s="29"/>
      <c r="BF172" s="30"/>
    </row>
    <row r="173" spans="1:58" x14ac:dyDescent="0.2">
      <c r="A173" s="28">
        <v>2020</v>
      </c>
      <c r="B173" s="28">
        <v>2</v>
      </c>
      <c r="C173" s="29">
        <v>168510.74941628301</v>
      </c>
      <c r="D173" s="30">
        <v>-6.9593937998586902E-2</v>
      </c>
      <c r="E173" s="29">
        <v>158338.351493325</v>
      </c>
      <c r="F173" s="30">
        <v>-5.6401021138719601E-2</v>
      </c>
      <c r="G173" s="29">
        <v>106031.912717809</v>
      </c>
      <c r="H173" s="30">
        <v>-6.7444426952411402E-2</v>
      </c>
      <c r="I173" s="29">
        <v>84227.3037618776</v>
      </c>
      <c r="J173" s="30">
        <v>-9.0867915859036905E-2</v>
      </c>
      <c r="K173" s="29">
        <v>21807.430687134802</v>
      </c>
      <c r="L173" s="30">
        <v>3.5917099172808602E-2</v>
      </c>
      <c r="M173" s="29">
        <v>52293.717049891799</v>
      </c>
      <c r="N173" s="30">
        <v>-3.19881642549232E-2</v>
      </c>
      <c r="O173" s="29">
        <v>45710.724834549001</v>
      </c>
      <c r="P173" s="30">
        <v>-6.1936933781819303E-2</v>
      </c>
      <c r="Q173" s="29">
        <v>16168.652160780201</v>
      </c>
      <c r="R173" s="30">
        <v>-3.3020812310972897E-2</v>
      </c>
      <c r="S173" s="29">
        <v>29544.910920210401</v>
      </c>
      <c r="T173" s="30">
        <v>-7.7044143257173195E-2</v>
      </c>
      <c r="U173" s="29"/>
      <c r="V173" s="30"/>
      <c r="W173" s="29"/>
      <c r="X173" s="30"/>
      <c r="Y173" s="29"/>
      <c r="Z173" s="30"/>
      <c r="AA173" s="29">
        <v>109053.87739182499</v>
      </c>
      <c r="AB173" s="30">
        <v>-8.2934327071869401E-2</v>
      </c>
      <c r="AC173" s="29">
        <v>83664.796915766594</v>
      </c>
      <c r="AD173" s="30">
        <v>-4.3874828713013403E-2</v>
      </c>
      <c r="AE173" s="29">
        <v>64752.543990229096</v>
      </c>
      <c r="AF173" s="30">
        <v>-9.5659335012614005E-2</v>
      </c>
      <c r="AG173" s="29">
        <v>49259.339652216302</v>
      </c>
      <c r="AH173" s="30">
        <v>-0.117600698799219</v>
      </c>
      <c r="AI173" s="29">
        <v>25453.2172985039</v>
      </c>
      <c r="AJ173" s="30">
        <v>-0.18758092562165099</v>
      </c>
      <c r="AK173" s="29">
        <v>98945.013886778994</v>
      </c>
      <c r="AL173" s="30">
        <v>-6.4128040339863496E-2</v>
      </c>
      <c r="AM173" s="29">
        <v>68370.911921192906</v>
      </c>
      <c r="AN173" s="30">
        <v>-4.39305292111489E-2</v>
      </c>
      <c r="AO173" s="29">
        <v>44042.852903109102</v>
      </c>
      <c r="AP173" s="30">
        <v>-0.16114695217116801</v>
      </c>
      <c r="AQ173" s="29">
        <v>42718.451398746198</v>
      </c>
      <c r="AR173" s="30">
        <v>-0.149193263711521</v>
      </c>
      <c r="AS173" s="29">
        <v>30699.402559886901</v>
      </c>
      <c r="AT173" s="30">
        <v>-0.105266959369411</v>
      </c>
      <c r="AU173" s="29">
        <v>240083.654346222</v>
      </c>
      <c r="AV173" s="30">
        <v>-8.3304410693376102E-2</v>
      </c>
      <c r="AW173" s="29">
        <v>151743.726347972</v>
      </c>
      <c r="AX173" s="30">
        <v>-6.5797882885988604E-2</v>
      </c>
      <c r="AY173" s="29">
        <v>88365.039391894403</v>
      </c>
      <c r="AZ173" s="30">
        <v>-0.110541907787474</v>
      </c>
      <c r="BA173" s="29">
        <v>62909.647163013899</v>
      </c>
      <c r="BB173" s="30">
        <v>-7.4769812426080703E-2</v>
      </c>
      <c r="BC173" s="29">
        <v>73429.264765159096</v>
      </c>
      <c r="BD173" s="30">
        <v>-0.13166179942957801</v>
      </c>
      <c r="BE173" s="29"/>
      <c r="BF173" s="30"/>
    </row>
    <row r="174" spans="1:58" x14ac:dyDescent="0.2">
      <c r="A174" s="28">
        <v>2020</v>
      </c>
      <c r="B174" s="28">
        <v>3</v>
      </c>
      <c r="C174" s="29">
        <v>178525.54487557901</v>
      </c>
      <c r="D174" s="30">
        <v>-1.41094877702339E-2</v>
      </c>
      <c r="E174" s="29">
        <v>168898.01768095701</v>
      </c>
      <c r="F174" s="30">
        <v>6.0513516656341996E-3</v>
      </c>
      <c r="G174" s="29">
        <v>113403.617447001</v>
      </c>
      <c r="H174" s="30">
        <v>-7.0646839674563004E-3</v>
      </c>
      <c r="I174" s="29">
        <v>91446.4958544861</v>
      </c>
      <c r="J174" s="30">
        <v>-1.6832464760770799E-2</v>
      </c>
      <c r="K174" s="29">
        <v>21956.252771325901</v>
      </c>
      <c r="L174" s="30">
        <v>3.5869637843819198E-2</v>
      </c>
      <c r="M174" s="29">
        <v>55465.151659238501</v>
      </c>
      <c r="N174" s="30">
        <v>3.5465201665475503E-2</v>
      </c>
      <c r="O174" s="29">
        <v>49756.060433097999</v>
      </c>
      <c r="P174" s="30">
        <v>2.1724358857631E-2</v>
      </c>
      <c r="Q174" s="29">
        <v>16918.2795235097</v>
      </c>
      <c r="R174" s="30">
        <v>-2.15116729399112E-4</v>
      </c>
      <c r="S174" s="29">
        <v>32838.6343868697</v>
      </c>
      <c r="T174" s="30">
        <v>3.3273379858846E-2</v>
      </c>
      <c r="U174" s="29"/>
      <c r="V174" s="30"/>
      <c r="W174" s="29"/>
      <c r="X174" s="30"/>
      <c r="Y174" s="29"/>
      <c r="Z174" s="30"/>
      <c r="AA174" s="29">
        <v>112848.525495883</v>
      </c>
      <c r="AB174" s="30">
        <v>-7.7303211946144895E-2</v>
      </c>
      <c r="AC174" s="29">
        <v>86724.510224653903</v>
      </c>
      <c r="AD174" s="30">
        <v>-3.8273188664951198E-2</v>
      </c>
      <c r="AE174" s="29">
        <v>69529.8213775943</v>
      </c>
      <c r="AF174" s="30">
        <v>-6.3916678380658799E-3</v>
      </c>
      <c r="AG174" s="29">
        <v>52819.861731391</v>
      </c>
      <c r="AH174" s="30">
        <v>-3.4772190255503897E-2</v>
      </c>
      <c r="AI174" s="29">
        <v>26196.181825176402</v>
      </c>
      <c r="AJ174" s="30">
        <v>-0.182607470436775</v>
      </c>
      <c r="AK174" s="29">
        <v>103200.718774565</v>
      </c>
      <c r="AL174" s="30">
        <v>-5.6228868498003098E-2</v>
      </c>
      <c r="AM174" s="29">
        <v>70109.048625027499</v>
      </c>
      <c r="AN174" s="30">
        <v>-3.4231911138521198E-2</v>
      </c>
      <c r="AO174" s="29">
        <v>47991.179354042397</v>
      </c>
      <c r="AP174" s="30">
        <v>-6.3154614883310797E-2</v>
      </c>
      <c r="AQ174" s="29">
        <v>45822.905988525301</v>
      </c>
      <c r="AR174" s="30">
        <v>-6.6775280811192703E-2</v>
      </c>
      <c r="AS174" s="29">
        <v>33170.101751550297</v>
      </c>
      <c r="AT174" s="30">
        <v>-9.8033444596366801E-2</v>
      </c>
      <c r="AU174" s="29">
        <v>256752.41884063301</v>
      </c>
      <c r="AV174" s="30">
        <v>-1.72863787003141E-2</v>
      </c>
      <c r="AW174" s="29">
        <v>163159.64384071901</v>
      </c>
      <c r="AX174" s="30">
        <v>1.5215796963037301E-3</v>
      </c>
      <c r="AY174" s="29">
        <v>93660.074928939997</v>
      </c>
      <c r="AZ174" s="30">
        <v>-4.7037811628586203E-2</v>
      </c>
      <c r="BA174" s="29">
        <v>67459.067687300994</v>
      </c>
      <c r="BB174" s="30">
        <v>1.8255846525820699E-2</v>
      </c>
      <c r="BC174" s="29">
        <v>79003.303236088395</v>
      </c>
      <c r="BD174" s="30">
        <v>-7.9972537871561999E-2</v>
      </c>
      <c r="BE174" s="29"/>
      <c r="BF174" s="30"/>
    </row>
    <row r="175" spans="1:58" x14ac:dyDescent="0.2">
      <c r="A175" s="28">
        <v>2020</v>
      </c>
      <c r="B175" s="28">
        <v>4</v>
      </c>
      <c r="C175" s="29">
        <v>184757.456373539</v>
      </c>
      <c r="D175" s="30">
        <v>-6.5915610321362096E-3</v>
      </c>
      <c r="E175" s="29">
        <v>173288.643172268</v>
      </c>
      <c r="F175" s="30">
        <v>-4.8433818207264103E-3</v>
      </c>
      <c r="G175" s="29">
        <v>114706.481715652</v>
      </c>
      <c r="H175" s="30">
        <v>-1.58421235574621E-2</v>
      </c>
      <c r="I175" s="29">
        <v>92425.345627600298</v>
      </c>
      <c r="J175" s="30">
        <v>-2.82386835595273E-2</v>
      </c>
      <c r="K175" s="29">
        <v>22280.461838522398</v>
      </c>
      <c r="L175" s="30">
        <v>3.9387532052948003E-2</v>
      </c>
      <c r="M175" s="29">
        <v>58638.020846777297</v>
      </c>
      <c r="N175" s="30">
        <v>1.8436286970925801E-2</v>
      </c>
      <c r="O175" s="29">
        <v>52090.505660203002</v>
      </c>
      <c r="P175" s="30">
        <v>-1.01231538443578E-2</v>
      </c>
      <c r="Q175" s="29">
        <v>17266.928176902398</v>
      </c>
      <c r="R175" s="30">
        <v>-1.9223456850621101E-2</v>
      </c>
      <c r="S175" s="29">
        <v>34823.010118601</v>
      </c>
      <c r="T175" s="30">
        <v>-5.5491100475679699E-3</v>
      </c>
      <c r="U175" s="29"/>
      <c r="V175" s="30"/>
      <c r="W175" s="29"/>
      <c r="X175" s="30"/>
      <c r="Y175" s="29"/>
      <c r="Z175" s="30"/>
      <c r="AA175" s="29">
        <v>116176.048628214</v>
      </c>
      <c r="AB175" s="30">
        <v>-2.63262504866477E-2</v>
      </c>
      <c r="AC175" s="29">
        <v>85088.316280910396</v>
      </c>
      <c r="AD175" s="30">
        <v>-1.7493878887491401E-2</v>
      </c>
      <c r="AE175" s="29">
        <v>70477.902581939707</v>
      </c>
      <c r="AF175" s="30">
        <v>-1.12112013627313E-2</v>
      </c>
      <c r="AG175" s="29">
        <v>56069.218645988803</v>
      </c>
      <c r="AH175" s="30">
        <v>-1.35822826010279E-3</v>
      </c>
      <c r="AI175" s="29">
        <v>30998.306231934399</v>
      </c>
      <c r="AJ175" s="30">
        <v>-4.89635753516484E-2</v>
      </c>
      <c r="AK175" s="29">
        <v>104662.84644129001</v>
      </c>
      <c r="AL175" s="30">
        <v>-2.6490165087056601E-2</v>
      </c>
      <c r="AM175" s="29">
        <v>66800.093716648</v>
      </c>
      <c r="AN175" s="30">
        <v>-1.9380560162305799E-2</v>
      </c>
      <c r="AO175" s="29">
        <v>48999.742432643601</v>
      </c>
      <c r="AP175" s="30">
        <v>-4.8481240160049899E-2</v>
      </c>
      <c r="AQ175" s="29">
        <v>47344.712911930597</v>
      </c>
      <c r="AR175" s="30">
        <v>-4.6530388997759103E-2</v>
      </c>
      <c r="AS175" s="29">
        <v>37755.336406144503</v>
      </c>
      <c r="AT175" s="30">
        <v>-3.72303435514185E-2</v>
      </c>
      <c r="AU175" s="29">
        <v>265878.62381326099</v>
      </c>
      <c r="AV175" s="30">
        <v>-1.18797072308618E-2</v>
      </c>
      <c r="AW175" s="29">
        <v>166794.51708812299</v>
      </c>
      <c r="AX175" s="30">
        <v>-1.40288690531133E-2</v>
      </c>
      <c r="AY175" s="29">
        <v>99054.370203067796</v>
      </c>
      <c r="AZ175" s="30">
        <v>-8.5484420458440402E-3</v>
      </c>
      <c r="BA175" s="29">
        <v>68061.570818790002</v>
      </c>
      <c r="BB175" s="30">
        <v>1.08652401907083E-2</v>
      </c>
      <c r="BC175" s="29">
        <v>85082.425613429106</v>
      </c>
      <c r="BD175" s="30">
        <v>-4.2230791615846398E-2</v>
      </c>
      <c r="BE175" s="29"/>
      <c r="BF175" s="30"/>
    </row>
    <row r="176" spans="1:58" x14ac:dyDescent="0.2">
      <c r="A176" s="28">
        <v>2021</v>
      </c>
      <c r="B176" s="28">
        <v>1</v>
      </c>
      <c r="C176" s="29">
        <v>179876.883582143</v>
      </c>
      <c r="D176" s="30">
        <v>1.01989649933445E-2</v>
      </c>
      <c r="E176" s="29">
        <v>163043.126981337</v>
      </c>
      <c r="F176" s="30">
        <v>-3.5087034854796299E-2</v>
      </c>
      <c r="G176" s="29">
        <v>110686.703929386</v>
      </c>
      <c r="H176" s="30">
        <v>-2.18451614553156E-2</v>
      </c>
      <c r="I176" s="29">
        <v>88148.972570034704</v>
      </c>
      <c r="J176" s="30">
        <v>-3.5499611080099601E-2</v>
      </c>
      <c r="K176" s="29">
        <v>22537.731359351801</v>
      </c>
      <c r="L176" s="30">
        <v>3.55513559958998E-2</v>
      </c>
      <c r="M176" s="29">
        <v>52356.423051950602</v>
      </c>
      <c r="N176" s="30">
        <v>-6.1700835529917002E-2</v>
      </c>
      <c r="O176" s="29">
        <v>48163.896156290597</v>
      </c>
      <c r="P176" s="30">
        <v>-8.9651897456360895E-3</v>
      </c>
      <c r="Q176" s="29">
        <v>14870.9812596065</v>
      </c>
      <c r="R176" s="30">
        <v>-2.9251311186221499E-2</v>
      </c>
      <c r="S176" s="29">
        <v>33292.914896684102</v>
      </c>
      <c r="T176" s="30">
        <v>4.6647364033258802E-4</v>
      </c>
      <c r="U176" s="29"/>
      <c r="V176" s="30"/>
      <c r="W176" s="29"/>
      <c r="X176" s="30"/>
      <c r="Y176" s="29"/>
      <c r="Z176" s="30"/>
      <c r="AA176" s="29">
        <v>122609.55704899201</v>
      </c>
      <c r="AB176" s="30">
        <v>8.3472378130680994E-2</v>
      </c>
      <c r="AC176" s="29">
        <v>94380.092968423196</v>
      </c>
      <c r="AD176" s="30">
        <v>0.12474629986896101</v>
      </c>
      <c r="AE176" s="29">
        <v>76444.091399558994</v>
      </c>
      <c r="AF176" s="30">
        <v>7.4903920415436295E-2</v>
      </c>
      <c r="AG176" s="29">
        <v>59407.763475479398</v>
      </c>
      <c r="AH176" s="30">
        <v>2.68014489718904E-2</v>
      </c>
      <c r="AI176" s="29">
        <v>28229.464080569101</v>
      </c>
      <c r="AJ176" s="30">
        <v>-3.3380267536209901E-2</v>
      </c>
      <c r="AK176" s="29">
        <v>105775.800448186</v>
      </c>
      <c r="AL176" s="30">
        <v>1.63355889436856E-2</v>
      </c>
      <c r="AM176" s="29">
        <v>72011.249046553901</v>
      </c>
      <c r="AN176" s="30">
        <v>8.0164925429442493E-2</v>
      </c>
      <c r="AO176" s="29">
        <v>49231.395511269402</v>
      </c>
      <c r="AP176" s="30">
        <v>-2.5196618986319301E-2</v>
      </c>
      <c r="AQ176" s="29">
        <v>47534.979271313197</v>
      </c>
      <c r="AR176" s="30">
        <v>-2.9429282081017E-2</v>
      </c>
      <c r="AS176" s="29">
        <v>33764.551401632103</v>
      </c>
      <c r="AT176" s="30">
        <v>-9.5086077503144406E-2</v>
      </c>
      <c r="AU176" s="29">
        <v>260042.12579809999</v>
      </c>
      <c r="AV176" s="30">
        <v>3.9363147732536198E-3</v>
      </c>
      <c r="AW176" s="29">
        <v>158850.600085677</v>
      </c>
      <c r="AX176" s="30">
        <v>-1.7984021047780199E-2</v>
      </c>
      <c r="AY176" s="29">
        <v>101191.525712423</v>
      </c>
      <c r="AZ176" s="30">
        <v>4.1063290377211702E-2</v>
      </c>
      <c r="BA176" s="29">
        <v>72962.061631854202</v>
      </c>
      <c r="BB176" s="30">
        <v>7.3013330969247101E-2</v>
      </c>
      <c r="BC176" s="29">
        <v>81299.5306729453</v>
      </c>
      <c r="BD176" s="30">
        <v>-5.7775602072481898E-2</v>
      </c>
      <c r="BE176" s="29"/>
      <c r="BF176" s="30"/>
    </row>
    <row r="177" spans="1:58" x14ac:dyDescent="0.2">
      <c r="A177" s="28">
        <v>2021</v>
      </c>
      <c r="B177" s="28">
        <v>2</v>
      </c>
      <c r="C177" s="29">
        <v>187227.87261297301</v>
      </c>
      <c r="D177" s="30">
        <v>0.111073763908387</v>
      </c>
      <c r="E177" s="29">
        <v>166782.11858432301</v>
      </c>
      <c r="F177" s="30">
        <v>5.3327365173142099E-2</v>
      </c>
      <c r="G177" s="29">
        <v>113314.761778338</v>
      </c>
      <c r="H177" s="30">
        <v>6.8685444540747695E-2</v>
      </c>
      <c r="I177" s="29">
        <v>90779.872477389305</v>
      </c>
      <c r="J177" s="30">
        <v>7.7796253980025001E-2</v>
      </c>
      <c r="K177" s="29">
        <v>22534.889300948598</v>
      </c>
      <c r="L177" s="30">
        <v>3.3358290770266502E-2</v>
      </c>
      <c r="M177" s="29">
        <v>53467.356805984702</v>
      </c>
      <c r="N177" s="30">
        <v>2.2443226878923202E-2</v>
      </c>
      <c r="O177" s="29">
        <v>50988.483315725898</v>
      </c>
      <c r="P177" s="30">
        <v>0.11545996044210299</v>
      </c>
      <c r="Q177" s="29">
        <v>16187.574895259801</v>
      </c>
      <c r="R177" s="30">
        <v>1.1703346878508801E-3</v>
      </c>
      <c r="S177" s="29">
        <v>34800.908420466098</v>
      </c>
      <c r="T177" s="30">
        <v>0.17789857327545</v>
      </c>
      <c r="U177" s="29"/>
      <c r="V177" s="30"/>
      <c r="W177" s="29"/>
      <c r="X177" s="30"/>
      <c r="Y177" s="29"/>
      <c r="Z177" s="30"/>
      <c r="AA177" s="29">
        <v>125427.940182715</v>
      </c>
      <c r="AB177" s="30">
        <v>0.15014654391478599</v>
      </c>
      <c r="AC177" s="29">
        <v>95452.810662009098</v>
      </c>
      <c r="AD177" s="30">
        <v>0.14089574326117801</v>
      </c>
      <c r="AE177" s="29">
        <v>76769.759999536502</v>
      </c>
      <c r="AF177" s="30">
        <v>0.18558677804413001</v>
      </c>
      <c r="AG177" s="29">
        <v>60162.546610325597</v>
      </c>
      <c r="AH177" s="30">
        <v>0.22134293790961901</v>
      </c>
      <c r="AI177" s="29">
        <v>29975.129520705701</v>
      </c>
      <c r="AJ177" s="30">
        <v>0.177655821233554</v>
      </c>
      <c r="AK177" s="29">
        <v>104982.18615406399</v>
      </c>
      <c r="AL177" s="30">
        <v>6.10154269541432E-2</v>
      </c>
      <c r="AM177" s="29">
        <v>69938.429692550897</v>
      </c>
      <c r="AN177" s="30">
        <v>2.2926676379054298E-2</v>
      </c>
      <c r="AO177" s="29">
        <v>50408.759746804601</v>
      </c>
      <c r="AP177" s="30">
        <v>0.144538930248229</v>
      </c>
      <c r="AQ177" s="29">
        <v>48270.905057960503</v>
      </c>
      <c r="AR177" s="30">
        <v>0.12997787788199799</v>
      </c>
      <c r="AS177" s="29">
        <v>35043.756461513498</v>
      </c>
      <c r="AT177" s="30">
        <v>0.141512652995508</v>
      </c>
      <c r="AU177" s="29">
        <v>267964.82231539098</v>
      </c>
      <c r="AV177" s="30">
        <v>0.11613105459050201</v>
      </c>
      <c r="AW177" s="29">
        <v>164303.24509406401</v>
      </c>
      <c r="AX177" s="30">
        <v>8.2767960484186706E-2</v>
      </c>
      <c r="AY177" s="29">
        <v>103661.577221327</v>
      </c>
      <c r="AZ177" s="30">
        <v>0.17310621864369899</v>
      </c>
      <c r="BA177" s="29">
        <v>73686.447700621095</v>
      </c>
      <c r="BB177" s="30">
        <v>0.171306008276949</v>
      </c>
      <c r="BC177" s="29">
        <v>83314.661519474103</v>
      </c>
      <c r="BD177" s="30">
        <v>0.13462475466600901</v>
      </c>
      <c r="BE177" s="29"/>
      <c r="BF177" s="30"/>
    </row>
    <row r="178" spans="1:58" x14ac:dyDescent="0.2">
      <c r="A178" s="28">
        <v>2021</v>
      </c>
      <c r="B178" s="28">
        <v>3</v>
      </c>
      <c r="C178" s="29">
        <v>190469.988696416</v>
      </c>
      <c r="D178" s="30">
        <v>6.6906076825932206E-2</v>
      </c>
      <c r="E178" s="29">
        <v>165349.67935252201</v>
      </c>
      <c r="F178" s="30">
        <v>-2.1008762430461299E-2</v>
      </c>
      <c r="G178" s="29">
        <v>115624.38107710599</v>
      </c>
      <c r="H178" s="30">
        <v>1.9582828838269301E-2</v>
      </c>
      <c r="I178" s="29">
        <v>93002.969367254307</v>
      </c>
      <c r="J178" s="30">
        <v>1.7020592185893201E-2</v>
      </c>
      <c r="K178" s="29">
        <v>22621.4117098518</v>
      </c>
      <c r="L178" s="30">
        <v>3.0294738608336501E-2</v>
      </c>
      <c r="M178" s="29">
        <v>49725.298275415698</v>
      </c>
      <c r="N178" s="30">
        <v>-0.10348576019564</v>
      </c>
      <c r="O178" s="29">
        <v>50475.061041202403</v>
      </c>
      <c r="P178" s="30">
        <v>1.44505132007218E-2</v>
      </c>
      <c r="Q178" s="29">
        <v>16185.7670646968</v>
      </c>
      <c r="R178" s="30">
        <v>-4.3297101090863703E-2</v>
      </c>
      <c r="S178" s="29">
        <v>34289.293976505498</v>
      </c>
      <c r="T178" s="30">
        <v>4.41753933049032E-2</v>
      </c>
      <c r="U178" s="29"/>
      <c r="V178" s="30"/>
      <c r="W178" s="29"/>
      <c r="X178" s="30"/>
      <c r="Y178" s="29"/>
      <c r="Z178" s="30"/>
      <c r="AA178" s="29">
        <v>127935.265155765</v>
      </c>
      <c r="AB178" s="30">
        <v>0.133690179766081</v>
      </c>
      <c r="AC178" s="29">
        <v>96034.176947450702</v>
      </c>
      <c r="AD178" s="30">
        <v>0.10734758488322201</v>
      </c>
      <c r="AE178" s="29">
        <v>77891.699331625001</v>
      </c>
      <c r="AF178" s="30">
        <v>0.120263187627365</v>
      </c>
      <c r="AG178" s="29">
        <v>60487.264242596197</v>
      </c>
      <c r="AH178" s="30">
        <v>0.14516135142868999</v>
      </c>
      <c r="AI178" s="29">
        <v>31901.088208314599</v>
      </c>
      <c r="AJ178" s="30">
        <v>0.21777625537991099</v>
      </c>
      <c r="AK178" s="29">
        <v>102814.955811872</v>
      </c>
      <c r="AL178" s="30">
        <v>-3.73798716979568E-3</v>
      </c>
      <c r="AM178" s="29">
        <v>65690.576040334607</v>
      </c>
      <c r="AN178" s="30">
        <v>-6.30228575533055E-2</v>
      </c>
      <c r="AO178" s="29">
        <v>49182.978945681098</v>
      </c>
      <c r="AP178" s="30">
        <v>2.4833721689696799E-2</v>
      </c>
      <c r="AQ178" s="29">
        <v>47519.292529386497</v>
      </c>
      <c r="AR178" s="30">
        <v>3.70204923556363E-2</v>
      </c>
      <c r="AS178" s="29">
        <v>37124.379771537002</v>
      </c>
      <c r="AT178" s="30">
        <v>0.11921211606780401</v>
      </c>
      <c r="AU178" s="29">
        <v>273352.35943731799</v>
      </c>
      <c r="AV178" s="30">
        <v>6.4653492542120702E-2</v>
      </c>
      <c r="AW178" s="29">
        <v>166099.44211830801</v>
      </c>
      <c r="AX178" s="30">
        <v>1.8017925317732601E-2</v>
      </c>
      <c r="AY178" s="29">
        <v>107252.91731900899</v>
      </c>
      <c r="AZ178" s="30">
        <v>0.14512952717988201</v>
      </c>
      <c r="BA178" s="29">
        <v>75351.829110694802</v>
      </c>
      <c r="BB178" s="30">
        <v>0.117000748661096</v>
      </c>
      <c r="BC178" s="29">
        <v>84643.672300923499</v>
      </c>
      <c r="BD178" s="30">
        <v>7.1394091560700798E-2</v>
      </c>
      <c r="BE178" s="29"/>
      <c r="BF178" s="30"/>
    </row>
    <row r="179" spans="1:58" x14ac:dyDescent="0.2">
      <c r="A179" s="28">
        <v>2021</v>
      </c>
      <c r="B179" s="28">
        <v>4</v>
      </c>
      <c r="C179" s="29">
        <v>196122.09418057601</v>
      </c>
      <c r="D179" s="30">
        <v>6.15111185773181E-2</v>
      </c>
      <c r="E179" s="29">
        <v>177656.155223696</v>
      </c>
      <c r="F179" s="30">
        <v>2.52036831235753E-2</v>
      </c>
      <c r="G179" s="29">
        <v>118050.013640231</v>
      </c>
      <c r="H179" s="30">
        <v>2.9148587547715099E-2</v>
      </c>
      <c r="I179" s="29">
        <v>95378.173476219003</v>
      </c>
      <c r="J179" s="30">
        <v>3.194824783795E-2</v>
      </c>
      <c r="K179" s="29">
        <v>22671.840164012199</v>
      </c>
      <c r="L179" s="30">
        <v>1.75659880089696E-2</v>
      </c>
      <c r="M179" s="29">
        <v>59606.141583465098</v>
      </c>
      <c r="N179" s="30">
        <v>1.6510119589771902E-2</v>
      </c>
      <c r="O179" s="29">
        <v>53514.892287832801</v>
      </c>
      <c r="P179" s="30">
        <v>2.73444576814319E-2</v>
      </c>
      <c r="Q179" s="29">
        <v>16409.4465019032</v>
      </c>
      <c r="R179" s="30">
        <v>-4.96603487438039E-2</v>
      </c>
      <c r="S179" s="29">
        <v>37105.445785929602</v>
      </c>
      <c r="T179" s="30">
        <v>6.5543893521985197E-2</v>
      </c>
      <c r="U179" s="29"/>
      <c r="V179" s="30"/>
      <c r="W179" s="29"/>
      <c r="X179" s="30"/>
      <c r="Y179" s="29"/>
      <c r="Z179" s="30"/>
      <c r="AA179" s="29">
        <v>136773.77722442901</v>
      </c>
      <c r="AB179" s="30">
        <v>0.17729754832799</v>
      </c>
      <c r="AC179" s="29">
        <v>99893.527093928496</v>
      </c>
      <c r="AD179" s="30">
        <v>0.173998164026894</v>
      </c>
      <c r="AE179" s="29">
        <v>79750.433029334396</v>
      </c>
      <c r="AF179" s="30">
        <v>0.131566492584172</v>
      </c>
      <c r="AG179" s="29">
        <v>64445.371450084102</v>
      </c>
      <c r="AH179" s="30">
        <v>0.14938950472951801</v>
      </c>
      <c r="AI179" s="29">
        <v>36880.250130500899</v>
      </c>
      <c r="AJ179" s="30">
        <v>0.189750493286855</v>
      </c>
      <c r="AK179" s="29">
        <v>118307.83826755</v>
      </c>
      <c r="AL179" s="30">
        <v>0.13037092234935399</v>
      </c>
      <c r="AM179" s="29">
        <v>76527.455427381996</v>
      </c>
      <c r="AN179" s="30">
        <v>0.14561898299118201</v>
      </c>
      <c r="AO179" s="29">
        <v>51584.452272441697</v>
      </c>
      <c r="AP179" s="30">
        <v>5.2749457680337099E-2</v>
      </c>
      <c r="AQ179" s="29">
        <v>49758.601274788998</v>
      </c>
      <c r="AR179" s="30">
        <v>5.0985383887504503E-2</v>
      </c>
      <c r="AS179" s="29">
        <v>41780.382840168</v>
      </c>
      <c r="AT179" s="30">
        <v>0.106608676207382</v>
      </c>
      <c r="AU179" s="29">
        <v>284593.09841128899</v>
      </c>
      <c r="AV179" s="30">
        <v>7.0387285482461898E-2</v>
      </c>
      <c r="AW179" s="29">
        <v>171564.90592806399</v>
      </c>
      <c r="AX179" s="30">
        <v>2.8600393605391801E-2</v>
      </c>
      <c r="AY179" s="29">
        <v>113028.19248322499</v>
      </c>
      <c r="AZ179" s="30">
        <v>0.141072243975811</v>
      </c>
      <c r="BA179" s="29">
        <v>76147.942352724305</v>
      </c>
      <c r="BB179" s="30">
        <v>0.118809651858665</v>
      </c>
      <c r="BC179" s="29">
        <v>91538.984114956998</v>
      </c>
      <c r="BD179" s="30">
        <v>7.5885924207934594E-2</v>
      </c>
      <c r="BE179" s="29"/>
      <c r="BF179" s="30"/>
    </row>
    <row r="180" spans="1:58" x14ac:dyDescent="0.2">
      <c r="A180" s="28">
        <v>2022</v>
      </c>
      <c r="B180" s="28">
        <v>1</v>
      </c>
      <c r="C180" s="29">
        <v>191241.776406894</v>
      </c>
      <c r="D180" s="30">
        <v>6.3181508365196801E-2</v>
      </c>
      <c r="E180" s="29">
        <v>165814.430951424</v>
      </c>
      <c r="F180" s="30">
        <v>1.6997367637610301E-2</v>
      </c>
      <c r="G180" s="29">
        <v>117843.80611541</v>
      </c>
      <c r="H180" s="30">
        <v>6.4660902637314596E-2</v>
      </c>
      <c r="I180" s="29">
        <v>95336.327112771498</v>
      </c>
      <c r="J180" s="30">
        <v>8.1536452816014293E-2</v>
      </c>
      <c r="K180" s="29">
        <v>22520.607356922999</v>
      </c>
      <c r="L180" s="30">
        <v>-7.5979264087366904E-4</v>
      </c>
      <c r="M180" s="29">
        <v>47964.057600594198</v>
      </c>
      <c r="N180" s="30">
        <v>-8.3893535794034205E-2</v>
      </c>
      <c r="O180" s="29">
        <v>49160.181167782597</v>
      </c>
      <c r="P180" s="30">
        <v>2.0685307688960999E-2</v>
      </c>
      <c r="Q180" s="29">
        <v>13912.1131359021</v>
      </c>
      <c r="R180" s="30">
        <v>-6.4479142765707001E-2</v>
      </c>
      <c r="S180" s="29">
        <v>35281.4596052337</v>
      </c>
      <c r="T180" s="30">
        <v>5.9728765556290399E-2</v>
      </c>
      <c r="U180" s="29"/>
      <c r="V180" s="30"/>
      <c r="W180" s="29"/>
      <c r="X180" s="30"/>
      <c r="Y180" s="29"/>
      <c r="Z180" s="30"/>
      <c r="AA180" s="29">
        <v>138874.09698689301</v>
      </c>
      <c r="AB180" s="30">
        <v>0.132653117174235</v>
      </c>
      <c r="AC180" s="29">
        <v>106874.403715327</v>
      </c>
      <c r="AD180" s="30">
        <v>0.13238290357569299</v>
      </c>
      <c r="AE180" s="29">
        <v>86054.749908138401</v>
      </c>
      <c r="AF180" s="30">
        <v>0.12572140413503399</v>
      </c>
      <c r="AG180" s="29">
        <v>65979.774156363797</v>
      </c>
      <c r="AH180" s="30">
        <v>0.11062545190069201</v>
      </c>
      <c r="AI180" s="29">
        <v>31855.9923713432</v>
      </c>
      <c r="AJ180" s="30">
        <v>0.12846606936722799</v>
      </c>
      <c r="AK180" s="29">
        <v>113701.809302432</v>
      </c>
      <c r="AL180" s="30">
        <v>7.4932156699951902E-2</v>
      </c>
      <c r="AM180" s="29">
        <v>76984.534771357707</v>
      </c>
      <c r="AN180" s="30">
        <v>6.9062622724244294E-2</v>
      </c>
      <c r="AO180" s="29">
        <v>54576.889575212997</v>
      </c>
      <c r="AP180" s="30">
        <v>0.108578966905782</v>
      </c>
      <c r="AQ180" s="29">
        <v>51837.786875556398</v>
      </c>
      <c r="AR180" s="30">
        <v>9.0518764711861696E-2</v>
      </c>
      <c r="AS180" s="29">
        <v>36695.067964514099</v>
      </c>
      <c r="AT180" s="30">
        <v>8.6792699480093202E-2</v>
      </c>
      <c r="AU180" s="29">
        <v>281306.67593974702</v>
      </c>
      <c r="AV180" s="30">
        <v>8.1773482186330307E-2</v>
      </c>
      <c r="AW180" s="29">
        <v>166991.02367417901</v>
      </c>
      <c r="AX180" s="30">
        <v>5.1245784303688403E-2</v>
      </c>
      <c r="AY180" s="29">
        <v>114116.21999608701</v>
      </c>
      <c r="AZ180" s="30">
        <v>0.127725065835988</v>
      </c>
      <c r="BA180" s="29">
        <v>82095.208607167995</v>
      </c>
      <c r="BB180" s="30">
        <v>0.12517665717009299</v>
      </c>
      <c r="BC180" s="29">
        <v>88580.160533301198</v>
      </c>
      <c r="BD180" s="30">
        <v>8.9553159779539399E-2</v>
      </c>
      <c r="BE180" s="29"/>
      <c r="BF180" s="30"/>
    </row>
    <row r="181" spans="1:58" x14ac:dyDescent="0.2">
      <c r="A181" s="28">
        <v>2022</v>
      </c>
      <c r="B181" s="28">
        <v>2</v>
      </c>
      <c r="C181" s="29">
        <v>194726.76704075499</v>
      </c>
      <c r="D181" s="30">
        <v>4.0052233265946299E-2</v>
      </c>
      <c r="E181" s="29">
        <v>179015.35517224501</v>
      </c>
      <c r="F181" s="30">
        <v>7.3348610101371794E-2</v>
      </c>
      <c r="G181" s="29">
        <v>117725.521815354</v>
      </c>
      <c r="H181" s="30">
        <v>3.8924849399978798E-2</v>
      </c>
      <c r="I181" s="29">
        <v>95391.7316192734</v>
      </c>
      <c r="J181" s="30">
        <v>5.0802661603570803E-2</v>
      </c>
      <c r="K181" s="29">
        <v>22349.514736778001</v>
      </c>
      <c r="L181" s="30">
        <v>-8.2261138137828E-3</v>
      </c>
      <c r="M181" s="29">
        <v>61295.090711738601</v>
      </c>
      <c r="N181" s="30">
        <v>0.14640211099565101</v>
      </c>
      <c r="O181" s="29">
        <v>51303.283829543398</v>
      </c>
      <c r="P181" s="30">
        <v>6.1739532801599103E-3</v>
      </c>
      <c r="Q181" s="29">
        <v>15208.8794948139</v>
      </c>
      <c r="R181" s="30">
        <v>-6.04596677870805E-2</v>
      </c>
      <c r="S181" s="29">
        <v>36113.803060375401</v>
      </c>
      <c r="T181" s="30">
        <v>3.77258726711047E-2</v>
      </c>
      <c r="U181" s="29"/>
      <c r="V181" s="30"/>
      <c r="W181" s="29"/>
      <c r="X181" s="30"/>
      <c r="Y181" s="29"/>
      <c r="Z181" s="30"/>
      <c r="AA181" s="29">
        <v>123660.72996208401</v>
      </c>
      <c r="AB181" s="30">
        <v>-1.4089446243450999E-2</v>
      </c>
      <c r="AC181" s="29">
        <v>89593.186137391604</v>
      </c>
      <c r="AD181" s="30">
        <v>-6.13876582991979E-2</v>
      </c>
      <c r="AE181" s="29">
        <v>74874.503698732195</v>
      </c>
      <c r="AF181" s="30">
        <v>-2.4687537134618399E-2</v>
      </c>
      <c r="AG181" s="29">
        <v>63994.468319377796</v>
      </c>
      <c r="AH181" s="30">
        <v>6.3692810975434194E-2</v>
      </c>
      <c r="AI181" s="29">
        <v>34274.179788410001</v>
      </c>
      <c r="AJ181" s="30">
        <v>0.14342057353696</v>
      </c>
      <c r="AK181" s="29">
        <v>107686.592771496</v>
      </c>
      <c r="AL181" s="30">
        <v>2.5760623935401801E-2</v>
      </c>
      <c r="AM181" s="29">
        <v>70397.885797570896</v>
      </c>
      <c r="AN181" s="30">
        <v>6.5694369610487203E-3</v>
      </c>
      <c r="AO181" s="29">
        <v>54249.3782636463</v>
      </c>
      <c r="AP181" s="30">
        <v>7.6189506270985002E-2</v>
      </c>
      <c r="AQ181" s="29">
        <v>52107.826114486903</v>
      </c>
      <c r="AR181" s="30">
        <v>7.9487240852833305E-2</v>
      </c>
      <c r="AS181" s="29">
        <v>37293.385257235401</v>
      </c>
      <c r="AT181" s="30">
        <v>6.4194853031595195E-2</v>
      </c>
      <c r="AU181" s="29">
        <v>273948.34617883601</v>
      </c>
      <c r="AV181" s="30">
        <v>2.2329512552221799E-2</v>
      </c>
      <c r="AW181" s="29">
        <v>169024.89070658301</v>
      </c>
      <c r="AX181" s="30">
        <v>2.8737385009141699E-2</v>
      </c>
      <c r="AY181" s="29">
        <v>105034.08111126399</v>
      </c>
      <c r="AZ181" s="30">
        <v>1.32402373832992E-2</v>
      </c>
      <c r="BA181" s="29">
        <v>70974.559853676197</v>
      </c>
      <c r="BB181" s="30">
        <v>-3.6803074806414003E-2</v>
      </c>
      <c r="BC181" s="29">
        <v>89442.260576668603</v>
      </c>
      <c r="BD181" s="30">
        <v>7.3547667906714201E-2</v>
      </c>
      <c r="BE181" s="29"/>
      <c r="BF181" s="30"/>
    </row>
    <row r="182" spans="1:58" x14ac:dyDescent="0.2">
      <c r="A182" s="28">
        <v>2022</v>
      </c>
      <c r="B182" s="28">
        <v>3</v>
      </c>
      <c r="C182" s="29">
        <v>194855.53374121501</v>
      </c>
      <c r="D182" s="30">
        <v>2.3024861159567998E-2</v>
      </c>
      <c r="E182" s="29">
        <v>167683.86283215499</v>
      </c>
      <c r="F182" s="30">
        <v>1.4116649568197E-2</v>
      </c>
      <c r="G182" s="29">
        <v>118650.15712531201</v>
      </c>
      <c r="H182" s="30">
        <v>2.61690140091504E-2</v>
      </c>
      <c r="I182" s="29">
        <v>96263.700619794297</v>
      </c>
      <c r="J182" s="30">
        <v>3.50605069356862E-2</v>
      </c>
      <c r="K182" s="29">
        <v>22404.424319346599</v>
      </c>
      <c r="L182" s="30">
        <v>-9.5921241913767795E-3</v>
      </c>
      <c r="M182" s="29">
        <v>49027.743202260899</v>
      </c>
      <c r="N182" s="30">
        <v>-1.40281727279196E-2</v>
      </c>
      <c r="O182" s="29">
        <v>51399.348691781197</v>
      </c>
      <c r="P182" s="30">
        <v>1.8311768852034199E-2</v>
      </c>
      <c r="Q182" s="29">
        <v>14742.664712337501</v>
      </c>
      <c r="R182" s="30">
        <v>-8.9158724859380895E-2</v>
      </c>
      <c r="S182" s="29">
        <v>36687.190344046197</v>
      </c>
      <c r="T182" s="30">
        <v>6.9931342686251299E-2</v>
      </c>
      <c r="U182" s="29"/>
      <c r="V182" s="30"/>
      <c r="W182" s="29"/>
      <c r="X182" s="30"/>
      <c r="Y182" s="29"/>
      <c r="Z182" s="30"/>
      <c r="AA182" s="29">
        <v>142180.14195524601</v>
      </c>
      <c r="AB182" s="30">
        <v>0.111344411426649</v>
      </c>
      <c r="AC182" s="29">
        <v>106584.906148985</v>
      </c>
      <c r="AD182" s="30">
        <v>0.10986431640172301</v>
      </c>
      <c r="AE182" s="29">
        <v>80692.637651498299</v>
      </c>
      <c r="AF182" s="30">
        <v>3.5959394183303801E-2</v>
      </c>
      <c r="AG182" s="29">
        <v>62937.660304807403</v>
      </c>
      <c r="AH182" s="30">
        <v>4.05109421445045E-2</v>
      </c>
      <c r="AI182" s="29">
        <v>35618.237810610597</v>
      </c>
      <c r="AJ182" s="30">
        <v>0.116521091005516</v>
      </c>
      <c r="AK182" s="29">
        <v>115310.955487673</v>
      </c>
      <c r="AL182" s="30">
        <v>0.121538735071443</v>
      </c>
      <c r="AM182" s="29">
        <v>77111.454978320893</v>
      </c>
      <c r="AN182" s="30">
        <v>0.173858711955482</v>
      </c>
      <c r="AO182" s="29">
        <v>52851.690038201297</v>
      </c>
      <c r="AP182" s="30">
        <v>7.4593104589538495E-2</v>
      </c>
      <c r="AQ182" s="29">
        <v>51546.160158666498</v>
      </c>
      <c r="AR182" s="30">
        <v>8.4741742036452503E-2</v>
      </c>
      <c r="AS182" s="29">
        <v>38186.824223900003</v>
      </c>
      <c r="AT182" s="30">
        <v>2.8618510501759099E-2</v>
      </c>
      <c r="AU182" s="29">
        <v>283125.76849246002</v>
      </c>
      <c r="AV182" s="30">
        <v>3.5753885846311603E-2</v>
      </c>
      <c r="AW182" s="29">
        <v>170044.29539801501</v>
      </c>
      <c r="AX182" s="30">
        <v>2.3749949002820601E-2</v>
      </c>
      <c r="AY182" s="29">
        <v>112974.718727648</v>
      </c>
      <c r="AZ182" s="30">
        <v>5.3348678541021301E-2</v>
      </c>
      <c r="BA182" s="29">
        <v>77495.086867707098</v>
      </c>
      <c r="BB182" s="30">
        <v>2.8443340822739398E-2</v>
      </c>
      <c r="BC182" s="29">
        <v>89752.901481303503</v>
      </c>
      <c r="BD182" s="30">
        <v>6.0361619971021498E-2</v>
      </c>
      <c r="BE182" s="29"/>
      <c r="BF182" s="30"/>
    </row>
    <row r="183" spans="1:58" x14ac:dyDescent="0.2">
      <c r="A183" s="28">
        <v>2022</v>
      </c>
      <c r="B183" s="28">
        <v>4</v>
      </c>
      <c r="C183" s="29">
        <v>199510.69123441901</v>
      </c>
      <c r="D183" s="30">
        <v>1.7277997504569601E-2</v>
      </c>
      <c r="E183" s="29">
        <v>177185.861088562</v>
      </c>
      <c r="F183" s="30">
        <v>-2.6472155414067901E-3</v>
      </c>
      <c r="G183" s="29">
        <v>120759.306014762</v>
      </c>
      <c r="H183" s="30">
        <v>2.29503774797284E-2</v>
      </c>
      <c r="I183" s="29">
        <v>98201.860472365996</v>
      </c>
      <c r="J183" s="30">
        <v>2.9605169539664199E-2</v>
      </c>
      <c r="K183" s="29">
        <v>22579.652177256499</v>
      </c>
      <c r="L183" s="30">
        <v>-4.0661889854922703E-3</v>
      </c>
      <c r="M183" s="29">
        <v>56426.251945430697</v>
      </c>
      <c r="N183" s="30">
        <v>-5.3348355615028001E-2</v>
      </c>
      <c r="O183" s="29">
        <v>53301.161777077898</v>
      </c>
      <c r="P183" s="30">
        <v>-3.9938510873819303E-3</v>
      </c>
      <c r="Q183" s="29">
        <v>15420.4539662998</v>
      </c>
      <c r="R183" s="30">
        <v>-6.0269707176819003E-2</v>
      </c>
      <c r="S183" s="29">
        <v>37909.382037642899</v>
      </c>
      <c r="T183" s="30">
        <v>2.16662604284934E-2</v>
      </c>
      <c r="U183" s="29"/>
      <c r="V183" s="30"/>
      <c r="W183" s="29"/>
      <c r="X183" s="30"/>
      <c r="Y183" s="29"/>
      <c r="Z183" s="30"/>
      <c r="AA183" s="29">
        <v>144101.143498308</v>
      </c>
      <c r="AB183" s="30">
        <v>5.3572888184955099E-2</v>
      </c>
      <c r="AC183" s="29">
        <v>107121.73911420599</v>
      </c>
      <c r="AD183" s="30">
        <v>7.2359163106542806E-2</v>
      </c>
      <c r="AE183" s="29">
        <v>83513.574388698704</v>
      </c>
      <c r="AF183" s="30">
        <v>4.7186469294531901E-2</v>
      </c>
      <c r="AG183" s="29">
        <v>63462.839943339197</v>
      </c>
      <c r="AH183" s="30">
        <v>-1.52459592463668E-2</v>
      </c>
      <c r="AI183" s="29">
        <v>37056.9429616751</v>
      </c>
      <c r="AJ183" s="30">
        <v>4.7909878742409297E-3</v>
      </c>
      <c r="AK183" s="29">
        <v>121922.532897615</v>
      </c>
      <c r="AL183" s="30">
        <v>3.0553297930188999E-2</v>
      </c>
      <c r="AM183" s="29">
        <v>80859.726871752195</v>
      </c>
      <c r="AN183" s="30">
        <v>5.6610682011780898E-2</v>
      </c>
      <c r="AO183" s="29">
        <v>55008.250284947899</v>
      </c>
      <c r="AP183" s="30">
        <v>6.6372673580471095E-2</v>
      </c>
      <c r="AQ183" s="29">
        <v>53142.740279240898</v>
      </c>
      <c r="AR183" s="30">
        <v>6.8011136120229104E-2</v>
      </c>
      <c r="AS183" s="29">
        <v>41056.286434408103</v>
      </c>
      <c r="AT183" s="30">
        <v>-1.7331014139576301E-2</v>
      </c>
      <c r="AU183" s="29">
        <v>290978.894881338</v>
      </c>
      <c r="AV183" s="30">
        <v>2.24383391786247E-2</v>
      </c>
      <c r="AW183" s="29">
        <v>174059.23709098299</v>
      </c>
      <c r="AX183" s="30">
        <v>1.4538702710943799E-2</v>
      </c>
      <c r="AY183" s="29">
        <v>116776.53357275701</v>
      </c>
      <c r="AZ183" s="30">
        <v>3.3162886242631903E-2</v>
      </c>
      <c r="BA183" s="29">
        <v>79880.626370147598</v>
      </c>
      <c r="BB183" s="30">
        <v>4.90188428222154E-2</v>
      </c>
      <c r="BC183" s="29">
        <v>94192.622283688994</v>
      </c>
      <c r="BD183" s="30">
        <v>2.8989159038508301E-2</v>
      </c>
      <c r="BE183" s="29"/>
      <c r="BF183" s="30"/>
    </row>
    <row r="184" spans="1:58" x14ac:dyDescent="0.2">
      <c r="A184" s="28">
        <v>2023</v>
      </c>
      <c r="B184" s="28">
        <v>1</v>
      </c>
      <c r="C184" s="29">
        <v>194701.643072159</v>
      </c>
      <c r="D184" s="30">
        <v>1.8091584016157701E-2</v>
      </c>
      <c r="E184" s="29">
        <v>177300.977284786</v>
      </c>
      <c r="F184" s="30">
        <v>6.9273502115908298E-2</v>
      </c>
      <c r="G184" s="29">
        <v>119922.11428049</v>
      </c>
      <c r="H184" s="30">
        <v>1.7636125593607901E-2</v>
      </c>
      <c r="I184" s="29">
        <v>97268.257593999995</v>
      </c>
      <c r="J184" s="30">
        <v>2.02643686801913E-2</v>
      </c>
      <c r="K184" s="29">
        <v>22671.499568855201</v>
      </c>
      <c r="L184" s="30">
        <v>6.7001839488938196E-3</v>
      </c>
      <c r="M184" s="29">
        <v>57401.757837481397</v>
      </c>
      <c r="N184" s="30">
        <v>0.19676609338343901</v>
      </c>
      <c r="O184" s="29">
        <v>51418.190809995103</v>
      </c>
      <c r="P184" s="30">
        <v>4.5931678618227799E-2</v>
      </c>
      <c r="Q184" s="29">
        <v>13704.1454264109</v>
      </c>
      <c r="R184" s="30">
        <v>-1.49486787132665E-2</v>
      </c>
      <c r="S184" s="29">
        <v>37837.125769888502</v>
      </c>
      <c r="T184" s="30">
        <v>7.24365202928203E-2</v>
      </c>
      <c r="U184" s="29"/>
      <c r="V184" s="30"/>
      <c r="W184" s="29"/>
      <c r="X184" s="30"/>
      <c r="Y184" s="29"/>
      <c r="Z184" s="30"/>
      <c r="AA184" s="29">
        <v>139472.995119183</v>
      </c>
      <c r="AB184" s="30">
        <v>4.3125258437946004E-3</v>
      </c>
      <c r="AC184" s="29">
        <v>105502.538070247</v>
      </c>
      <c r="AD184" s="30">
        <v>-1.2836241395401699E-2</v>
      </c>
      <c r="AE184" s="29">
        <v>80619.405921589496</v>
      </c>
      <c r="AF184" s="30">
        <v>-6.3161463979048496E-2</v>
      </c>
      <c r="AG184" s="29">
        <v>68552.661369466499</v>
      </c>
      <c r="AH184" s="30">
        <v>3.8995089722576801E-2</v>
      </c>
      <c r="AI184" s="29">
        <v>33938.852399126401</v>
      </c>
      <c r="AJ184" s="30">
        <v>6.5383617735197005E-2</v>
      </c>
      <c r="AK184" s="29">
        <v>121909.031047689</v>
      </c>
      <c r="AL184" s="30">
        <v>7.2181980177876498E-2</v>
      </c>
      <c r="AM184" s="29">
        <v>84298.663936941201</v>
      </c>
      <c r="AN184" s="30">
        <v>9.5007772500104601E-2</v>
      </c>
      <c r="AO184" s="29">
        <v>58247.591505411503</v>
      </c>
      <c r="AP184" s="30">
        <v>6.72574409932227E-2</v>
      </c>
      <c r="AQ184" s="29">
        <v>55544.095932481097</v>
      </c>
      <c r="AR184" s="30">
        <v>7.1498211638975295E-2</v>
      </c>
      <c r="AS184" s="29">
        <v>37456.003664952703</v>
      </c>
      <c r="AT184" s="30">
        <v>2.0736729556529901E-2</v>
      </c>
      <c r="AU184" s="29">
        <v>282935.45047163102</v>
      </c>
      <c r="AV184" s="30">
        <v>5.79003156054769E-3</v>
      </c>
      <c r="AW184" s="29">
        <v>171329.37148964099</v>
      </c>
      <c r="AX184" s="30">
        <v>2.5979527042882901E-2</v>
      </c>
      <c r="AY184" s="29">
        <v>111605.430367439</v>
      </c>
      <c r="AZ184" s="30">
        <v>-2.2002039926786801E-2</v>
      </c>
      <c r="BA184" s="29">
        <v>77708.517835451901</v>
      </c>
      <c r="BB184" s="30">
        <v>-5.3434187526178803E-2</v>
      </c>
      <c r="BC184" s="29">
        <v>93169.397004547398</v>
      </c>
      <c r="BD184" s="30">
        <v>5.1808852497178898E-2</v>
      </c>
      <c r="BE184" s="29"/>
      <c r="BF184" s="30"/>
    </row>
    <row r="185" spans="1:58" x14ac:dyDescent="0.2">
      <c r="A185" s="28">
        <v>2023</v>
      </c>
      <c r="B185" s="28">
        <v>2</v>
      </c>
      <c r="C185" s="29">
        <v>195826.892769511</v>
      </c>
      <c r="D185" s="30">
        <v>5.6495865744343697E-3</v>
      </c>
      <c r="E185" s="29">
        <v>175016.53756042599</v>
      </c>
      <c r="F185" s="30">
        <v>-2.2337846985090601E-2</v>
      </c>
      <c r="G185" s="29">
        <v>119141.31625535</v>
      </c>
      <c r="H185" s="30">
        <v>1.20262320197373E-2</v>
      </c>
      <c r="I185" s="29">
        <v>96533.816445099903</v>
      </c>
      <c r="J185" s="30">
        <v>1.1972576725881401E-2</v>
      </c>
      <c r="K185" s="29">
        <v>22623.578877080599</v>
      </c>
      <c r="L185" s="30">
        <v>1.22626438887086E-2</v>
      </c>
      <c r="M185" s="29">
        <v>55889.113583448103</v>
      </c>
      <c r="N185" s="30">
        <v>-8.8195923450279795E-2</v>
      </c>
      <c r="O185" s="29">
        <v>52342.503761385</v>
      </c>
      <c r="P185" s="30">
        <v>2.0256401818145E-2</v>
      </c>
      <c r="Q185" s="29">
        <v>14808.1342465622</v>
      </c>
      <c r="R185" s="30">
        <v>-2.6349426227508702E-2</v>
      </c>
      <c r="S185" s="29">
        <v>37589.023900844397</v>
      </c>
      <c r="T185" s="30">
        <v>4.0849224270364602E-2</v>
      </c>
      <c r="U185" s="29"/>
      <c r="V185" s="30"/>
      <c r="W185" s="29"/>
      <c r="X185" s="30"/>
      <c r="Y185" s="29"/>
      <c r="Z185" s="30"/>
      <c r="AA185" s="29">
        <v>134080.17343994899</v>
      </c>
      <c r="AB185" s="30">
        <v>8.4258304807518697E-2</v>
      </c>
      <c r="AC185" s="29">
        <v>100287.132294061</v>
      </c>
      <c r="AD185" s="30">
        <v>0.11936115476761899</v>
      </c>
      <c r="AE185" s="29">
        <v>79108.749527680106</v>
      </c>
      <c r="AF185" s="30">
        <v>5.6551237334207E-2</v>
      </c>
      <c r="AG185" s="29">
        <v>64077.401030801899</v>
      </c>
      <c r="AH185" s="30">
        <v>1.2959356269697201E-3</v>
      </c>
      <c r="AI185" s="29">
        <v>33828.446493495998</v>
      </c>
      <c r="AJ185" s="30">
        <v>-1.3004929590313701E-2</v>
      </c>
      <c r="AK185" s="29">
        <v>113176.17566708699</v>
      </c>
      <c r="AL185" s="30">
        <v>5.0977403540285203E-2</v>
      </c>
      <c r="AM185" s="29">
        <v>75405.2561850989</v>
      </c>
      <c r="AN185" s="30">
        <v>7.11295563893313E-2</v>
      </c>
      <c r="AO185" s="29">
        <v>53773.357558482399</v>
      </c>
      <c r="AP185" s="30">
        <v>-8.7746757732510804E-3</v>
      </c>
      <c r="AQ185" s="29">
        <v>51642.524277753801</v>
      </c>
      <c r="AR185" s="30">
        <v>-8.9295960209664297E-3</v>
      </c>
      <c r="AS185" s="29">
        <v>37759.465264995197</v>
      </c>
      <c r="AT185" s="30">
        <v>1.24976588889691E-2</v>
      </c>
      <c r="AU185" s="29">
        <v>280374.89013967902</v>
      </c>
      <c r="AV185" s="30">
        <v>2.3458962430267901E-2</v>
      </c>
      <c r="AW185" s="29">
        <v>171489.616077963</v>
      </c>
      <c r="AX185" s="30">
        <v>1.45820261209826E-2</v>
      </c>
      <c r="AY185" s="29">
        <v>109037.733107223</v>
      </c>
      <c r="AZ185" s="30">
        <v>3.8117646706668201E-2</v>
      </c>
      <c r="BA185" s="29">
        <v>75302.996876095494</v>
      </c>
      <c r="BB185" s="30">
        <v>6.0985753646700898E-2</v>
      </c>
      <c r="BC185" s="29">
        <v>89434.417920020307</v>
      </c>
      <c r="BD185" s="30">
        <v>-8.7684016456535105E-5</v>
      </c>
      <c r="BE185" s="29"/>
      <c r="BF185" s="30"/>
    </row>
    <row r="186" spans="1:58" x14ac:dyDescent="0.2">
      <c r="A186" s="28">
        <v>2023</v>
      </c>
      <c r="B186" s="28">
        <v>3</v>
      </c>
      <c r="C186" s="29">
        <v>195485.905346935</v>
      </c>
      <c r="D186" s="30">
        <v>3.2350716123754602E-3</v>
      </c>
      <c r="E186" s="29">
        <v>174182.24051193599</v>
      </c>
      <c r="F186" s="30">
        <v>3.8753745113120602E-2</v>
      </c>
      <c r="G186" s="29">
        <v>119829.374111931</v>
      </c>
      <c r="H186" s="30">
        <v>9.9386045091671704E-3</v>
      </c>
      <c r="I186" s="29">
        <v>97047.982188968293</v>
      </c>
      <c r="J186" s="30">
        <v>8.1472202307244501E-3</v>
      </c>
      <c r="K186" s="29">
        <v>22796.943085894101</v>
      </c>
      <c r="L186" s="30">
        <v>1.75196988305821E-2</v>
      </c>
      <c r="M186" s="29">
        <v>54352.383805814599</v>
      </c>
      <c r="N186" s="30">
        <v>0.108604644141731</v>
      </c>
      <c r="O186" s="29">
        <v>52101.841973037299</v>
      </c>
      <c r="P186" s="30">
        <v>1.3667357644328E-2</v>
      </c>
      <c r="Q186" s="29">
        <v>14689.109024236101</v>
      </c>
      <c r="R186" s="30">
        <v>-3.6327006783605201E-3</v>
      </c>
      <c r="S186" s="29">
        <v>37471.331667026599</v>
      </c>
      <c r="T186" s="30">
        <v>2.1373708796636599E-2</v>
      </c>
      <c r="U186" s="29"/>
      <c r="V186" s="30"/>
      <c r="W186" s="29"/>
      <c r="X186" s="30"/>
      <c r="Y186" s="29"/>
      <c r="Z186" s="30"/>
      <c r="AA186" s="29">
        <v>128873.99729247999</v>
      </c>
      <c r="AB186" s="30">
        <v>-9.3586519747280703E-2</v>
      </c>
      <c r="AC186" s="29">
        <v>94056.159163408098</v>
      </c>
      <c r="AD186" s="30">
        <v>-0.11754710341503399</v>
      </c>
      <c r="AE186" s="29">
        <v>75437.751110222103</v>
      </c>
      <c r="AF186" s="30">
        <v>-6.5122255192245196E-2</v>
      </c>
      <c r="AG186" s="29">
        <v>63741.988687188401</v>
      </c>
      <c r="AH186" s="30">
        <v>1.2779762998586601E-2</v>
      </c>
      <c r="AI186" s="29">
        <v>34987.196537512304</v>
      </c>
      <c r="AJ186" s="30">
        <v>-1.7716802174597601E-2</v>
      </c>
      <c r="AK186" s="29">
        <v>107398.886748531</v>
      </c>
      <c r="AL186" s="30">
        <v>-6.8615065287424004E-2</v>
      </c>
      <c r="AM186" s="29">
        <v>68601.233315737001</v>
      </c>
      <c r="AN186" s="30">
        <v>-0.110362612986312</v>
      </c>
      <c r="AO186" s="29">
        <v>51198.520761330503</v>
      </c>
      <c r="AP186" s="30">
        <v>-3.1279402336535901E-2</v>
      </c>
      <c r="AQ186" s="29">
        <v>49659.224971036398</v>
      </c>
      <c r="AR186" s="30">
        <v>-3.6606707111099403E-2</v>
      </c>
      <c r="AS186" s="29">
        <v>38923.257835803</v>
      </c>
      <c r="AT186" s="30">
        <v>1.9285018507563301E-2</v>
      </c>
      <c r="AU186" s="29">
        <v>279183.59817208402</v>
      </c>
      <c r="AV186" s="30">
        <v>-1.3923742587493701E-2</v>
      </c>
      <c r="AW186" s="29">
        <v>171929.86212349901</v>
      </c>
      <c r="AX186" s="30">
        <v>1.10886796941347E-2</v>
      </c>
      <c r="AY186" s="29">
        <v>107510.154784981</v>
      </c>
      <c r="AZ186" s="30">
        <v>-4.8369794624939802E-2</v>
      </c>
      <c r="BA186" s="29">
        <v>72743.781472192903</v>
      </c>
      <c r="BB186" s="30">
        <v>-6.1311053223608601E-2</v>
      </c>
      <c r="BC186" s="29">
        <v>88502.340830470202</v>
      </c>
      <c r="BD186" s="30">
        <v>-1.39333729628101E-2</v>
      </c>
      <c r="BE186" s="29"/>
      <c r="BF186" s="30"/>
    </row>
    <row r="187" spans="1:58" x14ac:dyDescent="0.2">
      <c r="A187" s="28">
        <v>2023</v>
      </c>
      <c r="B187" s="28">
        <v>4</v>
      </c>
      <c r="C187" s="29">
        <v>200762.465759821</v>
      </c>
      <c r="D187" s="30">
        <v>6.2742227880487897E-3</v>
      </c>
      <c r="E187" s="29">
        <v>185857.81555351801</v>
      </c>
      <c r="F187" s="30">
        <v>4.8942700121102502E-2</v>
      </c>
      <c r="G187" s="29">
        <v>122774.696163525</v>
      </c>
      <c r="H187" s="30">
        <v>1.6689315426484899E-2</v>
      </c>
      <c r="I187" s="29">
        <v>99761.461466574401</v>
      </c>
      <c r="J187" s="30">
        <v>1.5881582962954801E-2</v>
      </c>
      <c r="K187" s="29">
        <v>23033.8686327172</v>
      </c>
      <c r="L187" s="30">
        <v>2.01161847797739E-2</v>
      </c>
      <c r="M187" s="29">
        <v>63140.5560378839</v>
      </c>
      <c r="N187" s="30">
        <v>0.118992558622297</v>
      </c>
      <c r="O187" s="29">
        <v>53849.2312743609</v>
      </c>
      <c r="P187" s="30">
        <v>1.0282505652976099E-2</v>
      </c>
      <c r="Q187" s="29">
        <v>15222.609891030501</v>
      </c>
      <c r="R187" s="30">
        <v>-1.28299773600509E-2</v>
      </c>
      <c r="S187" s="29">
        <v>38683.820138002899</v>
      </c>
      <c r="T187" s="30">
        <v>2.0428665906265599E-2</v>
      </c>
      <c r="U187" s="29"/>
      <c r="V187" s="30"/>
      <c r="W187" s="29"/>
      <c r="X187" s="30"/>
      <c r="Y187" s="29"/>
      <c r="Z187" s="30"/>
      <c r="AA187" s="29">
        <v>131841.157535854</v>
      </c>
      <c r="AB187" s="30">
        <v>-8.50790331347928E-2</v>
      </c>
      <c r="AC187" s="29">
        <v>97291.892714195099</v>
      </c>
      <c r="AD187" s="30">
        <v>-9.1763319763982595E-2</v>
      </c>
      <c r="AE187" s="29">
        <v>77549.990450498794</v>
      </c>
      <c r="AF187" s="30">
        <v>-7.1408558211668596E-2</v>
      </c>
      <c r="AG187" s="29">
        <v>63172.472312150298</v>
      </c>
      <c r="AH187" s="30">
        <v>-4.5753961128762698E-3</v>
      </c>
      <c r="AI187" s="29">
        <v>34660.548681068198</v>
      </c>
      <c r="AJ187" s="30">
        <v>-6.4667889174921195E-2</v>
      </c>
      <c r="AK187" s="29">
        <v>116307.222447116</v>
      </c>
      <c r="AL187" s="30">
        <v>-4.6056379547288299E-2</v>
      </c>
      <c r="AM187" s="29">
        <v>75515.723931998597</v>
      </c>
      <c r="AN187" s="30">
        <v>-6.6089797065842698E-2</v>
      </c>
      <c r="AO187" s="29">
        <v>56019.441548249102</v>
      </c>
      <c r="AP187" s="30">
        <v>1.8382538220414101E-2</v>
      </c>
      <c r="AQ187" s="29">
        <v>53434.381911412202</v>
      </c>
      <c r="AR187" s="30">
        <v>5.4878922433967397E-3</v>
      </c>
      <c r="AS187" s="29">
        <v>40870.975905699401</v>
      </c>
      <c r="AT187" s="30">
        <v>-4.5135725805289803E-3</v>
      </c>
      <c r="AU187" s="29">
        <v>285366.55002352298</v>
      </c>
      <c r="AV187" s="30">
        <v>-1.9287807317102602E-2</v>
      </c>
      <c r="AW187" s="29">
        <v>176628.71572795601</v>
      </c>
      <c r="AX187" s="30">
        <v>1.47620929513201E-2</v>
      </c>
      <c r="AY187" s="29">
        <v>109079.68792794101</v>
      </c>
      <c r="AZ187" s="30">
        <v>-6.5910893304776494E-2</v>
      </c>
      <c r="BA187" s="29">
        <v>74577.314695888301</v>
      </c>
      <c r="BB187" s="30">
        <v>-6.6390461808411599E-2</v>
      </c>
      <c r="BC187" s="29">
        <v>94262.192881163704</v>
      </c>
      <c r="BD187" s="30">
        <v>7.3859922134089705E-4</v>
      </c>
      <c r="BE187" s="29"/>
      <c r="BF187" s="30"/>
    </row>
    <row r="188" spans="1:58" x14ac:dyDescent="0.2">
      <c r="A188" s="28">
        <v>2024</v>
      </c>
      <c r="B188" s="28">
        <v>1</v>
      </c>
      <c r="C188" s="29">
        <v>195068.63945977599</v>
      </c>
      <c r="D188" s="30">
        <v>1.8849167466004099E-3</v>
      </c>
      <c r="E188" s="29">
        <v>176459.039994491</v>
      </c>
      <c r="F188" s="30">
        <v>-4.7486331050644601E-3</v>
      </c>
      <c r="G188" s="29">
        <v>122360.661049662</v>
      </c>
      <c r="H188" s="30">
        <v>2.0334421084907701E-2</v>
      </c>
      <c r="I188" s="29">
        <v>99378.502908185998</v>
      </c>
      <c r="J188" s="30">
        <v>2.1695107596089599E-2</v>
      </c>
      <c r="K188" s="29">
        <v>23004.4438842706</v>
      </c>
      <c r="L188" s="30">
        <v>1.46855885912747E-2</v>
      </c>
      <c r="M188" s="29">
        <v>54073.035115027902</v>
      </c>
      <c r="N188" s="30">
        <v>-5.7989909157101602E-2</v>
      </c>
      <c r="O188" s="29">
        <v>51250.840724505302</v>
      </c>
      <c r="P188" s="30">
        <v>-3.25468638342852E-3</v>
      </c>
      <c r="Q188" s="29">
        <v>13403.210764387701</v>
      </c>
      <c r="R188" s="30">
        <v>-2.1959389123471298E-2</v>
      </c>
      <c r="S188" s="29">
        <v>38003.625290699703</v>
      </c>
      <c r="T188" s="30">
        <v>4.4004272899531597E-3</v>
      </c>
      <c r="U188" s="29"/>
      <c r="V188" s="30"/>
      <c r="W188" s="29"/>
      <c r="X188" s="30"/>
      <c r="Y188" s="29"/>
      <c r="Z188" s="30"/>
      <c r="AA188" s="29">
        <v>140371.700285762</v>
      </c>
      <c r="AB188" s="30">
        <v>6.4435783128557996E-3</v>
      </c>
      <c r="AC188" s="29">
        <v>105591.71234239799</v>
      </c>
      <c r="AD188" s="30">
        <v>8.45233430230241E-4</v>
      </c>
      <c r="AE188" s="29">
        <v>79289.093531475199</v>
      </c>
      <c r="AF188" s="30">
        <v>-1.6501143551072898E-2</v>
      </c>
      <c r="AG188" s="29">
        <v>66763.003027096594</v>
      </c>
      <c r="AH188" s="30">
        <v>-2.61063291580244E-2</v>
      </c>
      <c r="AI188" s="29">
        <v>34887.117460723697</v>
      </c>
      <c r="AJ188" s="30">
        <v>2.7940398527492E-2</v>
      </c>
      <c r="AK188" s="29">
        <v>121633.898958978</v>
      </c>
      <c r="AL188" s="30">
        <v>-2.2568638791269401E-3</v>
      </c>
      <c r="AM188" s="29">
        <v>82157.419775429604</v>
      </c>
      <c r="AN188" s="30">
        <v>-2.5400689186643999E-2</v>
      </c>
      <c r="AO188" s="29">
        <v>57346.699587237803</v>
      </c>
      <c r="AP188" s="30">
        <v>-1.5466595182566399E-2</v>
      </c>
      <c r="AQ188" s="29">
        <v>55019.296122795597</v>
      </c>
      <c r="AR188" s="30">
        <v>-9.4483455149472206E-3</v>
      </c>
      <c r="AS188" s="29">
        <v>39501.382681587202</v>
      </c>
      <c r="AT188" s="30">
        <v>5.4607507915967801E-2</v>
      </c>
      <c r="AU188" s="29">
        <v>285196.99225283298</v>
      </c>
      <c r="AV188" s="30">
        <v>7.9931368707344408E-3</v>
      </c>
      <c r="AW188" s="29">
        <v>173582.83153500699</v>
      </c>
      <c r="AX188" s="30">
        <v>1.3152794677137701E-2</v>
      </c>
      <c r="AY188" s="29">
        <v>111745.596475283</v>
      </c>
      <c r="AZ188" s="30">
        <v>1.2559075968186001E-3</v>
      </c>
      <c r="BA188" s="29">
        <v>76994.128492609103</v>
      </c>
      <c r="BB188" s="30">
        <v>-9.1931922360878292E-3</v>
      </c>
      <c r="BC188" s="29">
        <v>94543.747367604694</v>
      </c>
      <c r="BD188" s="30">
        <v>1.4751092174506399E-2</v>
      </c>
      <c r="BE188" s="29"/>
      <c r="BF188" s="30"/>
    </row>
    <row r="189" spans="1:58" x14ac:dyDescent="0.2">
      <c r="A189" s="28">
        <v>2024</v>
      </c>
      <c r="B189" s="28">
        <v>2</v>
      </c>
      <c r="C189" s="29">
        <v>199505.412075784</v>
      </c>
      <c r="D189" s="30">
        <v>1.8784546158336701E-2</v>
      </c>
      <c r="E189" s="29">
        <v>175380.44044062699</v>
      </c>
      <c r="F189" s="30">
        <v>2.07924854001784E-3</v>
      </c>
      <c r="G189" s="29">
        <v>121567.88163665299</v>
      </c>
      <c r="H189" s="30">
        <v>2.0367119128528201E-2</v>
      </c>
      <c r="I189" s="29">
        <v>98661.187623490405</v>
      </c>
      <c r="J189" s="30">
        <v>2.2037574569533602E-2</v>
      </c>
      <c r="K189" s="29">
        <v>22926.608633712302</v>
      </c>
      <c r="L189" s="30">
        <v>1.33944217348705E-2</v>
      </c>
      <c r="M189" s="29">
        <v>53788.0849926308</v>
      </c>
      <c r="N189" s="30">
        <v>-3.7592805755994801E-2</v>
      </c>
      <c r="O189" s="29">
        <v>52944.357929138198</v>
      </c>
      <c r="P189" s="30">
        <v>1.1498383235486199E-2</v>
      </c>
      <c r="Q189" s="29">
        <v>14532.9760577326</v>
      </c>
      <c r="R189" s="30">
        <v>-1.8581556882730201E-2</v>
      </c>
      <c r="S189" s="29">
        <v>38506.377275376202</v>
      </c>
      <c r="T189" s="30">
        <v>2.4404820326049799E-2</v>
      </c>
      <c r="U189" s="29"/>
      <c r="V189" s="30"/>
      <c r="W189" s="29"/>
      <c r="X189" s="30"/>
      <c r="Y189" s="29"/>
      <c r="Z189" s="30"/>
      <c r="AA189" s="29">
        <v>136420.39684418699</v>
      </c>
      <c r="AB189" s="30">
        <v>1.7453910926551901E-2</v>
      </c>
      <c r="AC189" s="29">
        <v>99600.673601077797</v>
      </c>
      <c r="AD189" s="30">
        <v>-6.8449329169200102E-3</v>
      </c>
      <c r="AE189" s="29">
        <v>83905.217656843102</v>
      </c>
      <c r="AF189" s="30">
        <v>6.0631322803108303E-2</v>
      </c>
      <c r="AG189" s="29">
        <v>71037.037068034493</v>
      </c>
      <c r="AH189" s="30">
        <v>0.108612957536889</v>
      </c>
      <c r="AI189" s="29">
        <v>36845.550857287701</v>
      </c>
      <c r="AJ189" s="30">
        <v>8.9188380683452806E-2</v>
      </c>
      <c r="AK189" s="29">
        <v>112222.455989636</v>
      </c>
      <c r="AL189" s="30">
        <v>-8.4268590260230293E-3</v>
      </c>
      <c r="AM189" s="29">
        <v>72771.767216125794</v>
      </c>
      <c r="AN189" s="30">
        <v>-3.4924474794019902E-2</v>
      </c>
      <c r="AO189" s="29">
        <v>58355.037960608897</v>
      </c>
      <c r="AP189" s="30">
        <v>8.5203539636586903E-2</v>
      </c>
      <c r="AQ189" s="29">
        <v>56018.4890531649</v>
      </c>
      <c r="AR189" s="30">
        <v>8.4735687044953198E-2</v>
      </c>
      <c r="AS189" s="29">
        <v>39446.382676521098</v>
      </c>
      <c r="AT189" s="30">
        <v>4.4675352251074801E-2</v>
      </c>
      <c r="AU189" s="29">
        <v>292403.700447287</v>
      </c>
      <c r="AV189" s="30">
        <v>4.2902594813733999E-2</v>
      </c>
      <c r="AW189" s="29">
        <v>174512.02297123201</v>
      </c>
      <c r="AX189" s="30">
        <v>1.7624430927029901E-2</v>
      </c>
      <c r="AY189" s="29">
        <v>117864.429539135</v>
      </c>
      <c r="AZ189" s="30">
        <v>8.0950843165753905E-2</v>
      </c>
      <c r="BA189" s="29">
        <v>81161.104004543202</v>
      </c>
      <c r="BB189" s="30">
        <v>7.7793811288635203E-2</v>
      </c>
      <c r="BC189" s="29">
        <v>95490.223768807497</v>
      </c>
      <c r="BD189" s="30">
        <v>6.7712252057175099E-2</v>
      </c>
      <c r="BE189" s="29"/>
      <c r="BF189" s="30"/>
    </row>
    <row r="190" spans="1:58" x14ac:dyDescent="0.2">
      <c r="A190" s="28">
        <v>2024</v>
      </c>
      <c r="B190" s="28">
        <v>3</v>
      </c>
      <c r="C190" s="29">
        <v>199389.03016882201</v>
      </c>
      <c r="D190" s="30">
        <v>1.9966272325157498E-2</v>
      </c>
      <c r="E190" s="29">
        <v>180723.592614806</v>
      </c>
      <c r="F190" s="30">
        <v>3.7554644397985303E-2</v>
      </c>
      <c r="G190" s="29">
        <v>122628.953123917</v>
      </c>
      <c r="H190" s="30">
        <v>2.3363044601824499E-2</v>
      </c>
      <c r="I190" s="29">
        <v>99585.020341721203</v>
      </c>
      <c r="J190" s="30">
        <v>2.6142101005385499E-2</v>
      </c>
      <c r="K190" s="29">
        <v>23065.922237533301</v>
      </c>
      <c r="L190" s="30">
        <v>1.1798913153647299E-2</v>
      </c>
      <c r="M190" s="29">
        <v>58111.551039050602</v>
      </c>
      <c r="N190" s="30">
        <v>6.9162876952488794E-2</v>
      </c>
      <c r="O190" s="29">
        <v>52232.455572578598</v>
      </c>
      <c r="P190" s="30">
        <v>2.5068902479294902E-3</v>
      </c>
      <c r="Q190" s="29">
        <v>14625.549875971299</v>
      </c>
      <c r="R190" s="30">
        <v>-4.3269573505083604E-3</v>
      </c>
      <c r="S190" s="29">
        <v>37672.886930548899</v>
      </c>
      <c r="T190" s="30">
        <v>5.3789191511368602E-3</v>
      </c>
      <c r="U190" s="29"/>
      <c r="V190" s="30"/>
      <c r="W190" s="29"/>
      <c r="X190" s="30"/>
      <c r="Y190" s="29"/>
      <c r="Z190" s="30"/>
      <c r="AA190" s="29">
        <v>128343.570061704</v>
      </c>
      <c r="AB190" s="30">
        <v>-4.1158592262243703E-3</v>
      </c>
      <c r="AC190" s="29">
        <v>91650.5031440569</v>
      </c>
      <c r="AD190" s="30">
        <v>-2.55768047595029E-2</v>
      </c>
      <c r="AE190" s="29">
        <v>76710.110430221903</v>
      </c>
      <c r="AF190" s="30">
        <v>1.6866347435791702E-2</v>
      </c>
      <c r="AG190" s="29">
        <v>65860.3895380178</v>
      </c>
      <c r="AH190" s="30">
        <v>3.3233993705865897E-2</v>
      </c>
      <c r="AI190" s="29">
        <v>36664.117227664799</v>
      </c>
      <c r="AJ190" s="30">
        <v>4.7929552982463701E-2</v>
      </c>
      <c r="AK190" s="29">
        <v>109288.74124900201</v>
      </c>
      <c r="AL190" s="30">
        <v>1.75965930158666E-2</v>
      </c>
      <c r="AM190" s="29">
        <v>68910.272170499898</v>
      </c>
      <c r="AN190" s="30">
        <v>4.5048585838170004E-3</v>
      </c>
      <c r="AO190" s="29">
        <v>54067.458145404598</v>
      </c>
      <c r="AP190" s="30">
        <v>5.6035552227145201E-2</v>
      </c>
      <c r="AQ190" s="29">
        <v>52039.273975457698</v>
      </c>
      <c r="AR190" s="30">
        <v>4.7927630884481799E-2</v>
      </c>
      <c r="AS190" s="29">
        <v>40356.627942960797</v>
      </c>
      <c r="AT190" s="30">
        <v>3.68255430520339E-2</v>
      </c>
      <c r="AU190" s="29">
        <v>285143.42463187</v>
      </c>
      <c r="AV190" s="30">
        <v>2.1347337375143199E-2</v>
      </c>
      <c r="AW190" s="29">
        <v>174844.80628035899</v>
      </c>
      <c r="AX190" s="30">
        <v>1.6954263330741799E-2</v>
      </c>
      <c r="AY190" s="29">
        <v>110490.695104194</v>
      </c>
      <c r="AZ190" s="30">
        <v>2.7723337624931701E-2</v>
      </c>
      <c r="BA190" s="29">
        <v>73922.313876007902</v>
      </c>
      <c r="BB190" s="30">
        <v>1.6201142970076798E-2</v>
      </c>
      <c r="BC190" s="29">
        <v>92410.491575324297</v>
      </c>
      <c r="BD190" s="30">
        <v>4.41587274210107E-2</v>
      </c>
      <c r="BE190" s="29"/>
      <c r="BF190" s="30"/>
    </row>
    <row r="191" spans="1:58" x14ac:dyDescent="0.2">
      <c r="A191" s="28">
        <v>2024</v>
      </c>
      <c r="B191" s="28">
        <v>4</v>
      </c>
      <c r="C191" s="29">
        <v>203752.64934668699</v>
      </c>
      <c r="D191" s="30">
        <v>1.48941365884769E-2</v>
      </c>
      <c r="E191" s="29">
        <v>184152.00317137301</v>
      </c>
      <c r="F191" s="30">
        <v>-9.17805031262953E-3</v>
      </c>
      <c r="G191" s="29">
        <v>125589.283141953</v>
      </c>
      <c r="H191" s="30">
        <v>2.29248132259963E-2</v>
      </c>
      <c r="I191" s="29">
        <v>102306.578231536</v>
      </c>
      <c r="J191" s="30">
        <v>2.5512023656697899E-2</v>
      </c>
      <c r="K191" s="29">
        <v>23314.852817463699</v>
      </c>
      <c r="L191" s="30">
        <v>1.21987404385662E-2</v>
      </c>
      <c r="M191" s="29">
        <v>58569.844595762697</v>
      </c>
      <c r="N191" s="30">
        <v>-7.2389470871601497E-2</v>
      </c>
      <c r="O191" s="29">
        <v>54257.264143550499</v>
      </c>
      <c r="P191" s="30">
        <v>7.5773202241393696E-3</v>
      </c>
      <c r="Q191" s="29">
        <v>15047.238610156301</v>
      </c>
      <c r="R191" s="30">
        <v>-1.1520447684698299E-2</v>
      </c>
      <c r="S191" s="29">
        <v>39292.556421403802</v>
      </c>
      <c r="T191" s="30">
        <v>1.57361987836067E-2</v>
      </c>
      <c r="U191" s="29"/>
      <c r="V191" s="30"/>
      <c r="W191" s="29"/>
      <c r="X191" s="30"/>
      <c r="Y191" s="29"/>
      <c r="Z191" s="30"/>
      <c r="AA191" s="29">
        <v>138244.270711947</v>
      </c>
      <c r="AB191" s="30">
        <v>4.8566876199888802E-2</v>
      </c>
      <c r="AC191" s="29">
        <v>99555.713631990395</v>
      </c>
      <c r="AD191" s="30">
        <v>2.3268340810733899E-2</v>
      </c>
      <c r="AE191" s="29">
        <v>81238.226038958193</v>
      </c>
      <c r="AF191" s="30">
        <v>4.7559458963617199E-2</v>
      </c>
      <c r="AG191" s="29">
        <v>71549.913065966801</v>
      </c>
      <c r="AH191" s="30">
        <v>0.13261220349935901</v>
      </c>
      <c r="AI191" s="29">
        <v>38679.030883031897</v>
      </c>
      <c r="AJ191" s="30">
        <v>0.11593821664337101</v>
      </c>
      <c r="AK191" s="29">
        <v>118379.067812546</v>
      </c>
      <c r="AL191" s="30">
        <v>1.7813557248112399E-2</v>
      </c>
      <c r="AM191" s="29">
        <v>76513.713314863897</v>
      </c>
      <c r="AN191" s="30">
        <v>1.3215650077908101E-2</v>
      </c>
      <c r="AO191" s="29">
        <v>58581.0491795825</v>
      </c>
      <c r="AP191" s="30">
        <v>4.5727118309938398E-2</v>
      </c>
      <c r="AQ191" s="29">
        <v>56145.409283274603</v>
      </c>
      <c r="AR191" s="30">
        <v>5.0735636398993499E-2</v>
      </c>
      <c r="AS191" s="29">
        <v>41858.556825295702</v>
      </c>
      <c r="AT191" s="30">
        <v>2.41633799465641E-2</v>
      </c>
      <c r="AU191" s="29">
        <v>295821.19483505999</v>
      </c>
      <c r="AV191" s="30">
        <v>3.6635845408914E-2</v>
      </c>
      <c r="AW191" s="29">
        <v>179840.204524128</v>
      </c>
      <c r="AX191" s="30">
        <v>1.8182144295937602E-2</v>
      </c>
      <c r="AY191" s="29">
        <v>116107.53011264501</v>
      </c>
      <c r="AZ191" s="30">
        <v>6.4428513852613695E-2</v>
      </c>
      <c r="BA191" s="29">
        <v>77526.427702806905</v>
      </c>
      <c r="BB191" s="30">
        <v>3.9544371085825203E-2</v>
      </c>
      <c r="BC191" s="29">
        <v>98023.768290925305</v>
      </c>
      <c r="BD191" s="30">
        <v>3.9905451961039597E-2</v>
      </c>
      <c r="BE191" s="29"/>
      <c r="BF191" s="30"/>
    </row>
    <row r="192" spans="1:58" x14ac:dyDescent="0.2">
      <c r="A192" s="28">
        <v>2025</v>
      </c>
      <c r="B192" s="28">
        <v>1</v>
      </c>
      <c r="C192" s="29">
        <v>200129.645916579</v>
      </c>
      <c r="D192" s="30">
        <v>2.5944746786666001E-2</v>
      </c>
      <c r="E192" s="29">
        <v>175164.853950413</v>
      </c>
      <c r="F192" s="30">
        <v>-7.3342008667747196E-3</v>
      </c>
      <c r="G192" s="29">
        <v>124287.43392716099</v>
      </c>
      <c r="H192" s="30">
        <v>1.5746669403141001E-2</v>
      </c>
      <c r="I192" s="29">
        <v>101061.956988558</v>
      </c>
      <c r="J192" s="30">
        <v>1.69398213004626E-2</v>
      </c>
      <c r="K192" s="29">
        <v>23252.612642695</v>
      </c>
      <c r="L192" s="30">
        <v>1.0787861670240999E-2</v>
      </c>
      <c r="M192" s="29">
        <v>50689.934004102201</v>
      </c>
      <c r="N192" s="30">
        <v>-6.2565400734929902E-2</v>
      </c>
      <c r="O192" s="29">
        <v>51348.278092274501</v>
      </c>
      <c r="P192" s="30">
        <v>1.90118574430831E-3</v>
      </c>
      <c r="Q192" s="29">
        <v>13286.19329791</v>
      </c>
      <c r="R192" s="30">
        <v>-8.7305548300858904E-3</v>
      </c>
      <c r="S192" s="29">
        <v>38238.550426041103</v>
      </c>
      <c r="T192" s="30">
        <v>6.1816506594936102E-3</v>
      </c>
      <c r="U192" s="29"/>
      <c r="V192" s="30"/>
      <c r="W192" s="29"/>
      <c r="X192" s="30"/>
      <c r="Y192" s="29"/>
      <c r="Z192" s="30"/>
      <c r="AA192" s="29">
        <v>156504.130198069</v>
      </c>
      <c r="AB192" s="30">
        <v>0.11492651210653899</v>
      </c>
      <c r="AC192" s="29">
        <v>121334.314867476</v>
      </c>
      <c r="AD192" s="30">
        <v>0.149089376200568</v>
      </c>
      <c r="AE192" s="29">
        <v>89445.512073916296</v>
      </c>
      <c r="AF192" s="30">
        <v>0.12809351311866601</v>
      </c>
      <c r="AG192" s="29">
        <v>76393.429290293003</v>
      </c>
      <c r="AH192" s="30">
        <v>0.144247949111692</v>
      </c>
      <c r="AI192" s="29">
        <v>35281.859733674602</v>
      </c>
      <c r="AJ192" s="30">
        <v>1.13148434632155E-2</v>
      </c>
      <c r="AK192" s="29">
        <v>131974.160125661</v>
      </c>
      <c r="AL192" s="30">
        <v>8.5011343508525794E-2</v>
      </c>
      <c r="AM192" s="29">
        <v>93040.871383073798</v>
      </c>
      <c r="AN192" s="30">
        <v>0.132470708517784</v>
      </c>
      <c r="AO192" s="29">
        <v>64686.661631887197</v>
      </c>
      <c r="AP192" s="30">
        <v>0.127992754552222</v>
      </c>
      <c r="AQ192" s="29">
        <v>62302.651615228497</v>
      </c>
      <c r="AR192" s="30">
        <v>0.13237820193441599</v>
      </c>
      <c r="AS192" s="29">
        <v>39054.393106787298</v>
      </c>
      <c r="AT192" s="30">
        <v>-1.13157956622179E-2</v>
      </c>
      <c r="AU192" s="29">
        <v>296160.57736657199</v>
      </c>
      <c r="AV192" s="30">
        <v>3.8442148450217303E-2</v>
      </c>
      <c r="AW192" s="29">
        <v>175610.861467993</v>
      </c>
      <c r="AX192" s="30">
        <v>1.1683355519965801E-2</v>
      </c>
      <c r="AY192" s="29">
        <v>120555.358430539</v>
      </c>
      <c r="AZ192" s="30">
        <v>7.8837665493191697E-2</v>
      </c>
      <c r="BA192" s="29">
        <v>85578.148633007397</v>
      </c>
      <c r="BB192" s="30">
        <v>0.11148928247460201</v>
      </c>
      <c r="BC192" s="29">
        <v>101127.444986289</v>
      </c>
      <c r="BD192" s="30">
        <v>6.9636520679528399E-2</v>
      </c>
      <c r="BE192" s="29"/>
      <c r="BF192" s="30"/>
    </row>
    <row r="193" spans="1:58" x14ac:dyDescent="0.2">
      <c r="A193" s="28">
        <v>2025</v>
      </c>
      <c r="B193" s="28">
        <v>2</v>
      </c>
      <c r="C193" s="29">
        <v>202252.161194997</v>
      </c>
      <c r="D193" s="30">
        <v>1.3767792515675399E-2</v>
      </c>
      <c r="E193" s="29">
        <v>188204.07623305</v>
      </c>
      <c r="F193" s="30">
        <v>7.3118962184179195E-2</v>
      </c>
      <c r="G193" s="29">
        <v>123516.459321238</v>
      </c>
      <c r="H193" s="30">
        <v>1.60287212243246E-2</v>
      </c>
      <c r="I193" s="29">
        <v>100234.457254951</v>
      </c>
      <c r="J193" s="30">
        <v>1.5946185823996699E-2</v>
      </c>
      <c r="K193" s="29">
        <v>23299.998149045899</v>
      </c>
      <c r="L193" s="30">
        <v>1.62862951646741E-2</v>
      </c>
      <c r="M193" s="29">
        <v>64939.383931566001</v>
      </c>
      <c r="N193" s="30">
        <v>0.20731912914287601</v>
      </c>
      <c r="O193" s="29">
        <v>51888.487891261902</v>
      </c>
      <c r="P193" s="30">
        <v>-1.99430133667793E-2</v>
      </c>
      <c r="Q193" s="29">
        <v>14341.4064333604</v>
      </c>
      <c r="R193" s="30">
        <v>-1.31817202210505E-2</v>
      </c>
      <c r="S193" s="29">
        <v>37629.408746548397</v>
      </c>
      <c r="T193" s="30">
        <v>-2.2774630876236199E-2</v>
      </c>
      <c r="U193" s="29"/>
      <c r="V193" s="30"/>
      <c r="W193" s="29"/>
      <c r="X193" s="30"/>
      <c r="Y193" s="29"/>
      <c r="Z193" s="30"/>
      <c r="AA193" s="29">
        <v>136779.15232333701</v>
      </c>
      <c r="AB193" s="30">
        <v>2.62977888533666E-3</v>
      </c>
      <c r="AC193" s="29">
        <v>100828.27570305399</v>
      </c>
      <c r="AD193" s="30">
        <v>1.23252389526334E-2</v>
      </c>
      <c r="AE193" s="29">
        <v>83581.3118294491</v>
      </c>
      <c r="AF193" s="30">
        <v>-3.8603776551631198E-3</v>
      </c>
      <c r="AG193" s="29">
        <v>71461.984446467395</v>
      </c>
      <c r="AH193" s="30">
        <v>5.9820538126598198E-3</v>
      </c>
      <c r="AI193" s="29">
        <v>35987.059550723701</v>
      </c>
      <c r="AJ193" s="30">
        <v>-2.32997278257332E-2</v>
      </c>
      <c r="AK193" s="29">
        <v>122215.975568023</v>
      </c>
      <c r="AL193" s="30">
        <v>8.9050979059931201E-2</v>
      </c>
      <c r="AM193" s="29">
        <v>85599.851261821794</v>
      </c>
      <c r="AN193" s="30">
        <v>0.176278308696252</v>
      </c>
      <c r="AO193" s="29">
        <v>60812.994043455299</v>
      </c>
      <c r="AP193" s="30">
        <v>4.2120717743438403E-2</v>
      </c>
      <c r="AQ193" s="29">
        <v>57719.110456957802</v>
      </c>
      <c r="AR193" s="30">
        <v>3.03582162342666E-2</v>
      </c>
      <c r="AS193" s="29">
        <v>36718.587397765899</v>
      </c>
      <c r="AT193" s="30">
        <v>-6.9151975255231798E-2</v>
      </c>
      <c r="AU193" s="29">
        <v>290010.98127932899</v>
      </c>
      <c r="AV193" s="30">
        <v>-8.1829305316527493E-3</v>
      </c>
      <c r="AW193" s="29">
        <v>175385.68530935299</v>
      </c>
      <c r="AX193" s="30">
        <v>5.0063160305280404E-3</v>
      </c>
      <c r="AY193" s="29">
        <v>114717.59981110301</v>
      </c>
      <c r="AZ193" s="30">
        <v>-2.66987227642526E-2</v>
      </c>
      <c r="BA193" s="29">
        <v>78899.174739010094</v>
      </c>
      <c r="BB193" s="30">
        <v>-2.7869621702120401E-2</v>
      </c>
      <c r="BC193" s="29">
        <v>94245.148711977701</v>
      </c>
      <c r="BD193" s="30">
        <v>-1.3038769914752699E-2</v>
      </c>
      <c r="BE193" s="29"/>
      <c r="BF193" s="30"/>
    </row>
    <row r="194" spans="1:58" x14ac:dyDescent="0.2">
      <c r="A194" s="28">
        <v>2025</v>
      </c>
      <c r="B194" s="28">
        <v>3</v>
      </c>
      <c r="C194" s="29">
        <v>200512.898984397</v>
      </c>
      <c r="D194" s="30">
        <v>5.6365629273740199E-3</v>
      </c>
      <c r="E194" s="29">
        <v>186148.00561991599</v>
      </c>
      <c r="F194" s="30">
        <v>3.00149688628157E-2</v>
      </c>
      <c r="G194" s="29">
        <v>124233.481934134</v>
      </c>
      <c r="H194" s="30">
        <v>1.30844206799641E-2</v>
      </c>
      <c r="I194" s="29">
        <v>100984.507622584</v>
      </c>
      <c r="J194" s="30">
        <v>1.40531906913399E-2</v>
      </c>
      <c r="K194" s="29">
        <v>23274.596464501701</v>
      </c>
      <c r="L194" s="30">
        <v>9.0468625021589092E-3</v>
      </c>
      <c r="M194" s="29">
        <v>62070.102907738699</v>
      </c>
      <c r="N194" s="30">
        <v>6.8119879746937104E-2</v>
      </c>
      <c r="O194" s="29">
        <v>51725.952696111803</v>
      </c>
      <c r="P194" s="30">
        <v>-9.6970910311312605E-3</v>
      </c>
      <c r="Q194" s="29">
        <v>14396.7079934145</v>
      </c>
      <c r="R194" s="30">
        <v>-1.5646719918050601E-2</v>
      </c>
      <c r="S194" s="29">
        <v>37400.804320997398</v>
      </c>
      <c r="T194" s="30">
        <v>-7.22223943318145E-3</v>
      </c>
      <c r="U194" s="29"/>
      <c r="V194" s="30"/>
      <c r="W194" s="29"/>
      <c r="X194" s="30"/>
      <c r="Y194" s="29"/>
      <c r="Z194" s="30"/>
      <c r="AA194" s="29">
        <v>137133.19212906199</v>
      </c>
      <c r="AB194" s="30">
        <v>6.8485098732509395E-2</v>
      </c>
      <c r="AC194" s="29">
        <v>99682.824955630305</v>
      </c>
      <c r="AD194" s="30">
        <v>8.7640782494648101E-2</v>
      </c>
      <c r="AE194" s="29">
        <v>80153.974640266402</v>
      </c>
      <c r="AF194" s="30">
        <v>4.4894528123215399E-2</v>
      </c>
      <c r="AG194" s="29">
        <v>65177.737161964396</v>
      </c>
      <c r="AH194" s="30">
        <v>-1.03651433105988E-2</v>
      </c>
      <c r="AI194" s="29">
        <v>37469.988884650003</v>
      </c>
      <c r="AJ194" s="30">
        <v>2.1979846179878599E-2</v>
      </c>
      <c r="AK194" s="29">
        <v>122310.512936499</v>
      </c>
      <c r="AL194" s="30">
        <v>0.11915016623559301</v>
      </c>
      <c r="AM194" s="29">
        <v>82506.254716234296</v>
      </c>
      <c r="AN194" s="30">
        <v>0.197299794609646</v>
      </c>
      <c r="AO194" s="29">
        <v>59513.911893058001</v>
      </c>
      <c r="AP194" s="30">
        <v>0.10073441464561</v>
      </c>
      <c r="AQ194" s="29">
        <v>55688.070974092298</v>
      </c>
      <c r="AR194" s="30">
        <v>7.01162164628861E-2</v>
      </c>
      <c r="AS194" s="29">
        <v>39852.295167496799</v>
      </c>
      <c r="AT194" s="30">
        <v>-1.24969007860815E-2</v>
      </c>
      <c r="AU194" s="29">
        <v>288931.14376819902</v>
      </c>
      <c r="AV194" s="30">
        <v>1.32835577086137E-2</v>
      </c>
      <c r="AW194" s="29">
        <v>175937.12604810801</v>
      </c>
      <c r="AX194" s="30">
        <v>6.2473675426080203E-3</v>
      </c>
      <c r="AY194" s="29">
        <v>113116.528677111</v>
      </c>
      <c r="AZ194" s="30">
        <v>2.3765200955975899E-2</v>
      </c>
      <c r="BA194" s="29">
        <v>75713.085201547394</v>
      </c>
      <c r="BB194" s="30">
        <v>2.4225044261239101E-2</v>
      </c>
      <c r="BC194" s="29">
        <v>95520.618552935295</v>
      </c>
      <c r="BD194" s="30">
        <v>3.3655561447543302E-2</v>
      </c>
      <c r="BE194" s="29"/>
      <c r="BF194" s="30"/>
    </row>
    <row r="195" spans="1:58" x14ac:dyDescent="0.2">
      <c r="A195" s="28">
        <v>2025</v>
      </c>
      <c r="B195" s="28">
        <v>4</v>
      </c>
      <c r="C195" s="29">
        <v>205191.950938892</v>
      </c>
      <c r="D195" s="30">
        <v>7.06396504202345E-3</v>
      </c>
      <c r="E195" s="29">
        <v>196665.898873873</v>
      </c>
      <c r="F195" s="30">
        <v>6.7954165509971104E-2</v>
      </c>
      <c r="G195" s="29">
        <v>127143.931364317</v>
      </c>
      <c r="H195" s="30">
        <v>1.2378828698365299E-2</v>
      </c>
      <c r="I195" s="29">
        <v>103828.355707283</v>
      </c>
      <c r="J195" s="30">
        <v>1.4874678657535801E-2</v>
      </c>
      <c r="K195" s="29">
        <v>23363.1783155546</v>
      </c>
      <c r="L195" s="30">
        <v>2.0727344268134402E-3</v>
      </c>
      <c r="M195" s="29">
        <v>69872.140126378494</v>
      </c>
      <c r="N195" s="30">
        <v>0.192971239869628</v>
      </c>
      <c r="O195" s="29">
        <v>54593.488246640998</v>
      </c>
      <c r="P195" s="30">
        <v>6.1968495536555103E-3</v>
      </c>
      <c r="Q195" s="29">
        <v>15317.196659752401</v>
      </c>
      <c r="R195" s="30">
        <v>1.7940703712499902E-2</v>
      </c>
      <c r="S195" s="29">
        <v>39338.9854770647</v>
      </c>
      <c r="T195" s="30">
        <v>1.18162471188943E-3</v>
      </c>
      <c r="U195" s="29"/>
      <c r="V195" s="30"/>
      <c r="W195" s="29"/>
      <c r="X195" s="30"/>
      <c r="Y195" s="29"/>
      <c r="Z195" s="30"/>
      <c r="AA195" s="29">
        <v>139079.31930493601</v>
      </c>
      <c r="AB195" s="30">
        <v>6.0403848108001599E-3</v>
      </c>
      <c r="AC195" s="29">
        <v>102570.68718276</v>
      </c>
      <c r="AD195" s="30">
        <v>3.02842844551756E-2</v>
      </c>
      <c r="AE195" s="29">
        <v>82586.853600260903</v>
      </c>
      <c r="AF195" s="30">
        <v>1.6600898703227299E-2</v>
      </c>
      <c r="AG195" s="29">
        <v>67736.032436802401</v>
      </c>
      <c r="AH195" s="30">
        <v>-5.33037772617291E-2</v>
      </c>
      <c r="AI195" s="29">
        <v>36545.977939949997</v>
      </c>
      <c r="AJ195" s="30">
        <v>-5.5147528114974399E-2</v>
      </c>
      <c r="AK195" s="29">
        <v>129793.974612028</v>
      </c>
      <c r="AL195" s="30">
        <v>9.6426733293399902E-2</v>
      </c>
      <c r="AM195" s="29">
        <v>89318.475952157707</v>
      </c>
      <c r="AN195" s="30">
        <v>0.16735251868643</v>
      </c>
      <c r="AO195" s="29">
        <v>63997.703073486002</v>
      </c>
      <c r="AP195" s="30">
        <v>9.2464269072724897E-2</v>
      </c>
      <c r="AQ195" s="29">
        <v>61746.468231340798</v>
      </c>
      <c r="AR195" s="30">
        <v>9.9759873862647702E-2</v>
      </c>
      <c r="AS195" s="29">
        <v>40556.905522696201</v>
      </c>
      <c r="AT195" s="30">
        <v>-3.10964209309035E-2</v>
      </c>
      <c r="AU195" s="29">
        <v>294227.294997035</v>
      </c>
      <c r="AV195" s="30">
        <v>-5.3880515184645504E-3</v>
      </c>
      <c r="AW195" s="29">
        <v>181725.06677072201</v>
      </c>
      <c r="AX195" s="30">
        <v>1.0480761249031001E-2</v>
      </c>
      <c r="AY195" s="29">
        <v>112691.993313543</v>
      </c>
      <c r="AZ195" s="30">
        <v>-2.9417013657844399E-2</v>
      </c>
      <c r="BA195" s="29">
        <v>76251.668074094603</v>
      </c>
      <c r="BB195" s="30">
        <v>-1.6442904264840099E-2</v>
      </c>
      <c r="BC195" s="29">
        <v>102145.26693322499</v>
      </c>
      <c r="BD195" s="30">
        <v>4.2045911049525903E-2</v>
      </c>
      <c r="BE195" s="29"/>
      <c r="BF195" s="30"/>
    </row>
    <row r="196" spans="1:58" x14ac:dyDescent="0.2">
      <c r="A196" s="28"/>
      <c r="B196" s="28"/>
      <c r="C196" s="29"/>
      <c r="D196" s="30"/>
      <c r="E196" s="29"/>
      <c r="F196" s="30"/>
      <c r="G196" s="29"/>
      <c r="H196" s="30"/>
      <c r="I196" s="29"/>
      <c r="J196" s="30"/>
      <c r="K196" s="29"/>
      <c r="L196" s="30"/>
      <c r="M196" s="29"/>
      <c r="N196" s="30"/>
      <c r="O196" s="29"/>
      <c r="P196" s="30"/>
      <c r="Q196" s="29"/>
      <c r="R196" s="30"/>
      <c r="S196" s="29"/>
      <c r="T196" s="30"/>
      <c r="U196" s="29"/>
      <c r="V196" s="30"/>
      <c r="W196" s="29"/>
      <c r="X196" s="30"/>
      <c r="Y196" s="29"/>
      <c r="Z196" s="30"/>
      <c r="AA196" s="29"/>
      <c r="AB196" s="30"/>
      <c r="AC196" s="29"/>
      <c r="AD196" s="30"/>
      <c r="AE196" s="29"/>
      <c r="AF196" s="30"/>
      <c r="AG196" s="29"/>
      <c r="AH196" s="30"/>
      <c r="AI196" s="29"/>
      <c r="AJ196" s="30"/>
      <c r="AK196" s="29"/>
      <c r="AL196" s="30"/>
      <c r="AM196" s="29"/>
      <c r="AN196" s="30"/>
      <c r="AO196" s="29"/>
      <c r="AP196" s="30"/>
      <c r="AQ196" s="29"/>
      <c r="AR196" s="30"/>
      <c r="AS196" s="29"/>
      <c r="AT196" s="30"/>
      <c r="AU196" s="29"/>
      <c r="AV196" s="30"/>
      <c r="AW196" s="29"/>
      <c r="AX196" s="30"/>
      <c r="AY196" s="29"/>
      <c r="AZ196" s="30"/>
      <c r="BA196" s="29"/>
      <c r="BB196" s="30"/>
      <c r="BC196" s="29"/>
      <c r="BD196" s="30"/>
      <c r="BE196" s="29"/>
      <c r="BF196" s="30"/>
    </row>
  </sheetData>
  <sheetProtection password="DD0B" sheet="1"/>
  <mergeCells count="65">
    <mergeCell ref="BC6:BD10"/>
    <mergeCell ref="BA7:BB10"/>
    <mergeCell ref="AU6:AV10"/>
    <mergeCell ref="AS11:AT11"/>
    <mergeCell ref="AS7:AT10"/>
    <mergeCell ref="AU11:AV11"/>
    <mergeCell ref="AW11:AX11"/>
    <mergeCell ref="AY11:AZ11"/>
    <mergeCell ref="BA11:BB11"/>
    <mergeCell ref="BC11:BD11"/>
    <mergeCell ref="AM11:AN11"/>
    <mergeCell ref="AO11:AP11"/>
    <mergeCell ref="AM8:AN10"/>
    <mergeCell ref="AO8:AP10"/>
    <mergeCell ref="AQ8:AR10"/>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C11:D11"/>
    <mergeCell ref="E11:F11"/>
    <mergeCell ref="G11:H11"/>
    <mergeCell ref="I11:J11"/>
    <mergeCell ref="K11:L11"/>
    <mergeCell ref="M11:N11"/>
    <mergeCell ref="G7:H10"/>
    <mergeCell ref="I7:J10"/>
    <mergeCell ref="K7:L10"/>
    <mergeCell ref="M7:N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Q8:R10"/>
    <mergeCell ref="S8:T10"/>
    <mergeCell ref="AC8:AD10"/>
    <mergeCell ref="AG8:AH10"/>
    <mergeCell ref="O7:T7"/>
    <mergeCell ref="AE8:AF10"/>
    <mergeCell ref="W7:X10"/>
    <mergeCell ref="AA7:AB10"/>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le05"/>
  <dimension ref="A1:BJ196"/>
  <sheetViews>
    <sheetView showGridLines="0" workbookViewId="0">
      <pane xSplit="2" ySplit="11" topLeftCell="C12" activePane="bottomRight" state="frozen"/>
      <selection pane="topRight"/>
      <selection pane="bottomLeft"/>
      <selection pane="bottomRight"/>
    </sheetView>
  </sheetViews>
  <sheetFormatPr baseColWidth="10" defaultRowHeight="10" x14ac:dyDescent="0.2"/>
  <cols>
    <col min="1" max="1" width="9.77734375" customWidth="1"/>
    <col min="2" max="2" width="2.6640625" customWidth="1"/>
    <col min="3" max="58" width="9.77734375" customWidth="1"/>
    <col min="59" max="256" width="10.33203125" customWidth="1"/>
  </cols>
  <sheetData>
    <row r="1" spans="1:62" ht="11.25" customHeight="1" x14ac:dyDescent="0.25">
      <c r="A1" s="6" t="str">
        <f ca="1">IF(INDIRECT("beschriftung!"&amp;ADDRESS(beschriftung!$C$1*12+ROW(beschriftung!$A1)-1,COLUMN(beschriftung!A$1)))="","",INDIRECT("beschriftung!"&amp;ADDRESS(beschriftung!$C$1*12+ROW(beschriftung!$A1)-1,COLUMN(beschriftung!A$1))))</f>
        <v>ESA 2010, Quarterly aggregates of Gross Domestic Product, expenditure approach, raw data</v>
      </c>
      <c r="C1" s="21"/>
      <c r="D1" s="19"/>
      <c r="E1" s="21"/>
      <c r="F1" s="19"/>
      <c r="G1" s="21"/>
      <c r="H1" s="19"/>
      <c r="I1" s="21"/>
      <c r="J1" s="19"/>
      <c r="K1" s="21"/>
      <c r="L1" s="19"/>
      <c r="M1" s="21"/>
      <c r="N1" s="19"/>
      <c r="O1" s="21"/>
      <c r="P1" s="19"/>
      <c r="Q1" s="21"/>
      <c r="R1" s="19"/>
      <c r="S1" s="21"/>
      <c r="T1" s="19"/>
      <c r="U1" s="21"/>
      <c r="V1" s="19"/>
      <c r="W1" s="21"/>
      <c r="X1" s="19"/>
      <c r="Y1" s="21"/>
      <c r="Z1" s="19"/>
      <c r="AA1" s="21"/>
      <c r="AB1" s="19"/>
      <c r="AC1" s="21"/>
      <c r="AD1" s="19"/>
      <c r="AE1" s="21"/>
      <c r="AF1" s="19"/>
      <c r="AG1" s="21"/>
      <c r="AH1" s="19"/>
      <c r="AI1" s="21"/>
      <c r="AJ1" s="19"/>
      <c r="AK1" s="21"/>
      <c r="AL1" s="19"/>
      <c r="AM1" s="21"/>
      <c r="AN1" s="19"/>
      <c r="AO1" s="21"/>
      <c r="AP1" s="19"/>
      <c r="AQ1" s="21"/>
      <c r="AR1" s="19"/>
      <c r="AS1" s="21"/>
      <c r="AT1" s="19"/>
      <c r="AU1" s="21"/>
      <c r="AW1" s="21"/>
      <c r="BA1" s="21"/>
    </row>
    <row r="2" spans="1:62" ht="11.25" customHeight="1" x14ac:dyDescent="0.2">
      <c r="A2" s="4" t="str">
        <f ca="1">IF(INDIRECT("beschriftung!"&amp;ADDRESS(beschriftung!$C$1*12+ROW(beschriftung!$A4)-1,COLUMN(beschriftung!A$1)))="","",INDIRECT("beschriftung!"&amp;ADDRESS(beschriftung!$C$1*12+ROW(beschriftung!$A4)-1,COLUMN(beschriftung!A$1))))</f>
        <v>Implicit chain price indexes, year-on-year growth rates</v>
      </c>
      <c r="C2" s="21"/>
      <c r="D2" s="19"/>
      <c r="E2" s="21"/>
      <c r="F2" s="19"/>
      <c r="G2" s="21"/>
      <c r="H2" s="19"/>
      <c r="I2" s="21"/>
      <c r="J2" s="19"/>
      <c r="K2" s="21"/>
      <c r="L2" s="19"/>
      <c r="M2" s="21"/>
      <c r="N2" s="19"/>
      <c r="O2" s="21"/>
      <c r="P2" s="19"/>
      <c r="Q2" s="21"/>
      <c r="R2" s="19"/>
      <c r="S2" s="21"/>
      <c r="T2" s="19"/>
      <c r="U2" s="21"/>
      <c r="V2" s="19"/>
      <c r="W2" s="21"/>
      <c r="X2" s="19"/>
      <c r="Y2" s="21"/>
      <c r="Z2" s="19"/>
      <c r="AA2" s="21"/>
      <c r="AB2" s="19"/>
      <c r="AC2" s="21"/>
      <c r="AD2" s="19"/>
      <c r="AE2" s="21"/>
      <c r="AF2" s="19"/>
      <c r="AG2" s="21"/>
      <c r="AH2" s="19"/>
      <c r="AI2" s="21"/>
      <c r="AJ2" s="19"/>
      <c r="AK2" s="21"/>
      <c r="AL2" s="19"/>
      <c r="AM2" s="21"/>
      <c r="AN2" s="19"/>
      <c r="AO2" s="21"/>
      <c r="AP2" s="19"/>
      <c r="AQ2" s="21"/>
      <c r="AR2" s="19"/>
      <c r="AS2" s="21"/>
      <c r="AT2" s="19"/>
      <c r="AU2" s="21"/>
      <c r="AW2" s="21"/>
      <c r="BA2" s="21"/>
    </row>
    <row r="3" spans="1:62" ht="11.25" customHeight="1" x14ac:dyDescent="0.2">
      <c r="A3" s="4" t="str">
        <f ca="1">IF(INDIRECT("beschriftung!"&amp;ADDRESS(beschriftung!$C$1*12+ROW(beschriftung!$A5)-1,COLUMN(beschriftung!A$1)))="","",INDIRECT("beschriftung!"&amp;ADDRESS(beschriftung!$C$1*12+ROW(beschriftung!$A5)-1,COLUMN(beschriftung!A$1))))</f>
        <v/>
      </c>
      <c r="C3" s="21"/>
      <c r="D3" s="19"/>
      <c r="E3" s="21"/>
      <c r="F3" s="19"/>
      <c r="G3" s="21"/>
      <c r="H3" s="19"/>
      <c r="I3" s="21"/>
      <c r="J3" s="19"/>
      <c r="K3" s="21"/>
      <c r="L3" s="19"/>
      <c r="M3" s="21"/>
      <c r="N3" s="19"/>
      <c r="O3" s="21"/>
      <c r="P3" s="19"/>
      <c r="Q3" s="21"/>
      <c r="R3" s="19"/>
      <c r="S3" s="21"/>
      <c r="T3" s="19"/>
      <c r="U3" s="21"/>
      <c r="V3" s="19"/>
      <c r="W3" s="21"/>
      <c r="X3" s="19"/>
      <c r="Y3" s="21"/>
      <c r="Z3" s="19"/>
      <c r="AA3" s="21"/>
      <c r="AB3" s="19"/>
      <c r="AC3" s="21"/>
      <c r="AD3" s="19"/>
      <c r="AE3" s="21"/>
      <c r="AF3" s="19"/>
      <c r="AG3" s="21"/>
      <c r="AH3" s="19"/>
      <c r="AI3" s="21"/>
      <c r="AJ3" s="19"/>
      <c r="AK3" s="21"/>
      <c r="AL3" s="19"/>
      <c r="AM3" s="21"/>
      <c r="AN3" s="19"/>
      <c r="AO3" s="21"/>
      <c r="AP3" s="19"/>
      <c r="AQ3" s="21"/>
      <c r="AR3" s="19"/>
      <c r="AS3" s="21"/>
      <c r="AT3" s="19"/>
      <c r="AU3" s="21"/>
      <c r="AW3" s="21"/>
      <c r="BA3" s="21"/>
    </row>
    <row r="4" spans="1:62" ht="11.25" customHeight="1" x14ac:dyDescent="0.2">
      <c r="A4" s="9"/>
      <c r="C4" s="43" t="str">
        <f ca="1">IF(INDIRECT("beschriftung!"&amp;ADDRESS(beschriftung!$C$1*12+ROW(beschriftung!$A5)-1,COLUMN(beschriftung!C$1)))="","",INDIRECT("beschriftung!"&amp;ADDRESS(beschriftung!$C$1*12+ROW(beschriftung!$A5)-1,COLUMN(beschriftung!C$1))))</f>
        <v>Gross domestic product</v>
      </c>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4"/>
      <c r="AU4" s="12"/>
      <c r="AV4" s="12"/>
      <c r="AW4" s="12"/>
      <c r="AX4" s="12"/>
      <c r="AY4" s="12"/>
      <c r="AZ4" s="12"/>
      <c r="BA4" s="12"/>
      <c r="BB4" s="12"/>
      <c r="BC4" s="5"/>
      <c r="BD4" s="5"/>
      <c r="BE4" s="5"/>
      <c r="BF4" s="5"/>
      <c r="BG4" s="5"/>
      <c r="BH4" s="5"/>
      <c r="BI4" s="5"/>
      <c r="BJ4" s="5"/>
    </row>
    <row r="5" spans="1:62" ht="11.25" customHeight="1" x14ac:dyDescent="0.2">
      <c r="A5" s="9"/>
      <c r="C5" s="45"/>
      <c r="D5" s="46"/>
      <c r="E5" s="43" t="str">
        <f ca="1">IF(INDIRECT("beschriftung!"&amp;ADDRESS(beschriftung!$C$1*12+ROW(beschriftung!$A6)-1,COLUMN(beschriftung!E$1)))="","",INDIRECT("beschriftung!"&amp;ADDRESS(beschriftung!$C$1*12+ROW(beschriftung!$A6)-1,COLUMN(beschriftung!E$1))))</f>
        <v>Internal demand</v>
      </c>
      <c r="F5" s="47"/>
      <c r="G5" s="47"/>
      <c r="H5" s="47"/>
      <c r="I5" s="47"/>
      <c r="J5" s="47"/>
      <c r="K5" s="47"/>
      <c r="L5" s="47"/>
      <c r="M5" s="47"/>
      <c r="N5" s="47"/>
      <c r="O5" s="47"/>
      <c r="P5" s="47"/>
      <c r="Q5" s="47"/>
      <c r="R5" s="47"/>
      <c r="S5" s="47"/>
      <c r="T5" s="47"/>
      <c r="U5" s="47"/>
      <c r="V5" s="47"/>
      <c r="W5" s="47"/>
      <c r="X5" s="44"/>
      <c r="Y5" s="43" t="str">
        <f ca="1">IF(INDIRECT("beschriftung!"&amp;ADDRESS(beschriftung!$C$1*12+ROW(beschriftung!$A6)-1,COLUMN(beschriftung!Y$1)))="","",INDIRECT("beschriftung!"&amp;ADDRESS(beschriftung!$C$1*12+ROW(beschriftung!$A6)-1,COLUMN(beschriftung!Y$1))))</f>
        <v>Trade balance (goods and services)</v>
      </c>
      <c r="Z5" s="47"/>
      <c r="AA5" s="47"/>
      <c r="AB5" s="47"/>
      <c r="AC5" s="47"/>
      <c r="AD5" s="47"/>
      <c r="AE5" s="47"/>
      <c r="AF5" s="47"/>
      <c r="AG5" s="47"/>
      <c r="AH5" s="47"/>
      <c r="AI5" s="47"/>
      <c r="AJ5" s="47"/>
      <c r="AK5" s="47"/>
      <c r="AL5" s="47"/>
      <c r="AM5" s="47"/>
      <c r="AN5" s="47"/>
      <c r="AO5" s="47"/>
      <c r="AP5" s="47"/>
      <c r="AQ5" s="47"/>
      <c r="AR5" s="47"/>
      <c r="AS5" s="47"/>
      <c r="AT5" s="47"/>
      <c r="AU5" s="50" t="str">
        <f ca="1">IF(INDIRECT("beschriftung!"&amp;ADDRESS(beschriftung!$C$1*12+ROW(beschriftung!$A6)-1,COLUMN(beschriftung!AU$1)))="","",INDIRECT("beschriftung!"&amp;ADDRESS(beschriftung!$C$1*12+ROW(beschriftung!$A6)-1,COLUMN(beschriftung!AU$1))))</f>
        <v>Global demand excluding inventories change, stat. discrepancies and valuables</v>
      </c>
      <c r="AV5" s="51"/>
      <c r="AW5" s="51"/>
      <c r="AX5" s="51"/>
      <c r="AY5" s="51"/>
      <c r="AZ5" s="51"/>
      <c r="BA5" s="51"/>
      <c r="BB5" s="51"/>
      <c r="BC5" s="22"/>
      <c r="BD5" s="13"/>
      <c r="BE5" s="14"/>
      <c r="BF5" s="14"/>
      <c r="BG5" s="14"/>
      <c r="BH5" s="14"/>
      <c r="BI5" s="14"/>
      <c r="BJ5" s="14"/>
    </row>
    <row r="6" spans="1:62" ht="11.25" customHeight="1" x14ac:dyDescent="0.2">
      <c r="A6" s="9"/>
      <c r="C6" s="45"/>
      <c r="D6" s="46"/>
      <c r="E6" s="45"/>
      <c r="F6" s="46"/>
      <c r="G6" s="43" t="str">
        <f ca="1">IF(INDIRECT("beschriftung!"&amp;ADDRESS(beschriftung!$C$1*12+ROW(beschriftung!$A7)-1,COLUMN(beschriftung!G$1)))="","",INDIRECT("beschriftung!"&amp;ADDRESS(beschriftung!$C$1*12+ROW(beschriftung!$A7)-1,COLUMN(beschriftung!G$1))))</f>
        <v>Final consumption expenditure</v>
      </c>
      <c r="H6" s="47"/>
      <c r="I6" s="47"/>
      <c r="J6" s="47"/>
      <c r="K6" s="47"/>
      <c r="L6" s="44"/>
      <c r="M6" s="43" t="str">
        <f ca="1">IF(INDIRECT("beschriftung!"&amp;ADDRESS(beschriftung!$C$1*12+ROW(beschriftung!$A7)-1,COLUMN(beschriftung!M$1)))="","",INDIRECT("beschriftung!"&amp;ADDRESS(beschriftung!$C$1*12+ROW(beschriftung!$A7)-1,COLUMN(beschriftung!M$1))))</f>
        <v xml:space="preserve">Gross capital formation </v>
      </c>
      <c r="N6" s="47"/>
      <c r="O6" s="47"/>
      <c r="P6" s="47"/>
      <c r="Q6" s="47"/>
      <c r="R6" s="47"/>
      <c r="S6" s="47"/>
      <c r="T6" s="47"/>
      <c r="U6" s="47"/>
      <c r="V6" s="47"/>
      <c r="W6" s="47"/>
      <c r="X6" s="44"/>
      <c r="Y6" s="45"/>
      <c r="Z6" s="46"/>
      <c r="AA6" s="43" t="str">
        <f ca="1">IF(INDIRECT("beschriftung!"&amp;ADDRESS(beschriftung!$C$1*12+ROW(beschriftung!$A7)-1,COLUMN(beschriftung!AA$1)))="","",INDIRECT("beschriftung!"&amp;ADDRESS(beschriftung!$C$1*12+ROW(beschriftung!$A7)-1,COLUMN(beschriftung!AA$1))))</f>
        <v>Exports of goods and services</v>
      </c>
      <c r="AB6" s="47"/>
      <c r="AC6" s="47"/>
      <c r="AD6" s="47"/>
      <c r="AE6" s="47"/>
      <c r="AF6" s="47"/>
      <c r="AG6" s="47"/>
      <c r="AH6" s="47"/>
      <c r="AI6" s="47"/>
      <c r="AJ6" s="44"/>
      <c r="AK6" s="43" t="str">
        <f ca="1">IF(INDIRECT("beschriftung!"&amp;ADDRESS(beschriftung!$C$1*12+ROW(beschriftung!$A7)-1,COLUMN(beschriftung!AK$1)))="","",INDIRECT("beschriftung!"&amp;ADDRESS(beschriftung!$C$1*12+ROW(beschriftung!$A7)-1,COLUMN(beschriftung!AK$1))))</f>
        <v>Imports of goods and services</v>
      </c>
      <c r="AL6" s="47"/>
      <c r="AM6" s="47"/>
      <c r="AN6" s="47"/>
      <c r="AO6" s="47"/>
      <c r="AP6" s="47"/>
      <c r="AQ6" s="47"/>
      <c r="AR6" s="47"/>
      <c r="AS6" s="47"/>
      <c r="AT6" s="47"/>
      <c r="AU6" s="58"/>
      <c r="AV6" s="59"/>
      <c r="AW6" s="52" t="str">
        <f ca="1">IF(INDIRECT("beschriftung!"&amp;ADDRESS(beschriftung!$C$1*12+ROW(beschriftung!$A7)-1,COLUMN(beschriftung!AW$1)))="","",INDIRECT("beschriftung!"&amp;ADDRESS(beschriftung!$C$1*12+ROW(beschriftung!$A7)-1,COLUMN(beschriftung!AW$1))))</f>
        <v>Final domestic demand</v>
      </c>
      <c r="AX6" s="53"/>
      <c r="AY6" s="52" t="str">
        <f ca="1">IF(INDIRECT("beschriftung!"&amp;ADDRESS(beschriftung!$C$1*12+ROW(beschriftung!$A7)-1,COLUMN(beschriftung!AY$1)))="","",INDIRECT("beschriftung!"&amp;ADDRESS(beschriftung!$C$1*12+ROW(beschriftung!$A7)-1,COLUMN(beschriftung!AY$1))))</f>
        <v>Exports of goods and services (excluding valuables)</v>
      </c>
      <c r="AZ6" s="56"/>
      <c r="BA6" s="23"/>
      <c r="BB6" s="15"/>
      <c r="BC6" s="52" t="str">
        <f ca="1">IF(INDIRECT("beschriftung!"&amp;ADDRESS(beschriftung!$C$1*12+ROW(beschriftung!$A7)-1,COLUMN(beschriftung!BC$1)))="","",INDIRECT("beschriftung!"&amp;ADDRESS(beschriftung!$C$1*12+ROW(beschriftung!$A7)-1,COLUMN(beschriftung!BC$1))))</f>
        <v>Imports of goods and services (excluding valuables)</v>
      </c>
      <c r="BD6" s="53"/>
    </row>
    <row r="7" spans="1:62" ht="11.25" customHeight="1" x14ac:dyDescent="0.2">
      <c r="A7" s="10"/>
      <c r="B7" s="10"/>
      <c r="C7" s="45"/>
      <c r="D7" s="46"/>
      <c r="E7" s="45"/>
      <c r="F7" s="46"/>
      <c r="G7" s="45"/>
      <c r="H7" s="46"/>
      <c r="I7" s="43" t="str">
        <f ca="1">IF(INDIRECT("beschriftung!"&amp;ADDRESS(beschriftung!$C$1*12+ROW(beschriftung!$A8)-1,COLUMN(beschriftung!I$1)))="","",INDIRECT("beschriftung!"&amp;ADDRESS(beschriftung!$C$1*12+ROW(beschriftung!$A8)-1,COLUMN(beschriftung!I$1))))</f>
        <v>Households and NPISH</v>
      </c>
      <c r="J7" s="44"/>
      <c r="K7" s="43" t="str">
        <f ca="1">IF(INDIRECT("beschriftung!"&amp;ADDRESS(beschriftung!$C$1*12+ROW(beschriftung!$A8)-1,COLUMN(beschriftung!K$1)))="","",INDIRECT("beschriftung!"&amp;ADDRESS(beschriftung!$C$1*12+ROW(beschriftung!$A8)-1,COLUMN(beschriftung!K$1))))</f>
        <v>General government</v>
      </c>
      <c r="L7" s="44"/>
      <c r="M7" s="45"/>
      <c r="N7" s="46"/>
      <c r="O7" s="43" t="str">
        <f ca="1">IF(INDIRECT("beschriftung!"&amp;ADDRESS(beschriftung!$C$1*12+ROW(beschriftung!$A8)-1,COLUMN(beschriftung!O$1)))="","",INDIRECT("beschriftung!"&amp;ADDRESS(beschriftung!$C$1*12+ROW(beschriftung!$A8)-1,COLUMN(beschriftung!O$1))))</f>
        <v>Gross fixed capital formation</v>
      </c>
      <c r="P7" s="47"/>
      <c r="Q7" s="47"/>
      <c r="R7" s="47"/>
      <c r="S7" s="47"/>
      <c r="T7" s="44"/>
      <c r="U7" s="43" t="str">
        <f ca="1">IF(INDIRECT("beschriftung!"&amp;ADDRESS(beschriftung!$C$1*12+ROW(beschriftung!$A8)-1,COLUMN(beschriftung!U$1)))="","",INDIRECT("beschriftung!"&amp;ADDRESS(beschriftung!$C$1*12+ROW(beschriftung!$A8)-1,COLUMN(beschriftung!U$1))))</f>
        <v>Changes in inventories and statistical discrepancies</v>
      </c>
      <c r="V7" s="44"/>
      <c r="W7" s="43" t="str">
        <f ca="1">IF(INDIRECT("beschriftung!"&amp;ADDRESS(beschriftung!$C$1*12+ROW(beschriftung!$A8)-1,COLUMN(beschriftung!W$1)))="","",INDIRECT("beschriftung!"&amp;ADDRESS(beschriftung!$C$1*12+ROW(beschriftung!$A8)-1,COLUMN(beschriftung!W$1))))</f>
        <v>Acquisitions less disposals of valuables (including non-monetary gold)</v>
      </c>
      <c r="X7" s="44"/>
      <c r="Y7" s="45"/>
      <c r="Z7" s="46"/>
      <c r="AA7" s="45"/>
      <c r="AB7" s="46"/>
      <c r="AC7" s="43" t="str">
        <f ca="1">IF(INDIRECT("beschriftung!"&amp;ADDRESS(beschriftung!$C$1*12+ROW(beschriftung!$A8)-1,COLUMN(beschriftung!AC$1)))="","",INDIRECT("beschriftung!"&amp;ADDRESS(beschriftung!$C$1*12+ROW(beschriftung!$A8)-1,COLUMN(beschriftung!AC$1))))</f>
        <v>Exports (exp.) of goods</v>
      </c>
      <c r="AD7" s="47"/>
      <c r="AE7" s="47"/>
      <c r="AF7" s="47"/>
      <c r="AG7" s="47"/>
      <c r="AH7" s="44"/>
      <c r="AI7" s="43" t="str">
        <f ca="1">IF(INDIRECT("beschriftung!"&amp;ADDRESS(beschriftung!$C$1*12+ROW(beschriftung!$A8)-1,COLUMN(beschriftung!AI$1)))="","",INDIRECT("beschriftung!"&amp;ADDRESS(beschriftung!$C$1*12+ROW(beschriftung!$A8)-1,COLUMN(beschriftung!AI$1))))</f>
        <v>Exports of services</v>
      </c>
      <c r="AJ7" s="44"/>
      <c r="AK7" s="45"/>
      <c r="AL7" s="46"/>
      <c r="AM7" s="43" t="str">
        <f ca="1">IF(INDIRECT("beschriftung!"&amp;ADDRESS(beschriftung!$C$1*12+ROW(beschriftung!$A8)-1,COLUMN(beschriftung!AM$1)))="","",INDIRECT("beschriftung!"&amp;ADDRESS(beschriftung!$C$1*12+ROW(beschriftung!$A8)-1,COLUMN(beschriftung!AM$1))))</f>
        <v>Imports (imp.) of goods</v>
      </c>
      <c r="AN7" s="47"/>
      <c r="AO7" s="47"/>
      <c r="AP7" s="47"/>
      <c r="AQ7" s="47"/>
      <c r="AR7" s="44"/>
      <c r="AS7" s="43" t="str">
        <f ca="1">IF(INDIRECT("beschriftung!"&amp;ADDRESS(beschriftung!$C$1*12+ROW(beschriftung!$A8)-1,COLUMN(beschriftung!AS$1)))="","",INDIRECT("beschriftung!"&amp;ADDRESS(beschriftung!$C$1*12+ROW(beschriftung!$A8)-1,COLUMN(beschriftung!AS$1))))</f>
        <v>Imports of services</v>
      </c>
      <c r="AT7" s="47"/>
      <c r="AU7" s="58"/>
      <c r="AV7" s="59"/>
      <c r="AW7" s="54"/>
      <c r="AX7" s="55"/>
      <c r="AY7" s="54"/>
      <c r="AZ7" s="57"/>
      <c r="BA7" s="52" t="str">
        <f ca="1">IF(INDIRECT("beschriftung!"&amp;ADDRESS(beschriftung!$C$1*12+ROW(beschriftung!$A8)-1,COLUMN(beschriftung!BA$1)))="","",INDIRECT("beschriftung!"&amp;ADDRESS(beschriftung!$C$1*12+ROW(beschriftung!$A8)-1,COLUMN(beschriftung!BA$1))))</f>
        <v>thereof exports of goods excluding valuables</v>
      </c>
      <c r="BB7" s="53"/>
      <c r="BC7" s="54"/>
      <c r="BD7" s="55"/>
    </row>
    <row r="8" spans="1:62" ht="11.25" customHeight="1" x14ac:dyDescent="0.2">
      <c r="A8" s="11"/>
      <c r="B8" s="11"/>
      <c r="C8" s="45"/>
      <c r="D8" s="46"/>
      <c r="E8" s="45"/>
      <c r="F8" s="46"/>
      <c r="G8" s="45"/>
      <c r="H8" s="46"/>
      <c r="I8" s="45"/>
      <c r="J8" s="46"/>
      <c r="K8" s="45"/>
      <c r="L8" s="46"/>
      <c r="M8" s="45"/>
      <c r="N8" s="46"/>
      <c r="O8" s="45"/>
      <c r="P8" s="46"/>
      <c r="Q8" s="43" t="str">
        <f ca="1">IF(INDIRECT("beschriftung!"&amp;ADDRESS(beschriftung!$C$1*12+ROW(beschriftung!$A9)-1,COLUMN(beschriftung!Q$1)))="","",INDIRECT("beschriftung!"&amp;ADDRESS(beschriftung!$C$1*12+ROW(beschriftung!$A9)-1,COLUMN(beschriftung!Q$1))))</f>
        <v>Construction</v>
      </c>
      <c r="R8" s="44"/>
      <c r="S8" s="43" t="str">
        <f ca="1">IF(INDIRECT("beschriftung!"&amp;ADDRESS(beschriftung!$C$1*12+ROW(beschriftung!$A9)-1,COLUMN(beschriftung!S$1)))="","",INDIRECT("beschriftung!"&amp;ADDRESS(beschriftung!$C$1*12+ROW(beschriftung!$A9)-1,COLUMN(beschriftung!S$1))))</f>
        <v>Fixed assets and software</v>
      </c>
      <c r="T8" s="44"/>
      <c r="U8" s="45"/>
      <c r="V8" s="46"/>
      <c r="W8" s="45"/>
      <c r="X8" s="46"/>
      <c r="Y8" s="45"/>
      <c r="Z8" s="46"/>
      <c r="AA8" s="45"/>
      <c r="AB8" s="46"/>
      <c r="AC8" s="45"/>
      <c r="AD8" s="46"/>
      <c r="AE8" s="43" t="str">
        <f ca="1">IF(INDIRECT("beschriftung!"&amp;ADDRESS(beschriftung!$C$1*12+ROW(beschriftung!$A9)-1,COLUMN(beschriftung!AE$1)))="","",INDIRECT("beschriftung!"&amp;ADDRESS(beschriftung!$C$1*12+ROW(beschriftung!$A9)-1,COLUMN(beschriftung!AE$1))))</f>
        <v xml:space="preserve">thereof exp. of goods excluding non-monetary gold </v>
      </c>
      <c r="AF8" s="44"/>
      <c r="AG8" s="43" t="str">
        <f ca="1">IF(INDIRECT("beschriftung!"&amp;ADDRESS(beschriftung!$C$1*12+ROW(beschriftung!$A9)-1,COLUMN(beschriftung!AG$1)))="","",INDIRECT("beschriftung!"&amp;ADDRESS(beschriftung!$C$1*12+ROW(beschriftung!$A9)-1,COLUMN(beschriftung!AG$1))))</f>
        <v>thereof exp. of goods excluding valuables and merchanting</v>
      </c>
      <c r="AH8" s="44"/>
      <c r="AI8" s="45"/>
      <c r="AJ8" s="46"/>
      <c r="AK8" s="45"/>
      <c r="AL8" s="46"/>
      <c r="AM8" s="45"/>
      <c r="AN8" s="46"/>
      <c r="AO8" s="43" t="str">
        <f ca="1">IF(INDIRECT("beschriftung!"&amp;ADDRESS(beschriftung!$C$1*12+ROW(beschriftung!$A9)-1,COLUMN(beschriftung!AO$1)))="","",INDIRECT("beschriftung!"&amp;ADDRESS(beschriftung!$C$1*12+ROW(beschriftung!$A9)-1,COLUMN(beschriftung!AO$1))))</f>
        <v>thereof imp. of goods excluding non-monetary gold</v>
      </c>
      <c r="AP8" s="44"/>
      <c r="AQ8" s="43" t="str">
        <f ca="1">IF(INDIRECT("beschriftung!"&amp;ADDRESS(beschriftung!$C$1*12+ROW(beschriftung!$A9)-1,COLUMN(beschriftung!AQ$1)))="","",INDIRECT("beschriftung!"&amp;ADDRESS(beschriftung!$C$1*12+ROW(beschriftung!$A9)-1,COLUMN(beschriftung!AQ$1))))</f>
        <v>thereof imp. of goods excluding valuables</v>
      </c>
      <c r="AR8" s="44"/>
      <c r="AS8" s="45"/>
      <c r="AT8" s="61"/>
      <c r="AU8" s="58"/>
      <c r="AV8" s="59"/>
      <c r="AW8" s="54"/>
      <c r="AX8" s="55"/>
      <c r="AY8" s="54"/>
      <c r="AZ8" s="57"/>
      <c r="BA8" s="54"/>
      <c r="BB8" s="55"/>
      <c r="BC8" s="54"/>
      <c r="BD8" s="55"/>
    </row>
    <row r="9" spans="1:62" ht="11.25" customHeight="1" x14ac:dyDescent="0.2">
      <c r="A9" s="11"/>
      <c r="B9" s="11"/>
      <c r="C9" s="45"/>
      <c r="D9" s="46"/>
      <c r="E9" s="45"/>
      <c r="F9" s="46"/>
      <c r="G9" s="45"/>
      <c r="H9" s="46"/>
      <c r="I9" s="45"/>
      <c r="J9" s="46"/>
      <c r="K9" s="45"/>
      <c r="L9" s="46"/>
      <c r="M9" s="45"/>
      <c r="N9" s="46"/>
      <c r="O9" s="45"/>
      <c r="P9" s="46"/>
      <c r="Q9" s="45"/>
      <c r="R9" s="46"/>
      <c r="S9" s="45"/>
      <c r="T9" s="46"/>
      <c r="U9" s="45"/>
      <c r="V9" s="46"/>
      <c r="W9" s="45"/>
      <c r="X9" s="46"/>
      <c r="Y9" s="45"/>
      <c r="Z9" s="46"/>
      <c r="AA9" s="45"/>
      <c r="AB9" s="46"/>
      <c r="AC9" s="45"/>
      <c r="AD9" s="46"/>
      <c r="AE9" s="45"/>
      <c r="AF9" s="46"/>
      <c r="AG9" s="45"/>
      <c r="AH9" s="46"/>
      <c r="AI9" s="45"/>
      <c r="AJ9" s="46"/>
      <c r="AK9" s="45"/>
      <c r="AL9" s="46"/>
      <c r="AM9" s="45"/>
      <c r="AN9" s="46"/>
      <c r="AO9" s="45"/>
      <c r="AP9" s="46"/>
      <c r="AQ9" s="45"/>
      <c r="AR9" s="46"/>
      <c r="AS9" s="45"/>
      <c r="AT9" s="61"/>
      <c r="AU9" s="58"/>
      <c r="AV9" s="59"/>
      <c r="AW9" s="54"/>
      <c r="AX9" s="55"/>
      <c r="AY9" s="54"/>
      <c r="AZ9" s="57"/>
      <c r="BA9" s="54"/>
      <c r="BB9" s="55"/>
      <c r="BC9" s="54"/>
      <c r="BD9" s="55"/>
    </row>
    <row r="10" spans="1:62" ht="11.25" customHeight="1" x14ac:dyDescent="0.2">
      <c r="A10" s="11"/>
      <c r="B10" s="10"/>
      <c r="C10" s="45"/>
      <c r="D10" s="46"/>
      <c r="E10" s="45"/>
      <c r="F10" s="46"/>
      <c r="G10" s="45"/>
      <c r="H10" s="46"/>
      <c r="I10" s="45"/>
      <c r="J10" s="46"/>
      <c r="K10" s="45"/>
      <c r="L10" s="46"/>
      <c r="M10" s="45"/>
      <c r="N10" s="46"/>
      <c r="O10" s="45"/>
      <c r="P10" s="46"/>
      <c r="Q10" s="45"/>
      <c r="R10" s="46"/>
      <c r="S10" s="45"/>
      <c r="T10" s="46"/>
      <c r="U10" s="45"/>
      <c r="V10" s="46"/>
      <c r="W10" s="45"/>
      <c r="X10" s="46"/>
      <c r="Y10" s="45"/>
      <c r="Z10" s="46"/>
      <c r="AA10" s="45"/>
      <c r="AB10" s="46"/>
      <c r="AC10" s="45"/>
      <c r="AD10" s="46"/>
      <c r="AE10" s="45"/>
      <c r="AF10" s="46"/>
      <c r="AG10" s="45"/>
      <c r="AH10" s="46"/>
      <c r="AI10" s="45"/>
      <c r="AJ10" s="46"/>
      <c r="AK10" s="45"/>
      <c r="AL10" s="46"/>
      <c r="AM10" s="45"/>
      <c r="AN10" s="46"/>
      <c r="AO10" s="45"/>
      <c r="AP10" s="46"/>
      <c r="AQ10" s="45"/>
      <c r="AR10" s="46"/>
      <c r="AS10" s="45"/>
      <c r="AT10" s="61"/>
      <c r="AU10" s="58"/>
      <c r="AV10" s="59"/>
      <c r="AW10" s="54"/>
      <c r="AX10" s="55"/>
      <c r="AY10" s="54"/>
      <c r="AZ10" s="57"/>
      <c r="BA10" s="54"/>
      <c r="BB10" s="55"/>
      <c r="BC10" s="54"/>
      <c r="BD10" s="55"/>
    </row>
    <row r="11" spans="1:62" ht="11.25" customHeight="1" x14ac:dyDescent="0.2">
      <c r="A11" s="3"/>
      <c r="B11" s="8"/>
      <c r="C11" s="48" t="s">
        <v>167</v>
      </c>
      <c r="D11" s="49"/>
      <c r="E11" s="48" t="s">
        <v>182</v>
      </c>
      <c r="F11" s="49"/>
      <c r="G11" s="48" t="s">
        <v>168</v>
      </c>
      <c r="H11" s="49"/>
      <c r="I11" s="48" t="s">
        <v>184</v>
      </c>
      <c r="J11" s="49"/>
      <c r="K11" s="48" t="s">
        <v>185</v>
      </c>
      <c r="L11" s="49"/>
      <c r="M11" s="48" t="s">
        <v>169</v>
      </c>
      <c r="N11" s="49"/>
      <c r="O11" s="48" t="s">
        <v>170</v>
      </c>
      <c r="P11" s="49"/>
      <c r="Q11" s="48" t="s">
        <v>171</v>
      </c>
      <c r="R11" s="49"/>
      <c r="S11" s="48" t="s">
        <v>172</v>
      </c>
      <c r="T11" s="49"/>
      <c r="U11" s="48" t="s">
        <v>186</v>
      </c>
      <c r="V11" s="49"/>
      <c r="W11" s="48" t="s">
        <v>173</v>
      </c>
      <c r="X11" s="49"/>
      <c r="Y11" s="48" t="s">
        <v>187</v>
      </c>
      <c r="Z11" s="49"/>
      <c r="AA11" s="48" t="s">
        <v>174</v>
      </c>
      <c r="AB11" s="49"/>
      <c r="AC11" s="48" t="s">
        <v>175</v>
      </c>
      <c r="AD11" s="49"/>
      <c r="AE11" s="48" t="s">
        <v>176</v>
      </c>
      <c r="AF11" s="49"/>
      <c r="AG11" s="48"/>
      <c r="AH11" s="49"/>
      <c r="AI11" s="48" t="s">
        <v>177</v>
      </c>
      <c r="AJ11" s="49"/>
      <c r="AK11" s="48" t="s">
        <v>178</v>
      </c>
      <c r="AL11" s="49"/>
      <c r="AM11" s="48" t="s">
        <v>179</v>
      </c>
      <c r="AN11" s="49"/>
      <c r="AO11" s="48" t="s">
        <v>180</v>
      </c>
      <c r="AP11" s="49"/>
      <c r="AQ11" s="48"/>
      <c r="AR11" s="49"/>
      <c r="AS11" s="48" t="s">
        <v>181</v>
      </c>
      <c r="AT11" s="60"/>
      <c r="AU11" s="62" t="s">
        <v>188</v>
      </c>
      <c r="AV11" s="63"/>
      <c r="AW11" s="62" t="s">
        <v>183</v>
      </c>
      <c r="AX11" s="63"/>
      <c r="AY11" s="62"/>
      <c r="AZ11" s="63"/>
      <c r="BA11" s="62"/>
      <c r="BB11" s="63"/>
      <c r="BC11" s="62"/>
      <c r="BD11" s="63"/>
    </row>
    <row r="12" spans="1:62" x14ac:dyDescent="0.2">
      <c r="A12" s="28">
        <v>1980</v>
      </c>
      <c r="B12" s="28">
        <v>1</v>
      </c>
      <c r="C12" s="31">
        <v>55.995715332356397</v>
      </c>
      <c r="D12" s="30"/>
      <c r="E12" s="31">
        <v>57.794927583558596</v>
      </c>
      <c r="F12" s="30"/>
      <c r="G12" s="31">
        <v>56.095606684462297</v>
      </c>
      <c r="H12" s="30"/>
      <c r="I12" s="31">
        <v>58.578582262298099</v>
      </c>
      <c r="J12" s="30"/>
      <c r="K12" s="31">
        <v>45.419501974340101</v>
      </c>
      <c r="L12" s="30"/>
      <c r="M12" s="31">
        <v>61.215324276301402</v>
      </c>
      <c r="N12" s="30"/>
      <c r="O12" s="31">
        <v>74.827303636906393</v>
      </c>
      <c r="P12" s="30"/>
      <c r="Q12" s="31">
        <v>61.701392025007898</v>
      </c>
      <c r="R12" s="30"/>
      <c r="S12" s="31">
        <v>82.213314088566406</v>
      </c>
      <c r="T12" s="30"/>
      <c r="U12" s="31"/>
      <c r="V12" s="30"/>
      <c r="W12" s="31"/>
      <c r="X12" s="30"/>
      <c r="Y12" s="31"/>
      <c r="Z12" s="30"/>
      <c r="AA12" s="31">
        <v>86.604420759425395</v>
      </c>
      <c r="AB12" s="30"/>
      <c r="AC12" s="31">
        <v>97.928171836278295</v>
      </c>
      <c r="AD12" s="30"/>
      <c r="AE12" s="31">
        <v>91.459312222418902</v>
      </c>
      <c r="AF12" s="30"/>
      <c r="AG12" s="31">
        <v>86.835282966094198</v>
      </c>
      <c r="AH12" s="30"/>
      <c r="AI12" s="31">
        <v>62.130980385062699</v>
      </c>
      <c r="AJ12" s="30"/>
      <c r="AK12" s="31">
        <v>98.238868260717794</v>
      </c>
      <c r="AL12" s="30"/>
      <c r="AM12" s="31">
        <v>104.469779441268</v>
      </c>
      <c r="AN12" s="30"/>
      <c r="AO12" s="31">
        <v>112.646815974581</v>
      </c>
      <c r="AP12" s="30"/>
      <c r="AQ12" s="31">
        <v>109.062687605901</v>
      </c>
      <c r="AR12" s="30"/>
      <c r="AS12" s="31">
        <v>72.614213531794107</v>
      </c>
      <c r="AT12" s="30"/>
      <c r="AU12" s="31">
        <v>65.509867959334898</v>
      </c>
      <c r="AV12" s="30"/>
      <c r="AW12" s="31">
        <v>61.0595615290258</v>
      </c>
      <c r="AX12" s="30"/>
      <c r="AY12" s="31">
        <v>75.701670663631802</v>
      </c>
      <c r="AZ12" s="30"/>
      <c r="BA12" s="31">
        <v>84.179030400026903</v>
      </c>
      <c r="BB12" s="30"/>
      <c r="BC12" s="31">
        <v>95.976455955939997</v>
      </c>
      <c r="BD12" s="30"/>
      <c r="BE12" s="31"/>
      <c r="BF12" s="30"/>
    </row>
    <row r="13" spans="1:62" x14ac:dyDescent="0.2">
      <c r="A13" s="28">
        <v>1980</v>
      </c>
      <c r="B13" s="28">
        <v>2</v>
      </c>
      <c r="C13" s="31">
        <v>56.314137891584998</v>
      </c>
      <c r="D13" s="30"/>
      <c r="E13" s="31">
        <v>58.362949749050301</v>
      </c>
      <c r="F13" s="30"/>
      <c r="G13" s="31">
        <v>56.588567402386303</v>
      </c>
      <c r="H13" s="30"/>
      <c r="I13" s="31">
        <v>59.092809417634697</v>
      </c>
      <c r="J13" s="30"/>
      <c r="K13" s="31">
        <v>45.8212234797452</v>
      </c>
      <c r="L13" s="30"/>
      <c r="M13" s="31">
        <v>61.963109251676499</v>
      </c>
      <c r="N13" s="30"/>
      <c r="O13" s="31">
        <v>75.577530362441394</v>
      </c>
      <c r="P13" s="30"/>
      <c r="Q13" s="31">
        <v>62.768483598061302</v>
      </c>
      <c r="R13" s="30"/>
      <c r="S13" s="31">
        <v>82.568223084479499</v>
      </c>
      <c r="T13" s="30"/>
      <c r="U13" s="31"/>
      <c r="V13" s="30"/>
      <c r="W13" s="31"/>
      <c r="X13" s="30"/>
      <c r="Y13" s="31"/>
      <c r="Z13" s="30"/>
      <c r="AA13" s="31">
        <v>85.543901026297405</v>
      </c>
      <c r="AB13" s="30"/>
      <c r="AC13" s="31">
        <v>96.617276796849296</v>
      </c>
      <c r="AD13" s="30"/>
      <c r="AE13" s="31">
        <v>93.496737544927498</v>
      </c>
      <c r="AF13" s="30"/>
      <c r="AG13" s="31">
        <v>88.778691833766203</v>
      </c>
      <c r="AH13" s="30"/>
      <c r="AI13" s="31">
        <v>61.622358499400498</v>
      </c>
      <c r="AJ13" s="30"/>
      <c r="AK13" s="31">
        <v>97.789715126355802</v>
      </c>
      <c r="AL13" s="30"/>
      <c r="AM13" s="31">
        <v>103.32276093678099</v>
      </c>
      <c r="AN13" s="30"/>
      <c r="AO13" s="31">
        <v>114.896430173299</v>
      </c>
      <c r="AP13" s="30"/>
      <c r="AQ13" s="31">
        <v>111.413192393288</v>
      </c>
      <c r="AR13" s="30"/>
      <c r="AS13" s="31">
        <v>74.532818613904197</v>
      </c>
      <c r="AT13" s="30"/>
      <c r="AU13" s="31">
        <v>66.153790700570298</v>
      </c>
      <c r="AV13" s="30"/>
      <c r="AW13" s="31">
        <v>61.621519757893402</v>
      </c>
      <c r="AX13" s="30"/>
      <c r="AY13" s="31">
        <v>76.581082246953798</v>
      </c>
      <c r="AZ13" s="30"/>
      <c r="BA13" s="31">
        <v>86.038678239541198</v>
      </c>
      <c r="BB13" s="30"/>
      <c r="BC13" s="31">
        <v>98.146667169544202</v>
      </c>
      <c r="BD13" s="30"/>
      <c r="BE13" s="31"/>
      <c r="BF13" s="30"/>
    </row>
    <row r="14" spans="1:62" x14ac:dyDescent="0.2">
      <c r="A14" s="28">
        <v>1980</v>
      </c>
      <c r="B14" s="28">
        <v>3</v>
      </c>
      <c r="C14" s="31">
        <v>57.096980183908798</v>
      </c>
      <c r="D14" s="30"/>
      <c r="E14" s="31">
        <v>59.185646240464301</v>
      </c>
      <c r="F14" s="30"/>
      <c r="G14" s="31">
        <v>57.234193625109199</v>
      </c>
      <c r="H14" s="30"/>
      <c r="I14" s="31">
        <v>59.813306169390401</v>
      </c>
      <c r="J14" s="30"/>
      <c r="K14" s="31">
        <v>46.131869098836503</v>
      </c>
      <c r="L14" s="30"/>
      <c r="M14" s="31">
        <v>63.175063471698202</v>
      </c>
      <c r="N14" s="30"/>
      <c r="O14" s="31">
        <v>75.953010692638401</v>
      </c>
      <c r="P14" s="30"/>
      <c r="Q14" s="31">
        <v>62.791148471270603</v>
      </c>
      <c r="R14" s="30"/>
      <c r="S14" s="31">
        <v>83.298480938730705</v>
      </c>
      <c r="T14" s="30"/>
      <c r="U14" s="31"/>
      <c r="V14" s="30"/>
      <c r="W14" s="31"/>
      <c r="X14" s="30"/>
      <c r="Y14" s="31"/>
      <c r="Z14" s="30"/>
      <c r="AA14" s="31">
        <v>87.283190272693005</v>
      </c>
      <c r="AB14" s="30"/>
      <c r="AC14" s="31">
        <v>99.428518280354396</v>
      </c>
      <c r="AD14" s="30"/>
      <c r="AE14" s="31">
        <v>91.886424365215802</v>
      </c>
      <c r="AF14" s="30"/>
      <c r="AG14" s="31">
        <v>87.152953145960396</v>
      </c>
      <c r="AH14" s="30"/>
      <c r="AI14" s="31">
        <v>61.126317330898097</v>
      </c>
      <c r="AJ14" s="30"/>
      <c r="AK14" s="31">
        <v>99.844925564190007</v>
      </c>
      <c r="AL14" s="30"/>
      <c r="AM14" s="31">
        <v>105.915932671268</v>
      </c>
      <c r="AN14" s="30"/>
      <c r="AO14" s="31">
        <v>113.275581609215</v>
      </c>
      <c r="AP14" s="30"/>
      <c r="AQ14" s="31">
        <v>110.137901169608</v>
      </c>
      <c r="AR14" s="30"/>
      <c r="AS14" s="31">
        <v>74.741921128532198</v>
      </c>
      <c r="AT14" s="30"/>
      <c r="AU14" s="31">
        <v>66.357083488031193</v>
      </c>
      <c r="AV14" s="30"/>
      <c r="AW14" s="31">
        <v>62.194055278015298</v>
      </c>
      <c r="AX14" s="30"/>
      <c r="AY14" s="31">
        <v>75.482703992132997</v>
      </c>
      <c r="AZ14" s="30"/>
      <c r="BA14" s="31">
        <v>84.504288405724395</v>
      </c>
      <c r="BB14" s="30"/>
      <c r="BC14" s="31">
        <v>97.387663746809295</v>
      </c>
      <c r="BD14" s="30"/>
      <c r="BE14" s="31"/>
      <c r="BF14" s="30"/>
    </row>
    <row r="15" spans="1:62" x14ac:dyDescent="0.2">
      <c r="A15" s="28">
        <v>1980</v>
      </c>
      <c r="B15" s="28">
        <v>4</v>
      </c>
      <c r="C15" s="31">
        <v>57.313436679533901</v>
      </c>
      <c r="D15" s="30"/>
      <c r="E15" s="31">
        <v>59.535447921300801</v>
      </c>
      <c r="F15" s="30"/>
      <c r="G15" s="31">
        <v>57.697667581358097</v>
      </c>
      <c r="H15" s="30"/>
      <c r="I15" s="31">
        <v>60.2348833893099</v>
      </c>
      <c r="J15" s="30"/>
      <c r="K15" s="31">
        <v>46.797023781518199</v>
      </c>
      <c r="L15" s="30"/>
      <c r="M15" s="31">
        <v>63.269690111998003</v>
      </c>
      <c r="N15" s="30"/>
      <c r="O15" s="31">
        <v>77.188397143891095</v>
      </c>
      <c r="P15" s="30"/>
      <c r="Q15" s="31">
        <v>63.961543988385898</v>
      </c>
      <c r="R15" s="30"/>
      <c r="S15" s="31">
        <v>84.537340034431196</v>
      </c>
      <c r="T15" s="30"/>
      <c r="U15" s="31"/>
      <c r="V15" s="30"/>
      <c r="W15" s="31"/>
      <c r="X15" s="30"/>
      <c r="Y15" s="31"/>
      <c r="Z15" s="30"/>
      <c r="AA15" s="31">
        <v>89.041523643283895</v>
      </c>
      <c r="AB15" s="30"/>
      <c r="AC15" s="31">
        <v>101.847074108436</v>
      </c>
      <c r="AD15" s="30"/>
      <c r="AE15" s="31">
        <v>94.367664367448299</v>
      </c>
      <c r="AF15" s="30"/>
      <c r="AG15" s="31">
        <v>90.746431379920693</v>
      </c>
      <c r="AH15" s="30"/>
      <c r="AI15" s="31">
        <v>61.200578355101399</v>
      </c>
      <c r="AJ15" s="30"/>
      <c r="AK15" s="31">
        <v>102.248212607889</v>
      </c>
      <c r="AL15" s="30"/>
      <c r="AM15" s="31">
        <v>108.43263416923</v>
      </c>
      <c r="AN15" s="30"/>
      <c r="AO15" s="31">
        <v>116.65877814495499</v>
      </c>
      <c r="AP15" s="30"/>
      <c r="AQ15" s="31">
        <v>114.55764858454</v>
      </c>
      <c r="AR15" s="30"/>
      <c r="AS15" s="31">
        <v>76.648605075271803</v>
      </c>
      <c r="AT15" s="30"/>
      <c r="AU15" s="31">
        <v>67.359143163143301</v>
      </c>
      <c r="AV15" s="30"/>
      <c r="AW15" s="31">
        <v>62.852605984236099</v>
      </c>
      <c r="AX15" s="30"/>
      <c r="AY15" s="31">
        <v>77.581883689494504</v>
      </c>
      <c r="AZ15" s="30"/>
      <c r="BA15" s="31">
        <v>87.945048969603803</v>
      </c>
      <c r="BB15" s="30"/>
      <c r="BC15" s="31">
        <v>100.922782889137</v>
      </c>
      <c r="BD15" s="30"/>
      <c r="BE15" s="31"/>
      <c r="BF15" s="30"/>
    </row>
    <row r="16" spans="1:62" x14ac:dyDescent="0.2">
      <c r="A16" s="28">
        <v>1981</v>
      </c>
      <c r="B16" s="28">
        <v>1</v>
      </c>
      <c r="C16" s="31">
        <v>58.744226524787997</v>
      </c>
      <c r="D16" s="30">
        <v>4.9084312542809497E-2</v>
      </c>
      <c r="E16" s="31">
        <v>61.420137203719399</v>
      </c>
      <c r="F16" s="30">
        <v>6.2725394281695698E-2</v>
      </c>
      <c r="G16" s="31">
        <v>58.873973691161602</v>
      </c>
      <c r="H16" s="30">
        <v>4.9529137323133902E-2</v>
      </c>
      <c r="I16" s="31">
        <v>61.452341567725803</v>
      </c>
      <c r="J16" s="30">
        <v>4.9058191483020597E-2</v>
      </c>
      <c r="K16" s="31">
        <v>47.795725074994699</v>
      </c>
      <c r="L16" s="30">
        <v>5.2317242535973502E-2</v>
      </c>
      <c r="M16" s="31">
        <v>66.861290808585593</v>
      </c>
      <c r="N16" s="30">
        <v>9.2231260701986603E-2</v>
      </c>
      <c r="O16" s="31">
        <v>79.425270795256594</v>
      </c>
      <c r="P16" s="30">
        <v>6.14477194135108E-2</v>
      </c>
      <c r="Q16" s="31">
        <v>66.279330986022799</v>
      </c>
      <c r="R16" s="30">
        <v>7.4195067741087403E-2</v>
      </c>
      <c r="S16" s="31">
        <v>86.506261119158097</v>
      </c>
      <c r="T16" s="30">
        <v>5.2217175261503899E-2</v>
      </c>
      <c r="U16" s="31"/>
      <c r="V16" s="30"/>
      <c r="W16" s="31"/>
      <c r="X16" s="30"/>
      <c r="Y16" s="31"/>
      <c r="Z16" s="30"/>
      <c r="AA16" s="31">
        <v>87.058199837837293</v>
      </c>
      <c r="AB16" s="30">
        <v>5.2396756936057302E-3</v>
      </c>
      <c r="AC16" s="31">
        <v>98.417258524523803</v>
      </c>
      <c r="AD16" s="30">
        <v>4.99434104685559E-3</v>
      </c>
      <c r="AE16" s="31">
        <v>94.137076598379707</v>
      </c>
      <c r="AF16" s="30">
        <v>2.9278203726798499E-2</v>
      </c>
      <c r="AG16" s="31">
        <v>91.233674932784893</v>
      </c>
      <c r="AH16" s="30">
        <v>5.0652129139811701E-2</v>
      </c>
      <c r="AI16" s="31">
        <v>62.449926932213501</v>
      </c>
      <c r="AJ16" s="30">
        <v>5.1334542795571404E-3</v>
      </c>
      <c r="AK16" s="31">
        <v>101.337543598309</v>
      </c>
      <c r="AL16" s="30">
        <v>3.15422540227948E-2</v>
      </c>
      <c r="AM16" s="31">
        <v>106.918091655322</v>
      </c>
      <c r="AN16" s="30">
        <v>2.3435602402418699E-2</v>
      </c>
      <c r="AO16" s="31">
        <v>119.37019662351599</v>
      </c>
      <c r="AP16" s="30">
        <v>5.9685492135455903E-2</v>
      </c>
      <c r="AQ16" s="31">
        <v>117.803410208971</v>
      </c>
      <c r="AR16" s="30">
        <v>8.0144023542265505E-2</v>
      </c>
      <c r="AS16" s="31">
        <v>77.947914505477996</v>
      </c>
      <c r="AT16" s="30">
        <v>7.3452575112564297E-2</v>
      </c>
      <c r="AU16" s="31">
        <v>68.692129219792804</v>
      </c>
      <c r="AV16" s="30">
        <v>4.8576822997617099E-2</v>
      </c>
      <c r="AW16" s="31">
        <v>64.312210000396703</v>
      </c>
      <c r="AX16" s="30">
        <v>5.3270092184082497E-2</v>
      </c>
      <c r="AY16" s="31">
        <v>78.340079779070393</v>
      </c>
      <c r="AZ16" s="30">
        <v>3.4852719792168203E-2</v>
      </c>
      <c r="BA16" s="31">
        <v>88.428843847984993</v>
      </c>
      <c r="BB16" s="30">
        <v>5.0485416947220203E-2</v>
      </c>
      <c r="BC16" s="31">
        <v>103.519109452603</v>
      </c>
      <c r="BD16" s="30">
        <v>7.85885811424991E-2</v>
      </c>
      <c r="BE16" s="31"/>
      <c r="BF16" s="30"/>
    </row>
    <row r="17" spans="1:58" x14ac:dyDescent="0.2">
      <c r="A17" s="28">
        <v>1981</v>
      </c>
      <c r="B17" s="28">
        <v>2</v>
      </c>
      <c r="C17" s="31">
        <v>59.244674698050297</v>
      </c>
      <c r="D17" s="30">
        <v>5.2039095619417698E-2</v>
      </c>
      <c r="E17" s="31">
        <v>62.309428536486401</v>
      </c>
      <c r="F17" s="30">
        <v>6.7619590928922599E-2</v>
      </c>
      <c r="G17" s="31">
        <v>59.929441340582997</v>
      </c>
      <c r="H17" s="30">
        <v>5.9037966351767099E-2</v>
      </c>
      <c r="I17" s="31">
        <v>62.543113833114901</v>
      </c>
      <c r="J17" s="30">
        <v>5.8387889313154903E-2</v>
      </c>
      <c r="K17" s="31">
        <v>48.703028454272101</v>
      </c>
      <c r="L17" s="30">
        <v>6.2892362003401203E-2</v>
      </c>
      <c r="M17" s="31">
        <v>67.266067796141598</v>
      </c>
      <c r="N17" s="30">
        <v>8.5582512054487997E-2</v>
      </c>
      <c r="O17" s="31">
        <v>80.916433689488599</v>
      </c>
      <c r="P17" s="30">
        <v>7.06414102371931E-2</v>
      </c>
      <c r="Q17" s="31">
        <v>67.475914105230999</v>
      </c>
      <c r="R17" s="30">
        <v>7.4996721878989106E-2</v>
      </c>
      <c r="S17" s="31">
        <v>88.100780137047494</v>
      </c>
      <c r="T17" s="30">
        <v>6.7005887324321306E-2</v>
      </c>
      <c r="U17" s="31"/>
      <c r="V17" s="30"/>
      <c r="W17" s="31"/>
      <c r="X17" s="30"/>
      <c r="Y17" s="31"/>
      <c r="Z17" s="30"/>
      <c r="AA17" s="31">
        <v>86.379896883342596</v>
      </c>
      <c r="AB17" s="30">
        <v>9.7727114033319094E-3</v>
      </c>
      <c r="AC17" s="31">
        <v>96.996454780561507</v>
      </c>
      <c r="AD17" s="30">
        <v>3.9245360279549502E-3</v>
      </c>
      <c r="AE17" s="31">
        <v>93.408002853348606</v>
      </c>
      <c r="AF17" s="30">
        <v>-9.4906724992660496E-4</v>
      </c>
      <c r="AG17" s="31">
        <v>91.871687091158705</v>
      </c>
      <c r="AH17" s="30">
        <v>3.4839387622246802E-2</v>
      </c>
      <c r="AI17" s="31">
        <v>63.341940552722001</v>
      </c>
      <c r="AJ17" s="30">
        <v>2.7905164540857001E-2</v>
      </c>
      <c r="AK17" s="31">
        <v>101.70365000371299</v>
      </c>
      <c r="AL17" s="30">
        <v>4.0023993037511897E-2</v>
      </c>
      <c r="AM17" s="31">
        <v>106.631606292942</v>
      </c>
      <c r="AN17" s="30">
        <v>3.2024360616786901E-2</v>
      </c>
      <c r="AO17" s="31">
        <v>119.91188416048</v>
      </c>
      <c r="AP17" s="30">
        <v>4.3651956632735599E-2</v>
      </c>
      <c r="AQ17" s="31">
        <v>120.15651224836</v>
      </c>
      <c r="AR17" s="30">
        <v>7.8476522099899096E-2</v>
      </c>
      <c r="AS17" s="31">
        <v>80.165719598462303</v>
      </c>
      <c r="AT17" s="30">
        <v>7.5576116525764001E-2</v>
      </c>
      <c r="AU17" s="31">
        <v>69.800223004447801</v>
      </c>
      <c r="AV17" s="30">
        <v>5.5120534519061702E-2</v>
      </c>
      <c r="AW17" s="31">
        <v>65.493364279781503</v>
      </c>
      <c r="AX17" s="30">
        <v>6.2832668475238898E-2</v>
      </c>
      <c r="AY17" s="31">
        <v>79.090654237546104</v>
      </c>
      <c r="AZ17" s="30">
        <v>3.2770129605894198E-2</v>
      </c>
      <c r="BA17" s="31">
        <v>89.063268622079306</v>
      </c>
      <c r="BB17" s="30">
        <v>3.5153845275461601E-2</v>
      </c>
      <c r="BC17" s="31">
        <v>105.77587800294199</v>
      </c>
      <c r="BD17" s="30">
        <v>7.7732755002454496E-2</v>
      </c>
      <c r="BE17" s="31"/>
      <c r="BF17" s="30"/>
    </row>
    <row r="18" spans="1:58" x14ac:dyDescent="0.2">
      <c r="A18" s="28">
        <v>1981</v>
      </c>
      <c r="B18" s="28">
        <v>3</v>
      </c>
      <c r="C18" s="31">
        <v>60.301481888671901</v>
      </c>
      <c r="D18" s="30">
        <v>5.6123838676606801E-2</v>
      </c>
      <c r="E18" s="31">
        <v>63.069803521709098</v>
      </c>
      <c r="F18" s="30">
        <v>6.5626676871345796E-2</v>
      </c>
      <c r="G18" s="31">
        <v>61.0201065789349</v>
      </c>
      <c r="H18" s="30">
        <v>6.6147746898013393E-2</v>
      </c>
      <c r="I18" s="31">
        <v>63.701048866083497</v>
      </c>
      <c r="J18" s="30">
        <v>6.4997956904155399E-2</v>
      </c>
      <c r="K18" s="31">
        <v>49.497921906330099</v>
      </c>
      <c r="L18" s="30">
        <v>7.2965888294746997E-2</v>
      </c>
      <c r="M18" s="31">
        <v>67.241034066119795</v>
      </c>
      <c r="N18" s="30">
        <v>6.4360372130739807E-2</v>
      </c>
      <c r="O18" s="31">
        <v>81.655625012149997</v>
      </c>
      <c r="P18" s="30">
        <v>7.5080819937323004E-2</v>
      </c>
      <c r="Q18" s="31">
        <v>67.549510788022602</v>
      </c>
      <c r="R18" s="30">
        <v>7.5780781728002303E-2</v>
      </c>
      <c r="S18" s="31">
        <v>89.5059226839481</v>
      </c>
      <c r="T18" s="30">
        <v>7.4520467543498101E-2</v>
      </c>
      <c r="U18" s="31"/>
      <c r="V18" s="30"/>
      <c r="W18" s="31"/>
      <c r="X18" s="30"/>
      <c r="Y18" s="31"/>
      <c r="Z18" s="30"/>
      <c r="AA18" s="31">
        <v>83.923103983518203</v>
      </c>
      <c r="AB18" s="30">
        <v>-3.8496373456069898E-2</v>
      </c>
      <c r="AC18" s="31">
        <v>92.593845270542701</v>
      </c>
      <c r="AD18" s="30">
        <v>-6.8739564141348505E-2</v>
      </c>
      <c r="AE18" s="31">
        <v>90.941967679334297</v>
      </c>
      <c r="AF18" s="30">
        <v>-1.0278522560935E-2</v>
      </c>
      <c r="AG18" s="31">
        <v>90.898505765257198</v>
      </c>
      <c r="AH18" s="30">
        <v>4.2976772261795103E-2</v>
      </c>
      <c r="AI18" s="31">
        <v>64.846603810855399</v>
      </c>
      <c r="AJ18" s="30">
        <v>6.0862270825479098E-2</v>
      </c>
      <c r="AK18" s="31">
        <v>97.605982217252702</v>
      </c>
      <c r="AL18" s="30">
        <v>-2.2424207682922699E-2</v>
      </c>
      <c r="AM18" s="31">
        <v>101.836295524032</v>
      </c>
      <c r="AN18" s="30">
        <v>-3.85176908170939E-2</v>
      </c>
      <c r="AO18" s="31">
        <v>118.146690635642</v>
      </c>
      <c r="AP18" s="30">
        <v>4.30022866113575E-2</v>
      </c>
      <c r="AQ18" s="31">
        <v>119.68960420364201</v>
      </c>
      <c r="AR18" s="30">
        <v>8.67249414833626E-2</v>
      </c>
      <c r="AS18" s="31">
        <v>78.978170482032695</v>
      </c>
      <c r="AT18" s="30">
        <v>5.6678357868477698E-2</v>
      </c>
      <c r="AU18" s="31">
        <v>70.604372874355306</v>
      </c>
      <c r="AV18" s="30">
        <v>6.4006571161166398E-2</v>
      </c>
      <c r="AW18" s="31">
        <v>66.490029793469404</v>
      </c>
      <c r="AX18" s="30">
        <v>6.9073716069013094E-2</v>
      </c>
      <c r="AY18" s="31">
        <v>79.241075622318803</v>
      </c>
      <c r="AZ18" s="30">
        <v>4.9791163159411497E-2</v>
      </c>
      <c r="BA18" s="31">
        <v>88.167716053826496</v>
      </c>
      <c r="BB18" s="30">
        <v>4.3351973221916501E-2</v>
      </c>
      <c r="BC18" s="31">
        <v>105.05489321474801</v>
      </c>
      <c r="BD18" s="30">
        <v>7.8728959839017301E-2</v>
      </c>
      <c r="BE18" s="31"/>
      <c r="BF18" s="30"/>
    </row>
    <row r="19" spans="1:58" x14ac:dyDescent="0.2">
      <c r="A19" s="28">
        <v>1981</v>
      </c>
      <c r="B19" s="28">
        <v>4</v>
      </c>
      <c r="C19" s="31">
        <v>61.2258999770199</v>
      </c>
      <c r="D19" s="30">
        <v>6.8264328997795803E-2</v>
      </c>
      <c r="E19" s="31">
        <v>62.871373179452803</v>
      </c>
      <c r="F19" s="30">
        <v>5.6032588560713401E-2</v>
      </c>
      <c r="G19" s="31">
        <v>61.596838029123397</v>
      </c>
      <c r="H19" s="30">
        <v>6.7579342653101698E-2</v>
      </c>
      <c r="I19" s="31">
        <v>64.175729839444699</v>
      </c>
      <c r="J19" s="30">
        <v>6.5424654758013498E-2</v>
      </c>
      <c r="K19" s="31">
        <v>50.576436209386799</v>
      </c>
      <c r="L19" s="30">
        <v>8.0761811809092907E-2</v>
      </c>
      <c r="M19" s="31">
        <v>65.425858380214606</v>
      </c>
      <c r="N19" s="30">
        <v>3.4079007885131601E-2</v>
      </c>
      <c r="O19" s="31">
        <v>82.767243648549197</v>
      </c>
      <c r="P19" s="30">
        <v>7.2275713851892603E-2</v>
      </c>
      <c r="Q19" s="31">
        <v>68.447966726367099</v>
      </c>
      <c r="R19" s="30">
        <v>7.0142502169675505E-2</v>
      </c>
      <c r="S19" s="31">
        <v>90.742772820485698</v>
      </c>
      <c r="T19" s="30">
        <v>7.3404637329812505E-2</v>
      </c>
      <c r="U19" s="31"/>
      <c r="V19" s="30"/>
      <c r="W19" s="31"/>
      <c r="X19" s="30"/>
      <c r="Y19" s="31"/>
      <c r="Z19" s="30"/>
      <c r="AA19" s="31">
        <v>81.428095457594594</v>
      </c>
      <c r="AB19" s="30">
        <v>-8.5504244246651498E-2</v>
      </c>
      <c r="AC19" s="31">
        <v>89.262936663111901</v>
      </c>
      <c r="AD19" s="30">
        <v>-0.123559145468687</v>
      </c>
      <c r="AE19" s="31">
        <v>93.209358506876598</v>
      </c>
      <c r="AF19" s="30">
        <v>-1.2274393653121799E-2</v>
      </c>
      <c r="AG19" s="31">
        <v>94.466988484237007</v>
      </c>
      <c r="AH19" s="30">
        <v>4.0999486676668799E-2</v>
      </c>
      <c r="AI19" s="31">
        <v>65.620064880514803</v>
      </c>
      <c r="AJ19" s="30">
        <v>7.2213149682513994E-2</v>
      </c>
      <c r="AK19" s="31">
        <v>91.566026575062295</v>
      </c>
      <c r="AL19" s="30">
        <v>-0.104473083297719</v>
      </c>
      <c r="AM19" s="31">
        <v>94.973885220148503</v>
      </c>
      <c r="AN19" s="30">
        <v>-0.124120833660434</v>
      </c>
      <c r="AO19" s="31">
        <v>113.78918093284901</v>
      </c>
      <c r="AP19" s="30">
        <v>-2.45982107625051E-2</v>
      </c>
      <c r="AQ19" s="31">
        <v>115.709507808433</v>
      </c>
      <c r="AR19" s="30">
        <v>1.0054843462008901E-2</v>
      </c>
      <c r="AS19" s="31">
        <v>76.547790771390694</v>
      </c>
      <c r="AT19" s="30">
        <v>-1.3152790423531799E-3</v>
      </c>
      <c r="AU19" s="31">
        <v>71.683451166006094</v>
      </c>
      <c r="AV19" s="30">
        <v>6.4197788151630006E-2</v>
      </c>
      <c r="AW19" s="31">
        <v>67.182316081326803</v>
      </c>
      <c r="AX19" s="30">
        <v>6.8886723617738205E-2</v>
      </c>
      <c r="AY19" s="31">
        <v>81.546119864303193</v>
      </c>
      <c r="AZ19" s="30">
        <v>5.1097446804394799E-2</v>
      </c>
      <c r="BA19" s="31">
        <v>91.601041340301194</v>
      </c>
      <c r="BB19" s="30">
        <v>4.1571326794768999E-2</v>
      </c>
      <c r="BC19" s="31">
        <v>101.655784661997</v>
      </c>
      <c r="BD19" s="30">
        <v>7.2629960438692596E-3</v>
      </c>
      <c r="BE19" s="31"/>
      <c r="BF19" s="30"/>
    </row>
    <row r="20" spans="1:58" x14ac:dyDescent="0.2">
      <c r="A20" s="28">
        <v>1982</v>
      </c>
      <c r="B20" s="28">
        <v>1</v>
      </c>
      <c r="C20" s="31">
        <v>62.909002350599302</v>
      </c>
      <c r="D20" s="30">
        <v>7.0896768451856204E-2</v>
      </c>
      <c r="E20" s="31">
        <v>63.950485899987498</v>
      </c>
      <c r="F20" s="30">
        <v>4.1197379417688099E-2</v>
      </c>
      <c r="G20" s="31">
        <v>62.6255610978289</v>
      </c>
      <c r="H20" s="30">
        <v>6.3722340644903702E-2</v>
      </c>
      <c r="I20" s="31">
        <v>65.135873329603299</v>
      </c>
      <c r="J20" s="30">
        <v>5.9941275920592597E-2</v>
      </c>
      <c r="K20" s="31">
        <v>51.911601508336098</v>
      </c>
      <c r="L20" s="30">
        <v>8.6113903008758305E-2</v>
      </c>
      <c r="M20" s="31">
        <v>66.464887063526803</v>
      </c>
      <c r="N20" s="30">
        <v>-5.9287480134608802E-3</v>
      </c>
      <c r="O20" s="31">
        <v>84.140087153678806</v>
      </c>
      <c r="P20" s="30">
        <v>5.9361665515451197E-2</v>
      </c>
      <c r="Q20" s="31">
        <v>70.174541204037993</v>
      </c>
      <c r="R20" s="30">
        <v>5.8769606754731203E-2</v>
      </c>
      <c r="S20" s="31">
        <v>91.6720905616599</v>
      </c>
      <c r="T20" s="30">
        <v>5.9716249155493201E-2</v>
      </c>
      <c r="U20" s="31"/>
      <c r="V20" s="30"/>
      <c r="W20" s="31"/>
      <c r="X20" s="30"/>
      <c r="Y20" s="31"/>
      <c r="Z20" s="30"/>
      <c r="AA20" s="31">
        <v>80.419089746387499</v>
      </c>
      <c r="AB20" s="30">
        <v>-7.6260594680529703E-2</v>
      </c>
      <c r="AC20" s="31">
        <v>86.055385856522307</v>
      </c>
      <c r="AD20" s="30">
        <v>-0.125606756917752</v>
      </c>
      <c r="AE20" s="31">
        <v>91.834109082138099</v>
      </c>
      <c r="AF20" s="30">
        <v>-2.4463979544073401E-2</v>
      </c>
      <c r="AG20" s="31">
        <v>94.5703546937943</v>
      </c>
      <c r="AH20" s="30">
        <v>3.6572896613751703E-2</v>
      </c>
      <c r="AI20" s="31">
        <v>68.159163199823297</v>
      </c>
      <c r="AJ20" s="30">
        <v>9.1421023979851607E-2</v>
      </c>
      <c r="AK20" s="31">
        <v>88.195060534030205</v>
      </c>
      <c r="AL20" s="30">
        <v>-0.129690168101709</v>
      </c>
      <c r="AM20" s="31">
        <v>90.982394102983207</v>
      </c>
      <c r="AN20" s="30">
        <v>-0.149045847205275</v>
      </c>
      <c r="AO20" s="31">
        <v>110.90878365515501</v>
      </c>
      <c r="AP20" s="30">
        <v>-7.0883798533463799E-2</v>
      </c>
      <c r="AQ20" s="31">
        <v>113.497743855797</v>
      </c>
      <c r="AR20" s="30">
        <v>-3.6549590080085202E-2</v>
      </c>
      <c r="AS20" s="31">
        <v>75.203512254665696</v>
      </c>
      <c r="AT20" s="30">
        <v>-3.5208154935555798E-2</v>
      </c>
      <c r="AU20" s="31">
        <v>72.856333940630094</v>
      </c>
      <c r="AV20" s="30">
        <v>6.0621278858793898E-2</v>
      </c>
      <c r="AW20" s="31">
        <v>68.320943918516804</v>
      </c>
      <c r="AX20" s="30">
        <v>6.23323925285015E-2</v>
      </c>
      <c r="AY20" s="31">
        <v>82.724242623398197</v>
      </c>
      <c r="AZ20" s="30">
        <v>5.59632164875472E-2</v>
      </c>
      <c r="BA20" s="31">
        <v>91.740136809984904</v>
      </c>
      <c r="BB20" s="30">
        <v>3.7445847055201299E-2</v>
      </c>
      <c r="BC20" s="31">
        <v>99.746610591899298</v>
      </c>
      <c r="BD20" s="30">
        <v>-3.64425358820432E-2</v>
      </c>
      <c r="BE20" s="31"/>
      <c r="BF20" s="30"/>
    </row>
    <row r="21" spans="1:58" x14ac:dyDescent="0.2">
      <c r="A21" s="28">
        <v>1982</v>
      </c>
      <c r="B21" s="28">
        <v>2</v>
      </c>
      <c r="C21" s="31">
        <v>64.113540915971996</v>
      </c>
      <c r="D21" s="30">
        <v>8.2182343691421994E-2</v>
      </c>
      <c r="E21" s="31">
        <v>65.319157227731594</v>
      </c>
      <c r="F21" s="30">
        <v>4.83029416564595E-2</v>
      </c>
      <c r="G21" s="31">
        <v>63.716678888937203</v>
      </c>
      <c r="H21" s="30">
        <v>6.3194941645310407E-2</v>
      </c>
      <c r="I21" s="31">
        <v>66.256500373046293</v>
      </c>
      <c r="J21" s="30">
        <v>5.9373227719999901E-2</v>
      </c>
      <c r="K21" s="31">
        <v>52.884637345893701</v>
      </c>
      <c r="L21" s="30">
        <v>8.5859319724804997E-2</v>
      </c>
      <c r="M21" s="31">
        <v>68.565389288042795</v>
      </c>
      <c r="N21" s="30">
        <v>1.9316150541739598E-2</v>
      </c>
      <c r="O21" s="31">
        <v>85.085863222078103</v>
      </c>
      <c r="P21" s="30">
        <v>5.15275988137271E-2</v>
      </c>
      <c r="Q21" s="31">
        <v>70.918721125761394</v>
      </c>
      <c r="R21" s="30">
        <v>5.1022754803458997E-2</v>
      </c>
      <c r="S21" s="31">
        <v>92.724684055452897</v>
      </c>
      <c r="T21" s="30">
        <v>5.2484256225796097E-2</v>
      </c>
      <c r="U21" s="31"/>
      <c r="V21" s="30"/>
      <c r="W21" s="31"/>
      <c r="X21" s="30"/>
      <c r="Y21" s="31"/>
      <c r="Z21" s="30"/>
      <c r="AA21" s="31">
        <v>82.008995109168694</v>
      </c>
      <c r="AB21" s="30">
        <v>-5.0600914470608001E-2</v>
      </c>
      <c r="AC21" s="31">
        <v>87.237815149676607</v>
      </c>
      <c r="AD21" s="30">
        <v>-0.100608209371798</v>
      </c>
      <c r="AE21" s="31">
        <v>92.949445420308393</v>
      </c>
      <c r="AF21" s="30">
        <v>-4.9091878536374799E-3</v>
      </c>
      <c r="AG21" s="31">
        <v>97.426969095075094</v>
      </c>
      <c r="AH21" s="30">
        <v>6.0467834866296997E-2</v>
      </c>
      <c r="AI21" s="31">
        <v>70.448367100670595</v>
      </c>
      <c r="AJ21" s="30">
        <v>0.11219148775578899</v>
      </c>
      <c r="AK21" s="31">
        <v>90.587548978152995</v>
      </c>
      <c r="AL21" s="30">
        <v>-0.109298938879327</v>
      </c>
      <c r="AM21" s="31">
        <v>92.986055288760099</v>
      </c>
      <c r="AN21" s="30">
        <v>-0.12796910295709801</v>
      </c>
      <c r="AO21" s="31">
        <v>114.206591271796</v>
      </c>
      <c r="AP21" s="30">
        <v>-4.7579044634549802E-2</v>
      </c>
      <c r="AQ21" s="31">
        <v>117.885683122994</v>
      </c>
      <c r="AR21" s="30">
        <v>-1.8898926765391202E-2</v>
      </c>
      <c r="AS21" s="31">
        <v>78.508872735996604</v>
      </c>
      <c r="AT21" s="30">
        <v>-2.0667772593629299E-2</v>
      </c>
      <c r="AU21" s="31">
        <v>74.267604028585893</v>
      </c>
      <c r="AV21" s="30">
        <v>6.4002388987401099E-2</v>
      </c>
      <c r="AW21" s="31">
        <v>69.376404022937095</v>
      </c>
      <c r="AX21" s="30">
        <v>5.92890560113477E-2</v>
      </c>
      <c r="AY21" s="31">
        <v>85.302037873431303</v>
      </c>
      <c r="AZ21" s="30">
        <v>7.8534988688164095E-2</v>
      </c>
      <c r="BA21" s="31">
        <v>94.491499016563296</v>
      </c>
      <c r="BB21" s="30">
        <v>6.0948025807558502E-2</v>
      </c>
      <c r="BC21" s="31">
        <v>103.74052839367501</v>
      </c>
      <c r="BD21" s="30">
        <v>-1.9242096096905501E-2</v>
      </c>
      <c r="BE21" s="31"/>
      <c r="BF21" s="30"/>
    </row>
    <row r="22" spans="1:58" x14ac:dyDescent="0.2">
      <c r="A22" s="28">
        <v>1982</v>
      </c>
      <c r="B22" s="28">
        <v>3</v>
      </c>
      <c r="C22" s="31">
        <v>64.971202552662106</v>
      </c>
      <c r="D22" s="30">
        <v>7.74395672831278E-2</v>
      </c>
      <c r="E22" s="31">
        <v>66.488490348580498</v>
      </c>
      <c r="F22" s="30">
        <v>5.4204811747902398E-2</v>
      </c>
      <c r="G22" s="31">
        <v>64.704328045838594</v>
      </c>
      <c r="H22" s="30">
        <v>6.03771719431185E-2</v>
      </c>
      <c r="I22" s="31">
        <v>67.333577973965006</v>
      </c>
      <c r="J22" s="30">
        <v>5.70246357405833E-2</v>
      </c>
      <c r="K22" s="31">
        <v>53.468780925063498</v>
      </c>
      <c r="L22" s="30">
        <v>8.0222742002135305E-2</v>
      </c>
      <c r="M22" s="31">
        <v>70.0246269992507</v>
      </c>
      <c r="N22" s="30">
        <v>4.1397235658120903E-2</v>
      </c>
      <c r="O22" s="31">
        <v>85.3844465812507</v>
      </c>
      <c r="P22" s="30">
        <v>4.5665213738133502E-2</v>
      </c>
      <c r="Q22" s="31">
        <v>70.6830423950625</v>
      </c>
      <c r="R22" s="30">
        <v>4.6388664706591899E-2</v>
      </c>
      <c r="S22" s="31">
        <v>93.579017211004995</v>
      </c>
      <c r="T22" s="30">
        <v>4.5506424657944598E-2</v>
      </c>
      <c r="U22" s="31"/>
      <c r="V22" s="30"/>
      <c r="W22" s="31"/>
      <c r="X22" s="30"/>
      <c r="Y22" s="31"/>
      <c r="Z22" s="30"/>
      <c r="AA22" s="31">
        <v>86.188723532346799</v>
      </c>
      <c r="AB22" s="30">
        <v>2.6996374553465999E-2</v>
      </c>
      <c r="AC22" s="31">
        <v>92.543528672608304</v>
      </c>
      <c r="AD22" s="30">
        <v>-5.4341190591378197E-4</v>
      </c>
      <c r="AE22" s="31">
        <v>93.989944525316105</v>
      </c>
      <c r="AF22" s="30">
        <v>3.3515624565427601E-2</v>
      </c>
      <c r="AG22" s="31">
        <v>97.513596729983206</v>
      </c>
      <c r="AH22" s="30">
        <v>7.2774474223033805E-2</v>
      </c>
      <c r="AI22" s="31">
        <v>71.1906160720321</v>
      </c>
      <c r="AJ22" s="30">
        <v>9.7831064209330104E-2</v>
      </c>
      <c r="AK22" s="31">
        <v>95.807618198265104</v>
      </c>
      <c r="AL22" s="30">
        <v>-1.84247315393514E-2</v>
      </c>
      <c r="AM22" s="31">
        <v>99.485608233367998</v>
      </c>
      <c r="AN22" s="30">
        <v>-2.3083000796209702E-2</v>
      </c>
      <c r="AO22" s="31">
        <v>115.34263119876699</v>
      </c>
      <c r="AP22" s="30">
        <v>-2.3733711217717501E-2</v>
      </c>
      <c r="AQ22" s="31">
        <v>119.66437165846099</v>
      </c>
      <c r="AR22" s="30">
        <v>-2.10816514511714E-4</v>
      </c>
      <c r="AS22" s="31">
        <v>78.877394918510305</v>
      </c>
      <c r="AT22" s="30">
        <v>-1.2759926307138699E-3</v>
      </c>
      <c r="AU22" s="31">
        <v>75.039753807667097</v>
      </c>
      <c r="AV22" s="30">
        <v>6.28202015363091E-2</v>
      </c>
      <c r="AW22" s="31">
        <v>70.191855285305707</v>
      </c>
      <c r="AX22" s="30">
        <v>5.5674895970641201E-2</v>
      </c>
      <c r="AY22" s="31">
        <v>85.825682988096702</v>
      </c>
      <c r="AZ22" s="30">
        <v>8.3095885739381106E-2</v>
      </c>
      <c r="BA22" s="31">
        <v>94.592447629815098</v>
      </c>
      <c r="BB22" s="30">
        <v>7.2869434114254797E-2</v>
      </c>
      <c r="BC22" s="31">
        <v>105.00742073177101</v>
      </c>
      <c r="BD22" s="30">
        <v>-4.51882644625257E-4</v>
      </c>
      <c r="BE22" s="31"/>
      <c r="BF22" s="30"/>
    </row>
    <row r="23" spans="1:58" x14ac:dyDescent="0.2">
      <c r="A23" s="28">
        <v>1982</v>
      </c>
      <c r="B23" s="28">
        <v>4</v>
      </c>
      <c r="C23" s="31">
        <v>65.176478233707996</v>
      </c>
      <c r="D23" s="30">
        <v>6.4524625332920596E-2</v>
      </c>
      <c r="E23" s="31">
        <v>66.955441265302795</v>
      </c>
      <c r="F23" s="30">
        <v>6.4959104268214704E-2</v>
      </c>
      <c r="G23" s="31">
        <v>65.133111190311794</v>
      </c>
      <c r="H23" s="30">
        <v>5.74099787316424E-2</v>
      </c>
      <c r="I23" s="31">
        <v>67.767166596084394</v>
      </c>
      <c r="J23" s="30">
        <v>5.5962538573769399E-2</v>
      </c>
      <c r="K23" s="31">
        <v>53.8989549003742</v>
      </c>
      <c r="L23" s="30">
        <v>6.56930171440335E-2</v>
      </c>
      <c r="M23" s="31">
        <v>70.580660876388393</v>
      </c>
      <c r="N23" s="30">
        <v>7.87884580163591E-2</v>
      </c>
      <c r="O23" s="31">
        <v>85.8817629803236</v>
      </c>
      <c r="P23" s="30">
        <v>3.7629854450626797E-2</v>
      </c>
      <c r="Q23" s="31">
        <v>70.621048775166003</v>
      </c>
      <c r="R23" s="30">
        <v>3.1747941578544901E-2</v>
      </c>
      <c r="S23" s="31">
        <v>94.4050064012864</v>
      </c>
      <c r="T23" s="30">
        <v>4.0358405049464099E-2</v>
      </c>
      <c r="U23" s="31"/>
      <c r="V23" s="30"/>
      <c r="W23" s="31"/>
      <c r="X23" s="30"/>
      <c r="Y23" s="31"/>
      <c r="Z23" s="30"/>
      <c r="AA23" s="31">
        <v>87.609294132474602</v>
      </c>
      <c r="AB23" s="30">
        <v>7.5909901123735399E-2</v>
      </c>
      <c r="AC23" s="31">
        <v>94.675003179388199</v>
      </c>
      <c r="AD23" s="30">
        <v>6.0630612419823302E-2</v>
      </c>
      <c r="AE23" s="31">
        <v>92.650729011229103</v>
      </c>
      <c r="AF23" s="30">
        <v>-5.9932769047680301E-3</v>
      </c>
      <c r="AG23" s="31">
        <v>98.095295721029899</v>
      </c>
      <c r="AH23" s="30">
        <v>3.8408202643174003E-2</v>
      </c>
      <c r="AI23" s="31">
        <v>72.574162851790305</v>
      </c>
      <c r="AJ23" s="30">
        <v>0.105975176707583</v>
      </c>
      <c r="AK23" s="31">
        <v>98.067062332196898</v>
      </c>
      <c r="AL23" s="30">
        <v>7.0998338579269404E-2</v>
      </c>
      <c r="AM23" s="31">
        <v>102.171854222978</v>
      </c>
      <c r="AN23" s="30">
        <v>7.5788928568572902E-2</v>
      </c>
      <c r="AO23" s="31">
        <v>114.882904999256</v>
      </c>
      <c r="AP23" s="30">
        <v>9.6118458489717895E-3</v>
      </c>
      <c r="AQ23" s="31">
        <v>120.04976362158899</v>
      </c>
      <c r="AR23" s="30">
        <v>3.75099323760162E-2</v>
      </c>
      <c r="AS23" s="31">
        <v>79.818229329514296</v>
      </c>
      <c r="AT23" s="30">
        <v>4.2724140372525601E-2</v>
      </c>
      <c r="AU23" s="31">
        <v>75.585553123862098</v>
      </c>
      <c r="AV23" s="30">
        <v>5.4435185449140701E-2</v>
      </c>
      <c r="AW23" s="31">
        <v>70.6904250301762</v>
      </c>
      <c r="AX23" s="30">
        <v>5.2217743499684201E-2</v>
      </c>
      <c r="AY23" s="31">
        <v>86.488423111202096</v>
      </c>
      <c r="AZ23" s="30">
        <v>6.0607460601720398E-2</v>
      </c>
      <c r="BA23" s="31">
        <v>95.152663835495403</v>
      </c>
      <c r="BB23" s="30">
        <v>3.8772730563180403E-2</v>
      </c>
      <c r="BC23" s="31">
        <v>105.597633984176</v>
      </c>
      <c r="BD23" s="30">
        <v>3.87764388941092E-2</v>
      </c>
      <c r="BE23" s="31"/>
      <c r="BF23" s="30"/>
    </row>
    <row r="24" spans="1:58" x14ac:dyDescent="0.2">
      <c r="A24" s="28">
        <v>1983</v>
      </c>
      <c r="B24" s="28">
        <v>1</v>
      </c>
      <c r="C24" s="31">
        <v>65.581997143598898</v>
      </c>
      <c r="D24" s="30">
        <v>4.24898614367255E-2</v>
      </c>
      <c r="E24" s="31">
        <v>67.254560352136295</v>
      </c>
      <c r="F24" s="30">
        <v>5.1666135223993097E-2</v>
      </c>
      <c r="G24" s="31">
        <v>65.459079322052702</v>
      </c>
      <c r="H24" s="30">
        <v>4.5245394604887898E-2</v>
      </c>
      <c r="I24" s="31">
        <v>68.098105388238494</v>
      </c>
      <c r="J24" s="30">
        <v>4.5477736110876001E-2</v>
      </c>
      <c r="K24" s="31">
        <v>54.195121911004797</v>
      </c>
      <c r="L24" s="30">
        <v>4.3988633298127897E-2</v>
      </c>
      <c r="M24" s="31">
        <v>70.853483136682698</v>
      </c>
      <c r="N24" s="30">
        <v>6.6028790043099597E-2</v>
      </c>
      <c r="O24" s="31">
        <v>86.217835359044301</v>
      </c>
      <c r="P24" s="30">
        <v>2.4693915536010601E-2</v>
      </c>
      <c r="Q24" s="31">
        <v>70.728772704760402</v>
      </c>
      <c r="R24" s="30">
        <v>7.8978998823935297E-3</v>
      </c>
      <c r="S24" s="31">
        <v>95.082812894597097</v>
      </c>
      <c r="T24" s="30">
        <v>3.72056785444752E-2</v>
      </c>
      <c r="U24" s="31"/>
      <c r="V24" s="30"/>
      <c r="W24" s="31"/>
      <c r="X24" s="30"/>
      <c r="Y24" s="31"/>
      <c r="Z24" s="30"/>
      <c r="AA24" s="31">
        <v>85.896416179096903</v>
      </c>
      <c r="AB24" s="30">
        <v>6.8109779033597204E-2</v>
      </c>
      <c r="AC24" s="31">
        <v>92.555297450933693</v>
      </c>
      <c r="AD24" s="30">
        <v>7.5531723316522206E-2</v>
      </c>
      <c r="AE24" s="31">
        <v>91.406470897049005</v>
      </c>
      <c r="AF24" s="30">
        <v>-4.6566378153303197E-3</v>
      </c>
      <c r="AG24" s="31">
        <v>95.550207643841603</v>
      </c>
      <c r="AH24" s="30">
        <v>1.03611005078696E-2</v>
      </c>
      <c r="AI24" s="31">
        <v>71.2762706947521</v>
      </c>
      <c r="AJ24" s="30">
        <v>4.5732772360926398E-2</v>
      </c>
      <c r="AK24" s="31">
        <v>95.997200034973503</v>
      </c>
      <c r="AL24" s="30">
        <v>8.8464585813543606E-2</v>
      </c>
      <c r="AM24" s="31">
        <v>100.157469638092</v>
      </c>
      <c r="AN24" s="30">
        <v>0.10084451640966199</v>
      </c>
      <c r="AO24" s="31">
        <v>112.67863917549001</v>
      </c>
      <c r="AP24" s="30">
        <v>1.5957757916078799E-2</v>
      </c>
      <c r="AQ24" s="31">
        <v>116.30106591029799</v>
      </c>
      <c r="AR24" s="30">
        <v>2.46993636989177E-2</v>
      </c>
      <c r="AS24" s="31">
        <v>77.645878031835196</v>
      </c>
      <c r="AT24" s="30">
        <v>3.2476751470048602E-2</v>
      </c>
      <c r="AU24" s="31">
        <v>75.405339084634093</v>
      </c>
      <c r="AV24" s="30">
        <v>3.4986733563633798E-2</v>
      </c>
      <c r="AW24" s="31">
        <v>70.985773832555097</v>
      </c>
      <c r="AX24" s="30">
        <v>3.9004582799916601E-2</v>
      </c>
      <c r="AY24" s="31">
        <v>84.663950710469706</v>
      </c>
      <c r="AZ24" s="30">
        <v>2.3447879672975298E-2</v>
      </c>
      <c r="BA24" s="31">
        <v>92.721077284731294</v>
      </c>
      <c r="BB24" s="30">
        <v>1.0692598777982501E-2</v>
      </c>
      <c r="BC24" s="31">
        <v>102.408349006617</v>
      </c>
      <c r="BD24" s="30">
        <v>2.6685001113545499E-2</v>
      </c>
      <c r="BE24" s="31"/>
      <c r="BF24" s="30"/>
    </row>
    <row r="25" spans="1:58" x14ac:dyDescent="0.2">
      <c r="A25" s="28">
        <v>1983</v>
      </c>
      <c r="B25" s="28">
        <v>2</v>
      </c>
      <c r="C25" s="31">
        <v>65.602406648941795</v>
      </c>
      <c r="D25" s="30">
        <v>2.32223288824609E-2</v>
      </c>
      <c r="E25" s="31">
        <v>66.860148057405894</v>
      </c>
      <c r="F25" s="30">
        <v>2.3591713290202598E-2</v>
      </c>
      <c r="G25" s="31">
        <v>65.961472893661906</v>
      </c>
      <c r="H25" s="30">
        <v>3.5230869591264903E-2</v>
      </c>
      <c r="I25" s="31">
        <v>68.638005435551506</v>
      </c>
      <c r="J25" s="30">
        <v>3.5943719470490403E-2</v>
      </c>
      <c r="K25" s="31">
        <v>54.534102702806599</v>
      </c>
      <c r="L25" s="30">
        <v>3.11898774331105E-2</v>
      </c>
      <c r="M25" s="31">
        <v>68.535381540667302</v>
      </c>
      <c r="N25" s="30">
        <v>-4.3765152779073901E-4</v>
      </c>
      <c r="O25" s="31">
        <v>86.540569819030793</v>
      </c>
      <c r="P25" s="30">
        <v>1.70969247048227E-2</v>
      </c>
      <c r="Q25" s="31">
        <v>70.786817255135105</v>
      </c>
      <c r="R25" s="30">
        <v>-1.8599301923734001E-3</v>
      </c>
      <c r="S25" s="31">
        <v>95.755297622681894</v>
      </c>
      <c r="T25" s="30">
        <v>3.2683999930554201E-2</v>
      </c>
      <c r="U25" s="31"/>
      <c r="V25" s="30"/>
      <c r="W25" s="31"/>
      <c r="X25" s="30"/>
      <c r="Y25" s="31"/>
      <c r="Z25" s="30"/>
      <c r="AA25" s="31">
        <v>87.346485995963107</v>
      </c>
      <c r="AB25" s="30">
        <v>6.5084212770676303E-2</v>
      </c>
      <c r="AC25" s="31">
        <v>95.019216628717103</v>
      </c>
      <c r="AD25" s="30">
        <v>8.9197574075986497E-2</v>
      </c>
      <c r="AE25" s="31">
        <v>95.072578008015498</v>
      </c>
      <c r="AF25" s="30">
        <v>2.2841799411567099E-2</v>
      </c>
      <c r="AG25" s="31">
        <v>99.539043864484498</v>
      </c>
      <c r="AH25" s="30">
        <v>2.1678543313283099E-2</v>
      </c>
      <c r="AI25" s="31">
        <v>70.851696161308794</v>
      </c>
      <c r="AJ25" s="30">
        <v>5.7251725943037197E-3</v>
      </c>
      <c r="AK25" s="31">
        <v>96.17272391457</v>
      </c>
      <c r="AL25" s="30">
        <v>6.1654995630402699E-2</v>
      </c>
      <c r="AM25" s="31">
        <v>99.999131439227895</v>
      </c>
      <c r="AN25" s="30">
        <v>7.5420729793184593E-2</v>
      </c>
      <c r="AO25" s="31">
        <v>113.53321856465099</v>
      </c>
      <c r="AP25" s="30">
        <v>-5.8960932083363896E-3</v>
      </c>
      <c r="AQ25" s="31">
        <v>116.92613994883899</v>
      </c>
      <c r="AR25" s="30">
        <v>-8.1396073614238302E-3</v>
      </c>
      <c r="AS25" s="31">
        <v>78.994849920800803</v>
      </c>
      <c r="AT25" s="30">
        <v>6.1900925063382902E-3</v>
      </c>
      <c r="AU25" s="31">
        <v>76.208280885053597</v>
      </c>
      <c r="AV25" s="30">
        <v>2.61308666389823E-2</v>
      </c>
      <c r="AW25" s="31">
        <v>71.427987990597302</v>
      </c>
      <c r="AX25" s="30">
        <v>2.9571783037096101E-2</v>
      </c>
      <c r="AY25" s="31">
        <v>86.647897657214102</v>
      </c>
      <c r="AZ25" s="30">
        <v>1.57775806690552E-2</v>
      </c>
      <c r="BA25" s="31">
        <v>96.535152488935907</v>
      </c>
      <c r="BB25" s="30">
        <v>2.16279082630959E-2</v>
      </c>
      <c r="BC25" s="31">
        <v>103.27845233888</v>
      </c>
      <c r="BD25" s="30">
        <v>-4.4541517375027402E-3</v>
      </c>
      <c r="BE25" s="31"/>
      <c r="BF25" s="30"/>
    </row>
    <row r="26" spans="1:58" x14ac:dyDescent="0.2">
      <c r="A26" s="28">
        <v>1983</v>
      </c>
      <c r="B26" s="28">
        <v>3</v>
      </c>
      <c r="C26" s="31">
        <v>65.845568372234595</v>
      </c>
      <c r="D26" s="30">
        <v>1.3457744126928101E-2</v>
      </c>
      <c r="E26" s="31">
        <v>67.326857591620893</v>
      </c>
      <c r="F26" s="30">
        <v>1.2609208580990299E-2</v>
      </c>
      <c r="G26" s="31">
        <v>66.318618445743795</v>
      </c>
      <c r="H26" s="30">
        <v>2.4948723658200701E-2</v>
      </c>
      <c r="I26" s="31">
        <v>68.985858467357801</v>
      </c>
      <c r="J26" s="30">
        <v>2.4538730052807701E-2</v>
      </c>
      <c r="K26" s="31">
        <v>54.935936780817997</v>
      </c>
      <c r="L26" s="30">
        <v>2.7439485815297499E-2</v>
      </c>
      <c r="M26" s="31">
        <v>69.157457340870906</v>
      </c>
      <c r="N26" s="30">
        <v>-1.23837811858548E-2</v>
      </c>
      <c r="O26" s="31">
        <v>86.761982223559002</v>
      </c>
      <c r="P26" s="30">
        <v>1.6133332210538798E-2</v>
      </c>
      <c r="Q26" s="31">
        <v>70.794666558381294</v>
      </c>
      <c r="R26" s="30">
        <v>1.57922126066579E-3</v>
      </c>
      <c r="S26" s="31">
        <v>96.310996287271706</v>
      </c>
      <c r="T26" s="30">
        <v>2.91943552912786E-2</v>
      </c>
      <c r="U26" s="31"/>
      <c r="V26" s="30"/>
      <c r="W26" s="31"/>
      <c r="X26" s="30"/>
      <c r="Y26" s="31"/>
      <c r="Z26" s="30"/>
      <c r="AA26" s="31">
        <v>85.874403558388494</v>
      </c>
      <c r="AB26" s="30">
        <v>-3.64688048594031E-3</v>
      </c>
      <c r="AC26" s="31">
        <v>92.9440182842648</v>
      </c>
      <c r="AD26" s="30">
        <v>4.3275809492118204E-3</v>
      </c>
      <c r="AE26" s="31">
        <v>92.531322394453895</v>
      </c>
      <c r="AF26" s="30">
        <v>-1.5518916818483299E-2</v>
      </c>
      <c r="AG26" s="31">
        <v>96.505990393863101</v>
      </c>
      <c r="AH26" s="30">
        <v>-1.03329829881073E-2</v>
      </c>
      <c r="AI26" s="31">
        <v>70.672735016504006</v>
      </c>
      <c r="AJ26" s="30">
        <v>-7.2745690949509402E-3</v>
      </c>
      <c r="AK26" s="31">
        <v>95.342923371282197</v>
      </c>
      <c r="AL26" s="30">
        <v>-4.8502909864774901E-3</v>
      </c>
      <c r="AM26" s="31">
        <v>99.298098554635402</v>
      </c>
      <c r="AN26" s="30">
        <v>-1.88479200220371E-3</v>
      </c>
      <c r="AO26" s="31">
        <v>112.431406160195</v>
      </c>
      <c r="AP26" s="30">
        <v>-2.5239800829191101E-2</v>
      </c>
      <c r="AQ26" s="31">
        <v>115.68348902958201</v>
      </c>
      <c r="AR26" s="30">
        <v>-3.3267066660753498E-2</v>
      </c>
      <c r="AS26" s="31">
        <v>77.952703515718099</v>
      </c>
      <c r="AT26" s="30">
        <v>-1.17231483588869E-2</v>
      </c>
      <c r="AU26" s="31">
        <v>76.074290206190199</v>
      </c>
      <c r="AV26" s="30">
        <v>1.37865110961679E-2</v>
      </c>
      <c r="AW26" s="31">
        <v>71.754466021876098</v>
      </c>
      <c r="AX26" s="30">
        <v>2.2261995073629099E-2</v>
      </c>
      <c r="AY26" s="31">
        <v>84.936798354679397</v>
      </c>
      <c r="AZ26" s="30">
        <v>-1.03568605861323E-2</v>
      </c>
      <c r="BA26" s="31">
        <v>93.641538011818398</v>
      </c>
      <c r="BB26" s="30">
        <v>-1.0052701265518601E-2</v>
      </c>
      <c r="BC26" s="31">
        <v>102.139545108761</v>
      </c>
      <c r="BD26" s="30">
        <v>-2.7311170991768201E-2</v>
      </c>
      <c r="BE26" s="31"/>
      <c r="BF26" s="30"/>
    </row>
    <row r="27" spans="1:58" x14ac:dyDescent="0.2">
      <c r="A27" s="28">
        <v>1983</v>
      </c>
      <c r="B27" s="28">
        <v>4</v>
      </c>
      <c r="C27" s="31">
        <v>66.241148734578999</v>
      </c>
      <c r="D27" s="30">
        <v>1.6335195299342201E-2</v>
      </c>
      <c r="E27" s="31">
        <v>67.260004159798996</v>
      </c>
      <c r="F27" s="30">
        <v>4.5487400088886102E-3</v>
      </c>
      <c r="G27" s="31">
        <v>66.795988900294404</v>
      </c>
      <c r="H27" s="30">
        <v>2.5530451096123001E-2</v>
      </c>
      <c r="I27" s="31">
        <v>69.461971141396106</v>
      </c>
      <c r="J27" s="30">
        <v>2.5009228368855201E-2</v>
      </c>
      <c r="K27" s="31">
        <v>55.427688114230897</v>
      </c>
      <c r="L27" s="30">
        <v>2.8362947234921599E-2</v>
      </c>
      <c r="M27" s="31">
        <v>68.110119351693498</v>
      </c>
      <c r="N27" s="30">
        <v>-3.5003094247328601E-2</v>
      </c>
      <c r="O27" s="31">
        <v>87.282501293256402</v>
      </c>
      <c r="P27" s="30">
        <v>1.63100786980079E-2</v>
      </c>
      <c r="Q27" s="31">
        <v>70.883619608474206</v>
      </c>
      <c r="R27" s="30">
        <v>3.7180251194530701E-3</v>
      </c>
      <c r="S27" s="31">
        <v>96.738446255213901</v>
      </c>
      <c r="T27" s="30">
        <v>2.4717331663628401E-2</v>
      </c>
      <c r="U27" s="31"/>
      <c r="V27" s="30"/>
      <c r="W27" s="31"/>
      <c r="X27" s="30"/>
      <c r="Y27" s="31"/>
      <c r="Z27" s="30"/>
      <c r="AA27" s="31">
        <v>86.676170247340494</v>
      </c>
      <c r="AB27" s="30">
        <v>-1.06509691052088E-2</v>
      </c>
      <c r="AC27" s="31">
        <v>93.687574972586503</v>
      </c>
      <c r="AD27" s="30">
        <v>-1.0429661195054601E-2</v>
      </c>
      <c r="AE27" s="31">
        <v>95.411240878048304</v>
      </c>
      <c r="AF27" s="30">
        <v>2.9794820788562298E-2</v>
      </c>
      <c r="AG27" s="31">
        <v>99.659056179020894</v>
      </c>
      <c r="AH27" s="30">
        <v>1.5941238022648501E-2</v>
      </c>
      <c r="AI27" s="31">
        <v>71.212233698467301</v>
      </c>
      <c r="AJ27" s="30">
        <v>-1.8766033252141101E-2</v>
      </c>
      <c r="AK27" s="31">
        <v>94.657475368073406</v>
      </c>
      <c r="AL27" s="30">
        <v>-3.4767911702848299E-2</v>
      </c>
      <c r="AM27" s="31">
        <v>98.150074000422293</v>
      </c>
      <c r="AN27" s="30">
        <v>-3.9362897474473302E-2</v>
      </c>
      <c r="AO27" s="31">
        <v>113.251129828377</v>
      </c>
      <c r="AP27" s="30">
        <v>-1.42038118803622E-2</v>
      </c>
      <c r="AQ27" s="31">
        <v>116.781465313491</v>
      </c>
      <c r="AR27" s="30">
        <v>-2.7224529307699901E-2</v>
      </c>
      <c r="AS27" s="31">
        <v>78.605885476560502</v>
      </c>
      <c r="AT27" s="30">
        <v>-1.51888091622394E-2</v>
      </c>
      <c r="AU27" s="31">
        <v>76.945321844466505</v>
      </c>
      <c r="AV27" s="30">
        <v>1.7989796520721E-2</v>
      </c>
      <c r="AW27" s="31">
        <v>72.281683192529101</v>
      </c>
      <c r="AX27" s="30">
        <v>2.2510236169518201E-2</v>
      </c>
      <c r="AY27" s="31">
        <v>86.929938558693294</v>
      </c>
      <c r="AZ27" s="30">
        <v>5.1049080513758697E-3</v>
      </c>
      <c r="BA27" s="31">
        <v>96.659996703517393</v>
      </c>
      <c r="BB27" s="30">
        <v>1.5841205146162499E-2</v>
      </c>
      <c r="BC27" s="31">
        <v>103.04661333311</v>
      </c>
      <c r="BD27" s="30">
        <v>-2.4157933798480701E-2</v>
      </c>
      <c r="BE27" s="31"/>
      <c r="BF27" s="30"/>
    </row>
    <row r="28" spans="1:58" x14ac:dyDescent="0.2">
      <c r="A28" s="28">
        <v>1984</v>
      </c>
      <c r="B28" s="28">
        <v>1</v>
      </c>
      <c r="C28" s="31">
        <v>67.748284450912493</v>
      </c>
      <c r="D28" s="30">
        <v>3.3031737392356798E-2</v>
      </c>
      <c r="E28" s="31">
        <v>68.909638580548403</v>
      </c>
      <c r="F28" s="30">
        <v>2.4609159880703699E-2</v>
      </c>
      <c r="G28" s="31">
        <v>67.535305570579695</v>
      </c>
      <c r="H28" s="30">
        <v>3.1717926222460099E-2</v>
      </c>
      <c r="I28" s="31">
        <v>70.236773088324995</v>
      </c>
      <c r="J28" s="30">
        <v>3.1405685780736103E-2</v>
      </c>
      <c r="K28" s="31">
        <v>56.011535328762797</v>
      </c>
      <c r="L28" s="30">
        <v>3.3516179200422401E-2</v>
      </c>
      <c r="M28" s="31">
        <v>71.626595396783301</v>
      </c>
      <c r="N28" s="30">
        <v>1.09114220765865E-2</v>
      </c>
      <c r="O28" s="31">
        <v>87.511959583065504</v>
      </c>
      <c r="P28" s="30">
        <v>1.50099363853424E-2</v>
      </c>
      <c r="Q28" s="31">
        <v>71.05462454693</v>
      </c>
      <c r="R28" s="30">
        <v>4.6070620160454396E-3</v>
      </c>
      <c r="S28" s="31">
        <v>97.279352777603805</v>
      </c>
      <c r="T28" s="30">
        <v>2.3101334680135199E-2</v>
      </c>
      <c r="U28" s="31"/>
      <c r="V28" s="30"/>
      <c r="W28" s="31"/>
      <c r="X28" s="30"/>
      <c r="Y28" s="31"/>
      <c r="Z28" s="30"/>
      <c r="AA28" s="31">
        <v>87.428953781131597</v>
      </c>
      <c r="AB28" s="30">
        <v>1.78416943361095E-2</v>
      </c>
      <c r="AC28" s="31">
        <v>94.549239311094794</v>
      </c>
      <c r="AD28" s="30">
        <v>2.15432494419685E-2</v>
      </c>
      <c r="AE28" s="31">
        <v>96.640083605943502</v>
      </c>
      <c r="AF28" s="30">
        <v>5.7256479301002E-2</v>
      </c>
      <c r="AG28" s="31">
        <v>101.022949086078</v>
      </c>
      <c r="AH28" s="30">
        <v>5.72760811011108E-2</v>
      </c>
      <c r="AI28" s="31">
        <v>71.927854402661296</v>
      </c>
      <c r="AJ28" s="30">
        <v>9.1416638603283307E-3</v>
      </c>
      <c r="AK28" s="31">
        <v>95.883126719359097</v>
      </c>
      <c r="AL28" s="30">
        <v>-1.1882983625868301E-3</v>
      </c>
      <c r="AM28" s="31">
        <v>99.704658691186907</v>
      </c>
      <c r="AN28" s="30">
        <v>-4.5209902820134698E-3</v>
      </c>
      <c r="AO28" s="31">
        <v>114.762586984425</v>
      </c>
      <c r="AP28" s="30">
        <v>1.8494612858162202E-2</v>
      </c>
      <c r="AQ28" s="31">
        <v>119.328348120607</v>
      </c>
      <c r="AR28" s="30">
        <v>2.60297030522809E-2</v>
      </c>
      <c r="AS28" s="31">
        <v>78.737132996461497</v>
      </c>
      <c r="AT28" s="30">
        <v>1.40542549364808E-2</v>
      </c>
      <c r="AU28" s="31">
        <v>77.648908447839403</v>
      </c>
      <c r="AV28" s="30">
        <v>2.97534549998788E-2</v>
      </c>
      <c r="AW28" s="31">
        <v>72.868652649130297</v>
      </c>
      <c r="AX28" s="30">
        <v>2.65247346745381E-2</v>
      </c>
      <c r="AY28" s="31">
        <v>87.958653222383901</v>
      </c>
      <c r="AZ28" s="30">
        <v>3.8915057521722501E-2</v>
      </c>
      <c r="BA28" s="31">
        <v>97.971083567430895</v>
      </c>
      <c r="BB28" s="30">
        <v>5.66214978993154E-2</v>
      </c>
      <c r="BC28" s="31">
        <v>104.768942630222</v>
      </c>
      <c r="BD28" s="30">
        <v>2.30507926990717E-2</v>
      </c>
      <c r="BE28" s="31"/>
      <c r="BF28" s="30"/>
    </row>
    <row r="29" spans="1:58" x14ac:dyDescent="0.2">
      <c r="A29" s="28">
        <v>1984</v>
      </c>
      <c r="B29" s="28">
        <v>2</v>
      </c>
      <c r="C29" s="31">
        <v>68.293994716316007</v>
      </c>
      <c r="D29" s="30">
        <v>4.1028800692902698E-2</v>
      </c>
      <c r="E29" s="31">
        <v>69.728839289933802</v>
      </c>
      <c r="F29" s="30">
        <v>4.2905846245881098E-2</v>
      </c>
      <c r="G29" s="31">
        <v>68.103363931816105</v>
      </c>
      <c r="H29" s="30">
        <v>3.2471849766108299E-2</v>
      </c>
      <c r="I29" s="31">
        <v>70.841302882172499</v>
      </c>
      <c r="J29" s="30">
        <v>3.2100254554887901E-2</v>
      </c>
      <c r="K29" s="31">
        <v>56.419457264728003</v>
      </c>
      <c r="L29" s="30">
        <v>3.45720286660978E-2</v>
      </c>
      <c r="M29" s="31">
        <v>73.045711479115695</v>
      </c>
      <c r="N29" s="30">
        <v>6.5810240448899604E-2</v>
      </c>
      <c r="O29" s="31">
        <v>87.808033261647907</v>
      </c>
      <c r="P29" s="30">
        <v>1.46458874175153E-2</v>
      </c>
      <c r="Q29" s="31">
        <v>70.990828433220003</v>
      </c>
      <c r="R29" s="30">
        <v>2.88205044379364E-3</v>
      </c>
      <c r="S29" s="31">
        <v>98.013541392911094</v>
      </c>
      <c r="T29" s="30">
        <v>2.3583486515050201E-2</v>
      </c>
      <c r="U29" s="31"/>
      <c r="V29" s="30"/>
      <c r="W29" s="31"/>
      <c r="X29" s="30"/>
      <c r="Y29" s="31"/>
      <c r="Z29" s="30"/>
      <c r="AA29" s="31">
        <v>87.594991126939703</v>
      </c>
      <c r="AB29" s="30">
        <v>2.8450501258638901E-3</v>
      </c>
      <c r="AC29" s="31">
        <v>94.602133193114796</v>
      </c>
      <c r="AD29" s="30">
        <v>-4.3894640515936799E-3</v>
      </c>
      <c r="AE29" s="31">
        <v>96.505910621872502</v>
      </c>
      <c r="AF29" s="30">
        <v>1.50761938288473E-2</v>
      </c>
      <c r="AG29" s="31">
        <v>101.029167006115</v>
      </c>
      <c r="AH29" s="30">
        <v>1.49702376452341E-2</v>
      </c>
      <c r="AI29" s="31">
        <v>72.338675414579896</v>
      </c>
      <c r="AJ29" s="30">
        <v>2.0987207559373298E-2</v>
      </c>
      <c r="AK29" s="31">
        <v>96.742288222786698</v>
      </c>
      <c r="AL29" s="30">
        <v>5.9223060867306101E-3</v>
      </c>
      <c r="AM29" s="31">
        <v>99.920640828501504</v>
      </c>
      <c r="AN29" s="30">
        <v>-7.8491292470905805E-4</v>
      </c>
      <c r="AO29" s="31">
        <v>114.535534499999</v>
      </c>
      <c r="AP29" s="30">
        <v>8.8283935575863594E-3</v>
      </c>
      <c r="AQ29" s="31">
        <v>119.54014943657501</v>
      </c>
      <c r="AR29" s="30">
        <v>2.23560744319438E-2</v>
      </c>
      <c r="AS29" s="31">
        <v>81.696346646775794</v>
      </c>
      <c r="AT29" s="30">
        <v>3.4198390511324797E-2</v>
      </c>
      <c r="AU29" s="31">
        <v>78.072051492965599</v>
      </c>
      <c r="AV29" s="30">
        <v>2.4456274124896999E-2</v>
      </c>
      <c r="AW29" s="31">
        <v>73.355393539762602</v>
      </c>
      <c r="AX29" s="30">
        <v>2.6983898096347301E-2</v>
      </c>
      <c r="AY29" s="31">
        <v>88.139653201536504</v>
      </c>
      <c r="AZ29" s="30">
        <v>1.72162924278196E-2</v>
      </c>
      <c r="BA29" s="31">
        <v>97.987091046896396</v>
      </c>
      <c r="BB29" s="30">
        <v>1.5040516542685E-2</v>
      </c>
      <c r="BC29" s="31">
        <v>105.906802869049</v>
      </c>
      <c r="BD29" s="30">
        <v>2.5449166507105301E-2</v>
      </c>
      <c r="BE29" s="31"/>
      <c r="BF29" s="30"/>
    </row>
    <row r="30" spans="1:58" x14ac:dyDescent="0.2">
      <c r="A30" s="28">
        <v>1984</v>
      </c>
      <c r="B30" s="28">
        <v>3</v>
      </c>
      <c r="C30" s="31">
        <v>68.429401464839998</v>
      </c>
      <c r="D30" s="30">
        <v>3.9240804756951901E-2</v>
      </c>
      <c r="E30" s="31">
        <v>70.298416623069102</v>
      </c>
      <c r="F30" s="30">
        <v>4.4136309605782298E-2</v>
      </c>
      <c r="G30" s="31">
        <v>68.3518104642678</v>
      </c>
      <c r="H30" s="30">
        <v>3.0657936883703201E-2</v>
      </c>
      <c r="I30" s="31">
        <v>71.093411648357701</v>
      </c>
      <c r="J30" s="30">
        <v>3.05505103194035E-2</v>
      </c>
      <c r="K30" s="31">
        <v>56.653484512733797</v>
      </c>
      <c r="L30" s="30">
        <v>3.1264557092535401E-2</v>
      </c>
      <c r="M30" s="31">
        <v>74.392737280111405</v>
      </c>
      <c r="N30" s="30">
        <v>7.5700873637332106E-2</v>
      </c>
      <c r="O30" s="31">
        <v>88.110575727520796</v>
      </c>
      <c r="P30" s="30">
        <v>1.55435995052173E-2</v>
      </c>
      <c r="Q30" s="31">
        <v>70.692403637634499</v>
      </c>
      <c r="R30" s="30">
        <v>-1.44450035176635E-3</v>
      </c>
      <c r="S30" s="31">
        <v>99.038052745902306</v>
      </c>
      <c r="T30" s="30">
        <v>2.8315110047211E-2</v>
      </c>
      <c r="U30" s="31"/>
      <c r="V30" s="30"/>
      <c r="W30" s="31"/>
      <c r="X30" s="30"/>
      <c r="Y30" s="31"/>
      <c r="Z30" s="30"/>
      <c r="AA30" s="31">
        <v>87.378566437180098</v>
      </c>
      <c r="AB30" s="30">
        <v>1.7515846590641301E-2</v>
      </c>
      <c r="AC30" s="31">
        <v>94.138619953134196</v>
      </c>
      <c r="AD30" s="30">
        <v>1.28529160985469E-2</v>
      </c>
      <c r="AE30" s="31">
        <v>97.081039517586404</v>
      </c>
      <c r="AF30" s="30">
        <v>4.9169481267514699E-2</v>
      </c>
      <c r="AG30" s="31">
        <v>101.650670961552</v>
      </c>
      <c r="AH30" s="30">
        <v>5.3309442726742401E-2</v>
      </c>
      <c r="AI30" s="31">
        <v>72.572559431144299</v>
      </c>
      <c r="AJ30" s="30">
        <v>2.6881999319774599E-2</v>
      </c>
      <c r="AK30" s="31">
        <v>97.737375795192506</v>
      </c>
      <c r="AL30" s="30">
        <v>2.5114107468531498E-2</v>
      </c>
      <c r="AM30" s="31">
        <v>100.838058942252</v>
      </c>
      <c r="AN30" s="30">
        <v>1.5508457966789501E-2</v>
      </c>
      <c r="AO30" s="31">
        <v>116.924614967971</v>
      </c>
      <c r="AP30" s="30">
        <v>3.9964000818188503E-2</v>
      </c>
      <c r="AQ30" s="31">
        <v>122.19488194361401</v>
      </c>
      <c r="AR30" s="30">
        <v>5.6286277053483998E-2</v>
      </c>
      <c r="AS30" s="31">
        <v>82.864098311139401</v>
      </c>
      <c r="AT30" s="30">
        <v>6.3004803860727196E-2</v>
      </c>
      <c r="AU30" s="31">
        <v>78.378821980112903</v>
      </c>
      <c r="AV30" s="30">
        <v>3.0293174838392299E-2</v>
      </c>
      <c r="AW30" s="31">
        <v>73.6194318533733</v>
      </c>
      <c r="AX30" s="30">
        <v>2.5990937357524901E-2</v>
      </c>
      <c r="AY30" s="31">
        <v>88.559970861190493</v>
      </c>
      <c r="AZ30" s="30">
        <v>4.2657276665662297E-2</v>
      </c>
      <c r="BA30" s="31">
        <v>98.594450278217494</v>
      </c>
      <c r="BB30" s="30">
        <v>5.2892256701017E-2</v>
      </c>
      <c r="BC30" s="31">
        <v>108.04813120603799</v>
      </c>
      <c r="BD30" s="30">
        <v>5.7848173212295302E-2</v>
      </c>
      <c r="BE30" s="31"/>
      <c r="BF30" s="30"/>
    </row>
    <row r="31" spans="1:58" x14ac:dyDescent="0.2">
      <c r="A31" s="28">
        <v>1984</v>
      </c>
      <c r="B31" s="28">
        <v>4</v>
      </c>
      <c r="C31" s="31">
        <v>68.6864098769789</v>
      </c>
      <c r="D31" s="30">
        <v>3.6914534079078902E-2</v>
      </c>
      <c r="E31" s="31">
        <v>70.543076096966104</v>
      </c>
      <c r="F31" s="30">
        <v>4.8811652306279998E-2</v>
      </c>
      <c r="G31" s="31">
        <v>68.757492940826495</v>
      </c>
      <c r="H31" s="30">
        <v>2.9365596240516399E-2</v>
      </c>
      <c r="I31" s="31">
        <v>71.537416357091601</v>
      </c>
      <c r="J31" s="30">
        <v>2.9878870144221199E-2</v>
      </c>
      <c r="K31" s="31">
        <v>56.889253355705598</v>
      </c>
      <c r="L31" s="30">
        <v>2.6368865294590399E-2</v>
      </c>
      <c r="M31" s="31">
        <v>74.150040573720503</v>
      </c>
      <c r="N31" s="30">
        <v>8.8678764323393902E-2</v>
      </c>
      <c r="O31" s="31">
        <v>89.243153870284104</v>
      </c>
      <c r="P31" s="30">
        <v>2.24632950245118E-2</v>
      </c>
      <c r="Q31" s="31">
        <v>71.022460729073302</v>
      </c>
      <c r="R31" s="30">
        <v>1.9587193961876398E-3</v>
      </c>
      <c r="S31" s="31">
        <v>100.384086518074</v>
      </c>
      <c r="T31" s="30">
        <v>3.7685536660799303E-2</v>
      </c>
      <c r="U31" s="31"/>
      <c r="V31" s="30"/>
      <c r="W31" s="31"/>
      <c r="X31" s="30"/>
      <c r="Y31" s="31"/>
      <c r="Z31" s="30"/>
      <c r="AA31" s="31">
        <v>88.127134230832795</v>
      </c>
      <c r="AB31" s="30">
        <v>1.67400564578686E-2</v>
      </c>
      <c r="AC31" s="31">
        <v>95.235308641070205</v>
      </c>
      <c r="AD31" s="30">
        <v>1.65201593587689E-2</v>
      </c>
      <c r="AE31" s="31">
        <v>99.457921353780193</v>
      </c>
      <c r="AF31" s="30">
        <v>4.2413036854894101E-2</v>
      </c>
      <c r="AG31" s="31">
        <v>104.377245659983</v>
      </c>
      <c r="AH31" s="30">
        <v>4.7343308895951002E-2</v>
      </c>
      <c r="AI31" s="31">
        <v>72.678047074573499</v>
      </c>
      <c r="AJ31" s="30">
        <v>2.05837297888007E-2</v>
      </c>
      <c r="AK31" s="31">
        <v>98.649156415982404</v>
      </c>
      <c r="AL31" s="30">
        <v>4.2169739182113898E-2</v>
      </c>
      <c r="AM31" s="31">
        <v>101.76075007003701</v>
      </c>
      <c r="AN31" s="30">
        <v>3.6787298495562802E-2</v>
      </c>
      <c r="AO31" s="31">
        <v>118.646630009454</v>
      </c>
      <c r="AP31" s="30">
        <v>4.7641910409669502E-2</v>
      </c>
      <c r="AQ31" s="31">
        <v>123.84467753696001</v>
      </c>
      <c r="AR31" s="30">
        <v>6.0482305171532399E-2</v>
      </c>
      <c r="AS31" s="31">
        <v>83.769174556637296</v>
      </c>
      <c r="AT31" s="30">
        <v>6.5685782289374398E-2</v>
      </c>
      <c r="AU31" s="31">
        <v>79.254765987004603</v>
      </c>
      <c r="AV31" s="30">
        <v>3.001409425782E-2</v>
      </c>
      <c r="AW31" s="31">
        <v>74.237940719029595</v>
      </c>
      <c r="AX31" s="30">
        <v>2.7064360431255499E-2</v>
      </c>
      <c r="AY31" s="31">
        <v>90.223042738117798</v>
      </c>
      <c r="AZ31" s="30">
        <v>3.7882278925126703E-2</v>
      </c>
      <c r="BA31" s="31">
        <v>101.211785107583</v>
      </c>
      <c r="BB31" s="30">
        <v>4.7090715490367301E-2</v>
      </c>
      <c r="BC31" s="31">
        <v>109.419660764589</v>
      </c>
      <c r="BD31" s="30">
        <v>6.1846257973347397E-2</v>
      </c>
      <c r="BE31" s="31"/>
      <c r="BF31" s="30"/>
    </row>
    <row r="32" spans="1:58" x14ac:dyDescent="0.2">
      <c r="A32" s="28">
        <v>1985</v>
      </c>
      <c r="B32" s="28">
        <v>1</v>
      </c>
      <c r="C32" s="31">
        <v>69.4121438219005</v>
      </c>
      <c r="D32" s="30">
        <v>2.4559431791863401E-2</v>
      </c>
      <c r="E32" s="31">
        <v>71.981775458127302</v>
      </c>
      <c r="F32" s="30">
        <v>4.4582106957183003E-2</v>
      </c>
      <c r="G32" s="31">
        <v>69.474005350436201</v>
      </c>
      <c r="H32" s="30">
        <v>2.8706463433861198E-2</v>
      </c>
      <c r="I32" s="31">
        <v>72.361275461666906</v>
      </c>
      <c r="J32" s="30">
        <v>3.0247721811910599E-2</v>
      </c>
      <c r="K32" s="31">
        <v>57.135166293254599</v>
      </c>
      <c r="L32" s="30">
        <v>2.0060706386578801E-2</v>
      </c>
      <c r="M32" s="31">
        <v>77.515395912085296</v>
      </c>
      <c r="N32" s="30">
        <v>8.2215278873444694E-2</v>
      </c>
      <c r="O32" s="31">
        <v>90.588210297171102</v>
      </c>
      <c r="P32" s="30">
        <v>3.5152346362278299E-2</v>
      </c>
      <c r="Q32" s="31">
        <v>71.9807662521835</v>
      </c>
      <c r="R32" s="30">
        <v>1.3034221363618301E-2</v>
      </c>
      <c r="S32" s="31">
        <v>102.294621386781</v>
      </c>
      <c r="T32" s="30">
        <v>5.15553245984555E-2</v>
      </c>
      <c r="U32" s="31"/>
      <c r="V32" s="30"/>
      <c r="W32" s="31"/>
      <c r="X32" s="30"/>
      <c r="Y32" s="31"/>
      <c r="Z32" s="30"/>
      <c r="AA32" s="31">
        <v>88.752757362425697</v>
      </c>
      <c r="AB32" s="30">
        <v>1.51414780120565E-2</v>
      </c>
      <c r="AC32" s="31">
        <v>95.808785023771506</v>
      </c>
      <c r="AD32" s="30">
        <v>1.33215848361552E-2</v>
      </c>
      <c r="AE32" s="31">
        <v>100.033773270851</v>
      </c>
      <c r="AF32" s="30">
        <v>3.5116791483179803E-2</v>
      </c>
      <c r="AG32" s="31">
        <v>105.21456434449399</v>
      </c>
      <c r="AH32" s="30">
        <v>4.1491713480310298E-2</v>
      </c>
      <c r="AI32" s="31">
        <v>73.374625245664902</v>
      </c>
      <c r="AJ32" s="30">
        <v>2.0114194355144201E-2</v>
      </c>
      <c r="AK32" s="31">
        <v>101.32583139476</v>
      </c>
      <c r="AL32" s="30">
        <v>5.6763946500528503E-2</v>
      </c>
      <c r="AM32" s="31">
        <v>104.761275786814</v>
      </c>
      <c r="AN32" s="30">
        <v>5.07159561248696E-2</v>
      </c>
      <c r="AO32" s="31">
        <v>123.198867823282</v>
      </c>
      <c r="AP32" s="30">
        <v>7.3510723838954295E-2</v>
      </c>
      <c r="AQ32" s="31">
        <v>129.15779976814801</v>
      </c>
      <c r="AR32" s="30">
        <v>8.2373147725185905E-2</v>
      </c>
      <c r="AS32" s="31">
        <v>85.197378243458402</v>
      </c>
      <c r="AT32" s="30">
        <v>8.2048266188295693E-2</v>
      </c>
      <c r="AU32" s="31">
        <v>80.087201006162402</v>
      </c>
      <c r="AV32" s="30">
        <v>3.1401504632366101E-2</v>
      </c>
      <c r="AW32" s="31">
        <v>75.102701995021803</v>
      </c>
      <c r="AX32" s="30">
        <v>3.0658579027782899E-2</v>
      </c>
      <c r="AY32" s="31">
        <v>90.894789845562201</v>
      </c>
      <c r="AZ32" s="30">
        <v>3.3380872894391803E-2</v>
      </c>
      <c r="BA32" s="31">
        <v>102.032316425365</v>
      </c>
      <c r="BB32" s="30">
        <v>4.1453383080522203E-2</v>
      </c>
      <c r="BC32" s="31">
        <v>113.385164959888</v>
      </c>
      <c r="BD32" s="30">
        <v>8.2240233731058807E-2</v>
      </c>
      <c r="BE32" s="31"/>
      <c r="BF32" s="30"/>
    </row>
    <row r="33" spans="1:58" x14ac:dyDescent="0.2">
      <c r="A33" s="28">
        <v>1985</v>
      </c>
      <c r="B33" s="28">
        <v>2</v>
      </c>
      <c r="C33" s="31">
        <v>69.780918233967199</v>
      </c>
      <c r="D33" s="30">
        <v>2.17723904397111E-2</v>
      </c>
      <c r="E33" s="31">
        <v>72.556034175182106</v>
      </c>
      <c r="F33" s="30">
        <v>4.0545560689642497E-2</v>
      </c>
      <c r="G33" s="31">
        <v>69.866543961226</v>
      </c>
      <c r="H33" s="30">
        <v>2.58897641410951E-2</v>
      </c>
      <c r="I33" s="31">
        <v>72.786356797202899</v>
      </c>
      <c r="J33" s="30">
        <v>2.7456495517389299E-2</v>
      </c>
      <c r="K33" s="31">
        <v>57.392507077925202</v>
      </c>
      <c r="L33" s="30">
        <v>1.7246706373502899E-2</v>
      </c>
      <c r="M33" s="31">
        <v>78.320741780570302</v>
      </c>
      <c r="N33" s="30">
        <v>7.2215468843270805E-2</v>
      </c>
      <c r="O33" s="31">
        <v>91.379120319580394</v>
      </c>
      <c r="P33" s="30">
        <v>4.0669252291432902E-2</v>
      </c>
      <c r="Q33" s="31">
        <v>72.426710503645396</v>
      </c>
      <c r="R33" s="30">
        <v>2.02263039059494E-2</v>
      </c>
      <c r="S33" s="31">
        <v>103.472678341267</v>
      </c>
      <c r="T33" s="30">
        <v>5.5697782885649097E-2</v>
      </c>
      <c r="U33" s="31"/>
      <c r="V33" s="30"/>
      <c r="W33" s="31"/>
      <c r="X33" s="30"/>
      <c r="Y33" s="31"/>
      <c r="Z33" s="30"/>
      <c r="AA33" s="31">
        <v>88.483412732002094</v>
      </c>
      <c r="AB33" s="30">
        <v>1.01423790747908E-2</v>
      </c>
      <c r="AC33" s="31">
        <v>95.273819008691405</v>
      </c>
      <c r="AD33" s="30">
        <v>7.1001127871559398E-3</v>
      </c>
      <c r="AE33" s="31">
        <v>99.432695509704303</v>
      </c>
      <c r="AF33" s="30">
        <v>3.0327519516389501E-2</v>
      </c>
      <c r="AG33" s="31">
        <v>104.811262428052</v>
      </c>
      <c r="AH33" s="30">
        <v>3.7435678567038902E-2</v>
      </c>
      <c r="AI33" s="31">
        <v>73.646581561144203</v>
      </c>
      <c r="AJ33" s="30">
        <v>1.80803164983128E-2</v>
      </c>
      <c r="AK33" s="31">
        <v>101.64620106272299</v>
      </c>
      <c r="AL33" s="30">
        <v>5.0690478073492001E-2</v>
      </c>
      <c r="AM33" s="31">
        <v>104.65482294485599</v>
      </c>
      <c r="AN33" s="30">
        <v>4.7379421079575899E-2</v>
      </c>
      <c r="AO33" s="31">
        <v>123.00719922635101</v>
      </c>
      <c r="AP33" s="30">
        <v>7.3965383436103094E-2</v>
      </c>
      <c r="AQ33" s="31">
        <v>129.12989651575</v>
      </c>
      <c r="AR33" s="30">
        <v>8.0221976669539799E-2</v>
      </c>
      <c r="AS33" s="31">
        <v>86.878491332944506</v>
      </c>
      <c r="AT33" s="30">
        <v>6.3431779986127299E-2</v>
      </c>
      <c r="AU33" s="31">
        <v>80.465613275613293</v>
      </c>
      <c r="AV33" s="30">
        <v>3.0658369248352399E-2</v>
      </c>
      <c r="AW33" s="31">
        <v>75.610053953734806</v>
      </c>
      <c r="AX33" s="30">
        <v>3.07361232102181E-2</v>
      </c>
      <c r="AY33" s="31">
        <v>90.832425190056796</v>
      </c>
      <c r="AZ33" s="30">
        <v>3.05511979082005E-2</v>
      </c>
      <c r="BA33" s="31">
        <v>101.671652139082</v>
      </c>
      <c r="BB33" s="30">
        <v>3.7602515319313599E-2</v>
      </c>
      <c r="BC33" s="31">
        <v>113.938285188093</v>
      </c>
      <c r="BD33" s="30">
        <v>7.5835376967940696E-2</v>
      </c>
      <c r="BE33" s="31"/>
      <c r="BF33" s="30"/>
    </row>
    <row r="34" spans="1:58" x14ac:dyDescent="0.2">
      <c r="A34" s="28">
        <v>1985</v>
      </c>
      <c r="B34" s="28">
        <v>3</v>
      </c>
      <c r="C34" s="31">
        <v>70.000065020066799</v>
      </c>
      <c r="D34" s="30">
        <v>2.2953051197354399E-2</v>
      </c>
      <c r="E34" s="31">
        <v>72.727190319764006</v>
      </c>
      <c r="F34" s="30">
        <v>3.4549479396067499E-2</v>
      </c>
      <c r="G34" s="31">
        <v>69.973405964163106</v>
      </c>
      <c r="H34" s="30">
        <v>2.3724250884956E-2</v>
      </c>
      <c r="I34" s="31">
        <v>72.855413938894003</v>
      </c>
      <c r="J34" s="30">
        <v>2.47843259970628E-2</v>
      </c>
      <c r="K34" s="31">
        <v>57.669419588302802</v>
      </c>
      <c r="L34" s="30">
        <v>1.7932437595090198E-2</v>
      </c>
      <c r="M34" s="31">
        <v>78.702308299667806</v>
      </c>
      <c r="N34" s="30">
        <v>5.7929996624933602E-2</v>
      </c>
      <c r="O34" s="31">
        <v>91.504846890614303</v>
      </c>
      <c r="P34" s="30">
        <v>3.8522857614620598E-2</v>
      </c>
      <c r="Q34" s="31">
        <v>72.359807633362195</v>
      </c>
      <c r="R34" s="30">
        <v>2.3586749211056902E-2</v>
      </c>
      <c r="S34" s="31">
        <v>103.878423972452</v>
      </c>
      <c r="T34" s="30">
        <v>4.8873852951936601E-2</v>
      </c>
      <c r="U34" s="31"/>
      <c r="V34" s="30"/>
      <c r="W34" s="31"/>
      <c r="X34" s="30"/>
      <c r="Y34" s="31"/>
      <c r="Z34" s="30"/>
      <c r="AA34" s="31">
        <v>85.695081479381003</v>
      </c>
      <c r="AB34" s="30">
        <v>-1.9266566464093301E-2</v>
      </c>
      <c r="AC34" s="31">
        <v>90.972310685576204</v>
      </c>
      <c r="AD34" s="30">
        <v>-3.3634540947533799E-2</v>
      </c>
      <c r="AE34" s="31">
        <v>97.318054309334897</v>
      </c>
      <c r="AF34" s="30">
        <v>2.4414117620317199E-3</v>
      </c>
      <c r="AG34" s="31">
        <v>102.576559675293</v>
      </c>
      <c r="AH34" s="30">
        <v>9.1085351919750809E-3</v>
      </c>
      <c r="AI34" s="31">
        <v>73.669347093394606</v>
      </c>
      <c r="AJ34" s="30">
        <v>1.51129803171812E-2</v>
      </c>
      <c r="AK34" s="31">
        <v>98.094579093208694</v>
      </c>
      <c r="AL34" s="30">
        <v>3.6547256882026899E-3</v>
      </c>
      <c r="AM34" s="31">
        <v>100.56217602215</v>
      </c>
      <c r="AN34" s="30">
        <v>-2.7359007402210098E-3</v>
      </c>
      <c r="AO34" s="31">
        <v>120.61255472444</v>
      </c>
      <c r="AP34" s="30">
        <v>3.1541175119360797E-2</v>
      </c>
      <c r="AQ34" s="31">
        <v>126.517042289652</v>
      </c>
      <c r="AR34" s="30">
        <v>3.5371042365195803E-2</v>
      </c>
      <c r="AS34" s="31">
        <v>85.085579994750105</v>
      </c>
      <c r="AT34" s="30">
        <v>2.6808735373785999E-2</v>
      </c>
      <c r="AU34" s="31">
        <v>80.265790135681399</v>
      </c>
      <c r="AV34" s="30">
        <v>2.4074974692108501E-2</v>
      </c>
      <c r="AW34" s="31">
        <v>75.720114824203094</v>
      </c>
      <c r="AX34" s="30">
        <v>2.8534354557553598E-2</v>
      </c>
      <c r="AY34" s="31">
        <v>89.657896131830398</v>
      </c>
      <c r="AZ34" s="30">
        <v>1.2397534235425001E-2</v>
      </c>
      <c r="BA34" s="31">
        <v>99.567540296734407</v>
      </c>
      <c r="BB34" s="30">
        <v>9.8696226387080498E-3</v>
      </c>
      <c r="BC34" s="31">
        <v>111.616671585424</v>
      </c>
      <c r="BD34" s="30">
        <v>3.3027321616341303E-2</v>
      </c>
      <c r="BE34" s="31"/>
      <c r="BF34" s="30"/>
    </row>
    <row r="35" spans="1:58" x14ac:dyDescent="0.2">
      <c r="A35" s="28">
        <v>1985</v>
      </c>
      <c r="B35" s="28">
        <v>4</v>
      </c>
      <c r="C35" s="31">
        <v>70.175537968593204</v>
      </c>
      <c r="D35" s="30">
        <v>2.16800979157501E-2</v>
      </c>
      <c r="E35" s="31">
        <v>72.0993161133852</v>
      </c>
      <c r="F35" s="30">
        <v>2.20608471096428E-2</v>
      </c>
      <c r="G35" s="31">
        <v>70.407071249387002</v>
      </c>
      <c r="H35" s="30">
        <v>2.3991251542288899E-2</v>
      </c>
      <c r="I35" s="31">
        <v>73.266637441121304</v>
      </c>
      <c r="J35" s="30">
        <v>2.4172260784454998E-2</v>
      </c>
      <c r="K35" s="31">
        <v>58.197004835848297</v>
      </c>
      <c r="L35" s="30">
        <v>2.2987671713070802E-2</v>
      </c>
      <c r="M35" s="31">
        <v>75.546980824313295</v>
      </c>
      <c r="N35" s="30">
        <v>1.8839372706801898E-2</v>
      </c>
      <c r="O35" s="31">
        <v>92.025535137233703</v>
      </c>
      <c r="P35" s="30">
        <v>3.1177531791332501E-2</v>
      </c>
      <c r="Q35" s="31">
        <v>72.918250116551903</v>
      </c>
      <c r="R35" s="30">
        <v>2.66928147520877E-2</v>
      </c>
      <c r="S35" s="31">
        <v>103.914386779574</v>
      </c>
      <c r="T35" s="30">
        <v>3.5167927347373097E-2</v>
      </c>
      <c r="U35" s="31"/>
      <c r="V35" s="30"/>
      <c r="W35" s="31"/>
      <c r="X35" s="30"/>
      <c r="Y35" s="31"/>
      <c r="Z35" s="30"/>
      <c r="AA35" s="31">
        <v>84.755364685861906</v>
      </c>
      <c r="AB35" s="30">
        <v>-3.8260288098546202E-2</v>
      </c>
      <c r="AC35" s="31">
        <v>89.957277360955402</v>
      </c>
      <c r="AD35" s="30">
        <v>-5.5420950017677703E-2</v>
      </c>
      <c r="AE35" s="31">
        <v>100.25728634542099</v>
      </c>
      <c r="AF35" s="30">
        <v>8.0372179587144803E-3</v>
      </c>
      <c r="AG35" s="31">
        <v>106.578051091715</v>
      </c>
      <c r="AH35" s="30">
        <v>2.1085107370058899E-2</v>
      </c>
      <c r="AI35" s="31">
        <v>73.557188407978202</v>
      </c>
      <c r="AJ35" s="30">
        <v>1.2096380802618399E-2</v>
      </c>
      <c r="AK35" s="31">
        <v>94.727168439541998</v>
      </c>
      <c r="AL35" s="30">
        <v>-3.9756933753211897E-2</v>
      </c>
      <c r="AM35" s="31">
        <v>96.517733815356195</v>
      </c>
      <c r="AN35" s="30">
        <v>-5.1522971785022E-2</v>
      </c>
      <c r="AO35" s="31">
        <v>118.470301930435</v>
      </c>
      <c r="AP35" s="30">
        <v>-1.48616171403959E-3</v>
      </c>
      <c r="AQ35" s="31">
        <v>124.488486213708</v>
      </c>
      <c r="AR35" s="30">
        <v>5.1985171228363701E-3</v>
      </c>
      <c r="AS35" s="31">
        <v>84.739210014387993</v>
      </c>
      <c r="AT35" s="30">
        <v>1.1579861719836399E-2</v>
      </c>
      <c r="AU35" s="31">
        <v>81.122501940667902</v>
      </c>
      <c r="AV35" s="30">
        <v>2.3566228862117199E-2</v>
      </c>
      <c r="AW35" s="31">
        <v>76.156842356535506</v>
      </c>
      <c r="AX35" s="30">
        <v>2.5847991187800502E-2</v>
      </c>
      <c r="AY35" s="31">
        <v>91.801132285001401</v>
      </c>
      <c r="AZ35" s="30">
        <v>1.7490981228201401E-2</v>
      </c>
      <c r="BA35" s="31">
        <v>103.39308072088799</v>
      </c>
      <c r="BB35" s="30">
        <v>2.1551794694531799E-2</v>
      </c>
      <c r="BC35" s="31">
        <v>110.169996388287</v>
      </c>
      <c r="BD35" s="30">
        <v>6.8574113505248703E-3</v>
      </c>
      <c r="BE35" s="31"/>
      <c r="BF35" s="30"/>
    </row>
    <row r="36" spans="1:58" x14ac:dyDescent="0.2">
      <c r="A36" s="28">
        <v>1986</v>
      </c>
      <c r="B36" s="28">
        <v>1</v>
      </c>
      <c r="C36" s="31">
        <v>71.523933092350504</v>
      </c>
      <c r="D36" s="30">
        <v>3.0423916539280602E-2</v>
      </c>
      <c r="E36" s="31">
        <v>73.208135274970104</v>
      </c>
      <c r="F36" s="30">
        <v>1.7037087638331901E-2</v>
      </c>
      <c r="G36" s="31">
        <v>70.875838284837798</v>
      </c>
      <c r="H36" s="30">
        <v>2.0177805026939E-2</v>
      </c>
      <c r="I36" s="31">
        <v>73.673090195760594</v>
      </c>
      <c r="J36" s="30">
        <v>1.8128684517020099E-2</v>
      </c>
      <c r="K36" s="31">
        <v>58.940497872102398</v>
      </c>
      <c r="L36" s="30">
        <v>3.1597555340640501E-2</v>
      </c>
      <c r="M36" s="31">
        <v>78.128862613406397</v>
      </c>
      <c r="N36" s="30">
        <v>7.9141271756755192E-3</v>
      </c>
      <c r="O36" s="31">
        <v>92.096910567003405</v>
      </c>
      <c r="P36" s="30">
        <v>1.66544880937936E-2</v>
      </c>
      <c r="Q36" s="31">
        <v>74.102774809307405</v>
      </c>
      <c r="R36" s="30">
        <v>2.9480216280130599E-2</v>
      </c>
      <c r="S36" s="31">
        <v>103.219804611825</v>
      </c>
      <c r="T36" s="30">
        <v>9.0442998126580906E-3</v>
      </c>
      <c r="U36" s="31"/>
      <c r="V36" s="30"/>
      <c r="W36" s="31"/>
      <c r="X36" s="30"/>
      <c r="Y36" s="31"/>
      <c r="Z36" s="30"/>
      <c r="AA36" s="31">
        <v>83.648223651709898</v>
      </c>
      <c r="AB36" s="30">
        <v>-5.7514085899002497E-2</v>
      </c>
      <c r="AC36" s="31">
        <v>87.902348289955995</v>
      </c>
      <c r="AD36" s="30">
        <v>-8.2523087333315301E-2</v>
      </c>
      <c r="AE36" s="31">
        <v>97.871936902722297</v>
      </c>
      <c r="AF36" s="30">
        <v>-2.1611064917794302E-2</v>
      </c>
      <c r="AG36" s="31">
        <v>104.393910279069</v>
      </c>
      <c r="AH36" s="30">
        <v>-7.7998143178952296E-3</v>
      </c>
      <c r="AI36" s="31">
        <v>74.096418018829993</v>
      </c>
      <c r="AJ36" s="30">
        <v>9.8370897397894695E-3</v>
      </c>
      <c r="AK36" s="31">
        <v>92.447205736917496</v>
      </c>
      <c r="AL36" s="30">
        <v>-8.7624503402809098E-2</v>
      </c>
      <c r="AM36" s="31">
        <v>93.977798204064698</v>
      </c>
      <c r="AN36" s="30">
        <v>-0.102933813107561</v>
      </c>
      <c r="AO36" s="31">
        <v>113.932941653748</v>
      </c>
      <c r="AP36" s="30">
        <v>-7.5211130858969702E-2</v>
      </c>
      <c r="AQ36" s="31">
        <v>120.1882246071</v>
      </c>
      <c r="AR36" s="30">
        <v>-6.9446639514994593E-2</v>
      </c>
      <c r="AS36" s="31">
        <v>83.2353526348071</v>
      </c>
      <c r="AT36" s="30">
        <v>-2.3029178234154998E-2</v>
      </c>
      <c r="AU36" s="31">
        <v>81.185543181857099</v>
      </c>
      <c r="AV36" s="30">
        <v>1.37143284057371E-2</v>
      </c>
      <c r="AW36" s="31">
        <v>76.537853703232997</v>
      </c>
      <c r="AX36" s="30">
        <v>1.91091887520425E-2</v>
      </c>
      <c r="AY36" s="31">
        <v>90.836497015528295</v>
      </c>
      <c r="AZ36" s="30">
        <v>-6.4132201782873799E-4</v>
      </c>
      <c r="BA36" s="31">
        <v>101.32565595299999</v>
      </c>
      <c r="BB36" s="30">
        <v>-6.92584954573661E-3</v>
      </c>
      <c r="BC36" s="31">
        <v>106.82405489290799</v>
      </c>
      <c r="BD36" s="30">
        <v>-5.7865683480734398E-2</v>
      </c>
      <c r="BE36" s="31"/>
      <c r="BF36" s="30"/>
    </row>
    <row r="37" spans="1:58" x14ac:dyDescent="0.2">
      <c r="A37" s="28">
        <v>1986</v>
      </c>
      <c r="B37" s="28">
        <v>2</v>
      </c>
      <c r="C37" s="31">
        <v>72.069162369787605</v>
      </c>
      <c r="D37" s="30">
        <v>3.2791831832138497E-2</v>
      </c>
      <c r="E37" s="31">
        <v>73.349429103665798</v>
      </c>
      <c r="F37" s="30">
        <v>1.09349268810373E-2</v>
      </c>
      <c r="G37" s="31">
        <v>70.992810387181805</v>
      </c>
      <c r="H37" s="30">
        <v>1.6120253874027501E-2</v>
      </c>
      <c r="I37" s="31">
        <v>73.710794236731999</v>
      </c>
      <c r="J37" s="30">
        <v>1.27006966718342E-2</v>
      </c>
      <c r="K37" s="31">
        <v>59.409325199482502</v>
      </c>
      <c r="L37" s="30">
        <v>3.51407914419739E-2</v>
      </c>
      <c r="M37" s="31">
        <v>78.360293561221297</v>
      </c>
      <c r="N37" s="30">
        <v>5.0499752366728302E-4</v>
      </c>
      <c r="O37" s="31">
        <v>92.170380285460396</v>
      </c>
      <c r="P37" s="30">
        <v>8.6590893314875093E-3</v>
      </c>
      <c r="Q37" s="31">
        <v>74.640161553347198</v>
      </c>
      <c r="R37" s="30">
        <v>3.0561253359565398E-2</v>
      </c>
      <c r="S37" s="31">
        <v>102.70597150780701</v>
      </c>
      <c r="T37" s="30">
        <v>-7.4097514991514598E-3</v>
      </c>
      <c r="U37" s="31"/>
      <c r="V37" s="30"/>
      <c r="W37" s="31"/>
      <c r="X37" s="30"/>
      <c r="Y37" s="31"/>
      <c r="Z37" s="30"/>
      <c r="AA37" s="31">
        <v>81.733086131544795</v>
      </c>
      <c r="AB37" s="30">
        <v>-7.6289175474081997E-2</v>
      </c>
      <c r="AC37" s="31">
        <v>85.426073129057102</v>
      </c>
      <c r="AD37" s="30">
        <v>-0.103362560481972</v>
      </c>
      <c r="AE37" s="31">
        <v>97.100672309194906</v>
      </c>
      <c r="AF37" s="30">
        <v>-2.34532835357135E-2</v>
      </c>
      <c r="AG37" s="31">
        <v>104.139548930022</v>
      </c>
      <c r="AH37" s="30">
        <v>-6.4087912164153497E-3</v>
      </c>
      <c r="AI37" s="31">
        <v>73.900769640692104</v>
      </c>
      <c r="AJ37" s="30">
        <v>3.4514579517437301E-3</v>
      </c>
      <c r="AK37" s="31">
        <v>89.644283642631706</v>
      </c>
      <c r="AL37" s="30">
        <v>-0.11807541545685001</v>
      </c>
      <c r="AM37" s="31">
        <v>90.668133973269306</v>
      </c>
      <c r="AN37" s="30">
        <v>-0.13364590926647099</v>
      </c>
      <c r="AO37" s="31">
        <v>111.31332766536001</v>
      </c>
      <c r="AP37" s="30">
        <v>-9.5066562238135893E-2</v>
      </c>
      <c r="AQ37" s="31">
        <v>117.729331843547</v>
      </c>
      <c r="AR37" s="30">
        <v>-8.8287569182803199E-2</v>
      </c>
      <c r="AS37" s="31">
        <v>82.855975224957206</v>
      </c>
      <c r="AT37" s="30">
        <v>-4.6300482965015599E-2</v>
      </c>
      <c r="AU37" s="31">
        <v>81.206310742672997</v>
      </c>
      <c r="AV37" s="30">
        <v>9.2051428791408707E-3</v>
      </c>
      <c r="AW37" s="31">
        <v>76.635571348267305</v>
      </c>
      <c r="AX37" s="30">
        <v>1.3563241141978599E-2</v>
      </c>
      <c r="AY37" s="31">
        <v>90.593031578054905</v>
      </c>
      <c r="AZ37" s="30">
        <v>-2.6355523536997199E-3</v>
      </c>
      <c r="BA37" s="31">
        <v>101.09040029404601</v>
      </c>
      <c r="BB37" s="30">
        <v>-5.7169509180533496E-3</v>
      </c>
      <c r="BC37" s="31">
        <v>105.0365928942</v>
      </c>
      <c r="BD37" s="30">
        <v>-7.8127314968774994E-2</v>
      </c>
      <c r="BE37" s="31"/>
      <c r="BF37" s="30"/>
    </row>
    <row r="38" spans="1:58" x14ac:dyDescent="0.2">
      <c r="A38" s="28">
        <v>1986</v>
      </c>
      <c r="B38" s="28">
        <v>3</v>
      </c>
      <c r="C38" s="31">
        <v>72.243660924419402</v>
      </c>
      <c r="D38" s="30">
        <v>3.2051340291033202E-2</v>
      </c>
      <c r="E38" s="31">
        <v>72.260365369892497</v>
      </c>
      <c r="F38" s="30">
        <v>-6.4188503339539498E-3</v>
      </c>
      <c r="G38" s="31">
        <v>71.028535105932207</v>
      </c>
      <c r="H38" s="30">
        <v>1.5079002189910099E-2</v>
      </c>
      <c r="I38" s="31">
        <v>73.716540833113697</v>
      </c>
      <c r="J38" s="30">
        <v>1.18196692279033E-2</v>
      </c>
      <c r="K38" s="31">
        <v>59.568864578313502</v>
      </c>
      <c r="L38" s="30">
        <v>3.2936780074616499E-2</v>
      </c>
      <c r="M38" s="31">
        <v>74.882858091030101</v>
      </c>
      <c r="N38" s="30">
        <v>-4.8530345439103201E-2</v>
      </c>
      <c r="O38" s="31">
        <v>91.884917770335406</v>
      </c>
      <c r="P38" s="30">
        <v>4.1535600860074197E-3</v>
      </c>
      <c r="Q38" s="31">
        <v>74.531515218696896</v>
      </c>
      <c r="R38" s="30">
        <v>3.0012622426228701E-2</v>
      </c>
      <c r="S38" s="31">
        <v>102.23385493390801</v>
      </c>
      <c r="T38" s="30">
        <v>-1.5831671059810599E-2</v>
      </c>
      <c r="U38" s="31"/>
      <c r="V38" s="30"/>
      <c r="W38" s="31"/>
      <c r="X38" s="30"/>
      <c r="Y38" s="31"/>
      <c r="Z38" s="30"/>
      <c r="AA38" s="31">
        <v>82.130553351734605</v>
      </c>
      <c r="AB38" s="30">
        <v>-4.1595480932053099E-2</v>
      </c>
      <c r="AC38" s="31">
        <v>85.672490036757594</v>
      </c>
      <c r="AD38" s="30">
        <v>-5.82575138399654E-2</v>
      </c>
      <c r="AE38" s="31">
        <v>95.404451358288796</v>
      </c>
      <c r="AF38" s="30">
        <v>-1.9663390977417799E-2</v>
      </c>
      <c r="AG38" s="31">
        <v>102.60067281889</v>
      </c>
      <c r="AH38" s="30">
        <v>2.3507459864946501E-4</v>
      </c>
      <c r="AI38" s="31">
        <v>73.741187785051594</v>
      </c>
      <c r="AJ38" s="30">
        <v>9.7517752622189302E-4</v>
      </c>
      <c r="AK38" s="31">
        <v>86.436364681753005</v>
      </c>
      <c r="AL38" s="30">
        <v>-0.118846673478033</v>
      </c>
      <c r="AM38" s="31">
        <v>87.256786418862802</v>
      </c>
      <c r="AN38" s="30">
        <v>-0.13231008048549101</v>
      </c>
      <c r="AO38" s="31">
        <v>104.905759496385</v>
      </c>
      <c r="AP38" s="30">
        <v>-0.130225209671915</v>
      </c>
      <c r="AQ38" s="31">
        <v>110.707381695905</v>
      </c>
      <c r="AR38" s="30">
        <v>-0.124960719185576</v>
      </c>
      <c r="AS38" s="31">
        <v>79.780010409680898</v>
      </c>
      <c r="AT38" s="30">
        <v>-6.2355684540159703E-2</v>
      </c>
      <c r="AU38" s="31">
        <v>80.971909467240096</v>
      </c>
      <c r="AV38" s="30">
        <v>8.7972638201787596E-3</v>
      </c>
      <c r="AW38" s="31">
        <v>76.581382481047598</v>
      </c>
      <c r="AX38" s="30">
        <v>1.1374357511792599E-2</v>
      </c>
      <c r="AY38" s="31">
        <v>89.723582392871606</v>
      </c>
      <c r="AZ38" s="30">
        <v>7.3263219275876402E-4</v>
      </c>
      <c r="BA38" s="31">
        <v>99.636546974745102</v>
      </c>
      <c r="BB38" s="30">
        <v>6.9306400263635702E-4</v>
      </c>
      <c r="BC38" s="31">
        <v>99.445280899513605</v>
      </c>
      <c r="BD38" s="30">
        <v>-0.10904635045128699</v>
      </c>
      <c r="BE38" s="31"/>
      <c r="BF38" s="30"/>
    </row>
    <row r="39" spans="1:58" x14ac:dyDescent="0.2">
      <c r="A39" s="28">
        <v>1986</v>
      </c>
      <c r="B39" s="28">
        <v>4</v>
      </c>
      <c r="C39" s="31">
        <v>72.024062459660996</v>
      </c>
      <c r="D39" s="30">
        <v>2.6341436696860201E-2</v>
      </c>
      <c r="E39" s="31">
        <v>71.704407449067901</v>
      </c>
      <c r="F39" s="30">
        <v>-5.4772872421725597E-3</v>
      </c>
      <c r="G39" s="31">
        <v>71.168166979992804</v>
      </c>
      <c r="H39" s="30">
        <v>1.0809933108990401E-2</v>
      </c>
      <c r="I39" s="31">
        <v>73.878198358396205</v>
      </c>
      <c r="J39" s="30">
        <v>8.3470586154081906E-3</v>
      </c>
      <c r="K39" s="31">
        <v>59.646460503655497</v>
      </c>
      <c r="L39" s="30">
        <v>2.4906018306192702E-2</v>
      </c>
      <c r="M39" s="31">
        <v>73.379034071300495</v>
      </c>
      <c r="N39" s="30">
        <v>-2.86966696664483E-2</v>
      </c>
      <c r="O39" s="31">
        <v>91.612752002983896</v>
      </c>
      <c r="P39" s="30">
        <v>-4.4855282138182E-3</v>
      </c>
      <c r="Q39" s="31">
        <v>74.894924115432701</v>
      </c>
      <c r="R39" s="30">
        <v>2.71080833086552E-2</v>
      </c>
      <c r="S39" s="31">
        <v>101.94145500377699</v>
      </c>
      <c r="T39" s="30">
        <v>-1.8986127300946402E-2</v>
      </c>
      <c r="U39" s="31"/>
      <c r="V39" s="30"/>
      <c r="W39" s="31"/>
      <c r="X39" s="30"/>
      <c r="Y39" s="31"/>
      <c r="Z39" s="30"/>
      <c r="AA39" s="31">
        <v>82.998750143096501</v>
      </c>
      <c r="AB39" s="30">
        <v>-2.0725703314193499E-2</v>
      </c>
      <c r="AC39" s="31">
        <v>87.100154657036498</v>
      </c>
      <c r="AD39" s="30">
        <v>-3.1760884585853202E-2</v>
      </c>
      <c r="AE39" s="31">
        <v>96.711265706222207</v>
      </c>
      <c r="AF39" s="30">
        <v>-3.5369206253814699E-2</v>
      </c>
      <c r="AG39" s="31">
        <v>104.300897058196</v>
      </c>
      <c r="AH39" s="30">
        <v>-2.13660693753869E-2</v>
      </c>
      <c r="AI39" s="31">
        <v>73.865467925908305</v>
      </c>
      <c r="AJ39" s="30">
        <v>4.19101823495871E-3</v>
      </c>
      <c r="AK39" s="31">
        <v>86.953617375148298</v>
      </c>
      <c r="AL39" s="30">
        <v>-8.2062529604218601E-2</v>
      </c>
      <c r="AM39" s="31">
        <v>87.7745553323618</v>
      </c>
      <c r="AN39" s="30">
        <v>-9.0586238791314E-2</v>
      </c>
      <c r="AO39" s="31">
        <v>105.452122970273</v>
      </c>
      <c r="AP39" s="30">
        <v>-0.109885589451827</v>
      </c>
      <c r="AQ39" s="31">
        <v>111.43583132384499</v>
      </c>
      <c r="AR39" s="30">
        <v>-0.10485029810271899</v>
      </c>
      <c r="AS39" s="31">
        <v>80.910595215431997</v>
      </c>
      <c r="AT39" s="30">
        <v>-4.5181148116744799E-2</v>
      </c>
      <c r="AU39" s="31">
        <v>81.243100226158901</v>
      </c>
      <c r="AV39" s="30">
        <v>1.48661940406192E-3</v>
      </c>
      <c r="AW39" s="31">
        <v>76.639391717497105</v>
      </c>
      <c r="AX39" s="30">
        <v>6.3362574659080496E-3</v>
      </c>
      <c r="AY39" s="31">
        <v>90.682396960215002</v>
      </c>
      <c r="AZ39" s="30">
        <v>-1.21865089998372E-2</v>
      </c>
      <c r="BA39" s="31">
        <v>101.278851809914</v>
      </c>
      <c r="BB39" s="30">
        <v>-2.0448456475352799E-2</v>
      </c>
      <c r="BC39" s="31">
        <v>100.255834859559</v>
      </c>
      <c r="BD39" s="30">
        <v>-8.9989669181669799E-2</v>
      </c>
      <c r="BE39" s="31"/>
      <c r="BF39" s="30"/>
    </row>
    <row r="40" spans="1:58" x14ac:dyDescent="0.2">
      <c r="A40" s="28">
        <v>1987</v>
      </c>
      <c r="B40" s="28">
        <v>1</v>
      </c>
      <c r="C40" s="31">
        <v>73.2809793263758</v>
      </c>
      <c r="D40" s="30">
        <v>2.4565850311345099E-2</v>
      </c>
      <c r="E40" s="31">
        <v>73.179894173012201</v>
      </c>
      <c r="F40" s="30">
        <v>-3.85764530838828E-4</v>
      </c>
      <c r="G40" s="31">
        <v>71.461662466193602</v>
      </c>
      <c r="H40" s="30">
        <v>8.2654991536246208E-3</v>
      </c>
      <c r="I40" s="31">
        <v>74.223496378047898</v>
      </c>
      <c r="J40" s="30">
        <v>7.4709256911145196E-3</v>
      </c>
      <c r="K40" s="31">
        <v>59.690812684125099</v>
      </c>
      <c r="L40" s="30">
        <v>1.2730038583162399E-2</v>
      </c>
      <c r="M40" s="31">
        <v>76.863414209901507</v>
      </c>
      <c r="N40" s="30">
        <v>-1.61969387646979E-2</v>
      </c>
      <c r="O40" s="31">
        <v>92.180816140372798</v>
      </c>
      <c r="P40" s="30">
        <v>9.1105741607289104E-4</v>
      </c>
      <c r="Q40" s="31">
        <v>75.729155853280901</v>
      </c>
      <c r="R40" s="30">
        <v>2.1947640262577801E-2</v>
      </c>
      <c r="S40" s="31">
        <v>101.885495121655</v>
      </c>
      <c r="T40" s="30">
        <v>-1.2926874791018001E-2</v>
      </c>
      <c r="U40" s="31"/>
      <c r="V40" s="30"/>
      <c r="W40" s="31"/>
      <c r="X40" s="30"/>
      <c r="Y40" s="31"/>
      <c r="Z40" s="30"/>
      <c r="AA40" s="31">
        <v>81.895295472485401</v>
      </c>
      <c r="AB40" s="30">
        <v>-2.0955952233046901E-2</v>
      </c>
      <c r="AC40" s="31">
        <v>85.245817816926305</v>
      </c>
      <c r="AD40" s="30">
        <v>-3.02213823033117E-2</v>
      </c>
      <c r="AE40" s="31">
        <v>96.732792227436903</v>
      </c>
      <c r="AF40" s="30">
        <v>-1.1639134887231201E-2</v>
      </c>
      <c r="AG40" s="31">
        <v>104.28893942494901</v>
      </c>
      <c r="AH40" s="30">
        <v>-1.00552660436704E-3</v>
      </c>
      <c r="AI40" s="31">
        <v>74.231418429922698</v>
      </c>
      <c r="AJ40" s="30">
        <v>1.82195596902401E-3</v>
      </c>
      <c r="AK40" s="31">
        <v>85.827506289549802</v>
      </c>
      <c r="AL40" s="30">
        <v>-7.1605186923721406E-2</v>
      </c>
      <c r="AM40" s="31">
        <v>86.511596003645394</v>
      </c>
      <c r="AN40" s="30">
        <v>-7.9446447385445707E-2</v>
      </c>
      <c r="AO40" s="31">
        <v>104.98538374026499</v>
      </c>
      <c r="AP40" s="30">
        <v>-7.8533545993004703E-2</v>
      </c>
      <c r="AQ40" s="31">
        <v>110.641270884319</v>
      </c>
      <c r="AR40" s="30">
        <v>-7.9433353425348505E-2</v>
      </c>
      <c r="AS40" s="31">
        <v>80.009099499242893</v>
      </c>
      <c r="AT40" s="30">
        <v>-3.8760611127813899E-2</v>
      </c>
      <c r="AU40" s="31">
        <v>81.549418001107497</v>
      </c>
      <c r="AV40" s="30">
        <v>4.48201496213807E-3</v>
      </c>
      <c r="AW40" s="31">
        <v>76.989076482470693</v>
      </c>
      <c r="AX40" s="30">
        <v>5.8954198139295998E-3</v>
      </c>
      <c r="AY40" s="31">
        <v>90.854572052568102</v>
      </c>
      <c r="AZ40" s="30">
        <v>1.9898430293641099E-4</v>
      </c>
      <c r="BA40" s="31">
        <v>101.27609902827101</v>
      </c>
      <c r="BB40" s="30">
        <v>-4.8908565419958404E-4</v>
      </c>
      <c r="BC40" s="31">
        <v>99.4355917089418</v>
      </c>
      <c r="BD40" s="30">
        <v>-6.9164788692706106E-2</v>
      </c>
      <c r="BE40" s="31"/>
      <c r="BF40" s="30"/>
    </row>
    <row r="41" spans="1:58" x14ac:dyDescent="0.2">
      <c r="A41" s="28">
        <v>1987</v>
      </c>
      <c r="B41" s="28">
        <v>2</v>
      </c>
      <c r="C41" s="31">
        <v>73.355787495315496</v>
      </c>
      <c r="D41" s="30">
        <v>1.7852644365786E-2</v>
      </c>
      <c r="E41" s="31">
        <v>73.310741296531006</v>
      </c>
      <c r="F41" s="30">
        <v>-5.2744523860104298E-4</v>
      </c>
      <c r="G41" s="31">
        <v>71.431760552828194</v>
      </c>
      <c r="H41" s="30">
        <v>6.1830228054418103E-3</v>
      </c>
      <c r="I41" s="31">
        <v>74.168148235996398</v>
      </c>
      <c r="J41" s="30">
        <v>6.2047086047609702E-3</v>
      </c>
      <c r="K41" s="31">
        <v>59.772904618629902</v>
      </c>
      <c r="L41" s="30">
        <v>6.1199048790157003E-3</v>
      </c>
      <c r="M41" s="31">
        <v>77.289229194755194</v>
      </c>
      <c r="N41" s="30">
        <v>-1.36684578093013E-2</v>
      </c>
      <c r="O41" s="31">
        <v>92.498509580214801</v>
      </c>
      <c r="P41" s="30">
        <v>3.5600297377325102E-3</v>
      </c>
      <c r="Q41" s="31">
        <v>76.142234265550499</v>
      </c>
      <c r="R41" s="30">
        <v>2.0124188921130999E-2</v>
      </c>
      <c r="S41" s="31">
        <v>102.013715060227</v>
      </c>
      <c r="T41" s="30">
        <v>-6.7401772011546103E-3</v>
      </c>
      <c r="U41" s="31"/>
      <c r="V41" s="30"/>
      <c r="W41" s="31"/>
      <c r="X41" s="30"/>
      <c r="Y41" s="31"/>
      <c r="Z41" s="30"/>
      <c r="AA41" s="31">
        <v>82.598125555500303</v>
      </c>
      <c r="AB41" s="30">
        <v>1.05837117487937E-2</v>
      </c>
      <c r="AC41" s="31">
        <v>86.320913220775594</v>
      </c>
      <c r="AD41" s="30">
        <v>1.0475023127501299E-2</v>
      </c>
      <c r="AE41" s="31">
        <v>96.394896189967795</v>
      </c>
      <c r="AF41" s="30">
        <v>-7.2684987904070297E-3</v>
      </c>
      <c r="AG41" s="31">
        <v>103.903748064049</v>
      </c>
      <c r="AH41" s="30">
        <v>-2.2642777733836699E-3</v>
      </c>
      <c r="AI41" s="31">
        <v>74.217176605147898</v>
      </c>
      <c r="AJ41" s="30">
        <v>4.2815110856637703E-3</v>
      </c>
      <c r="AK41" s="31">
        <v>86.866843568251198</v>
      </c>
      <c r="AL41" s="30">
        <v>-3.0982902216641801E-2</v>
      </c>
      <c r="AM41" s="31">
        <v>87.643345197132504</v>
      </c>
      <c r="AN41" s="30">
        <v>-3.3361101012936899E-2</v>
      </c>
      <c r="AO41" s="31">
        <v>104.551697189862</v>
      </c>
      <c r="AP41" s="30">
        <v>-6.0744123074152098E-2</v>
      </c>
      <c r="AQ41" s="31">
        <v>110.101520277256</v>
      </c>
      <c r="AR41" s="30">
        <v>-6.4791088566001603E-2</v>
      </c>
      <c r="AS41" s="31">
        <v>80.707238374180093</v>
      </c>
      <c r="AT41" s="30">
        <v>-2.5933396413997799E-2</v>
      </c>
      <c r="AU41" s="31">
        <v>81.5511728384636</v>
      </c>
      <c r="AV41" s="30">
        <v>4.2467400949093301E-3</v>
      </c>
      <c r="AW41" s="31">
        <v>77.050439423259107</v>
      </c>
      <c r="AX41" s="30">
        <v>5.4135183922152698E-3</v>
      </c>
      <c r="AY41" s="31">
        <v>90.6476382688614</v>
      </c>
      <c r="AZ41" s="30">
        <v>6.0276921806501295E-4</v>
      </c>
      <c r="BA41" s="31">
        <v>100.925584010824</v>
      </c>
      <c r="BB41" s="30">
        <v>-1.6303851082019E-3</v>
      </c>
      <c r="BC41" s="31">
        <v>99.303132717998693</v>
      </c>
      <c r="BD41" s="30">
        <v>-5.4585359427801503E-2</v>
      </c>
      <c r="BE41" s="31"/>
      <c r="BF41" s="30"/>
    </row>
    <row r="42" spans="1:58" x14ac:dyDescent="0.2">
      <c r="A42" s="28">
        <v>1987</v>
      </c>
      <c r="B42" s="28">
        <v>3</v>
      </c>
      <c r="C42" s="31">
        <v>73.631200272730396</v>
      </c>
      <c r="D42" s="30">
        <v>1.9206381993329701E-2</v>
      </c>
      <c r="E42" s="31">
        <v>73.764292346613203</v>
      </c>
      <c r="F42" s="30">
        <v>2.08126124054628E-2</v>
      </c>
      <c r="G42" s="31">
        <v>71.493339248933097</v>
      </c>
      <c r="H42" s="30">
        <v>6.5439072100779098E-3</v>
      </c>
      <c r="I42" s="31">
        <v>74.205496891864499</v>
      </c>
      <c r="J42" s="30">
        <v>6.6329219090421896E-3</v>
      </c>
      <c r="K42" s="31">
        <v>59.9414275002094</v>
      </c>
      <c r="L42" s="30">
        <v>6.2543230349156901E-3</v>
      </c>
      <c r="M42" s="31">
        <v>78.703233173874096</v>
      </c>
      <c r="N42" s="30">
        <v>5.1018019079878803E-2</v>
      </c>
      <c r="O42" s="31">
        <v>92.680244206503801</v>
      </c>
      <c r="P42" s="30">
        <v>8.6556799033803405E-3</v>
      </c>
      <c r="Q42" s="31">
        <v>76.133303543637894</v>
      </c>
      <c r="R42" s="30">
        <v>2.1491423060982E-2</v>
      </c>
      <c r="S42" s="31">
        <v>102.298893154602</v>
      </c>
      <c r="T42" s="30">
        <v>6.36171068142399E-4</v>
      </c>
      <c r="U42" s="31"/>
      <c r="V42" s="30"/>
      <c r="W42" s="31"/>
      <c r="X42" s="30"/>
      <c r="Y42" s="31"/>
      <c r="Z42" s="30"/>
      <c r="AA42" s="31">
        <v>82.410048522878299</v>
      </c>
      <c r="AB42" s="30">
        <v>3.4030596378271699E-3</v>
      </c>
      <c r="AC42" s="31">
        <v>85.745362331062907</v>
      </c>
      <c r="AD42" s="30">
        <v>8.5059152913569103E-4</v>
      </c>
      <c r="AE42" s="31">
        <v>95.279635515695901</v>
      </c>
      <c r="AF42" s="30">
        <v>-1.30828112122516E-3</v>
      </c>
      <c r="AG42" s="31">
        <v>102.383522454982</v>
      </c>
      <c r="AH42" s="30">
        <v>-2.11646140265487E-3</v>
      </c>
      <c r="AI42" s="31">
        <v>74.662794239739299</v>
      </c>
      <c r="AJ42" s="30">
        <v>1.2497852046731201E-2</v>
      </c>
      <c r="AK42" s="31">
        <v>86.913941551675194</v>
      </c>
      <c r="AL42" s="30">
        <v>5.5251845873030003E-3</v>
      </c>
      <c r="AM42" s="31">
        <v>87.674008309668494</v>
      </c>
      <c r="AN42" s="30">
        <v>4.7815408741138698E-3</v>
      </c>
      <c r="AO42" s="31">
        <v>104.69471700448899</v>
      </c>
      <c r="AP42" s="30">
        <v>-2.0117340831271599E-3</v>
      </c>
      <c r="AQ42" s="31">
        <v>110.48639218274199</v>
      </c>
      <c r="AR42" s="30">
        <v>-1.9961587906636201E-3</v>
      </c>
      <c r="AS42" s="31">
        <v>80.689909461552404</v>
      </c>
      <c r="AT42" s="30">
        <v>1.1405100691251E-2</v>
      </c>
      <c r="AU42" s="31">
        <v>81.492518199491997</v>
      </c>
      <c r="AV42" s="30">
        <v>6.4294980281096601E-3</v>
      </c>
      <c r="AW42" s="31">
        <v>77.144680208681706</v>
      </c>
      <c r="AX42" s="30">
        <v>7.3555439897356996E-3</v>
      </c>
      <c r="AY42" s="31">
        <v>90.0890526304144</v>
      </c>
      <c r="AZ42" s="30">
        <v>4.0732907424776404E-3</v>
      </c>
      <c r="BA42" s="31">
        <v>99.501984533176994</v>
      </c>
      <c r="BB42" s="30">
        <v>-1.3505329686123199E-3</v>
      </c>
      <c r="BC42" s="31">
        <v>99.585325259520104</v>
      </c>
      <c r="BD42" s="30">
        <v>1.40825546209689E-3</v>
      </c>
      <c r="BE42" s="31"/>
      <c r="BF42" s="30"/>
    </row>
    <row r="43" spans="1:58" x14ac:dyDescent="0.2">
      <c r="A43" s="28">
        <v>1987</v>
      </c>
      <c r="B43" s="28">
        <v>4</v>
      </c>
      <c r="C43" s="31">
        <v>73.894302855480504</v>
      </c>
      <c r="D43" s="30">
        <v>2.5966882899266699E-2</v>
      </c>
      <c r="E43" s="31">
        <v>73.7468700472579</v>
      </c>
      <c r="F43" s="30">
        <v>2.8484477744840999E-2</v>
      </c>
      <c r="G43" s="31">
        <v>71.916320928648901</v>
      </c>
      <c r="H43" s="30">
        <v>1.0512480233843701E-2</v>
      </c>
      <c r="I43" s="31">
        <v>74.611726285641197</v>
      </c>
      <c r="J43" s="30">
        <v>9.9288821809988496E-3</v>
      </c>
      <c r="K43" s="31">
        <v>60.449083771868203</v>
      </c>
      <c r="L43" s="30">
        <v>1.3456343619307601E-2</v>
      </c>
      <c r="M43" s="31">
        <v>77.617017745173399</v>
      </c>
      <c r="N43" s="30">
        <v>5.7754694205363097E-2</v>
      </c>
      <c r="O43" s="31">
        <v>93.162056189618497</v>
      </c>
      <c r="P43" s="30">
        <v>1.6911446853863098E-2</v>
      </c>
      <c r="Q43" s="31">
        <v>76.945130197665193</v>
      </c>
      <c r="R43" s="30">
        <v>2.7374432999926802E-2</v>
      </c>
      <c r="S43" s="31">
        <v>102.848527529878</v>
      </c>
      <c r="T43" s="30">
        <v>8.8979750786168897E-3</v>
      </c>
      <c r="U43" s="31"/>
      <c r="V43" s="30"/>
      <c r="W43" s="31"/>
      <c r="X43" s="30"/>
      <c r="Y43" s="31"/>
      <c r="Z43" s="30"/>
      <c r="AA43" s="31">
        <v>82.431529632773604</v>
      </c>
      <c r="AB43" s="30">
        <v>-6.83408496326643E-3</v>
      </c>
      <c r="AC43" s="31">
        <v>85.894709040065607</v>
      </c>
      <c r="AD43" s="30">
        <v>-1.3839764369161799E-2</v>
      </c>
      <c r="AE43" s="31">
        <v>97.536231774463502</v>
      </c>
      <c r="AF43" s="30">
        <v>8.5301961691544009E-3</v>
      </c>
      <c r="AG43" s="31">
        <v>104.894151117672</v>
      </c>
      <c r="AH43" s="30">
        <v>5.68790946395192E-3</v>
      </c>
      <c r="AI43" s="31">
        <v>74.717925292546695</v>
      </c>
      <c r="AJ43" s="30">
        <v>1.1540675102654101E-2</v>
      </c>
      <c r="AK43" s="31">
        <v>86.394764064007703</v>
      </c>
      <c r="AL43" s="30">
        <v>-6.4270277420374099E-3</v>
      </c>
      <c r="AM43" s="31">
        <v>86.975459394817804</v>
      </c>
      <c r="AN43" s="30">
        <v>-9.1039588240376893E-3</v>
      </c>
      <c r="AO43" s="31">
        <v>104.26328444366401</v>
      </c>
      <c r="AP43" s="30">
        <v>-1.12737277650045E-2</v>
      </c>
      <c r="AQ43" s="31">
        <v>110.352450812339</v>
      </c>
      <c r="AR43" s="30">
        <v>-9.7220121987242596E-3</v>
      </c>
      <c r="AS43" s="31">
        <v>80.984875694134203</v>
      </c>
      <c r="AT43" s="30">
        <v>9.1805626326713096E-4</v>
      </c>
      <c r="AU43" s="31">
        <v>82.146443735167097</v>
      </c>
      <c r="AV43" s="30">
        <v>1.1119018187310399E-2</v>
      </c>
      <c r="AW43" s="31">
        <v>77.581943282016496</v>
      </c>
      <c r="AX43" s="30">
        <v>1.2298526167767901E-2</v>
      </c>
      <c r="AY43" s="31">
        <v>91.425089986053607</v>
      </c>
      <c r="AZ43" s="30">
        <v>8.19004625742825E-3</v>
      </c>
      <c r="BA43" s="31">
        <v>101.899308800783</v>
      </c>
      <c r="BB43" s="30">
        <v>6.1262245748350298E-3</v>
      </c>
      <c r="BC43" s="31">
        <v>99.542917430397793</v>
      </c>
      <c r="BD43" s="30">
        <v>-7.1109819210019003E-3</v>
      </c>
      <c r="BE43" s="31"/>
      <c r="BF43" s="30"/>
    </row>
    <row r="44" spans="1:58" x14ac:dyDescent="0.2">
      <c r="A44" s="28">
        <v>1988</v>
      </c>
      <c r="B44" s="28">
        <v>1</v>
      </c>
      <c r="C44" s="31">
        <v>74.997736322095307</v>
      </c>
      <c r="D44" s="30">
        <v>2.34270476664005E-2</v>
      </c>
      <c r="E44" s="31">
        <v>75.086831295278799</v>
      </c>
      <c r="F44" s="30">
        <v>2.6058210985632001E-2</v>
      </c>
      <c r="G44" s="31">
        <v>72.477943472769397</v>
      </c>
      <c r="H44" s="30">
        <v>1.4221345704860999E-2</v>
      </c>
      <c r="I44" s="31">
        <v>75.115165466378002</v>
      </c>
      <c r="J44" s="30">
        <v>1.20132994515434E-2</v>
      </c>
      <c r="K44" s="31">
        <v>61.263154831451203</v>
      </c>
      <c r="L44" s="30">
        <v>2.6341443123696101E-2</v>
      </c>
      <c r="M44" s="31">
        <v>80.830025551117004</v>
      </c>
      <c r="N44" s="30">
        <v>5.1605973817183501E-2</v>
      </c>
      <c r="O44" s="31">
        <v>94.502998762134297</v>
      </c>
      <c r="P44" s="30">
        <v>2.51916040559379E-2</v>
      </c>
      <c r="Q44" s="31">
        <v>78.578964511956201</v>
      </c>
      <c r="R44" s="30">
        <v>3.7631591512740099E-2</v>
      </c>
      <c r="S44" s="31">
        <v>103.623723785216</v>
      </c>
      <c r="T44" s="30">
        <v>1.70606096725123E-2</v>
      </c>
      <c r="U44" s="31"/>
      <c r="V44" s="30"/>
      <c r="W44" s="31"/>
      <c r="X44" s="30"/>
      <c r="Y44" s="31"/>
      <c r="Z44" s="30"/>
      <c r="AA44" s="31">
        <v>81.985221158811498</v>
      </c>
      <c r="AB44" s="30">
        <v>1.0980568029852499E-3</v>
      </c>
      <c r="AC44" s="31">
        <v>84.378457293693501</v>
      </c>
      <c r="AD44" s="30">
        <v>-1.0174816142835E-2</v>
      </c>
      <c r="AE44" s="31">
        <v>97.964266711464205</v>
      </c>
      <c r="AF44" s="30">
        <v>1.27306826947775E-2</v>
      </c>
      <c r="AG44" s="31">
        <v>104.888228969972</v>
      </c>
      <c r="AH44" s="30">
        <v>5.7464343613715697E-3</v>
      </c>
      <c r="AI44" s="31">
        <v>76.366343861912696</v>
      </c>
      <c r="AJ44" s="30">
        <v>2.8760401958443801E-2</v>
      </c>
      <c r="AK44" s="31">
        <v>86.362902920421305</v>
      </c>
      <c r="AL44" s="30">
        <v>6.2380541392554898E-3</v>
      </c>
      <c r="AM44" s="31">
        <v>87.159549757614997</v>
      </c>
      <c r="AN44" s="30">
        <v>7.4897907783628703E-3</v>
      </c>
      <c r="AO44" s="31">
        <v>105.52252422726301</v>
      </c>
      <c r="AP44" s="30">
        <v>5.1163358923076397E-3</v>
      </c>
      <c r="AQ44" s="31">
        <v>112.467756469595</v>
      </c>
      <c r="AR44" s="30">
        <v>1.65081761143691E-2</v>
      </c>
      <c r="AS44" s="31">
        <v>80.144837617779203</v>
      </c>
      <c r="AT44" s="30">
        <v>1.6965335116358999E-3</v>
      </c>
      <c r="AU44" s="31">
        <v>82.928856451038797</v>
      </c>
      <c r="AV44" s="30">
        <v>1.69153684200729E-2</v>
      </c>
      <c r="AW44" s="31">
        <v>78.354495770741394</v>
      </c>
      <c r="AX44" s="30">
        <v>1.7735234018316101E-2</v>
      </c>
      <c r="AY44" s="31">
        <v>92.177716652686399</v>
      </c>
      <c r="AZ44" s="30">
        <v>1.4563324334989599E-2</v>
      </c>
      <c r="BA44" s="31">
        <v>101.917463007796</v>
      </c>
      <c r="BB44" s="30">
        <v>6.3328266558277902E-3</v>
      </c>
      <c r="BC44" s="31">
        <v>100.675896497789</v>
      </c>
      <c r="BD44" s="30">
        <v>1.2473449069198899E-2</v>
      </c>
      <c r="BE44" s="31"/>
      <c r="BF44" s="30"/>
    </row>
    <row r="45" spans="1:58" x14ac:dyDescent="0.2">
      <c r="A45" s="28">
        <v>1988</v>
      </c>
      <c r="B45" s="28">
        <v>2</v>
      </c>
      <c r="C45" s="31">
        <v>75.416277496007197</v>
      </c>
      <c r="D45" s="30">
        <v>2.8088990263014101E-2</v>
      </c>
      <c r="E45" s="31">
        <v>76.012538386194606</v>
      </c>
      <c r="F45" s="30">
        <v>3.6854041329840999E-2</v>
      </c>
      <c r="G45" s="31">
        <v>72.886129024263596</v>
      </c>
      <c r="H45" s="30">
        <v>2.0360249560974701E-2</v>
      </c>
      <c r="I45" s="31">
        <v>75.477690788730101</v>
      </c>
      <c r="J45" s="30">
        <v>1.7656400811933301E-2</v>
      </c>
      <c r="K45" s="31">
        <v>61.859329297896998</v>
      </c>
      <c r="L45" s="30">
        <v>3.4905860650057602E-2</v>
      </c>
      <c r="M45" s="31">
        <v>82.734685682795998</v>
      </c>
      <c r="N45" s="30">
        <v>7.0455567286344695E-2</v>
      </c>
      <c r="O45" s="31">
        <v>95.484408512012294</v>
      </c>
      <c r="P45" s="30">
        <v>3.2280508576283201E-2</v>
      </c>
      <c r="Q45" s="31">
        <v>79.333923253813794</v>
      </c>
      <c r="R45" s="30">
        <v>4.1917459069194599E-2</v>
      </c>
      <c r="S45" s="31">
        <v>104.695744703975</v>
      </c>
      <c r="T45" s="30">
        <v>2.6290873165083099E-2</v>
      </c>
      <c r="U45" s="31"/>
      <c r="V45" s="30"/>
      <c r="W45" s="31"/>
      <c r="X45" s="30"/>
      <c r="Y45" s="31"/>
      <c r="Z45" s="30"/>
      <c r="AA45" s="31">
        <v>83.004666487296603</v>
      </c>
      <c r="AB45" s="30">
        <v>4.9219147415526798E-3</v>
      </c>
      <c r="AC45" s="31">
        <v>85.587674247325893</v>
      </c>
      <c r="AD45" s="30">
        <v>-8.4943375375831093E-3</v>
      </c>
      <c r="AE45" s="31">
        <v>97.610749623564502</v>
      </c>
      <c r="AF45" s="30">
        <v>1.26132552827338E-2</v>
      </c>
      <c r="AG45" s="31">
        <v>104.501127645187</v>
      </c>
      <c r="AH45" s="30">
        <v>5.7493554589553896E-3</v>
      </c>
      <c r="AI45" s="31">
        <v>77.005049107008404</v>
      </c>
      <c r="AJ45" s="30">
        <v>3.7563710038346403E-2</v>
      </c>
      <c r="AK45" s="31">
        <v>89.030942554770903</v>
      </c>
      <c r="AL45" s="30">
        <v>2.4912830921724801E-2</v>
      </c>
      <c r="AM45" s="31">
        <v>89.729806061624302</v>
      </c>
      <c r="AN45" s="30">
        <v>2.3806266862575799E-2</v>
      </c>
      <c r="AO45" s="31">
        <v>107.991872020701</v>
      </c>
      <c r="AP45" s="30">
        <v>3.2904055345864797E-2</v>
      </c>
      <c r="AQ45" s="31">
        <v>113.96950258111001</v>
      </c>
      <c r="AR45" s="30">
        <v>3.5131052633188699E-2</v>
      </c>
      <c r="AS45" s="31">
        <v>83.016007442657596</v>
      </c>
      <c r="AT45" s="30">
        <v>2.8606716262220101E-2</v>
      </c>
      <c r="AU45" s="31">
        <v>83.394200775581396</v>
      </c>
      <c r="AV45" s="30">
        <v>2.2599649679698498E-2</v>
      </c>
      <c r="AW45" s="31">
        <v>78.935578658175203</v>
      </c>
      <c r="AX45" s="30">
        <v>2.44663008936323E-2</v>
      </c>
      <c r="AY45" s="31">
        <v>92.208712817560695</v>
      </c>
      <c r="AZ45" s="30">
        <v>1.72213482724075E-2</v>
      </c>
      <c r="BA45" s="31">
        <v>101.567431625655</v>
      </c>
      <c r="BB45" s="30">
        <v>6.3596125910143596E-3</v>
      </c>
      <c r="BC45" s="31">
        <v>102.625015229155</v>
      </c>
      <c r="BD45" s="30">
        <v>3.3451940741791697E-2</v>
      </c>
      <c r="BE45" s="31"/>
      <c r="BF45" s="30"/>
    </row>
    <row r="46" spans="1:58" x14ac:dyDescent="0.2">
      <c r="A46" s="28">
        <v>1988</v>
      </c>
      <c r="B46" s="28">
        <v>3</v>
      </c>
      <c r="C46" s="31">
        <v>75.845909162837998</v>
      </c>
      <c r="D46" s="30">
        <v>3.0078402659529501E-2</v>
      </c>
      <c r="E46" s="31">
        <v>76.894612009406998</v>
      </c>
      <c r="F46" s="30">
        <v>4.2436788359396099E-2</v>
      </c>
      <c r="G46" s="31">
        <v>73.123311351348306</v>
      </c>
      <c r="H46" s="30">
        <v>2.2798936509872001E-2</v>
      </c>
      <c r="I46" s="31">
        <v>75.687510091179504</v>
      </c>
      <c r="J46" s="30">
        <v>1.99717441616853E-2</v>
      </c>
      <c r="K46" s="31">
        <v>62.2050109215295</v>
      </c>
      <c r="L46" s="30">
        <v>3.7763255159583502E-2</v>
      </c>
      <c r="M46" s="31">
        <v>85.028013995055602</v>
      </c>
      <c r="N46" s="30">
        <v>8.03624014684194E-2</v>
      </c>
      <c r="O46" s="31">
        <v>96.120610340614405</v>
      </c>
      <c r="P46" s="30">
        <v>3.7120814296140101E-2</v>
      </c>
      <c r="Q46" s="31">
        <v>79.211019566132606</v>
      </c>
      <c r="R46" s="30">
        <v>4.0425357619358698E-2</v>
      </c>
      <c r="S46" s="31">
        <v>105.996132743194</v>
      </c>
      <c r="T46" s="30">
        <v>3.6141540485727298E-2</v>
      </c>
      <c r="U46" s="31"/>
      <c r="V46" s="30"/>
      <c r="W46" s="31"/>
      <c r="X46" s="30"/>
      <c r="Y46" s="31"/>
      <c r="Z46" s="30"/>
      <c r="AA46" s="31">
        <v>83.857977942058298</v>
      </c>
      <c r="AB46" s="30">
        <v>1.75698163650275E-2</v>
      </c>
      <c r="AC46" s="31">
        <v>86.571496700605294</v>
      </c>
      <c r="AD46" s="30">
        <v>9.6347411344857008E-3</v>
      </c>
      <c r="AE46" s="31">
        <v>97.917368165509103</v>
      </c>
      <c r="AF46" s="30">
        <v>2.7684117760700299E-2</v>
      </c>
      <c r="AG46" s="31">
        <v>103.91993060019</v>
      </c>
      <c r="AH46" s="30">
        <v>1.5006400525855E-2</v>
      </c>
      <c r="AI46" s="31">
        <v>77.484800081006895</v>
      </c>
      <c r="AJ46" s="30">
        <v>3.7796681332421297E-2</v>
      </c>
      <c r="AK46" s="31">
        <v>91.169150839735195</v>
      </c>
      <c r="AL46" s="30">
        <v>4.8958880613302801E-2</v>
      </c>
      <c r="AM46" s="31">
        <v>92.163202474263201</v>
      </c>
      <c r="AN46" s="30">
        <v>5.1203249984176601E-2</v>
      </c>
      <c r="AO46" s="31">
        <v>111.172826076107</v>
      </c>
      <c r="AP46" s="30">
        <v>6.1876179209115603E-2</v>
      </c>
      <c r="AQ46" s="31">
        <v>115.999460398137</v>
      </c>
      <c r="AR46" s="30">
        <v>4.9898164891450499E-2</v>
      </c>
      <c r="AS46" s="31">
        <v>84.120000157783394</v>
      </c>
      <c r="AT46" s="30">
        <v>4.2509537055130699E-2</v>
      </c>
      <c r="AU46" s="31">
        <v>83.665090088281602</v>
      </c>
      <c r="AV46" s="30">
        <v>2.6659771188702001E-2</v>
      </c>
      <c r="AW46" s="31">
        <v>79.284359801576301</v>
      </c>
      <c r="AX46" s="30">
        <v>2.7735931850473499E-2</v>
      </c>
      <c r="AY46" s="31">
        <v>92.191120447788705</v>
      </c>
      <c r="AZ46" s="30">
        <v>2.3333221473622399E-2</v>
      </c>
      <c r="BA46" s="31">
        <v>101.03843314644899</v>
      </c>
      <c r="BB46" s="30">
        <v>1.5441386626414E-2</v>
      </c>
      <c r="BC46" s="31">
        <v>104.320814358772</v>
      </c>
      <c r="BD46" s="30">
        <v>4.7552077446259E-2</v>
      </c>
      <c r="BE46" s="31"/>
      <c r="BF46" s="30"/>
    </row>
    <row r="47" spans="1:58" x14ac:dyDescent="0.2">
      <c r="A47" s="28">
        <v>1988</v>
      </c>
      <c r="B47" s="28">
        <v>4</v>
      </c>
      <c r="C47" s="31">
        <v>76.094434900785203</v>
      </c>
      <c r="D47" s="30">
        <v>2.9774041574052199E-2</v>
      </c>
      <c r="E47" s="31">
        <v>76.700549131396997</v>
      </c>
      <c r="F47" s="30">
        <v>4.0051585677416603E-2</v>
      </c>
      <c r="G47" s="31">
        <v>73.577168520155396</v>
      </c>
      <c r="H47" s="30">
        <v>2.3094167917104402E-2</v>
      </c>
      <c r="I47" s="31">
        <v>76.136490260050195</v>
      </c>
      <c r="J47" s="30">
        <v>2.0435983059440901E-2</v>
      </c>
      <c r="K47" s="31">
        <v>62.694594458779498</v>
      </c>
      <c r="L47" s="30">
        <v>3.7147141805916203E-2</v>
      </c>
      <c r="M47" s="31">
        <v>83.248132796200593</v>
      </c>
      <c r="N47" s="30">
        <v>7.2550005328920295E-2</v>
      </c>
      <c r="O47" s="31">
        <v>97.468928416680399</v>
      </c>
      <c r="P47" s="30">
        <v>4.6229896625465498E-2</v>
      </c>
      <c r="Q47" s="31">
        <v>80.149738601473302</v>
      </c>
      <c r="R47" s="30">
        <v>4.1647969086226602E-2</v>
      </c>
      <c r="S47" s="31">
        <v>107.645609686006</v>
      </c>
      <c r="T47" s="30">
        <v>4.6642205497147399E-2</v>
      </c>
      <c r="U47" s="31"/>
      <c r="V47" s="30"/>
      <c r="W47" s="31"/>
      <c r="X47" s="30"/>
      <c r="Y47" s="31"/>
      <c r="Z47" s="30"/>
      <c r="AA47" s="31">
        <v>85.201202622714703</v>
      </c>
      <c r="AB47" s="30">
        <v>3.3599679664804601E-2</v>
      </c>
      <c r="AC47" s="31">
        <v>88.483327805125498</v>
      </c>
      <c r="AD47" s="30">
        <v>3.0137115475325799E-2</v>
      </c>
      <c r="AE47" s="31">
        <v>101.284753155928</v>
      </c>
      <c r="AF47" s="30">
        <v>3.8432091472762497E-2</v>
      </c>
      <c r="AG47" s="31">
        <v>107.992819889446</v>
      </c>
      <c r="AH47" s="30">
        <v>2.95409108969069E-2</v>
      </c>
      <c r="AI47" s="31">
        <v>77.812491597588902</v>
      </c>
      <c r="AJ47" s="30">
        <v>4.1416651933600099E-2</v>
      </c>
      <c r="AK47" s="31">
        <v>91.340840180065598</v>
      </c>
      <c r="AL47" s="30">
        <v>5.7249720739945199E-2</v>
      </c>
      <c r="AM47" s="31">
        <v>91.794850343526207</v>
      </c>
      <c r="AN47" s="30">
        <v>5.5410928349699497E-2</v>
      </c>
      <c r="AO47" s="31">
        <v>112.902187388575</v>
      </c>
      <c r="AP47" s="30">
        <v>8.2856616219284501E-2</v>
      </c>
      <c r="AQ47" s="31">
        <v>117.771423167585</v>
      </c>
      <c r="AR47" s="30">
        <v>6.7229792366475499E-2</v>
      </c>
      <c r="AS47" s="31">
        <v>86.130157128296403</v>
      </c>
      <c r="AT47" s="30">
        <v>6.3533856044862197E-2</v>
      </c>
      <c r="AU47" s="31">
        <v>84.721334809472793</v>
      </c>
      <c r="AV47" s="30">
        <v>3.1345131416850899E-2</v>
      </c>
      <c r="AW47" s="31">
        <v>79.941164984721098</v>
      </c>
      <c r="AX47" s="30">
        <v>3.0409417486858801E-2</v>
      </c>
      <c r="AY47" s="31">
        <v>94.518159100163103</v>
      </c>
      <c r="AZ47" s="30">
        <v>3.38317316896415E-2</v>
      </c>
      <c r="BA47" s="31">
        <v>104.936820908293</v>
      </c>
      <c r="BB47" s="30">
        <v>2.9808956932652099E-2</v>
      </c>
      <c r="BC47" s="31">
        <v>106.160025646356</v>
      </c>
      <c r="BD47" s="30">
        <v>6.64749274661844E-2</v>
      </c>
      <c r="BE47" s="31"/>
      <c r="BF47" s="30"/>
    </row>
    <row r="48" spans="1:58" x14ac:dyDescent="0.2">
      <c r="A48" s="28">
        <v>1989</v>
      </c>
      <c r="B48" s="28">
        <v>1</v>
      </c>
      <c r="C48" s="31">
        <v>77.453473217052604</v>
      </c>
      <c r="D48" s="30">
        <v>3.2744146895454802E-2</v>
      </c>
      <c r="E48" s="31">
        <v>77.4081109779233</v>
      </c>
      <c r="F48" s="30">
        <v>3.09146043667239E-2</v>
      </c>
      <c r="G48" s="31">
        <v>74.201366288143802</v>
      </c>
      <c r="H48" s="30">
        <v>2.3778583287506799E-2</v>
      </c>
      <c r="I48" s="31">
        <v>76.749785824132005</v>
      </c>
      <c r="J48" s="30">
        <v>2.1761522424997799E-2</v>
      </c>
      <c r="K48" s="31">
        <v>63.355023908359399</v>
      </c>
      <c r="L48" s="30">
        <v>3.4145630969600403E-2</v>
      </c>
      <c r="M48" s="31">
        <v>84.3132743047872</v>
      </c>
      <c r="N48" s="30">
        <v>4.3093500588681402E-2</v>
      </c>
      <c r="O48" s="31">
        <v>99.481520705443899</v>
      </c>
      <c r="P48" s="30">
        <v>5.2681100161070499E-2</v>
      </c>
      <c r="Q48" s="31">
        <v>82.149256720961404</v>
      </c>
      <c r="R48" s="30">
        <v>4.5435724830173302E-2</v>
      </c>
      <c r="S48" s="31">
        <v>109.57162871872499</v>
      </c>
      <c r="T48" s="30">
        <v>5.7399065737472797E-2</v>
      </c>
      <c r="U48" s="31"/>
      <c r="V48" s="30"/>
      <c r="W48" s="31"/>
      <c r="X48" s="30"/>
      <c r="Y48" s="31"/>
      <c r="Z48" s="30"/>
      <c r="AA48" s="31">
        <v>88.349785772784301</v>
      </c>
      <c r="AB48" s="30">
        <v>7.7630632984988707E-2</v>
      </c>
      <c r="AC48" s="31">
        <v>92.529512062828999</v>
      </c>
      <c r="AD48" s="30">
        <v>9.6601135296469701E-2</v>
      </c>
      <c r="AE48" s="31">
        <v>104.45303475990301</v>
      </c>
      <c r="AF48" s="30">
        <v>6.6236070214762396E-2</v>
      </c>
      <c r="AG48" s="31">
        <v>110.703564319808</v>
      </c>
      <c r="AH48" s="30">
        <v>5.5443164661513E-2</v>
      </c>
      <c r="AI48" s="31">
        <v>78.916068755495502</v>
      </c>
      <c r="AJ48" s="30">
        <v>3.3388070773603E-2</v>
      </c>
      <c r="AK48" s="31">
        <v>93.013426302490004</v>
      </c>
      <c r="AL48" s="30">
        <v>7.7006714192976694E-2</v>
      </c>
      <c r="AM48" s="31">
        <v>93.438600453840095</v>
      </c>
      <c r="AN48" s="30">
        <v>7.2040880358913706E-2</v>
      </c>
      <c r="AO48" s="31">
        <v>114.470115778246</v>
      </c>
      <c r="AP48" s="30">
        <v>8.4793190994107495E-2</v>
      </c>
      <c r="AQ48" s="31">
        <v>121.975637805281</v>
      </c>
      <c r="AR48" s="30">
        <v>8.4538730336073398E-2</v>
      </c>
      <c r="AS48" s="31">
        <v>87.754718510171898</v>
      </c>
      <c r="AT48" s="30">
        <v>9.4951604103126197E-2</v>
      </c>
      <c r="AU48" s="31">
        <v>85.989536956024807</v>
      </c>
      <c r="AV48" s="30">
        <v>3.6907303874291503E-2</v>
      </c>
      <c r="AW48" s="31">
        <v>80.975150135621803</v>
      </c>
      <c r="AX48" s="30">
        <v>3.3446126340322499E-2</v>
      </c>
      <c r="AY48" s="31">
        <v>96.498813878926399</v>
      </c>
      <c r="AZ48" s="30">
        <v>4.6877893954797599E-2</v>
      </c>
      <c r="BA48" s="31">
        <v>107.537025613038</v>
      </c>
      <c r="BB48" s="30">
        <v>5.51383682383517E-2</v>
      </c>
      <c r="BC48" s="31">
        <v>109.47451556966701</v>
      </c>
      <c r="BD48" s="30">
        <v>8.7395487678339601E-2</v>
      </c>
      <c r="BE48" s="31"/>
      <c r="BF48" s="30"/>
    </row>
    <row r="49" spans="1:58" x14ac:dyDescent="0.2">
      <c r="A49" s="28">
        <v>1989</v>
      </c>
      <c r="B49" s="28">
        <v>2</v>
      </c>
      <c r="C49" s="31">
        <v>78.036342120976698</v>
      </c>
      <c r="D49" s="30">
        <v>3.4741367672360003E-2</v>
      </c>
      <c r="E49" s="31">
        <v>78.449780954437401</v>
      </c>
      <c r="F49" s="30">
        <v>3.2063691332868197E-2</v>
      </c>
      <c r="G49" s="31">
        <v>75.060586893780894</v>
      </c>
      <c r="H49" s="30">
        <v>2.9833630879113601E-2</v>
      </c>
      <c r="I49" s="31">
        <v>77.698731130942207</v>
      </c>
      <c r="J49" s="30">
        <v>2.9426447987511699E-2</v>
      </c>
      <c r="K49" s="31">
        <v>63.8354702193012</v>
      </c>
      <c r="L49" s="30">
        <v>3.1945721750193501E-2</v>
      </c>
      <c r="M49" s="31">
        <v>85.731565480382599</v>
      </c>
      <c r="N49" s="30">
        <v>3.6222773711579899E-2</v>
      </c>
      <c r="O49" s="31">
        <v>100.594823318773</v>
      </c>
      <c r="P49" s="30">
        <v>5.3520934845795697E-2</v>
      </c>
      <c r="Q49" s="31">
        <v>82.993098350045699</v>
      </c>
      <c r="R49" s="30">
        <v>4.6123712860198798E-2</v>
      </c>
      <c r="S49" s="31">
        <v>110.87542563622399</v>
      </c>
      <c r="T49" s="30">
        <v>5.9025139462189201E-2</v>
      </c>
      <c r="U49" s="31"/>
      <c r="V49" s="30"/>
      <c r="W49" s="31"/>
      <c r="X49" s="30"/>
      <c r="Y49" s="31"/>
      <c r="Z49" s="30"/>
      <c r="AA49" s="31">
        <v>90.284256582374894</v>
      </c>
      <c r="AB49" s="30">
        <v>8.7700973971053198E-2</v>
      </c>
      <c r="AC49" s="31">
        <v>94.824521660908204</v>
      </c>
      <c r="AD49" s="30">
        <v>0.107922635996514</v>
      </c>
      <c r="AE49" s="31">
        <v>106.12131794415799</v>
      </c>
      <c r="AF49" s="30">
        <v>8.7188842964675398E-2</v>
      </c>
      <c r="AG49" s="31">
        <v>112.156922546053</v>
      </c>
      <c r="AH49" s="30">
        <v>7.3260404680600896E-2</v>
      </c>
      <c r="AI49" s="31">
        <v>79.916399734161701</v>
      </c>
      <c r="AJ49" s="30">
        <v>3.7807269275390597E-2</v>
      </c>
      <c r="AK49" s="31">
        <v>96.150876626560802</v>
      </c>
      <c r="AL49" s="30">
        <v>7.9971455625214002E-2</v>
      </c>
      <c r="AM49" s="31">
        <v>96.385004485032894</v>
      </c>
      <c r="AN49" s="30">
        <v>7.4169316925057502E-2</v>
      </c>
      <c r="AO49" s="31">
        <v>118.87603468121701</v>
      </c>
      <c r="AP49" s="30">
        <v>0.10078686901945</v>
      </c>
      <c r="AQ49" s="31">
        <v>124.204867832324</v>
      </c>
      <c r="AR49" s="30">
        <v>8.9807931239580502E-2</v>
      </c>
      <c r="AS49" s="31">
        <v>91.633629460184196</v>
      </c>
      <c r="AT49" s="30">
        <v>0.10380675104713</v>
      </c>
      <c r="AU49" s="31">
        <v>87.042710852514602</v>
      </c>
      <c r="AV49" s="30">
        <v>4.3750165395211899E-2</v>
      </c>
      <c r="AW49" s="31">
        <v>81.925729496958695</v>
      </c>
      <c r="AX49" s="30">
        <v>3.7880900977899798E-2</v>
      </c>
      <c r="AY49" s="31">
        <v>97.791442835981798</v>
      </c>
      <c r="AZ49" s="30">
        <v>6.0544495718824601E-2</v>
      </c>
      <c r="BA49" s="31">
        <v>108.94385904915799</v>
      </c>
      <c r="BB49" s="30">
        <v>7.2625912710779103E-2</v>
      </c>
      <c r="BC49" s="31">
        <v>112.190005944974</v>
      </c>
      <c r="BD49" s="30">
        <v>9.3203306176967093E-2</v>
      </c>
      <c r="BE49" s="31"/>
      <c r="BF49" s="30"/>
    </row>
    <row r="50" spans="1:58" x14ac:dyDescent="0.2">
      <c r="A50" s="28">
        <v>1989</v>
      </c>
      <c r="B50" s="28">
        <v>3</v>
      </c>
      <c r="C50" s="31">
        <v>78.389814900726293</v>
      </c>
      <c r="D50" s="30">
        <v>3.35404475464414E-2</v>
      </c>
      <c r="E50" s="31">
        <v>78.509172039458207</v>
      </c>
      <c r="F50" s="30">
        <v>2.0997050220549901E-2</v>
      </c>
      <c r="G50" s="31">
        <v>75.492973515417205</v>
      </c>
      <c r="H50" s="30">
        <v>3.2406384780401899E-2</v>
      </c>
      <c r="I50" s="31">
        <v>78.155884895144595</v>
      </c>
      <c r="J50" s="30">
        <v>3.2612709824796998E-2</v>
      </c>
      <c r="K50" s="31">
        <v>64.162603625758607</v>
      </c>
      <c r="L50" s="30">
        <v>3.1470016245131599E-2</v>
      </c>
      <c r="M50" s="31">
        <v>85.027999144273394</v>
      </c>
      <c r="N50" s="30">
        <v>-1.7465752233381001E-7</v>
      </c>
      <c r="O50" s="31">
        <v>100.62381063441801</v>
      </c>
      <c r="P50" s="30">
        <v>4.6849476692315997E-2</v>
      </c>
      <c r="Q50" s="31">
        <v>82.680244211262703</v>
      </c>
      <c r="R50" s="30">
        <v>4.3797247707859602E-2</v>
      </c>
      <c r="S50" s="31">
        <v>111.286008592711</v>
      </c>
      <c r="T50" s="30">
        <v>4.9906309905974E-2</v>
      </c>
      <c r="U50" s="31"/>
      <c r="V50" s="30"/>
      <c r="W50" s="31"/>
      <c r="X50" s="30"/>
      <c r="Y50" s="31"/>
      <c r="Z50" s="30"/>
      <c r="AA50" s="31">
        <v>90.408389802861294</v>
      </c>
      <c r="AB50" s="30">
        <v>7.8113162534505301E-2</v>
      </c>
      <c r="AC50" s="31">
        <v>95.220397002374796</v>
      </c>
      <c r="AD50" s="30">
        <v>9.9904710342254996E-2</v>
      </c>
      <c r="AE50" s="31">
        <v>107.061345883423</v>
      </c>
      <c r="AF50" s="30">
        <v>9.3384635322892595E-2</v>
      </c>
      <c r="AG50" s="31">
        <v>113.11279232130499</v>
      </c>
      <c r="AH50" s="30">
        <v>8.8461007123677493E-2</v>
      </c>
      <c r="AI50" s="31">
        <v>79.954684989669403</v>
      </c>
      <c r="AJ50" s="30">
        <v>3.1875734416044299E-2</v>
      </c>
      <c r="AK50" s="31">
        <v>95.485436575601696</v>
      </c>
      <c r="AL50" s="30">
        <v>4.7343708876416098E-2</v>
      </c>
      <c r="AM50" s="31">
        <v>95.694627909734507</v>
      </c>
      <c r="AN50" s="30">
        <v>3.8317086870515597E-2</v>
      </c>
      <c r="AO50" s="31">
        <v>119.83020652058499</v>
      </c>
      <c r="AP50" s="30">
        <v>7.7873170540357306E-2</v>
      </c>
      <c r="AQ50" s="31">
        <v>124.450461053819</v>
      </c>
      <c r="AR50" s="30">
        <v>7.2853792825208694E-2</v>
      </c>
      <c r="AS50" s="31">
        <v>90.900870422879606</v>
      </c>
      <c r="AT50" s="30">
        <v>8.06094894481377E-2</v>
      </c>
      <c r="AU50" s="31">
        <v>87.370188443963897</v>
      </c>
      <c r="AV50" s="30">
        <v>4.42848785768684E-2</v>
      </c>
      <c r="AW50" s="31">
        <v>82.233569979522898</v>
      </c>
      <c r="AX50" s="30">
        <v>3.7197880960728701E-2</v>
      </c>
      <c r="AY50" s="31">
        <v>98.215256371723598</v>
      </c>
      <c r="AZ50" s="30">
        <v>6.5343992942862694E-2</v>
      </c>
      <c r="BA50" s="31">
        <v>109.86933448394601</v>
      </c>
      <c r="BB50" s="30">
        <v>8.7401408181939894E-2</v>
      </c>
      <c r="BC50" s="31">
        <v>112.151186185361</v>
      </c>
      <c r="BD50" s="30">
        <v>7.5060493677316306E-2</v>
      </c>
      <c r="BE50" s="31"/>
      <c r="BF50" s="30"/>
    </row>
    <row r="51" spans="1:58" x14ac:dyDescent="0.2">
      <c r="A51" s="28">
        <v>1989</v>
      </c>
      <c r="B51" s="28">
        <v>4</v>
      </c>
      <c r="C51" s="31">
        <v>78.920076838305604</v>
      </c>
      <c r="D51" s="30">
        <v>3.7133358585349899E-2</v>
      </c>
      <c r="E51" s="31">
        <v>79.397410538821305</v>
      </c>
      <c r="F51" s="30">
        <v>3.5160913943448599E-2</v>
      </c>
      <c r="G51" s="31">
        <v>76.556347767182004</v>
      </c>
      <c r="H51" s="30">
        <v>4.0490539483188502E-2</v>
      </c>
      <c r="I51" s="31">
        <v>79.293749042035699</v>
      </c>
      <c r="J51" s="30">
        <v>4.1468404587624602E-2</v>
      </c>
      <c r="K51" s="31">
        <v>64.916579493980706</v>
      </c>
      <c r="L51" s="30">
        <v>3.5441413320922002E-2</v>
      </c>
      <c r="M51" s="31">
        <v>85.583191140712003</v>
      </c>
      <c r="N51" s="30">
        <v>2.8049377998997201E-2</v>
      </c>
      <c r="O51" s="31">
        <v>101.23419295879</v>
      </c>
      <c r="P51" s="30">
        <v>3.8630408718695899E-2</v>
      </c>
      <c r="Q51" s="31">
        <v>84.065479057253896</v>
      </c>
      <c r="R51" s="30">
        <v>4.8855311621797799E-2</v>
      </c>
      <c r="S51" s="31">
        <v>111.123609929902</v>
      </c>
      <c r="T51" s="30">
        <v>3.2309726834569799E-2</v>
      </c>
      <c r="U51" s="31"/>
      <c r="V51" s="30"/>
      <c r="W51" s="31"/>
      <c r="X51" s="30"/>
      <c r="Y51" s="31"/>
      <c r="Z51" s="30"/>
      <c r="AA51" s="31">
        <v>91.624042915136897</v>
      </c>
      <c r="AB51" s="30">
        <v>7.53843853691087E-2</v>
      </c>
      <c r="AC51" s="31">
        <v>96.394553240139203</v>
      </c>
      <c r="AD51" s="30">
        <v>8.9409221276546894E-2</v>
      </c>
      <c r="AE51" s="31">
        <v>108.01899936878</v>
      </c>
      <c r="AF51" s="30">
        <v>6.6488252209924201E-2</v>
      </c>
      <c r="AG51" s="31">
        <v>114.163615070562</v>
      </c>
      <c r="AH51" s="30">
        <v>5.7140791280696303E-2</v>
      </c>
      <c r="AI51" s="31">
        <v>80.427062513985405</v>
      </c>
      <c r="AJ51" s="30">
        <v>3.3600915003697301E-2</v>
      </c>
      <c r="AK51" s="31">
        <v>97.812182876632406</v>
      </c>
      <c r="AL51" s="30">
        <v>7.0848293970249901E-2</v>
      </c>
      <c r="AM51" s="31">
        <v>98.237578947011201</v>
      </c>
      <c r="AN51" s="30">
        <v>7.0186165992690799E-2</v>
      </c>
      <c r="AO51" s="31">
        <v>121.734347114312</v>
      </c>
      <c r="AP51" s="30">
        <v>7.8228419927235199E-2</v>
      </c>
      <c r="AQ51" s="31">
        <v>125.27960173853</v>
      </c>
      <c r="AR51" s="30">
        <v>6.3752125677049895E-2</v>
      </c>
      <c r="AS51" s="31">
        <v>92.484829733896106</v>
      </c>
      <c r="AT51" s="30">
        <v>7.3779879399662907E-2</v>
      </c>
      <c r="AU51" s="31">
        <v>88.345246207244998</v>
      </c>
      <c r="AV51" s="30">
        <v>4.2774484206626703E-2</v>
      </c>
      <c r="AW51" s="31">
        <v>83.151765260174102</v>
      </c>
      <c r="AX51" s="30">
        <v>4.0162040121213903E-2</v>
      </c>
      <c r="AY51" s="31">
        <v>99.243422759111795</v>
      </c>
      <c r="AZ51" s="30">
        <v>4.9993183362164503E-2</v>
      </c>
      <c r="BA51" s="31">
        <v>110.897829778953</v>
      </c>
      <c r="BB51" s="30">
        <v>5.68056933597176E-2</v>
      </c>
      <c r="BC51" s="31">
        <v>113.170222429335</v>
      </c>
      <c r="BD51" s="30">
        <v>6.6034241611164807E-2</v>
      </c>
      <c r="BE51" s="31"/>
      <c r="BF51" s="30"/>
    </row>
    <row r="52" spans="1:58" x14ac:dyDescent="0.2">
      <c r="A52" s="28">
        <v>1990</v>
      </c>
      <c r="B52" s="28">
        <v>1</v>
      </c>
      <c r="C52" s="31">
        <v>80.615477105066105</v>
      </c>
      <c r="D52" s="30">
        <v>4.0824559011736199E-2</v>
      </c>
      <c r="E52" s="31">
        <v>80.693103675325005</v>
      </c>
      <c r="F52" s="30">
        <v>4.2437318982485601E-2</v>
      </c>
      <c r="G52" s="31">
        <v>77.853805081905804</v>
      </c>
      <c r="H52" s="30">
        <v>4.9223336125355302E-2</v>
      </c>
      <c r="I52" s="31">
        <v>80.621567725839597</v>
      </c>
      <c r="J52" s="30">
        <v>5.0446810504195999E-2</v>
      </c>
      <c r="K52" s="31">
        <v>66.084760977935701</v>
      </c>
      <c r="L52" s="30">
        <v>4.3086355290856901E-2</v>
      </c>
      <c r="M52" s="31">
        <v>86.865252056465494</v>
      </c>
      <c r="N52" s="30">
        <v>3.0267805072461001E-2</v>
      </c>
      <c r="O52" s="31">
        <v>102.278971703881</v>
      </c>
      <c r="P52" s="30">
        <v>2.8120307958700699E-2</v>
      </c>
      <c r="Q52" s="31">
        <v>87.1497429634517</v>
      </c>
      <c r="R52" s="30">
        <v>6.0870742379028897E-2</v>
      </c>
      <c r="S52" s="31">
        <v>110.306467317463</v>
      </c>
      <c r="T52" s="30">
        <v>6.7064677903478902E-3</v>
      </c>
      <c r="U52" s="31"/>
      <c r="V52" s="30"/>
      <c r="W52" s="31"/>
      <c r="X52" s="30"/>
      <c r="Y52" s="31"/>
      <c r="Z52" s="30"/>
      <c r="AA52" s="31">
        <v>90.792271750019097</v>
      </c>
      <c r="AB52" s="30">
        <v>2.76456355368691E-2</v>
      </c>
      <c r="AC52" s="31">
        <v>94.950023652088106</v>
      </c>
      <c r="AD52" s="30">
        <v>2.6159346734862199E-2</v>
      </c>
      <c r="AE52" s="31">
        <v>107.316267605633</v>
      </c>
      <c r="AF52" s="30">
        <v>2.74116769542572E-2</v>
      </c>
      <c r="AG52" s="31">
        <v>114.20552952199201</v>
      </c>
      <c r="AH52" s="30">
        <v>3.1633716797652402E-2</v>
      </c>
      <c r="AI52" s="31">
        <v>81.407658694544494</v>
      </c>
      <c r="AJ52" s="30">
        <v>3.1572656600123802E-2</v>
      </c>
      <c r="AK52" s="31">
        <v>95.816004438559602</v>
      </c>
      <c r="AL52" s="30">
        <v>3.0130898811911999E-2</v>
      </c>
      <c r="AM52" s="31">
        <v>96.070583879301594</v>
      </c>
      <c r="AN52" s="30">
        <v>2.81680527392076E-2</v>
      </c>
      <c r="AO52" s="31">
        <v>119.601600112502</v>
      </c>
      <c r="AP52" s="30">
        <v>4.4828157107813099E-2</v>
      </c>
      <c r="AQ52" s="31">
        <v>126.52446897703</v>
      </c>
      <c r="AR52" s="30">
        <v>3.7292948441149103E-2</v>
      </c>
      <c r="AS52" s="31">
        <v>91.139081477608798</v>
      </c>
      <c r="AT52" s="30">
        <v>3.8566165157769602E-2</v>
      </c>
      <c r="AU52" s="31">
        <v>89.3748000257184</v>
      </c>
      <c r="AV52" s="30">
        <v>3.9368313745250502E-2</v>
      </c>
      <c r="AW52" s="31">
        <v>84.3747468421099</v>
      </c>
      <c r="AX52" s="30">
        <v>4.19832096735131E-2</v>
      </c>
      <c r="AY52" s="31">
        <v>99.575774580605099</v>
      </c>
      <c r="AZ52" s="30">
        <v>3.1885995050045399E-2</v>
      </c>
      <c r="BA52" s="31">
        <v>110.958309084448</v>
      </c>
      <c r="BB52" s="30">
        <v>3.18149349203753E-2</v>
      </c>
      <c r="BC52" s="31">
        <v>113.612484801286</v>
      </c>
      <c r="BD52" s="30">
        <v>3.7798470357105901E-2</v>
      </c>
      <c r="BE52" s="31"/>
      <c r="BF52" s="30"/>
    </row>
    <row r="53" spans="1:58" x14ac:dyDescent="0.2">
      <c r="A53" s="28">
        <v>1990</v>
      </c>
      <c r="B53" s="28">
        <v>2</v>
      </c>
      <c r="C53" s="31">
        <v>81.4793747494857</v>
      </c>
      <c r="D53" s="30">
        <v>4.4120886947409503E-2</v>
      </c>
      <c r="E53" s="31">
        <v>80.491726600335795</v>
      </c>
      <c r="F53" s="30">
        <v>2.6028697863214701E-2</v>
      </c>
      <c r="G53" s="31">
        <v>78.696623414043103</v>
      </c>
      <c r="H53" s="30">
        <v>4.8441354787268E-2</v>
      </c>
      <c r="I53" s="31">
        <v>81.450464015773306</v>
      </c>
      <c r="J53" s="30">
        <v>4.8285639034548702E-2</v>
      </c>
      <c r="K53" s="31">
        <v>66.9755398335938</v>
      </c>
      <c r="L53" s="30">
        <v>4.9190044398595797E-2</v>
      </c>
      <c r="M53" s="31">
        <v>84.953468178448006</v>
      </c>
      <c r="N53" s="30">
        <v>-9.0759721646828107E-3</v>
      </c>
      <c r="O53" s="31">
        <v>102.634188151408</v>
      </c>
      <c r="P53" s="30">
        <v>2.0273059441359199E-2</v>
      </c>
      <c r="Q53" s="31">
        <v>88.122801625573203</v>
      </c>
      <c r="R53" s="30">
        <v>6.1808793472098299E-2</v>
      </c>
      <c r="S53" s="31">
        <v>109.98879504736399</v>
      </c>
      <c r="T53" s="30">
        <v>-7.9966375215493306E-3</v>
      </c>
      <c r="U53" s="31"/>
      <c r="V53" s="30"/>
      <c r="W53" s="31"/>
      <c r="X53" s="30"/>
      <c r="Y53" s="31"/>
      <c r="Z53" s="30"/>
      <c r="AA53" s="31">
        <v>87.820801259893202</v>
      </c>
      <c r="AB53" s="30">
        <v>-2.72855469572824E-2</v>
      </c>
      <c r="AC53" s="31">
        <v>90.734828417129705</v>
      </c>
      <c r="AD53" s="30">
        <v>-4.3129068010522298E-2</v>
      </c>
      <c r="AE53" s="31">
        <v>105.83325155095901</v>
      </c>
      <c r="AF53" s="30">
        <v>-2.7145007127634701E-3</v>
      </c>
      <c r="AG53" s="31">
        <v>114.202309825751</v>
      </c>
      <c r="AH53" s="30">
        <v>1.8236834902974699E-2</v>
      </c>
      <c r="AI53" s="31">
        <v>81.602900459607994</v>
      </c>
      <c r="AJ53" s="30">
        <v>2.1103312099348501E-2</v>
      </c>
      <c r="AK53" s="31">
        <v>90.409441586602</v>
      </c>
      <c r="AL53" s="30">
        <v>-5.9712768530003298E-2</v>
      </c>
      <c r="AM53" s="31">
        <v>89.380427713213294</v>
      </c>
      <c r="AN53" s="30">
        <v>-7.2672889411000099E-2</v>
      </c>
      <c r="AO53" s="31">
        <v>113.96605568052099</v>
      </c>
      <c r="AP53" s="30">
        <v>-4.1303354489095702E-2</v>
      </c>
      <c r="AQ53" s="31">
        <v>121.49860595318501</v>
      </c>
      <c r="AR53" s="30">
        <v>-2.17886941660962E-2</v>
      </c>
      <c r="AS53" s="31">
        <v>91.326379041463596</v>
      </c>
      <c r="AT53" s="30">
        <v>-3.3530312018710301E-3</v>
      </c>
      <c r="AU53" s="31">
        <v>89.935169241568403</v>
      </c>
      <c r="AV53" s="30">
        <v>3.3230334403931701E-2</v>
      </c>
      <c r="AW53" s="31">
        <v>85.057960193026403</v>
      </c>
      <c r="AX53" s="30">
        <v>3.8232563997907303E-2</v>
      </c>
      <c r="AY53" s="31">
        <v>99.666916075285101</v>
      </c>
      <c r="AZ53" s="30">
        <v>1.9178296023803599E-2</v>
      </c>
      <c r="BA53" s="31">
        <v>110.98364511904801</v>
      </c>
      <c r="BB53" s="30">
        <v>1.8723277178663199E-2</v>
      </c>
      <c r="BC53" s="31">
        <v>110.280234458446</v>
      </c>
      <c r="BD53" s="30">
        <v>-1.7022652512066899E-2</v>
      </c>
      <c r="BE53" s="31"/>
      <c r="BF53" s="30"/>
    </row>
    <row r="54" spans="1:58" x14ac:dyDescent="0.2">
      <c r="A54" s="28">
        <v>1990</v>
      </c>
      <c r="B54" s="28">
        <v>3</v>
      </c>
      <c r="C54" s="31">
        <v>82.1454405731902</v>
      </c>
      <c r="D54" s="30">
        <v>4.7909612712060401E-2</v>
      </c>
      <c r="E54" s="31">
        <v>81.844094103453301</v>
      </c>
      <c r="F54" s="30">
        <v>4.2478120420363003E-2</v>
      </c>
      <c r="G54" s="31">
        <v>79.682533719015794</v>
      </c>
      <c r="H54" s="30">
        <v>5.5496028418366303E-2</v>
      </c>
      <c r="I54" s="31">
        <v>82.531612918253998</v>
      </c>
      <c r="J54" s="30">
        <v>5.59871854688863E-2</v>
      </c>
      <c r="K54" s="31">
        <v>67.5764259886178</v>
      </c>
      <c r="L54" s="30">
        <v>5.3205795431416202E-2</v>
      </c>
      <c r="M54" s="31">
        <v>86.6889933553188</v>
      </c>
      <c r="N54" s="30">
        <v>1.95346736105955E-2</v>
      </c>
      <c r="O54" s="31">
        <v>102.225863075028</v>
      </c>
      <c r="P54" s="30">
        <v>1.5921206228519901E-2</v>
      </c>
      <c r="Q54" s="31">
        <v>86.985889295991399</v>
      </c>
      <c r="R54" s="30">
        <v>5.20758631738805E-2</v>
      </c>
      <c r="S54" s="31">
        <v>110.073377479748</v>
      </c>
      <c r="T54" s="30">
        <v>-1.08965280388575E-2</v>
      </c>
      <c r="U54" s="31"/>
      <c r="V54" s="30"/>
      <c r="W54" s="31"/>
      <c r="X54" s="30"/>
      <c r="Y54" s="31"/>
      <c r="Z54" s="30"/>
      <c r="AA54" s="31">
        <v>87.8048170782222</v>
      </c>
      <c r="AB54" s="30">
        <v>-2.8797910573523398E-2</v>
      </c>
      <c r="AC54" s="31">
        <v>90.040289816536301</v>
      </c>
      <c r="AD54" s="30">
        <v>-5.4401234913033197E-2</v>
      </c>
      <c r="AE54" s="31">
        <v>104.73694099708899</v>
      </c>
      <c r="AF54" s="30">
        <v>-2.1710962692965199E-2</v>
      </c>
      <c r="AG54" s="31">
        <v>113.02770505099301</v>
      </c>
      <c r="AH54" s="30">
        <v>-7.5223384168776597E-4</v>
      </c>
      <c r="AI54" s="31">
        <v>82.453077866401799</v>
      </c>
      <c r="AJ54" s="30">
        <v>3.1247610781723001E-2</v>
      </c>
      <c r="AK54" s="31">
        <v>91.444734948600399</v>
      </c>
      <c r="AL54" s="30">
        <v>-4.2317465070205E-2</v>
      </c>
      <c r="AM54" s="31">
        <v>90.631916138875695</v>
      </c>
      <c r="AN54" s="30">
        <v>-5.2904869180683801E-2</v>
      </c>
      <c r="AO54" s="31">
        <v>114.967791790772</v>
      </c>
      <c r="AP54" s="30">
        <v>-4.0577537759462497E-2</v>
      </c>
      <c r="AQ54" s="31">
        <v>121.10776586691</v>
      </c>
      <c r="AR54" s="30">
        <v>-2.6859644862738501E-2</v>
      </c>
      <c r="AS54" s="31">
        <v>90.494771078204096</v>
      </c>
      <c r="AT54" s="30">
        <v>-4.4674967663818101E-3</v>
      </c>
      <c r="AU54" s="31">
        <v>90.351550492381506</v>
      </c>
      <c r="AV54" s="30">
        <v>3.4123333158766499E-2</v>
      </c>
      <c r="AW54" s="31">
        <v>85.638267117785205</v>
      </c>
      <c r="AX54" s="30">
        <v>4.14027645778983E-2</v>
      </c>
      <c r="AY54" s="31">
        <v>99.435372073155406</v>
      </c>
      <c r="AZ54" s="30">
        <v>1.24228734567868E-2</v>
      </c>
      <c r="BA54" s="31">
        <v>109.90827611144</v>
      </c>
      <c r="BB54" s="30">
        <v>3.5443581848193501E-4</v>
      </c>
      <c r="BC54" s="31">
        <v>109.796527214232</v>
      </c>
      <c r="BD54" s="30">
        <v>-2.09953996138471E-2</v>
      </c>
      <c r="BE54" s="31"/>
      <c r="BF54" s="30"/>
    </row>
    <row r="55" spans="1:58" x14ac:dyDescent="0.2">
      <c r="A55" s="28">
        <v>1990</v>
      </c>
      <c r="B55" s="28">
        <v>4</v>
      </c>
      <c r="C55" s="31">
        <v>82.978679994592994</v>
      </c>
      <c r="D55" s="30">
        <v>5.1426751200494399E-2</v>
      </c>
      <c r="E55" s="31">
        <v>83.0738672434032</v>
      </c>
      <c r="F55" s="30">
        <v>4.6304491287966397E-2</v>
      </c>
      <c r="G55" s="31">
        <v>80.897871463932404</v>
      </c>
      <c r="H55" s="30">
        <v>5.6710172616299702E-2</v>
      </c>
      <c r="I55" s="31">
        <v>83.781823232300894</v>
      </c>
      <c r="J55" s="30">
        <v>5.6600605274520703E-2</v>
      </c>
      <c r="K55" s="31">
        <v>68.637220898468101</v>
      </c>
      <c r="L55" s="30">
        <v>5.7314193592600503E-2</v>
      </c>
      <c r="M55" s="31">
        <v>87.953811389598101</v>
      </c>
      <c r="N55" s="30">
        <v>2.76996010231545E-2</v>
      </c>
      <c r="O55" s="31">
        <v>102.397786857949</v>
      </c>
      <c r="P55" s="30">
        <v>1.14940798671943E-2</v>
      </c>
      <c r="Q55" s="31">
        <v>87.424753179266801</v>
      </c>
      <c r="R55" s="30">
        <v>3.9960209109437497E-2</v>
      </c>
      <c r="S55" s="31">
        <v>110.649356678464</v>
      </c>
      <c r="T55" s="30">
        <v>-4.2677991809049196E-3</v>
      </c>
      <c r="U55" s="31"/>
      <c r="V55" s="30"/>
      <c r="W55" s="31"/>
      <c r="X55" s="30"/>
      <c r="Y55" s="31"/>
      <c r="Z55" s="30"/>
      <c r="AA55" s="31">
        <v>87.582429502501597</v>
      </c>
      <c r="AB55" s="30">
        <v>-4.4110839077234898E-2</v>
      </c>
      <c r="AC55" s="31">
        <v>89.900641768708198</v>
      </c>
      <c r="AD55" s="30">
        <v>-6.7368033287662402E-2</v>
      </c>
      <c r="AE55" s="31">
        <v>105.262256280922</v>
      </c>
      <c r="AF55" s="30">
        <v>-2.5520909321201098E-2</v>
      </c>
      <c r="AG55" s="31">
        <v>113.800840313387</v>
      </c>
      <c r="AH55" s="30">
        <v>-3.1776740509739101E-3</v>
      </c>
      <c r="AI55" s="31">
        <v>83.233410978019293</v>
      </c>
      <c r="AJ55" s="30">
        <v>3.4893086683924802E-2</v>
      </c>
      <c r="AK55" s="31">
        <v>92.452607584807694</v>
      </c>
      <c r="AL55" s="30">
        <v>-5.4794557632811297E-2</v>
      </c>
      <c r="AM55" s="31">
        <v>91.3959129787726</v>
      </c>
      <c r="AN55" s="30">
        <v>-6.9644081639358202E-2</v>
      </c>
      <c r="AO55" s="31">
        <v>117.697285431898</v>
      </c>
      <c r="AP55" s="30">
        <v>-3.3162881126912298E-2</v>
      </c>
      <c r="AQ55" s="31">
        <v>124.18988448821101</v>
      </c>
      <c r="AR55" s="30">
        <v>-8.6982815653631196E-3</v>
      </c>
      <c r="AS55" s="31">
        <v>92.826548662317805</v>
      </c>
      <c r="AT55" s="30">
        <v>3.6948646540733202E-3</v>
      </c>
      <c r="AU55" s="31">
        <v>91.283454993044003</v>
      </c>
      <c r="AV55" s="30">
        <v>3.3258255672370597E-2</v>
      </c>
      <c r="AW55" s="31">
        <v>86.656982058581093</v>
      </c>
      <c r="AX55" s="30">
        <v>4.21544484045464E-2</v>
      </c>
      <c r="AY55" s="31">
        <v>100.055895370741</v>
      </c>
      <c r="AZ55" s="30">
        <v>8.1866645571220305E-3</v>
      </c>
      <c r="BA55" s="31">
        <v>110.674003927125</v>
      </c>
      <c r="BB55" s="30">
        <v>-2.01830687105786E-3</v>
      </c>
      <c r="BC55" s="31">
        <v>112.568452087998</v>
      </c>
      <c r="BD55" s="30">
        <v>-5.3173911689793404E-3</v>
      </c>
      <c r="BE55" s="31"/>
      <c r="BF55" s="30"/>
    </row>
    <row r="56" spans="1:58" x14ac:dyDescent="0.2">
      <c r="A56" s="28">
        <v>1991</v>
      </c>
      <c r="B56" s="28">
        <v>1</v>
      </c>
      <c r="C56" s="31">
        <v>85.079653733386294</v>
      </c>
      <c r="D56" s="30">
        <v>5.53761732688383E-2</v>
      </c>
      <c r="E56" s="31">
        <v>83.778856842686395</v>
      </c>
      <c r="F56" s="30">
        <v>3.8240605786798103E-2</v>
      </c>
      <c r="G56" s="31">
        <v>82.127267690045898</v>
      </c>
      <c r="H56" s="30">
        <v>5.4890863762461703E-2</v>
      </c>
      <c r="I56" s="31">
        <v>84.9344383753443</v>
      </c>
      <c r="J56" s="30">
        <v>5.3495246633890499E-2</v>
      </c>
      <c r="K56" s="31">
        <v>70.154807421548199</v>
      </c>
      <c r="L56" s="30">
        <v>6.1588275169390097E-2</v>
      </c>
      <c r="M56" s="31">
        <v>87.617080650574806</v>
      </c>
      <c r="N56" s="30">
        <v>8.6551132508159209E-3</v>
      </c>
      <c r="O56" s="31">
        <v>104.138104100212</v>
      </c>
      <c r="P56" s="30">
        <v>1.8177073599390501E-2</v>
      </c>
      <c r="Q56" s="31">
        <v>89.438496846561904</v>
      </c>
      <c r="R56" s="30">
        <v>2.6262313637230202E-2</v>
      </c>
      <c r="S56" s="31">
        <v>111.70777675657099</v>
      </c>
      <c r="T56" s="30">
        <v>1.27037831342611E-2</v>
      </c>
      <c r="U56" s="31"/>
      <c r="V56" s="30"/>
      <c r="W56" s="31"/>
      <c r="X56" s="30"/>
      <c r="Y56" s="31"/>
      <c r="Z56" s="30"/>
      <c r="AA56" s="31">
        <v>88.134465472778203</v>
      </c>
      <c r="AB56" s="30">
        <v>-2.9273485793578701E-2</v>
      </c>
      <c r="AC56" s="31">
        <v>89.619237553267396</v>
      </c>
      <c r="AD56" s="30">
        <v>-5.6143072890150601E-2</v>
      </c>
      <c r="AE56" s="31">
        <v>105.704985141363</v>
      </c>
      <c r="AF56" s="30">
        <v>-1.50143356661574E-2</v>
      </c>
      <c r="AG56" s="31">
        <v>114.35196574474099</v>
      </c>
      <c r="AH56" s="30">
        <v>1.2822165735941701E-3</v>
      </c>
      <c r="AI56" s="31">
        <v>85.104149933501404</v>
      </c>
      <c r="AJ56" s="30">
        <v>4.5407168050696903E-2</v>
      </c>
      <c r="AK56" s="31">
        <v>89.397522430313401</v>
      </c>
      <c r="AL56" s="30">
        <v>-6.6987577345305499E-2</v>
      </c>
      <c r="AM56" s="31">
        <v>87.326838338180494</v>
      </c>
      <c r="AN56" s="30">
        <v>-9.1013764963751798E-2</v>
      </c>
      <c r="AO56" s="31">
        <v>111.537884929515</v>
      </c>
      <c r="AP56" s="30">
        <v>-6.7421465727900504E-2</v>
      </c>
      <c r="AQ56" s="31">
        <v>122.070094177306</v>
      </c>
      <c r="AR56" s="30">
        <v>-3.5205639160057998E-2</v>
      </c>
      <c r="AS56" s="31">
        <v>93.866639501917206</v>
      </c>
      <c r="AT56" s="30">
        <v>2.9927424987035399E-2</v>
      </c>
      <c r="AU56" s="31">
        <v>92.591494817835397</v>
      </c>
      <c r="AV56" s="30">
        <v>3.5991071210132099E-2</v>
      </c>
      <c r="AW56" s="31">
        <v>87.955498120765697</v>
      </c>
      <c r="AX56" s="30">
        <v>4.2438661005484303E-2</v>
      </c>
      <c r="AY56" s="31">
        <v>101.27999375674</v>
      </c>
      <c r="AZ56" s="30">
        <v>1.71147970810448E-2</v>
      </c>
      <c r="BA56" s="31">
        <v>111.253134032682</v>
      </c>
      <c r="BB56" s="30">
        <v>2.6570785970627701E-3</v>
      </c>
      <c r="BC56" s="31">
        <v>111.480444754933</v>
      </c>
      <c r="BD56" s="30">
        <v>-1.87658957559249E-2</v>
      </c>
      <c r="BE56" s="31"/>
      <c r="BF56" s="30"/>
    </row>
    <row r="57" spans="1:58" x14ac:dyDescent="0.2">
      <c r="A57" s="28">
        <v>1991</v>
      </c>
      <c r="B57" s="28">
        <v>2</v>
      </c>
      <c r="C57" s="31">
        <v>86.110504220326604</v>
      </c>
      <c r="D57" s="30">
        <v>5.6838058528058601E-2</v>
      </c>
      <c r="E57" s="31">
        <v>85.186655823288206</v>
      </c>
      <c r="F57" s="30">
        <v>5.8328096827442902E-2</v>
      </c>
      <c r="G57" s="31">
        <v>83.195704259784605</v>
      </c>
      <c r="H57" s="30">
        <v>5.7169935005606097E-2</v>
      </c>
      <c r="I57" s="31">
        <v>85.973953542961098</v>
      </c>
      <c r="J57" s="30">
        <v>5.5536694380425002E-2</v>
      </c>
      <c r="K57" s="31">
        <v>71.322478234233699</v>
      </c>
      <c r="L57" s="30">
        <v>6.4903372357135294E-2</v>
      </c>
      <c r="M57" s="31">
        <v>89.776853932321799</v>
      </c>
      <c r="N57" s="30">
        <v>5.6776796254416603E-2</v>
      </c>
      <c r="O57" s="31">
        <v>104.79166889298</v>
      </c>
      <c r="P57" s="30">
        <v>2.1021072806554301E-2</v>
      </c>
      <c r="Q57" s="31">
        <v>89.657442707574901</v>
      </c>
      <c r="R57" s="30">
        <v>1.74148013192112E-2</v>
      </c>
      <c r="S57" s="31">
        <v>112.690393486229</v>
      </c>
      <c r="T57" s="30">
        <v>2.4562487821613101E-2</v>
      </c>
      <c r="U57" s="31"/>
      <c r="V57" s="30"/>
      <c r="W57" s="31"/>
      <c r="X57" s="30"/>
      <c r="Y57" s="31"/>
      <c r="Z57" s="30"/>
      <c r="AA57" s="31">
        <v>91.145356137084505</v>
      </c>
      <c r="AB57" s="30">
        <v>3.7856120981551097E-2</v>
      </c>
      <c r="AC57" s="31">
        <v>93.670784725554896</v>
      </c>
      <c r="AD57" s="30">
        <v>3.23575451636713E-2</v>
      </c>
      <c r="AE57" s="31">
        <v>108.637488130086</v>
      </c>
      <c r="AF57" s="30">
        <v>2.6496744057577199E-2</v>
      </c>
      <c r="AG57" s="31">
        <v>117.21977570985401</v>
      </c>
      <c r="AH57" s="30">
        <v>2.64221090510974E-2</v>
      </c>
      <c r="AI57" s="31">
        <v>85.651120368332499</v>
      </c>
      <c r="AJ57" s="30">
        <v>4.9608774760748098E-2</v>
      </c>
      <c r="AK57" s="31">
        <v>93.575065187047997</v>
      </c>
      <c r="AL57" s="30">
        <v>3.5014303206526001E-2</v>
      </c>
      <c r="AM57" s="31">
        <v>91.816995178673096</v>
      </c>
      <c r="AN57" s="30">
        <v>2.72606377906108E-2</v>
      </c>
      <c r="AO57" s="31">
        <v>116.09135411602</v>
      </c>
      <c r="AP57" s="30">
        <v>1.8648521463766599E-2</v>
      </c>
      <c r="AQ57" s="31">
        <v>122.48566979514899</v>
      </c>
      <c r="AR57" s="30">
        <v>8.1240754510749601E-3</v>
      </c>
      <c r="AS57" s="31">
        <v>96.578927515779199</v>
      </c>
      <c r="AT57" s="30">
        <v>5.7514034055055299E-2</v>
      </c>
      <c r="AU57" s="31">
        <v>93.747172282643504</v>
      </c>
      <c r="AV57" s="30">
        <v>4.2386121838898998E-2</v>
      </c>
      <c r="AW57" s="31">
        <v>88.881352015603795</v>
      </c>
      <c r="AX57" s="30">
        <v>4.4950429259069703E-2</v>
      </c>
      <c r="AY57" s="31">
        <v>103.134551287801</v>
      </c>
      <c r="AZ57" s="30">
        <v>3.47922394819224E-2</v>
      </c>
      <c r="BA57" s="31">
        <v>114.01983087945</v>
      </c>
      <c r="BB57" s="30">
        <v>2.73570556918117E-2</v>
      </c>
      <c r="BC57" s="31">
        <v>112.57651692409</v>
      </c>
      <c r="BD57" s="30">
        <v>2.0822248673301E-2</v>
      </c>
      <c r="BE57" s="31"/>
      <c r="BF57" s="30"/>
    </row>
    <row r="58" spans="1:58" x14ac:dyDescent="0.2">
      <c r="A58" s="28">
        <v>1991</v>
      </c>
      <c r="B58" s="28">
        <v>3</v>
      </c>
      <c r="C58" s="31">
        <v>86.780910131921999</v>
      </c>
      <c r="D58" s="30">
        <v>5.6430028573547703E-2</v>
      </c>
      <c r="E58" s="31">
        <v>86.299027981870495</v>
      </c>
      <c r="F58" s="30">
        <v>5.4431952937080703E-2</v>
      </c>
      <c r="G58" s="31">
        <v>84.183494219970996</v>
      </c>
      <c r="H58" s="30">
        <v>5.6486161908793298E-2</v>
      </c>
      <c r="I58" s="31">
        <v>87.001231541419401</v>
      </c>
      <c r="J58" s="30">
        <v>5.4156443393303298E-2</v>
      </c>
      <c r="K58" s="31">
        <v>72.137443123038096</v>
      </c>
      <c r="L58" s="30">
        <v>6.7494204786571005E-2</v>
      </c>
      <c r="M58" s="31">
        <v>91.083512844074306</v>
      </c>
      <c r="N58" s="30">
        <v>5.0692934808267198E-2</v>
      </c>
      <c r="O58" s="31">
        <v>104.35553644357999</v>
      </c>
      <c r="P58" s="30">
        <v>2.0833019203652301E-2</v>
      </c>
      <c r="Q58" s="31">
        <v>88.082252274790307</v>
      </c>
      <c r="R58" s="30">
        <v>1.2603917574127699E-2</v>
      </c>
      <c r="S58" s="31">
        <v>113.345051926726</v>
      </c>
      <c r="T58" s="30">
        <v>2.9722667931943801E-2</v>
      </c>
      <c r="U58" s="31"/>
      <c r="V58" s="30"/>
      <c r="W58" s="31"/>
      <c r="X58" s="30"/>
      <c r="Y58" s="31"/>
      <c r="Z58" s="30"/>
      <c r="AA58" s="31">
        <v>91.262114605660898</v>
      </c>
      <c r="AB58" s="30">
        <v>3.9374804737178901E-2</v>
      </c>
      <c r="AC58" s="31">
        <v>93.686727689283202</v>
      </c>
      <c r="AD58" s="30">
        <v>4.0497846910275498E-2</v>
      </c>
      <c r="AE58" s="31">
        <v>108.890627852989</v>
      </c>
      <c r="AF58" s="30">
        <v>3.9658279269540103E-2</v>
      </c>
      <c r="AG58" s="31">
        <v>117.30376175909301</v>
      </c>
      <c r="AH58" s="30">
        <v>3.7831934269304299E-2</v>
      </c>
      <c r="AI58" s="31">
        <v>85.871290963503995</v>
      </c>
      <c r="AJ58" s="30">
        <v>4.1456464519621802E-2</v>
      </c>
      <c r="AK58" s="31">
        <v>94.732858832689502</v>
      </c>
      <c r="AL58" s="30">
        <v>3.59574981100583E-2</v>
      </c>
      <c r="AM58" s="31">
        <v>92.922006114190594</v>
      </c>
      <c r="AN58" s="30">
        <v>2.5268029992941098E-2</v>
      </c>
      <c r="AO58" s="31">
        <v>118.215015954132</v>
      </c>
      <c r="AP58" s="30">
        <v>2.8244642371404699E-2</v>
      </c>
      <c r="AQ58" s="31">
        <v>123.750455279779</v>
      </c>
      <c r="AR58" s="30">
        <v>2.1820974022205099E-2</v>
      </c>
      <c r="AS58" s="31">
        <v>97.372317713734702</v>
      </c>
      <c r="AT58" s="30">
        <v>7.5999381550864595E-2</v>
      </c>
      <c r="AU58" s="31">
        <v>94.270201832235699</v>
      </c>
      <c r="AV58" s="30">
        <v>4.3371157644766803E-2</v>
      </c>
      <c r="AW58" s="31">
        <v>89.481704781589002</v>
      </c>
      <c r="AX58" s="30">
        <v>4.4879909334429001E-2</v>
      </c>
      <c r="AY58" s="31">
        <v>103.33747430111001</v>
      </c>
      <c r="AZ58" s="30">
        <v>3.92425969410959E-2</v>
      </c>
      <c r="BA58" s="31">
        <v>114.14029136919901</v>
      </c>
      <c r="BB58" s="30">
        <v>3.8504973487785997E-2</v>
      </c>
      <c r="BC58" s="31">
        <v>113.78937859030501</v>
      </c>
      <c r="BD58" s="30">
        <v>3.6365916822505201E-2</v>
      </c>
      <c r="BE58" s="31"/>
      <c r="BF58" s="30"/>
    </row>
    <row r="59" spans="1:58" x14ac:dyDescent="0.2">
      <c r="A59" s="28">
        <v>1991</v>
      </c>
      <c r="B59" s="28">
        <v>4</v>
      </c>
      <c r="C59" s="31">
        <v>86.968510704474397</v>
      </c>
      <c r="D59" s="30">
        <v>4.80826003756787E-2</v>
      </c>
      <c r="E59" s="31">
        <v>86.703250583597793</v>
      </c>
      <c r="F59" s="30">
        <v>4.3688628694275901E-2</v>
      </c>
      <c r="G59" s="31">
        <v>85.030485718044105</v>
      </c>
      <c r="H59" s="30">
        <v>5.1084338553384998E-2</v>
      </c>
      <c r="I59" s="31">
        <v>87.803085117958702</v>
      </c>
      <c r="J59" s="30">
        <v>4.7996829509285202E-2</v>
      </c>
      <c r="K59" s="31">
        <v>73.172722259039105</v>
      </c>
      <c r="L59" s="30">
        <v>6.6079326948277603E-2</v>
      </c>
      <c r="M59" s="31">
        <v>90.502101804844301</v>
      </c>
      <c r="N59" s="30">
        <v>2.8973052730579599E-2</v>
      </c>
      <c r="O59" s="31">
        <v>104.40646883493299</v>
      </c>
      <c r="P59" s="30">
        <v>1.9616458896420299E-2</v>
      </c>
      <c r="Q59" s="31">
        <v>87.525842205061494</v>
      </c>
      <c r="R59" s="30">
        <v>1.15629752579838E-3</v>
      </c>
      <c r="S59" s="31">
        <v>113.69587181711201</v>
      </c>
      <c r="T59" s="30">
        <v>2.7533057851397001E-2</v>
      </c>
      <c r="U59" s="31"/>
      <c r="V59" s="30"/>
      <c r="W59" s="31"/>
      <c r="X59" s="30"/>
      <c r="Y59" s="31"/>
      <c r="Z59" s="30"/>
      <c r="AA59" s="31">
        <v>91.072670885316398</v>
      </c>
      <c r="AB59" s="30">
        <v>3.9850931318537099E-2</v>
      </c>
      <c r="AC59" s="31">
        <v>93.776582593905303</v>
      </c>
      <c r="AD59" s="30">
        <v>4.3113605742314702E-2</v>
      </c>
      <c r="AE59" s="31">
        <v>109.27020465541101</v>
      </c>
      <c r="AF59" s="30">
        <v>3.8075835689789901E-2</v>
      </c>
      <c r="AG59" s="31">
        <v>117.91143150387499</v>
      </c>
      <c r="AH59" s="30">
        <v>3.6120921244238602E-2</v>
      </c>
      <c r="AI59" s="31">
        <v>85.227740941575306</v>
      </c>
      <c r="AJ59" s="30">
        <v>2.3960690065707401E-2</v>
      </c>
      <c r="AK59" s="31">
        <v>95.154456903804103</v>
      </c>
      <c r="AL59" s="30">
        <v>2.9224154835415499E-2</v>
      </c>
      <c r="AM59" s="31">
        <v>93.430563417418497</v>
      </c>
      <c r="AN59" s="30">
        <v>2.2261941178031201E-2</v>
      </c>
      <c r="AO59" s="31">
        <v>119.692511909226</v>
      </c>
      <c r="AP59" s="30">
        <v>1.6952187724694999E-2</v>
      </c>
      <c r="AQ59" s="31">
        <v>125.31448640471</v>
      </c>
      <c r="AR59" s="30">
        <v>9.0555033619164095E-3</v>
      </c>
      <c r="AS59" s="31">
        <v>97.684263943206204</v>
      </c>
      <c r="AT59" s="30">
        <v>5.2331098709267998E-2</v>
      </c>
      <c r="AU59" s="31">
        <v>94.851439569064794</v>
      </c>
      <c r="AV59" s="30">
        <v>3.9086870411430899E-2</v>
      </c>
      <c r="AW59" s="31">
        <v>90.222559692951194</v>
      </c>
      <c r="AX59" s="30">
        <v>4.1145878262409001E-2</v>
      </c>
      <c r="AY59" s="31">
        <v>103.385921301829</v>
      </c>
      <c r="AZ59" s="30">
        <v>3.3281656405641999E-2</v>
      </c>
      <c r="BA59" s="31">
        <v>114.73341924339999</v>
      </c>
      <c r="BB59" s="30">
        <v>3.6679031861435202E-2</v>
      </c>
      <c r="BC59" s="31">
        <v>114.862976085733</v>
      </c>
      <c r="BD59" s="30">
        <v>2.0383366344429301E-2</v>
      </c>
      <c r="BE59" s="31"/>
      <c r="BF59" s="30"/>
    </row>
    <row r="60" spans="1:58" x14ac:dyDescent="0.2">
      <c r="A60" s="28">
        <v>1992</v>
      </c>
      <c r="B60" s="28">
        <v>1</v>
      </c>
      <c r="C60" s="31">
        <v>87.9369744092063</v>
      </c>
      <c r="D60" s="30">
        <v>3.3584065642461698E-2</v>
      </c>
      <c r="E60" s="31">
        <v>87.151280416495794</v>
      </c>
      <c r="F60" s="30">
        <v>4.0253874317500701E-2</v>
      </c>
      <c r="G60" s="31">
        <v>86.115260779226901</v>
      </c>
      <c r="H60" s="30">
        <v>4.8558696780611497E-2</v>
      </c>
      <c r="I60" s="31">
        <v>88.847888609301407</v>
      </c>
      <c r="J60" s="30">
        <v>4.6076130116533602E-2</v>
      </c>
      <c r="K60" s="31">
        <v>74.3835409830494</v>
      </c>
      <c r="L60" s="30">
        <v>6.0277174393645203E-2</v>
      </c>
      <c r="M60" s="31">
        <v>89.470955897005098</v>
      </c>
      <c r="N60" s="30">
        <v>2.1158833787485998E-2</v>
      </c>
      <c r="O60" s="31">
        <v>104.72028399715801</v>
      </c>
      <c r="P60" s="30">
        <v>5.5904599183562702E-3</v>
      </c>
      <c r="Q60" s="31">
        <v>87.9873181849849</v>
      </c>
      <c r="R60" s="30">
        <v>-1.62254366155834E-2</v>
      </c>
      <c r="S60" s="31">
        <v>114.022534225363</v>
      </c>
      <c r="T60" s="30">
        <v>2.0721542725141501E-2</v>
      </c>
      <c r="U60" s="31"/>
      <c r="V60" s="30"/>
      <c r="W60" s="31"/>
      <c r="X60" s="30"/>
      <c r="Y60" s="31"/>
      <c r="Z60" s="30"/>
      <c r="AA60" s="31">
        <v>91.997495088045298</v>
      </c>
      <c r="AB60" s="30">
        <v>4.3831089172036597E-2</v>
      </c>
      <c r="AC60" s="31">
        <v>94.9765392925014</v>
      </c>
      <c r="AD60" s="30">
        <v>5.9778479325376402E-2</v>
      </c>
      <c r="AE60" s="31">
        <v>110.48783048634201</v>
      </c>
      <c r="AF60" s="30">
        <v>4.5247112409909002E-2</v>
      </c>
      <c r="AG60" s="31">
        <v>119.29343655098199</v>
      </c>
      <c r="AH60" s="30">
        <v>4.3212819071880598E-2</v>
      </c>
      <c r="AI60" s="31">
        <v>85.483833600696798</v>
      </c>
      <c r="AJ60" s="30">
        <v>4.4614001490175196E-3</v>
      </c>
      <c r="AK60" s="31">
        <v>94.739866023831595</v>
      </c>
      <c r="AL60" s="30">
        <v>5.97594144477838E-2</v>
      </c>
      <c r="AM60" s="31">
        <v>93.406701378445504</v>
      </c>
      <c r="AN60" s="30">
        <v>6.9621930164472698E-2</v>
      </c>
      <c r="AO60" s="31">
        <v>119.70802578670499</v>
      </c>
      <c r="AP60" s="30">
        <v>7.3249917392222294E-2</v>
      </c>
      <c r="AQ60" s="31">
        <v>128.03551976775901</v>
      </c>
      <c r="AR60" s="30">
        <v>4.8868853838910403E-2</v>
      </c>
      <c r="AS60" s="31">
        <v>96.063015154445495</v>
      </c>
      <c r="AT60" s="30">
        <v>2.3398895115271E-2</v>
      </c>
      <c r="AU60" s="31">
        <v>95.703654597965297</v>
      </c>
      <c r="AV60" s="30">
        <v>3.3611724124907899E-2</v>
      </c>
      <c r="AW60" s="31">
        <v>91.035531602104001</v>
      </c>
      <c r="AX60" s="30">
        <v>3.5018089228593202E-2</v>
      </c>
      <c r="AY60" s="31">
        <v>104.293106921435</v>
      </c>
      <c r="AZ60" s="30">
        <v>2.97503292894323E-2</v>
      </c>
      <c r="BA60" s="31">
        <v>116.08717116609</v>
      </c>
      <c r="BB60" s="30">
        <v>4.34507951208589E-2</v>
      </c>
      <c r="BC60" s="31">
        <v>116.131727023626</v>
      </c>
      <c r="BD60" s="30">
        <v>4.1722853536491099E-2</v>
      </c>
      <c r="BE60" s="31"/>
      <c r="BF60" s="30"/>
    </row>
    <row r="61" spans="1:58" x14ac:dyDescent="0.2">
      <c r="A61" s="28">
        <v>1992</v>
      </c>
      <c r="B61" s="28">
        <v>2</v>
      </c>
      <c r="C61" s="31">
        <v>88.016727172623604</v>
      </c>
      <c r="D61" s="30">
        <v>2.21369386877543E-2</v>
      </c>
      <c r="E61" s="31">
        <v>87.620315609507102</v>
      </c>
      <c r="F61" s="30">
        <v>2.85685564563922E-2</v>
      </c>
      <c r="G61" s="31">
        <v>86.902261418123899</v>
      </c>
      <c r="H61" s="30">
        <v>4.4552266145440299E-2</v>
      </c>
      <c r="I61" s="31">
        <v>89.618523619724996</v>
      </c>
      <c r="J61" s="30">
        <v>4.2391560775935803E-2</v>
      </c>
      <c r="K61" s="31">
        <v>75.221959948573897</v>
      </c>
      <c r="L61" s="30">
        <v>5.4673951478994502E-2</v>
      </c>
      <c r="M61" s="31">
        <v>89.462637722707598</v>
      </c>
      <c r="N61" s="30">
        <v>-3.4999690438146701E-3</v>
      </c>
      <c r="O61" s="31">
        <v>104.49041599030799</v>
      </c>
      <c r="P61" s="30">
        <v>-2.87477912943623E-3</v>
      </c>
      <c r="Q61" s="31">
        <v>87.330884485502295</v>
      </c>
      <c r="R61" s="30">
        <v>-2.59494153726962E-2</v>
      </c>
      <c r="S61" s="31">
        <v>114.28353315814</v>
      </c>
      <c r="T61" s="30">
        <v>1.41373157251963E-2</v>
      </c>
      <c r="U61" s="31"/>
      <c r="V61" s="30"/>
      <c r="W61" s="31"/>
      <c r="X61" s="30"/>
      <c r="Y61" s="31"/>
      <c r="Z61" s="30"/>
      <c r="AA61" s="31">
        <v>90.739995235717004</v>
      </c>
      <c r="AB61" s="30">
        <v>-4.4474114595348703E-3</v>
      </c>
      <c r="AC61" s="31">
        <v>93.174971123693297</v>
      </c>
      <c r="AD61" s="30">
        <v>-5.2931509361676702E-3</v>
      </c>
      <c r="AE61" s="31">
        <v>108.69892300733299</v>
      </c>
      <c r="AF61" s="30">
        <v>5.6550347678574497E-4</v>
      </c>
      <c r="AG61" s="31">
        <v>117.35753170754499</v>
      </c>
      <c r="AH61" s="30">
        <v>1.1751941756974499E-3</v>
      </c>
      <c r="AI61" s="31">
        <v>85.430270529959699</v>
      </c>
      <c r="AJ61" s="30">
        <v>-2.5784816056470001E-3</v>
      </c>
      <c r="AK61" s="31">
        <v>94.471418995030902</v>
      </c>
      <c r="AL61" s="30">
        <v>9.5789813898734498E-3</v>
      </c>
      <c r="AM61" s="31">
        <v>92.5365425951654</v>
      </c>
      <c r="AN61" s="30">
        <v>7.8367563117487399E-3</v>
      </c>
      <c r="AO61" s="31">
        <v>119.83750769820701</v>
      </c>
      <c r="AP61" s="30">
        <v>3.2269014438775397E-2</v>
      </c>
      <c r="AQ61" s="31">
        <v>127.28358752534</v>
      </c>
      <c r="AR61" s="30">
        <v>3.91712576517333E-2</v>
      </c>
      <c r="AS61" s="31">
        <v>97.901361581062403</v>
      </c>
      <c r="AT61" s="30">
        <v>1.3692780602343701E-2</v>
      </c>
      <c r="AU61" s="31">
        <v>95.826307254254104</v>
      </c>
      <c r="AV61" s="30">
        <v>2.2178108640355E-2</v>
      </c>
      <c r="AW61" s="31">
        <v>91.531029230245906</v>
      </c>
      <c r="AX61" s="30">
        <v>2.98113963677882E-2</v>
      </c>
      <c r="AY61" s="31">
        <v>103.192654573868</v>
      </c>
      <c r="AZ61" s="30">
        <v>5.6337362543734703E-4</v>
      </c>
      <c r="BA61" s="31">
        <v>114.250509296152</v>
      </c>
      <c r="BB61" s="30">
        <v>2.0231429473516198E-3</v>
      </c>
      <c r="BC61" s="31">
        <v>116.227808224177</v>
      </c>
      <c r="BD61" s="30">
        <v>3.2433862761527897E-2</v>
      </c>
      <c r="BE61" s="31"/>
      <c r="BF61" s="30"/>
    </row>
    <row r="62" spans="1:58" x14ac:dyDescent="0.2">
      <c r="A62" s="28">
        <v>1992</v>
      </c>
      <c r="B62" s="28">
        <v>3</v>
      </c>
      <c r="C62" s="31">
        <v>88.049392416284604</v>
      </c>
      <c r="D62" s="30">
        <v>1.4617065924225301E-2</v>
      </c>
      <c r="E62" s="31">
        <v>86.877072266585003</v>
      </c>
      <c r="F62" s="30">
        <v>6.6981552194991202E-3</v>
      </c>
      <c r="G62" s="31">
        <v>87.256290325430697</v>
      </c>
      <c r="H62" s="30">
        <v>3.6501170852215797E-2</v>
      </c>
      <c r="I62" s="31">
        <v>89.954744532945199</v>
      </c>
      <c r="J62" s="30">
        <v>3.3947944634780097E-2</v>
      </c>
      <c r="K62" s="31">
        <v>75.643242306033301</v>
      </c>
      <c r="L62" s="30">
        <v>4.8598883342949199E-2</v>
      </c>
      <c r="M62" s="31">
        <v>86.081001619017002</v>
      </c>
      <c r="N62" s="30">
        <v>-5.4922247384343398E-2</v>
      </c>
      <c r="O62" s="31">
        <v>103.61185706241299</v>
      </c>
      <c r="P62" s="30">
        <v>-7.1264008265595801E-3</v>
      </c>
      <c r="Q62" s="31">
        <v>85.556198469688496</v>
      </c>
      <c r="R62" s="30">
        <v>-2.86783516527397E-2</v>
      </c>
      <c r="S62" s="31">
        <v>114.659154904255</v>
      </c>
      <c r="T62" s="30">
        <v>1.1593827478052701E-2</v>
      </c>
      <c r="U62" s="31"/>
      <c r="V62" s="30"/>
      <c r="W62" s="31"/>
      <c r="X62" s="30"/>
      <c r="Y62" s="31"/>
      <c r="Z62" s="30"/>
      <c r="AA62" s="31">
        <v>89.952452427779505</v>
      </c>
      <c r="AB62" s="30">
        <v>-1.43505570032035E-2</v>
      </c>
      <c r="AC62" s="31">
        <v>91.864239023009603</v>
      </c>
      <c r="AD62" s="30">
        <v>-1.9453008032451001E-2</v>
      </c>
      <c r="AE62" s="31">
        <v>109.162257121754</v>
      </c>
      <c r="AF62" s="30">
        <v>2.4945146714741E-3</v>
      </c>
      <c r="AG62" s="31">
        <v>118.370407259559</v>
      </c>
      <c r="AH62" s="30">
        <v>9.0930204152932497E-3</v>
      </c>
      <c r="AI62" s="31">
        <v>85.802283046156006</v>
      </c>
      <c r="AJ62" s="30">
        <v>-8.0362035522729702E-4</v>
      </c>
      <c r="AK62" s="31">
        <v>91.434406500429901</v>
      </c>
      <c r="AL62" s="30">
        <v>-3.4818460805507198E-2</v>
      </c>
      <c r="AM62" s="31">
        <v>89.446484601489402</v>
      </c>
      <c r="AN62" s="30">
        <v>-3.7402566496790503E-2</v>
      </c>
      <c r="AO62" s="31">
        <v>117.472530805015</v>
      </c>
      <c r="AP62" s="30">
        <v>-6.2808023424449902E-3</v>
      </c>
      <c r="AQ62" s="31">
        <v>125.28546394856301</v>
      </c>
      <c r="AR62" s="30">
        <v>1.24040648199153E-2</v>
      </c>
      <c r="AS62" s="31">
        <v>95.086329644883406</v>
      </c>
      <c r="AT62" s="30">
        <v>-2.34767757667209E-2</v>
      </c>
      <c r="AU62" s="31">
        <v>96.054198959212599</v>
      </c>
      <c r="AV62" s="30">
        <v>1.8924295188756698E-2</v>
      </c>
      <c r="AW62" s="31">
        <v>91.600509980598005</v>
      </c>
      <c r="AX62" s="30">
        <v>2.3678641395810801E-2</v>
      </c>
      <c r="AY62" s="31">
        <v>103.902023297423</v>
      </c>
      <c r="AZ62" s="30">
        <v>5.4631584537108103E-3</v>
      </c>
      <c r="BA62" s="31">
        <v>115.237855839258</v>
      </c>
      <c r="BB62" s="30">
        <v>9.6159249016582998E-3</v>
      </c>
      <c r="BC62" s="31">
        <v>113.885363119199</v>
      </c>
      <c r="BD62" s="30">
        <v>8.4352801714371295E-4</v>
      </c>
      <c r="BE62" s="31"/>
      <c r="BF62" s="30"/>
    </row>
    <row r="63" spans="1:58" x14ac:dyDescent="0.2">
      <c r="A63" s="28">
        <v>1992</v>
      </c>
      <c r="B63" s="28">
        <v>4</v>
      </c>
      <c r="C63" s="31">
        <v>88.2820427315487</v>
      </c>
      <c r="D63" s="30">
        <v>1.5103535940011599E-2</v>
      </c>
      <c r="E63" s="31">
        <v>87.263271176016104</v>
      </c>
      <c r="F63" s="30">
        <v>6.45904955868137E-3</v>
      </c>
      <c r="G63" s="31">
        <v>87.783271082781397</v>
      </c>
      <c r="H63" s="30">
        <v>3.23740990244996E-2</v>
      </c>
      <c r="I63" s="31">
        <v>90.522148447390094</v>
      </c>
      <c r="J63" s="30">
        <v>3.0967742486252E-2</v>
      </c>
      <c r="K63" s="31">
        <v>76.031769501601801</v>
      </c>
      <c r="L63" s="30">
        <v>3.9072582709734002E-2</v>
      </c>
      <c r="M63" s="31">
        <v>86.190053271017504</v>
      </c>
      <c r="N63" s="30">
        <v>-4.7645838580911502E-2</v>
      </c>
      <c r="O63" s="31">
        <v>103.348315326445</v>
      </c>
      <c r="P63" s="30">
        <v>-1.01349420231884E-2</v>
      </c>
      <c r="Q63" s="31">
        <v>84.547741077199305</v>
      </c>
      <c r="R63" s="30">
        <v>-3.4025392419360201E-2</v>
      </c>
      <c r="S63" s="31">
        <v>114.779210147847</v>
      </c>
      <c r="T63" s="30">
        <v>9.5283875607923302E-3</v>
      </c>
      <c r="U63" s="31"/>
      <c r="V63" s="30"/>
      <c r="W63" s="31"/>
      <c r="X63" s="30"/>
      <c r="Y63" s="31"/>
      <c r="Z63" s="30"/>
      <c r="AA63" s="31">
        <v>90.513676669998802</v>
      </c>
      <c r="AB63" s="30">
        <v>-6.1378919700456596E-3</v>
      </c>
      <c r="AC63" s="31">
        <v>92.427496916151298</v>
      </c>
      <c r="AD63" s="30">
        <v>-1.4386168064965101E-2</v>
      </c>
      <c r="AE63" s="31">
        <v>108.649625498053</v>
      </c>
      <c r="AF63" s="30">
        <v>-5.6793080905758204E-3</v>
      </c>
      <c r="AG63" s="31">
        <v>117.52149459447701</v>
      </c>
      <c r="AH63" s="30">
        <v>-3.3070322735027102E-3</v>
      </c>
      <c r="AI63" s="31">
        <v>86.480312634187996</v>
      </c>
      <c r="AJ63" s="30">
        <v>1.4696760453516901E-2</v>
      </c>
      <c r="AK63" s="31">
        <v>92.456328865300094</v>
      </c>
      <c r="AL63" s="30">
        <v>-2.8355246052548001E-2</v>
      </c>
      <c r="AM63" s="31">
        <v>90.9833624027833</v>
      </c>
      <c r="AN63" s="30">
        <v>-2.6192724576666101E-2</v>
      </c>
      <c r="AO63" s="31">
        <v>117.936913826398</v>
      </c>
      <c r="AP63" s="30">
        <v>-1.46675682114462E-2</v>
      </c>
      <c r="AQ63" s="31">
        <v>124.807266199564</v>
      </c>
      <c r="AR63" s="30">
        <v>-4.0475783742028896E-3</v>
      </c>
      <c r="AS63" s="31">
        <v>94.422050086802898</v>
      </c>
      <c r="AT63" s="30">
        <v>-3.3395489966531897E-2</v>
      </c>
      <c r="AU63" s="31">
        <v>96.310449382106299</v>
      </c>
      <c r="AV63" s="30">
        <v>1.5382052393407E-2</v>
      </c>
      <c r="AW63" s="31">
        <v>92.000003640795498</v>
      </c>
      <c r="AX63" s="30">
        <v>1.9700659722949002E-2</v>
      </c>
      <c r="AY63" s="31">
        <v>103.71718569238401</v>
      </c>
      <c r="AZ63" s="30">
        <v>3.2041537801592601E-3</v>
      </c>
      <c r="BA63" s="31">
        <v>114.428322217427</v>
      </c>
      <c r="BB63" s="30">
        <v>-2.6591818494158298E-3</v>
      </c>
      <c r="BC63" s="31">
        <v>113.38349642404</v>
      </c>
      <c r="BD63" s="30">
        <v>-1.2880387676780901E-2</v>
      </c>
      <c r="BE63" s="31"/>
      <c r="BF63" s="30"/>
    </row>
    <row r="64" spans="1:58" x14ac:dyDescent="0.2">
      <c r="A64" s="28">
        <v>1993</v>
      </c>
      <c r="B64" s="28">
        <v>1</v>
      </c>
      <c r="C64" s="31">
        <v>89.507181405883301</v>
      </c>
      <c r="D64" s="30">
        <v>1.78560498268929E-2</v>
      </c>
      <c r="E64" s="31">
        <v>87.567991077033398</v>
      </c>
      <c r="F64" s="30">
        <v>4.7814634339986596E-3</v>
      </c>
      <c r="G64" s="31">
        <v>88.568783720920607</v>
      </c>
      <c r="H64" s="30">
        <v>2.8491151504304899E-2</v>
      </c>
      <c r="I64" s="31">
        <v>91.398225256462297</v>
      </c>
      <c r="J64" s="30">
        <v>2.8704527334079102E-2</v>
      </c>
      <c r="K64" s="31">
        <v>76.433593994897606</v>
      </c>
      <c r="L64" s="30">
        <v>2.7560573007883199E-2</v>
      </c>
      <c r="M64" s="31">
        <v>85.100525189095407</v>
      </c>
      <c r="N64" s="30">
        <v>-4.8847479766961702E-2</v>
      </c>
      <c r="O64" s="31">
        <v>103.32472996748101</v>
      </c>
      <c r="P64" s="30">
        <v>-1.3326492026273999E-2</v>
      </c>
      <c r="Q64" s="31">
        <v>84.305672637421694</v>
      </c>
      <c r="R64" s="30">
        <v>-4.1842911268449898E-2</v>
      </c>
      <c r="S64" s="31">
        <v>115.020232723098</v>
      </c>
      <c r="T64" s="30">
        <v>8.7500116052807702E-3</v>
      </c>
      <c r="U64" s="31"/>
      <c r="V64" s="30"/>
      <c r="W64" s="31"/>
      <c r="X64" s="30"/>
      <c r="Y64" s="31"/>
      <c r="Z64" s="30"/>
      <c r="AA64" s="31">
        <v>92.991678163185099</v>
      </c>
      <c r="AB64" s="30">
        <v>1.0806632008712101E-2</v>
      </c>
      <c r="AC64" s="31">
        <v>94.362435180962393</v>
      </c>
      <c r="AD64" s="30">
        <v>-6.4658505786120398E-3</v>
      </c>
      <c r="AE64" s="31">
        <v>111.261727784063</v>
      </c>
      <c r="AF64" s="30">
        <v>7.0043668548409599E-3</v>
      </c>
      <c r="AG64" s="31">
        <v>120.30336243172501</v>
      </c>
      <c r="AH64" s="30">
        <v>8.4658964477986008E-3</v>
      </c>
      <c r="AI64" s="31">
        <v>90.140008444557793</v>
      </c>
      <c r="AJ64" s="30">
        <v>5.4468484247096403E-2</v>
      </c>
      <c r="AK64" s="31">
        <v>92.706812477011198</v>
      </c>
      <c r="AL64" s="30">
        <v>-2.1459324697683298E-2</v>
      </c>
      <c r="AM64" s="31">
        <v>91.064960006210498</v>
      </c>
      <c r="AN64" s="30">
        <v>-2.5070378652460899E-2</v>
      </c>
      <c r="AO64" s="31">
        <v>116.818106045717</v>
      </c>
      <c r="AP64" s="30">
        <v>-2.4141403402121901E-2</v>
      </c>
      <c r="AQ64" s="31">
        <v>126.362864872698</v>
      </c>
      <c r="AR64" s="30">
        <v>-1.30639911338255E-2</v>
      </c>
      <c r="AS64" s="31">
        <v>95.205946627395903</v>
      </c>
      <c r="AT64" s="30">
        <v>-8.9219407247598196E-3</v>
      </c>
      <c r="AU64" s="31">
        <v>97.491341881767198</v>
      </c>
      <c r="AV64" s="30">
        <v>1.86794045777217E-2</v>
      </c>
      <c r="AW64" s="31">
        <v>92.530232762232302</v>
      </c>
      <c r="AX64" s="30">
        <v>1.64188766059086E-2</v>
      </c>
      <c r="AY64" s="31">
        <v>106.883262158457</v>
      </c>
      <c r="AZ64" s="30">
        <v>2.4835344477501398E-2</v>
      </c>
      <c r="BA64" s="31">
        <v>117.113407086169</v>
      </c>
      <c r="BB64" s="30">
        <v>8.8402181720035299E-3</v>
      </c>
      <c r="BC64" s="31">
        <v>114.67433926020399</v>
      </c>
      <c r="BD64" s="30">
        <v>-1.2549436754056601E-2</v>
      </c>
      <c r="BE64" s="31"/>
      <c r="BF64" s="30"/>
    </row>
    <row r="65" spans="1:58" x14ac:dyDescent="0.2">
      <c r="A65" s="28">
        <v>1993</v>
      </c>
      <c r="B65" s="28">
        <v>2</v>
      </c>
      <c r="C65" s="31">
        <v>89.9902511862403</v>
      </c>
      <c r="D65" s="30">
        <v>2.24221472101107E-2</v>
      </c>
      <c r="E65" s="31">
        <v>88.547803150963801</v>
      </c>
      <c r="F65" s="30">
        <v>1.05853024496081E-2</v>
      </c>
      <c r="G65" s="31">
        <v>89.186058940242603</v>
      </c>
      <c r="H65" s="30">
        <v>2.6280070102323101E-2</v>
      </c>
      <c r="I65" s="31">
        <v>92.1161489608659</v>
      </c>
      <c r="J65" s="30">
        <v>2.78695211688487E-2</v>
      </c>
      <c r="K65" s="31">
        <v>76.657940554094395</v>
      </c>
      <c r="L65" s="30">
        <v>1.9089912128083902E-2</v>
      </c>
      <c r="M65" s="31">
        <v>87.288806695668697</v>
      </c>
      <c r="N65" s="30">
        <v>-2.4298758480347699E-2</v>
      </c>
      <c r="O65" s="31">
        <v>103.25877256666701</v>
      </c>
      <c r="P65" s="30">
        <v>-1.1787142504583299E-2</v>
      </c>
      <c r="Q65" s="31">
        <v>83.934304893351595</v>
      </c>
      <c r="R65" s="30">
        <v>-3.8893223309957002E-2</v>
      </c>
      <c r="S65" s="31">
        <v>115.324533304764</v>
      </c>
      <c r="T65" s="30">
        <v>9.1089251255784803E-3</v>
      </c>
      <c r="U65" s="31"/>
      <c r="V65" s="30"/>
      <c r="W65" s="31"/>
      <c r="X65" s="30"/>
      <c r="Y65" s="31"/>
      <c r="Z65" s="30"/>
      <c r="AA65" s="31">
        <v>93.390787824189104</v>
      </c>
      <c r="AB65" s="30">
        <v>2.9213056288861901E-2</v>
      </c>
      <c r="AC65" s="31">
        <v>94.063665969022196</v>
      </c>
      <c r="AD65" s="30">
        <v>9.5379138261188993E-3</v>
      </c>
      <c r="AE65" s="31">
        <v>109.53637887571399</v>
      </c>
      <c r="AF65" s="30">
        <v>7.7043621520023198E-3</v>
      </c>
      <c r="AG65" s="31">
        <v>117.826247328976</v>
      </c>
      <c r="AH65" s="30">
        <v>3.9939117209699697E-3</v>
      </c>
      <c r="AI65" s="31">
        <v>92.102650580226694</v>
      </c>
      <c r="AJ65" s="30">
        <v>7.8103229790511999E-2</v>
      </c>
      <c r="AK65" s="31">
        <v>94.375164695217805</v>
      </c>
      <c r="AL65" s="30">
        <v>-1.01887217146768E-3</v>
      </c>
      <c r="AM65" s="31">
        <v>92.839684188326302</v>
      </c>
      <c r="AN65" s="30">
        <v>3.2759122467660401E-3</v>
      </c>
      <c r="AO65" s="31">
        <v>117.377781230726</v>
      </c>
      <c r="AP65" s="30">
        <v>-2.0525514212752598E-2</v>
      </c>
      <c r="AQ65" s="31">
        <v>124.21256701201401</v>
      </c>
      <c r="AR65" s="30">
        <v>-2.4127388086968699E-2</v>
      </c>
      <c r="AS65" s="31">
        <v>96.485543263047902</v>
      </c>
      <c r="AT65" s="30">
        <v>-1.44616815859318E-2</v>
      </c>
      <c r="AU65" s="31">
        <v>97.650067259788798</v>
      </c>
      <c r="AV65" s="30">
        <v>1.9031934526035198E-2</v>
      </c>
      <c r="AW65" s="31">
        <v>92.9430318303733</v>
      </c>
      <c r="AX65" s="30">
        <v>1.5426491016238299E-2</v>
      </c>
      <c r="AY65" s="31">
        <v>106.21455916415</v>
      </c>
      <c r="AZ65" s="30">
        <v>2.9284105567018999E-2</v>
      </c>
      <c r="BA65" s="31">
        <v>114.745242526987</v>
      </c>
      <c r="BB65" s="30">
        <v>4.3302496757571304E-3</v>
      </c>
      <c r="BC65" s="31">
        <v>113.763220530768</v>
      </c>
      <c r="BD65" s="30">
        <v>-2.1204802284969199E-2</v>
      </c>
      <c r="BE65" s="31"/>
      <c r="BF65" s="30"/>
    </row>
    <row r="66" spans="1:58" x14ac:dyDescent="0.2">
      <c r="A66" s="28">
        <v>1993</v>
      </c>
      <c r="B66" s="28">
        <v>3</v>
      </c>
      <c r="C66" s="31">
        <v>90.386815762555898</v>
      </c>
      <c r="D66" s="30">
        <v>2.65467288544168E-2</v>
      </c>
      <c r="E66" s="31">
        <v>88.641483617185401</v>
      </c>
      <c r="F66" s="30">
        <v>2.0309286496053201E-2</v>
      </c>
      <c r="G66" s="31">
        <v>89.503063529669802</v>
      </c>
      <c r="H66" s="30">
        <v>2.5749125889486E-2</v>
      </c>
      <c r="I66" s="31">
        <v>92.489571391262899</v>
      </c>
      <c r="J66" s="30">
        <v>2.8178912312839501E-2</v>
      </c>
      <c r="K66" s="31">
        <v>76.750745967835996</v>
      </c>
      <c r="L66" s="30">
        <v>1.46411447743349E-2</v>
      </c>
      <c r="M66" s="31">
        <v>86.805354378194806</v>
      </c>
      <c r="N66" s="30">
        <v>8.4147807943002507E-3</v>
      </c>
      <c r="O66" s="31">
        <v>103.067979042941</v>
      </c>
      <c r="P66" s="30">
        <v>-5.2491870611253199E-3</v>
      </c>
      <c r="Q66" s="31">
        <v>83.433378903635003</v>
      </c>
      <c r="R66" s="30">
        <v>-2.4811990294374899E-2</v>
      </c>
      <c r="S66" s="31">
        <v>115.654116778421</v>
      </c>
      <c r="T66" s="30">
        <v>8.6775615518590605E-3</v>
      </c>
      <c r="U66" s="31"/>
      <c r="V66" s="30"/>
      <c r="W66" s="31"/>
      <c r="X66" s="30"/>
      <c r="Y66" s="31"/>
      <c r="Z66" s="30"/>
      <c r="AA66" s="31">
        <v>93.539165483326002</v>
      </c>
      <c r="AB66" s="30">
        <v>3.9873432671845503E-2</v>
      </c>
      <c r="AC66" s="31">
        <v>93.974389851491793</v>
      </c>
      <c r="AD66" s="30">
        <v>2.2970318493071899E-2</v>
      </c>
      <c r="AE66" s="31">
        <v>109.187748068392</v>
      </c>
      <c r="AF66" s="30">
        <v>2.3351428699269801E-4</v>
      </c>
      <c r="AG66" s="31">
        <v>117.589310391917</v>
      </c>
      <c r="AH66" s="30">
        <v>-6.5987512058540698E-3</v>
      </c>
      <c r="AI66" s="31">
        <v>92.157901549915195</v>
      </c>
      <c r="AJ66" s="30">
        <v>7.4072836737225603E-2</v>
      </c>
      <c r="AK66" s="31">
        <v>93.549759426467205</v>
      </c>
      <c r="AL66" s="30">
        <v>2.3135196114904399E-2</v>
      </c>
      <c r="AM66" s="31">
        <v>92.4673997203856</v>
      </c>
      <c r="AN66" s="30">
        <v>3.3773435952852503E-2</v>
      </c>
      <c r="AO66" s="31">
        <v>117.11515533845299</v>
      </c>
      <c r="AP66" s="30">
        <v>-3.0422045401824502E-3</v>
      </c>
      <c r="AQ66" s="31">
        <v>123.263326355114</v>
      </c>
      <c r="AR66" s="30">
        <v>-1.6140241091967801E-2</v>
      </c>
      <c r="AS66" s="31">
        <v>94.516857890821598</v>
      </c>
      <c r="AT66" s="30">
        <v>-5.9889971165004701E-3</v>
      </c>
      <c r="AU66" s="31">
        <v>97.830689323813104</v>
      </c>
      <c r="AV66" s="30">
        <v>1.8494666384703401E-2</v>
      </c>
      <c r="AW66" s="31">
        <v>93.143955854621495</v>
      </c>
      <c r="AX66" s="30">
        <v>1.6849751975729799E-2</v>
      </c>
      <c r="AY66" s="31">
        <v>106.327736298581</v>
      </c>
      <c r="AZ66" s="30">
        <v>2.3346157506616099E-2</v>
      </c>
      <c r="BA66" s="31">
        <v>114.52845102648401</v>
      </c>
      <c r="BB66" s="30">
        <v>-6.1560049656240699E-3</v>
      </c>
      <c r="BC66" s="31">
        <v>112.476138401431</v>
      </c>
      <c r="BD66" s="30">
        <v>-1.23740635246755E-2</v>
      </c>
      <c r="BE66" s="31"/>
      <c r="BF66" s="30"/>
    </row>
    <row r="67" spans="1:58" x14ac:dyDescent="0.2">
      <c r="A67" s="28">
        <v>1993</v>
      </c>
      <c r="B67" s="28">
        <v>4</v>
      </c>
      <c r="C67" s="31">
        <v>90.555612154312499</v>
      </c>
      <c r="D67" s="30">
        <v>2.5753475479462599E-2</v>
      </c>
      <c r="E67" s="31">
        <v>88.237281680376199</v>
      </c>
      <c r="F67" s="30">
        <v>1.11617464167193E-2</v>
      </c>
      <c r="G67" s="31">
        <v>89.258818529710197</v>
      </c>
      <c r="H67" s="30">
        <v>1.6808982266534E-2</v>
      </c>
      <c r="I67" s="31">
        <v>92.161188128756706</v>
      </c>
      <c r="J67" s="30">
        <v>1.8106504424374399E-2</v>
      </c>
      <c r="K67" s="31">
        <v>76.830185541972796</v>
      </c>
      <c r="L67" s="30">
        <v>1.05010845545832E-2</v>
      </c>
      <c r="M67" s="31">
        <v>86.138758394896698</v>
      </c>
      <c r="N67" s="30">
        <v>-5.9513684206180496E-4</v>
      </c>
      <c r="O67" s="31">
        <v>103.236408901668</v>
      </c>
      <c r="P67" s="30">
        <v>-1.0828084078954301E-3</v>
      </c>
      <c r="Q67" s="31">
        <v>83.381656158478705</v>
      </c>
      <c r="R67" s="30">
        <v>-1.37920292590173E-2</v>
      </c>
      <c r="S67" s="31">
        <v>115.790282760343</v>
      </c>
      <c r="T67" s="30">
        <v>8.8088479716250702E-3</v>
      </c>
      <c r="U67" s="31"/>
      <c r="V67" s="30"/>
      <c r="W67" s="31"/>
      <c r="X67" s="30"/>
      <c r="Y67" s="31"/>
      <c r="Z67" s="30"/>
      <c r="AA67" s="31">
        <v>94.166203162336302</v>
      </c>
      <c r="AB67" s="30">
        <v>4.03533104246128E-2</v>
      </c>
      <c r="AC67" s="31">
        <v>95.284739468486407</v>
      </c>
      <c r="AD67" s="30">
        <v>3.0913339078382202E-2</v>
      </c>
      <c r="AE67" s="31">
        <v>110.899792122054</v>
      </c>
      <c r="AF67" s="30">
        <v>2.0710302623560401E-2</v>
      </c>
      <c r="AG67" s="31">
        <v>119.545269180623</v>
      </c>
      <c r="AH67" s="30">
        <v>1.7220463312937601E-2</v>
      </c>
      <c r="AI67" s="31">
        <v>91.908126263657195</v>
      </c>
      <c r="AJ67" s="30">
        <v>6.2763575479067399E-2</v>
      </c>
      <c r="AK67" s="31">
        <v>92.648833070692106</v>
      </c>
      <c r="AL67" s="30">
        <v>2.0821095511200901E-3</v>
      </c>
      <c r="AM67" s="31">
        <v>91.143249351527899</v>
      </c>
      <c r="AN67" s="30">
        <v>1.75732072900003E-3</v>
      </c>
      <c r="AO67" s="31">
        <v>115.229332911733</v>
      </c>
      <c r="AP67" s="30">
        <v>-2.29578749080298E-2</v>
      </c>
      <c r="AQ67" s="31">
        <v>119.896892581367</v>
      </c>
      <c r="AR67" s="30">
        <v>-3.9343651757785397E-2</v>
      </c>
      <c r="AS67" s="31">
        <v>94.734517396137804</v>
      </c>
      <c r="AT67" s="30">
        <v>3.3092620743533402E-3</v>
      </c>
      <c r="AU67" s="31">
        <v>97.923653385054706</v>
      </c>
      <c r="AV67" s="30">
        <v>1.67500412810671E-2</v>
      </c>
      <c r="AW67" s="31">
        <v>93.022999222041605</v>
      </c>
      <c r="AX67" s="30">
        <v>1.11195167474152E-2</v>
      </c>
      <c r="AY67" s="31">
        <v>107.06659799732699</v>
      </c>
      <c r="AZ67" s="30">
        <v>3.2293706029372898E-2</v>
      </c>
      <c r="BA67" s="31">
        <v>116.40655401512799</v>
      </c>
      <c r="BB67" s="30">
        <v>1.7287955982978401E-2</v>
      </c>
      <c r="BC67" s="31">
        <v>110.354717232718</v>
      </c>
      <c r="BD67" s="30">
        <v>-2.6712698821652701E-2</v>
      </c>
      <c r="BE67" s="31"/>
      <c r="BF67" s="30"/>
    </row>
    <row r="68" spans="1:58" x14ac:dyDescent="0.2">
      <c r="A68" s="28">
        <v>1994</v>
      </c>
      <c r="B68" s="28">
        <v>1</v>
      </c>
      <c r="C68" s="31">
        <v>91.426012713355107</v>
      </c>
      <c r="D68" s="30">
        <v>2.1437735803238E-2</v>
      </c>
      <c r="E68" s="31">
        <v>88.114788383381196</v>
      </c>
      <c r="F68" s="30">
        <v>6.2442600272378801E-3</v>
      </c>
      <c r="G68" s="31">
        <v>89.337366959514</v>
      </c>
      <c r="H68" s="30">
        <v>8.6778118238044506E-3</v>
      </c>
      <c r="I68" s="31">
        <v>92.242115038344807</v>
      </c>
      <c r="J68" s="30">
        <v>9.2331090621793292E-3</v>
      </c>
      <c r="K68" s="31">
        <v>76.900477944601903</v>
      </c>
      <c r="L68" s="30">
        <v>6.1083605428193799E-3</v>
      </c>
      <c r="M68" s="31">
        <v>85.410911068023097</v>
      </c>
      <c r="N68" s="30">
        <v>3.6472851164894801E-3</v>
      </c>
      <c r="O68" s="31">
        <v>103.583037472941</v>
      </c>
      <c r="P68" s="30">
        <v>2.4999581953075701E-3</v>
      </c>
      <c r="Q68" s="31">
        <v>83.779313600469493</v>
      </c>
      <c r="R68" s="30">
        <v>-6.2434593128272197E-3</v>
      </c>
      <c r="S68" s="31">
        <v>116.11044237110799</v>
      </c>
      <c r="T68" s="30">
        <v>9.4784162942385102E-3</v>
      </c>
      <c r="U68" s="31"/>
      <c r="V68" s="30"/>
      <c r="W68" s="31"/>
      <c r="X68" s="30"/>
      <c r="Y68" s="31"/>
      <c r="Z68" s="30"/>
      <c r="AA68" s="31">
        <v>93.863003447177306</v>
      </c>
      <c r="AB68" s="30">
        <v>9.3699275161278593E-3</v>
      </c>
      <c r="AC68" s="31">
        <v>95.049227605986204</v>
      </c>
      <c r="AD68" s="30">
        <v>7.2782397328625698E-3</v>
      </c>
      <c r="AE68" s="31">
        <v>110.78241691816901</v>
      </c>
      <c r="AF68" s="30">
        <v>-4.3079581401481697E-3</v>
      </c>
      <c r="AG68" s="31">
        <v>119.244898066036</v>
      </c>
      <c r="AH68" s="30">
        <v>-8.7982941149267208E-3</v>
      </c>
      <c r="AI68" s="31">
        <v>91.348840416741396</v>
      </c>
      <c r="AJ68" s="30">
        <v>1.3410604159497E-2</v>
      </c>
      <c r="AK68" s="31">
        <v>89.604844636476898</v>
      </c>
      <c r="AL68" s="30">
        <v>-3.3459977294585802E-2</v>
      </c>
      <c r="AM68" s="31">
        <v>87.891840300978203</v>
      </c>
      <c r="AN68" s="30">
        <v>-3.48445736429892E-2</v>
      </c>
      <c r="AO68" s="31">
        <v>110.459616414062</v>
      </c>
      <c r="AP68" s="30">
        <v>-5.4430685849042003E-2</v>
      </c>
      <c r="AQ68" s="31">
        <v>117.928623915827</v>
      </c>
      <c r="AR68" s="30">
        <v>-6.6746199252192204E-2</v>
      </c>
      <c r="AS68" s="31">
        <v>92.356778554522293</v>
      </c>
      <c r="AT68" s="30">
        <v>-2.9926366721863301E-2</v>
      </c>
      <c r="AU68" s="31">
        <v>97.950658205873495</v>
      </c>
      <c r="AV68" s="30">
        <v>4.7113550315403003E-3</v>
      </c>
      <c r="AW68" s="31">
        <v>93.157473167476596</v>
      </c>
      <c r="AX68" s="30">
        <v>6.7787617789325499E-3</v>
      </c>
      <c r="AY68" s="31">
        <v>106.774511796365</v>
      </c>
      <c r="AZ68" s="30">
        <v>-1.01746859046659E-3</v>
      </c>
      <c r="BA68" s="31">
        <v>116.122677716943</v>
      </c>
      <c r="BB68" s="30">
        <v>-8.4595725961319496E-3</v>
      </c>
      <c r="BC68" s="31">
        <v>108.287095342836</v>
      </c>
      <c r="BD68" s="30">
        <v>-5.5698981642921197E-2</v>
      </c>
      <c r="BE68" s="31"/>
      <c r="BF68" s="30"/>
    </row>
    <row r="69" spans="1:58" x14ac:dyDescent="0.2">
      <c r="A69" s="28">
        <v>1994</v>
      </c>
      <c r="B69" s="28">
        <v>2</v>
      </c>
      <c r="C69" s="31">
        <v>91.343799310653196</v>
      </c>
      <c r="D69" s="30">
        <v>1.5041052853732801E-2</v>
      </c>
      <c r="E69" s="31">
        <v>88.387419830410195</v>
      </c>
      <c r="F69" s="30">
        <v>-1.81126255927777E-3</v>
      </c>
      <c r="G69" s="31">
        <v>89.015294856876693</v>
      </c>
      <c r="H69" s="30">
        <v>-1.9146948009023401E-3</v>
      </c>
      <c r="I69" s="31">
        <v>91.848038861966202</v>
      </c>
      <c r="J69" s="30">
        <v>-2.9105656491738002E-3</v>
      </c>
      <c r="K69" s="31">
        <v>76.860795321882804</v>
      </c>
      <c r="L69" s="30">
        <v>2.6462329449781202E-3</v>
      </c>
      <c r="M69" s="31">
        <v>87.008491136536904</v>
      </c>
      <c r="N69" s="30">
        <v>-3.2113574436767301E-3</v>
      </c>
      <c r="O69" s="31">
        <v>103.26881622829799</v>
      </c>
      <c r="P69" s="30">
        <v>9.7266908968718396E-5</v>
      </c>
      <c r="Q69" s="31">
        <v>83.811497192534304</v>
      </c>
      <c r="R69" s="30">
        <v>-1.4631407381437999E-3</v>
      </c>
      <c r="S69" s="31">
        <v>115.480063810068</v>
      </c>
      <c r="T69" s="30">
        <v>1.34863329463708E-3</v>
      </c>
      <c r="U69" s="31"/>
      <c r="V69" s="30"/>
      <c r="W69" s="31"/>
      <c r="X69" s="30"/>
      <c r="Y69" s="31"/>
      <c r="Z69" s="30"/>
      <c r="AA69" s="31">
        <v>93.106731948538595</v>
      </c>
      <c r="AB69" s="30">
        <v>-3.0415834609427402E-3</v>
      </c>
      <c r="AC69" s="31">
        <v>94.168526900661504</v>
      </c>
      <c r="AD69" s="30">
        <v>1.1147867836012199E-3</v>
      </c>
      <c r="AE69" s="31">
        <v>110.253765988382</v>
      </c>
      <c r="AF69" s="30">
        <v>6.5493046240074904E-3</v>
      </c>
      <c r="AG69" s="31">
        <v>118.992506629342</v>
      </c>
      <c r="AH69" s="30">
        <v>9.8981281913403905E-3</v>
      </c>
      <c r="AI69" s="31">
        <v>90.830052157996406</v>
      </c>
      <c r="AJ69" s="30">
        <v>-1.3817174795873599E-2</v>
      </c>
      <c r="AK69" s="31">
        <v>90.037785636298693</v>
      </c>
      <c r="AL69" s="30">
        <v>-4.5958903202199197E-2</v>
      </c>
      <c r="AM69" s="31">
        <v>88.015934661679694</v>
      </c>
      <c r="AN69" s="30">
        <v>-5.19578407533305E-2</v>
      </c>
      <c r="AO69" s="31">
        <v>111.01487689933801</v>
      </c>
      <c r="AP69" s="30">
        <v>-5.4208763061217698E-2</v>
      </c>
      <c r="AQ69" s="31">
        <v>117.519884876858</v>
      </c>
      <c r="AR69" s="30">
        <v>-5.3880877725590297E-2</v>
      </c>
      <c r="AS69" s="31">
        <v>93.816203599344703</v>
      </c>
      <c r="AT69" s="30">
        <v>-2.76656955376802E-2</v>
      </c>
      <c r="AU69" s="31">
        <v>97.622669978798498</v>
      </c>
      <c r="AV69" s="30">
        <v>-2.80565920322551E-4</v>
      </c>
      <c r="AW69" s="31">
        <v>92.839776514682299</v>
      </c>
      <c r="AX69" s="30">
        <v>-1.1109527380117599E-3</v>
      </c>
      <c r="AY69" s="31">
        <v>106.42965963668399</v>
      </c>
      <c r="AZ69" s="30">
        <v>2.02515054646546E-3</v>
      </c>
      <c r="BA69" s="31">
        <v>115.885087272668</v>
      </c>
      <c r="BB69" s="30">
        <v>9.9336993898682096E-3</v>
      </c>
      <c r="BC69" s="31">
        <v>108.529371145087</v>
      </c>
      <c r="BD69" s="30">
        <v>-4.6006515649455501E-2</v>
      </c>
      <c r="BE69" s="31"/>
      <c r="BF69" s="30"/>
    </row>
    <row r="70" spans="1:58" x14ac:dyDescent="0.2">
      <c r="A70" s="28">
        <v>1994</v>
      </c>
      <c r="B70" s="28">
        <v>3</v>
      </c>
      <c r="C70" s="31">
        <v>91.114748728885004</v>
      </c>
      <c r="D70" s="30">
        <v>8.0535303759501405E-3</v>
      </c>
      <c r="E70" s="31">
        <v>88.492300441175402</v>
      </c>
      <c r="F70" s="30">
        <v>-1.6829950258303601E-3</v>
      </c>
      <c r="G70" s="31">
        <v>88.924875857418201</v>
      </c>
      <c r="H70" s="30">
        <v>-6.4599763343280402E-3</v>
      </c>
      <c r="I70" s="31">
        <v>91.771623330051199</v>
      </c>
      <c r="J70" s="30">
        <v>-7.7624758165936204E-3</v>
      </c>
      <c r="K70" s="31">
        <v>76.714523402883302</v>
      </c>
      <c r="L70" s="30">
        <v>-4.71950656582232E-4</v>
      </c>
      <c r="M70" s="31">
        <v>87.594944276191399</v>
      </c>
      <c r="N70" s="30">
        <v>9.0960967056987804E-3</v>
      </c>
      <c r="O70" s="31">
        <v>102.463966969751</v>
      </c>
      <c r="P70" s="30">
        <v>-5.8603271238926204E-3</v>
      </c>
      <c r="Q70" s="31">
        <v>83.478909014610196</v>
      </c>
      <c r="R70" s="30">
        <v>5.4570618586402596E-4</v>
      </c>
      <c r="S70" s="31">
        <v>114.19603935443899</v>
      </c>
      <c r="T70" s="30">
        <v>-1.26072245813384E-2</v>
      </c>
      <c r="U70" s="31"/>
      <c r="V70" s="30"/>
      <c r="W70" s="31"/>
      <c r="X70" s="30"/>
      <c r="Y70" s="31"/>
      <c r="Z70" s="30"/>
      <c r="AA70" s="31">
        <v>91.785096699943793</v>
      </c>
      <c r="AB70" s="30">
        <v>-1.87522389612815E-2</v>
      </c>
      <c r="AC70" s="31">
        <v>92.206083803219002</v>
      </c>
      <c r="AD70" s="30">
        <v>-1.8816893103187599E-2</v>
      </c>
      <c r="AE70" s="31">
        <v>108.028453201971</v>
      </c>
      <c r="AF70" s="30">
        <v>-1.0617444602804E-2</v>
      </c>
      <c r="AG70" s="31">
        <v>116.701591904149</v>
      </c>
      <c r="AH70" s="30">
        <v>-7.5493128143174796E-3</v>
      </c>
      <c r="AI70" s="31">
        <v>90.883197202485704</v>
      </c>
      <c r="AJ70" s="30">
        <v>-1.38317423247649E-2</v>
      </c>
      <c r="AK70" s="31">
        <v>89.303937955390694</v>
      </c>
      <c r="AL70" s="30">
        <v>-4.5385701653394298E-2</v>
      </c>
      <c r="AM70" s="31">
        <v>87.687569303160203</v>
      </c>
      <c r="AN70" s="30">
        <v>-5.1692060463246703E-2</v>
      </c>
      <c r="AO70" s="31">
        <v>111.259194318759</v>
      </c>
      <c r="AP70" s="30">
        <v>-5.0001735495046301E-2</v>
      </c>
      <c r="AQ70" s="31">
        <v>117.53559468343499</v>
      </c>
      <c r="AR70" s="30">
        <v>-4.6467443651309399E-2</v>
      </c>
      <c r="AS70" s="31">
        <v>91.740971839817007</v>
      </c>
      <c r="AT70" s="30">
        <v>-2.9369216380542601E-2</v>
      </c>
      <c r="AU70" s="31">
        <v>97.099745665339199</v>
      </c>
      <c r="AV70" s="30">
        <v>-7.4715170007086896E-3</v>
      </c>
      <c r="AW70" s="31">
        <v>92.560564026472804</v>
      </c>
      <c r="AX70" s="30">
        <v>-6.2633353157050004E-3</v>
      </c>
      <c r="AY70" s="31">
        <v>105.15537106806499</v>
      </c>
      <c r="AZ70" s="30">
        <v>-1.1025958713383599E-2</v>
      </c>
      <c r="BA70" s="31">
        <v>113.699753938005</v>
      </c>
      <c r="BB70" s="30">
        <v>-7.2357312183268796E-3</v>
      </c>
      <c r="BC70" s="31">
        <v>107.826821443746</v>
      </c>
      <c r="BD70" s="30">
        <v>-4.1336029345994202E-2</v>
      </c>
      <c r="BE70" s="31"/>
      <c r="BF70" s="30"/>
    </row>
    <row r="71" spans="1:58" x14ac:dyDescent="0.2">
      <c r="A71" s="28">
        <v>1994</v>
      </c>
      <c r="B71" s="28">
        <v>4</v>
      </c>
      <c r="C71" s="31">
        <v>90.867537866475303</v>
      </c>
      <c r="D71" s="30">
        <v>3.4445762636032798E-3</v>
      </c>
      <c r="E71" s="31">
        <v>87.953609937798902</v>
      </c>
      <c r="F71" s="30">
        <v>-3.2148739985530298E-3</v>
      </c>
      <c r="G71" s="31">
        <v>88.927622912666394</v>
      </c>
      <c r="H71" s="30">
        <v>-3.7105086365616402E-3</v>
      </c>
      <c r="I71" s="31">
        <v>91.786117316964706</v>
      </c>
      <c r="J71" s="30">
        <v>-4.0697263067824797E-3</v>
      </c>
      <c r="K71" s="31">
        <v>76.676506114175197</v>
      </c>
      <c r="L71" s="30">
        <v>-2.0002480368032098E-3</v>
      </c>
      <c r="M71" s="31">
        <v>85.861438082863003</v>
      </c>
      <c r="N71" s="30">
        <v>-3.21946028943509E-3</v>
      </c>
      <c r="O71" s="31">
        <v>101.516515340905</v>
      </c>
      <c r="P71" s="30">
        <v>-1.6659757725597201E-2</v>
      </c>
      <c r="Q71" s="31">
        <v>83.843560818553996</v>
      </c>
      <c r="R71" s="30">
        <v>5.5396436261396804E-3</v>
      </c>
      <c r="S71" s="31">
        <v>112.02869939275</v>
      </c>
      <c r="T71" s="30">
        <v>-3.2486174814667403E-2</v>
      </c>
      <c r="U71" s="31"/>
      <c r="V71" s="30"/>
      <c r="W71" s="31"/>
      <c r="X71" s="30"/>
      <c r="Y71" s="31"/>
      <c r="Z71" s="30"/>
      <c r="AA71" s="31">
        <v>92.546253337126501</v>
      </c>
      <c r="AB71" s="30">
        <v>-1.72030916699181E-2</v>
      </c>
      <c r="AC71" s="31">
        <v>93.409092333470198</v>
      </c>
      <c r="AD71" s="30">
        <v>-1.9684654074502501E-2</v>
      </c>
      <c r="AE71" s="31">
        <v>110.164813549976</v>
      </c>
      <c r="AF71" s="30">
        <v>-6.6274116300302204E-3</v>
      </c>
      <c r="AG71" s="31">
        <v>119.34480661138601</v>
      </c>
      <c r="AH71" s="30">
        <v>-1.6768758028686799E-3</v>
      </c>
      <c r="AI71" s="31">
        <v>90.735310816647399</v>
      </c>
      <c r="AJ71" s="30">
        <v>-1.27607372132188E-2</v>
      </c>
      <c r="AK71" s="31">
        <v>89.461281083065899</v>
      </c>
      <c r="AL71" s="30">
        <v>-3.44046641709349E-2</v>
      </c>
      <c r="AM71" s="31">
        <v>87.897565742411501</v>
      </c>
      <c r="AN71" s="30">
        <v>-3.5610795447923803E-2</v>
      </c>
      <c r="AO71" s="31">
        <v>112.115726721973</v>
      </c>
      <c r="AP71" s="30">
        <v>-2.7020951272408299E-2</v>
      </c>
      <c r="AQ71" s="31">
        <v>117.722446069713</v>
      </c>
      <c r="AR71" s="30">
        <v>-1.8135970539676999E-2</v>
      </c>
      <c r="AS71" s="31">
        <v>91.831617197395502</v>
      </c>
      <c r="AT71" s="30">
        <v>-3.0642476243412101E-2</v>
      </c>
      <c r="AU71" s="31">
        <v>97.275671938719796</v>
      </c>
      <c r="AV71" s="30">
        <v>-6.61721069358856E-3</v>
      </c>
      <c r="AW71" s="31">
        <v>92.321716373490403</v>
      </c>
      <c r="AX71" s="30">
        <v>-7.5388114167039798E-3</v>
      </c>
      <c r="AY71" s="31">
        <v>106.64318351376799</v>
      </c>
      <c r="AZ71" s="30">
        <v>-3.9546832670415101E-3</v>
      </c>
      <c r="BA71" s="31">
        <v>116.228647043669</v>
      </c>
      <c r="BB71" s="30">
        <v>-1.52832435393757E-3</v>
      </c>
      <c r="BC71" s="31">
        <v>107.950966631532</v>
      </c>
      <c r="BD71" s="30">
        <v>-2.17820376098351E-2</v>
      </c>
      <c r="BE71" s="31"/>
      <c r="BF71" s="30"/>
    </row>
    <row r="72" spans="1:58" x14ac:dyDescent="0.2">
      <c r="A72" s="28">
        <v>1995</v>
      </c>
      <c r="B72" s="28">
        <v>1</v>
      </c>
      <c r="C72" s="31">
        <v>91.645975682007602</v>
      </c>
      <c r="D72" s="30">
        <v>2.40591230137266E-3</v>
      </c>
      <c r="E72" s="31">
        <v>87.872458783925794</v>
      </c>
      <c r="F72" s="30">
        <v>-2.75015810514256E-3</v>
      </c>
      <c r="G72" s="31">
        <v>89.651478610185904</v>
      </c>
      <c r="H72" s="30">
        <v>3.5160164370437999E-3</v>
      </c>
      <c r="I72" s="31">
        <v>92.791546614119</v>
      </c>
      <c r="J72" s="30">
        <v>5.9564069573405697E-3</v>
      </c>
      <c r="K72" s="31">
        <v>76.315671789711601</v>
      </c>
      <c r="L72" s="30">
        <v>-7.6047141776099903E-3</v>
      </c>
      <c r="M72" s="31">
        <v>83.964889990294907</v>
      </c>
      <c r="N72" s="30">
        <v>-1.6930168050502601E-2</v>
      </c>
      <c r="O72" s="31">
        <v>99.580925831385699</v>
      </c>
      <c r="P72" s="30">
        <v>-3.8636747282109397E-2</v>
      </c>
      <c r="Q72" s="31">
        <v>84.917661362970804</v>
      </c>
      <c r="R72" s="30">
        <v>1.3587456301324701E-2</v>
      </c>
      <c r="S72" s="31">
        <v>107.94808970226801</v>
      </c>
      <c r="T72" s="30">
        <v>-7.0298179062583302E-2</v>
      </c>
      <c r="U72" s="31"/>
      <c r="V72" s="30"/>
      <c r="W72" s="31"/>
      <c r="X72" s="30"/>
      <c r="Y72" s="31"/>
      <c r="Z72" s="30"/>
      <c r="AA72" s="31">
        <v>92.301130182825801</v>
      </c>
      <c r="AB72" s="30">
        <v>-1.6639924219242201E-2</v>
      </c>
      <c r="AC72" s="31">
        <v>91.822094250228105</v>
      </c>
      <c r="AD72" s="30">
        <v>-3.3952231249429601E-2</v>
      </c>
      <c r="AE72" s="31">
        <v>109.26988488817599</v>
      </c>
      <c r="AF72" s="30">
        <v>-1.36531777521185E-2</v>
      </c>
      <c r="AG72" s="31">
        <v>118.73074639152</v>
      </c>
      <c r="AH72" s="30">
        <v>-4.3117289112940497E-3</v>
      </c>
      <c r="AI72" s="31">
        <v>93.8535550560172</v>
      </c>
      <c r="AJ72" s="30">
        <v>2.7419227522199802E-2</v>
      </c>
      <c r="AK72" s="31">
        <v>86.952229025776205</v>
      </c>
      <c r="AL72" s="30">
        <v>-2.9603484292197599E-2</v>
      </c>
      <c r="AM72" s="31">
        <v>85.713860142220994</v>
      </c>
      <c r="AN72" s="30">
        <v>-2.4780231603968798E-2</v>
      </c>
      <c r="AO72" s="31">
        <v>110.481240245793</v>
      </c>
      <c r="AP72" s="30">
        <v>1.9576232864459999E-4</v>
      </c>
      <c r="AQ72" s="31">
        <v>118.251055934592</v>
      </c>
      <c r="AR72" s="30">
        <v>2.7341285606341499E-3</v>
      </c>
      <c r="AS72" s="31">
        <v>88.315521072301706</v>
      </c>
      <c r="AT72" s="30">
        <v>-4.3757020821539601E-2</v>
      </c>
      <c r="AU72" s="31">
        <v>97.511803689898002</v>
      </c>
      <c r="AV72" s="30">
        <v>-4.4803631135701396E-3</v>
      </c>
      <c r="AW72" s="31">
        <v>92.372414734290999</v>
      </c>
      <c r="AX72" s="30">
        <v>-8.4272190570722199E-3</v>
      </c>
      <c r="AY72" s="31">
        <v>107.46198800416001</v>
      </c>
      <c r="AZ72" s="30">
        <v>6.4385797343371499E-3</v>
      </c>
      <c r="BA72" s="31">
        <v>115.625818161721</v>
      </c>
      <c r="BB72" s="30">
        <v>-4.2787469682122898E-3</v>
      </c>
      <c r="BC72" s="31">
        <v>107.07497919889001</v>
      </c>
      <c r="BD72" s="30">
        <v>-1.1193541946143699E-2</v>
      </c>
      <c r="BE72" s="31"/>
      <c r="BF72" s="30"/>
    </row>
    <row r="73" spans="1:58" x14ac:dyDescent="0.2">
      <c r="A73" s="28">
        <v>1995</v>
      </c>
      <c r="B73" s="28">
        <v>2</v>
      </c>
      <c r="C73" s="31">
        <v>91.721504446399507</v>
      </c>
      <c r="D73" s="30">
        <v>4.1349838587485498E-3</v>
      </c>
      <c r="E73" s="31">
        <v>87.831935168701307</v>
      </c>
      <c r="F73" s="30">
        <v>-6.2846575086670199E-3</v>
      </c>
      <c r="G73" s="31">
        <v>89.805383989165705</v>
      </c>
      <c r="H73" s="30">
        <v>8.8758806400552892E-3</v>
      </c>
      <c r="I73" s="31">
        <v>92.884797427363395</v>
      </c>
      <c r="J73" s="30">
        <v>1.12877594148233E-2</v>
      </c>
      <c r="K73" s="31">
        <v>76.695418485139299</v>
      </c>
      <c r="L73" s="30">
        <v>-2.1516409770537801E-3</v>
      </c>
      <c r="M73" s="31">
        <v>83.721132065662303</v>
      </c>
      <c r="N73" s="30">
        <v>-3.7782048946417998E-2</v>
      </c>
      <c r="O73" s="31">
        <v>99.596513483695105</v>
      </c>
      <c r="P73" s="30">
        <v>-3.5560616251129898E-2</v>
      </c>
      <c r="Q73" s="31">
        <v>84.768766761825802</v>
      </c>
      <c r="R73" s="30">
        <v>1.14216975159438E-2</v>
      </c>
      <c r="S73" s="31">
        <v>107.565732467045</v>
      </c>
      <c r="T73" s="30">
        <v>-6.8534178817563199E-2</v>
      </c>
      <c r="U73" s="31"/>
      <c r="V73" s="30"/>
      <c r="W73" s="31"/>
      <c r="X73" s="30"/>
      <c r="Y73" s="31"/>
      <c r="Z73" s="30"/>
      <c r="AA73" s="31">
        <v>91.2656253054042</v>
      </c>
      <c r="AB73" s="30">
        <v>-1.9774151713885E-2</v>
      </c>
      <c r="AC73" s="31">
        <v>90.719929177812801</v>
      </c>
      <c r="AD73" s="30">
        <v>-3.6621553255119399E-2</v>
      </c>
      <c r="AE73" s="31">
        <v>108.524855889251</v>
      </c>
      <c r="AF73" s="30">
        <v>-1.5681188607312501E-2</v>
      </c>
      <c r="AG73" s="31">
        <v>117.97818674846501</v>
      </c>
      <c r="AH73" s="30">
        <v>-8.5242332446741099E-3</v>
      </c>
      <c r="AI73" s="31">
        <v>92.948025487740395</v>
      </c>
      <c r="AJ73" s="30">
        <v>2.33179798912782E-2</v>
      </c>
      <c r="AK73" s="31">
        <v>85.671872386105406</v>
      </c>
      <c r="AL73" s="30">
        <v>-4.8489789251694199E-2</v>
      </c>
      <c r="AM73" s="31">
        <v>83.906506245583898</v>
      </c>
      <c r="AN73" s="30">
        <v>-4.66895958316167E-2</v>
      </c>
      <c r="AO73" s="31">
        <v>108.59697317586399</v>
      </c>
      <c r="AP73" s="30">
        <v>-2.1779997339155002E-2</v>
      </c>
      <c r="AQ73" s="31">
        <v>115.722024068384</v>
      </c>
      <c r="AR73" s="30">
        <v>-1.5298354064577E-2</v>
      </c>
      <c r="AS73" s="31">
        <v>88.729580046868506</v>
      </c>
      <c r="AT73" s="30">
        <v>-5.4219029947100997E-2</v>
      </c>
      <c r="AU73" s="31">
        <v>97.364732399106302</v>
      </c>
      <c r="AV73" s="30">
        <v>-2.64218935774052E-3</v>
      </c>
      <c r="AW73" s="31">
        <v>92.431472386140399</v>
      </c>
      <c r="AX73" s="30">
        <v>-4.39794389721804E-3</v>
      </c>
      <c r="AY73" s="31">
        <v>106.673233580402</v>
      </c>
      <c r="AZ73" s="30">
        <v>2.2885908359493402E-3</v>
      </c>
      <c r="BA73" s="31">
        <v>114.93117070087899</v>
      </c>
      <c r="BB73" s="30">
        <v>-8.2315731405889804E-3</v>
      </c>
      <c r="BC73" s="31">
        <v>105.594216107813</v>
      </c>
      <c r="BD73" s="30">
        <v>-2.7044799083464199E-2</v>
      </c>
      <c r="BE73" s="31"/>
      <c r="BF73" s="30"/>
    </row>
    <row r="74" spans="1:58" x14ac:dyDescent="0.2">
      <c r="A74" s="28">
        <v>1995</v>
      </c>
      <c r="B74" s="28">
        <v>3</v>
      </c>
      <c r="C74" s="31">
        <v>92.179049917191605</v>
      </c>
      <c r="D74" s="30">
        <v>1.16808881454911E-2</v>
      </c>
      <c r="E74" s="31">
        <v>88.610906598871793</v>
      </c>
      <c r="F74" s="30">
        <v>1.3402991797602001E-3</v>
      </c>
      <c r="G74" s="31">
        <v>90.124681631931296</v>
      </c>
      <c r="H74" s="30">
        <v>1.34923525385278E-2</v>
      </c>
      <c r="I74" s="31">
        <v>93.263667773470104</v>
      </c>
      <c r="J74" s="30">
        <v>1.6258233092956601E-2</v>
      </c>
      <c r="K74" s="31">
        <v>76.781828898897203</v>
      </c>
      <c r="L74" s="30">
        <v>8.7735011609790803E-4</v>
      </c>
      <c r="M74" s="31">
        <v>85.321817864523695</v>
      </c>
      <c r="N74" s="30">
        <v>-2.5950429336427699E-2</v>
      </c>
      <c r="O74" s="31">
        <v>98.832779044436407</v>
      </c>
      <c r="P74" s="30">
        <v>-3.5438681838142402E-2</v>
      </c>
      <c r="Q74" s="31">
        <v>83.405555792963199</v>
      </c>
      <c r="R74" s="30">
        <v>-8.7870364518283196E-4</v>
      </c>
      <c r="S74" s="31">
        <v>107.18594820888799</v>
      </c>
      <c r="T74" s="30">
        <v>-6.1386464759898403E-2</v>
      </c>
      <c r="U74" s="31"/>
      <c r="V74" s="30"/>
      <c r="W74" s="31"/>
      <c r="X74" s="30"/>
      <c r="Y74" s="31"/>
      <c r="Z74" s="30"/>
      <c r="AA74" s="31">
        <v>91.126153594788704</v>
      </c>
      <c r="AB74" s="30">
        <v>-7.1791949766011297E-3</v>
      </c>
      <c r="AC74" s="31">
        <v>90.075210288428195</v>
      </c>
      <c r="AD74" s="30">
        <v>-2.3109901504313E-2</v>
      </c>
      <c r="AE74" s="31">
        <v>107.580274970191</v>
      </c>
      <c r="AF74" s="30">
        <v>-4.1487054428341903E-3</v>
      </c>
      <c r="AG74" s="31">
        <v>116.83394256889</v>
      </c>
      <c r="AH74" s="30">
        <v>1.1340947675308999E-3</v>
      </c>
      <c r="AI74" s="31">
        <v>93.549997480323796</v>
      </c>
      <c r="AJ74" s="30">
        <v>2.9343160891407399E-2</v>
      </c>
      <c r="AK74" s="31">
        <v>86.155063257988104</v>
      </c>
      <c r="AL74" s="30">
        <v>-3.52601998242855E-2</v>
      </c>
      <c r="AM74" s="31">
        <v>84.503710107810505</v>
      </c>
      <c r="AN74" s="30">
        <v>-3.6309128199713402E-2</v>
      </c>
      <c r="AO74" s="31">
        <v>109.398396634107</v>
      </c>
      <c r="AP74" s="30">
        <v>-1.6724889084859501E-2</v>
      </c>
      <c r="AQ74" s="31">
        <v>116.02030107060899</v>
      </c>
      <c r="AR74" s="30">
        <v>-1.28922103717348E-2</v>
      </c>
      <c r="AS74" s="31">
        <v>88.839200555608699</v>
      </c>
      <c r="AT74" s="30">
        <v>-3.1630047360681403E-2</v>
      </c>
      <c r="AU74" s="31">
        <v>97.314719098653597</v>
      </c>
      <c r="AV74" s="30">
        <v>2.2139443501247901E-3</v>
      </c>
      <c r="AW74" s="31">
        <v>92.469125181294501</v>
      </c>
      <c r="AX74" s="30">
        <v>-9.8788124445825499E-4</v>
      </c>
      <c r="AY74" s="31">
        <v>106.34479461328699</v>
      </c>
      <c r="AZ74" s="30">
        <v>1.13111059676791E-2</v>
      </c>
      <c r="BA74" s="31">
        <v>113.86004700339601</v>
      </c>
      <c r="BB74" s="30">
        <v>1.4097925443059499E-3</v>
      </c>
      <c r="BC74" s="31">
        <v>105.77321668729201</v>
      </c>
      <c r="BD74" s="30">
        <v>-1.9045398250240899E-2</v>
      </c>
      <c r="BE74" s="31"/>
      <c r="BF74" s="30"/>
    </row>
    <row r="75" spans="1:58" x14ac:dyDescent="0.2">
      <c r="A75" s="28">
        <v>1995</v>
      </c>
      <c r="B75" s="28">
        <v>4</v>
      </c>
      <c r="C75" s="31">
        <v>91.878724752394007</v>
      </c>
      <c r="D75" s="30">
        <v>1.11281422349594E-2</v>
      </c>
      <c r="E75" s="31">
        <v>88.239166049469503</v>
      </c>
      <c r="F75" s="30">
        <v>3.2466673269295802E-3</v>
      </c>
      <c r="G75" s="31">
        <v>90.095587390402997</v>
      </c>
      <c r="H75" s="30">
        <v>1.31338771855354E-2</v>
      </c>
      <c r="I75" s="31">
        <v>93.174942847190394</v>
      </c>
      <c r="J75" s="30">
        <v>1.51311066512338E-2</v>
      </c>
      <c r="K75" s="31">
        <v>76.966756690729</v>
      </c>
      <c r="L75" s="30">
        <v>3.7853912660239502E-3</v>
      </c>
      <c r="M75" s="31">
        <v>84.308697964723606</v>
      </c>
      <c r="N75" s="30">
        <v>-1.8084254734248899E-2</v>
      </c>
      <c r="O75" s="31">
        <v>97.695009776422197</v>
      </c>
      <c r="P75" s="30">
        <v>-3.7644175941715201E-2</v>
      </c>
      <c r="Q75" s="31">
        <v>82.582397023601104</v>
      </c>
      <c r="R75" s="30">
        <v>-1.50418682441482E-2</v>
      </c>
      <c r="S75" s="31">
        <v>106.203527719973</v>
      </c>
      <c r="T75" s="30">
        <v>-5.1997137379555802E-2</v>
      </c>
      <c r="U75" s="31"/>
      <c r="V75" s="30"/>
      <c r="W75" s="31"/>
      <c r="X75" s="30"/>
      <c r="Y75" s="31"/>
      <c r="Z75" s="30"/>
      <c r="AA75" s="31">
        <v>90.474229573909398</v>
      </c>
      <c r="AB75" s="30">
        <v>-2.2389061561133301E-2</v>
      </c>
      <c r="AC75" s="31">
        <v>89.461937077782807</v>
      </c>
      <c r="AD75" s="30">
        <v>-4.2256649294867402E-2</v>
      </c>
      <c r="AE75" s="31">
        <v>106.78818642145301</v>
      </c>
      <c r="AF75" s="30">
        <v>-3.0650686182943001E-2</v>
      </c>
      <c r="AG75" s="31">
        <v>115.893469207267</v>
      </c>
      <c r="AH75" s="30">
        <v>-2.8919041407122498E-2</v>
      </c>
      <c r="AI75" s="31">
        <v>93.616409582513498</v>
      </c>
      <c r="AJ75" s="30">
        <v>3.1752784444504002E-2</v>
      </c>
      <c r="AK75" s="31">
        <v>85.3159317652906</v>
      </c>
      <c r="AL75" s="30">
        <v>-4.6336798082807898E-2</v>
      </c>
      <c r="AM75" s="31">
        <v>83.535712431270895</v>
      </c>
      <c r="AN75" s="30">
        <v>-4.9624278832968598E-2</v>
      </c>
      <c r="AO75" s="31">
        <v>108.016230133295</v>
      </c>
      <c r="AP75" s="30">
        <v>-3.6564866576159399E-2</v>
      </c>
      <c r="AQ75" s="31">
        <v>114.149870492459</v>
      </c>
      <c r="AR75" s="30">
        <v>-3.0347446018396802E-2</v>
      </c>
      <c r="AS75" s="31">
        <v>88.413870354967798</v>
      </c>
      <c r="AT75" s="30">
        <v>-3.7217539522157499E-2</v>
      </c>
      <c r="AU75" s="31">
        <v>96.897317200701096</v>
      </c>
      <c r="AV75" s="30">
        <v>-3.8895104035582299E-3</v>
      </c>
      <c r="AW75" s="31">
        <v>92.155183296205706</v>
      </c>
      <c r="AX75" s="30">
        <v>-1.8038342854350699E-3</v>
      </c>
      <c r="AY75" s="31">
        <v>105.624360264711</v>
      </c>
      <c r="AZ75" s="30">
        <v>-9.5535712221641606E-3</v>
      </c>
      <c r="BA75" s="31">
        <v>112.983940048741</v>
      </c>
      <c r="BB75" s="30">
        <v>-2.79165857769E-2</v>
      </c>
      <c r="BC75" s="31">
        <v>104.47610764208601</v>
      </c>
      <c r="BD75" s="30">
        <v>-3.2189234593026403E-2</v>
      </c>
      <c r="BE75" s="31"/>
      <c r="BF75" s="30"/>
    </row>
    <row r="76" spans="1:58" x14ac:dyDescent="0.2">
      <c r="A76" s="28">
        <v>1996</v>
      </c>
      <c r="B76" s="28">
        <v>1</v>
      </c>
      <c r="C76" s="31">
        <v>92.211597660288206</v>
      </c>
      <c r="D76" s="30">
        <v>6.1718146822196101E-3</v>
      </c>
      <c r="E76" s="31">
        <v>88.767502551623906</v>
      </c>
      <c r="F76" s="30">
        <v>1.0185714387473699E-2</v>
      </c>
      <c r="G76" s="31">
        <v>90.515322842109697</v>
      </c>
      <c r="H76" s="30">
        <v>9.6355826508993693E-3</v>
      </c>
      <c r="I76" s="31">
        <v>93.633295431283202</v>
      </c>
      <c r="J76" s="30">
        <v>9.0713954867538398E-3</v>
      </c>
      <c r="K76" s="31">
        <v>77.243717674459603</v>
      </c>
      <c r="L76" s="30">
        <v>1.2160620000898599E-2</v>
      </c>
      <c r="M76" s="31">
        <v>85.027992012904406</v>
      </c>
      <c r="N76" s="30">
        <v>1.26612685699039E-2</v>
      </c>
      <c r="O76" s="31">
        <v>97.624611365515193</v>
      </c>
      <c r="P76" s="30">
        <v>-1.9645473764553799E-2</v>
      </c>
      <c r="Q76" s="31">
        <v>82.299133115617494</v>
      </c>
      <c r="R76" s="30">
        <v>-3.08360852774873E-2</v>
      </c>
      <c r="S76" s="31">
        <v>106.19152700711901</v>
      </c>
      <c r="T76" s="30">
        <v>-1.6272290690771699E-2</v>
      </c>
      <c r="U76" s="31"/>
      <c r="V76" s="30"/>
      <c r="W76" s="31"/>
      <c r="X76" s="30"/>
      <c r="Y76" s="31"/>
      <c r="Z76" s="30"/>
      <c r="AA76" s="31">
        <v>90.935723471689499</v>
      </c>
      <c r="AB76" s="30">
        <v>-1.47929576640258E-2</v>
      </c>
      <c r="AC76" s="31">
        <v>90.066679193532195</v>
      </c>
      <c r="AD76" s="30">
        <v>-1.91175671937097E-2</v>
      </c>
      <c r="AE76" s="31">
        <v>106.041705592041</v>
      </c>
      <c r="AF76" s="30">
        <v>-2.9543174676523499E-2</v>
      </c>
      <c r="AG76" s="31">
        <v>114.840404770909</v>
      </c>
      <c r="AH76" s="30">
        <v>-3.2766084092341198E-2</v>
      </c>
      <c r="AI76" s="31">
        <v>93.368054586126505</v>
      </c>
      <c r="AJ76" s="30">
        <v>-5.1729576956452998E-3</v>
      </c>
      <c r="AK76" s="31">
        <v>86.343460481319198</v>
      </c>
      <c r="AL76" s="30">
        <v>-7.0011838831238703E-3</v>
      </c>
      <c r="AM76" s="31">
        <v>85.031845479501399</v>
      </c>
      <c r="AN76" s="30">
        <v>-7.9568772376826802E-3</v>
      </c>
      <c r="AO76" s="31">
        <v>108.77264329885899</v>
      </c>
      <c r="AP76" s="30">
        <v>-1.5465041333103601E-2</v>
      </c>
      <c r="AQ76" s="31">
        <v>116.19213387794601</v>
      </c>
      <c r="AR76" s="30">
        <v>-1.7411447537392499E-2</v>
      </c>
      <c r="AS76" s="31">
        <v>87.990334329925403</v>
      </c>
      <c r="AT76" s="30">
        <v>-3.6821018370043501E-3</v>
      </c>
      <c r="AU76" s="31">
        <v>96.992527004280305</v>
      </c>
      <c r="AV76" s="30">
        <v>-5.3252700285297801E-3</v>
      </c>
      <c r="AW76" s="31">
        <v>92.4780613731931</v>
      </c>
      <c r="AX76" s="30">
        <v>1.1437033361740799E-3</v>
      </c>
      <c r="AY76" s="31">
        <v>105.048652900514</v>
      </c>
      <c r="AZ76" s="30">
        <v>-2.2457569866968601E-2</v>
      </c>
      <c r="BA76" s="31">
        <v>111.98750044372601</v>
      </c>
      <c r="BB76" s="30">
        <v>-3.1466308959702302E-2</v>
      </c>
      <c r="BC76" s="31">
        <v>105.62024715828299</v>
      </c>
      <c r="BD76" s="30">
        <v>-1.35861062172608E-2</v>
      </c>
      <c r="BE76" s="31"/>
      <c r="BF76" s="30"/>
    </row>
    <row r="77" spans="1:58" x14ac:dyDescent="0.2">
      <c r="A77" s="28">
        <v>1996</v>
      </c>
      <c r="B77" s="28">
        <v>2</v>
      </c>
      <c r="C77" s="31">
        <v>92.564149258718103</v>
      </c>
      <c r="D77" s="30">
        <v>9.1869929239010197E-3</v>
      </c>
      <c r="E77" s="31">
        <v>89.176464209491897</v>
      </c>
      <c r="F77" s="30">
        <v>1.53079746928964E-2</v>
      </c>
      <c r="G77" s="31">
        <v>90.492929222442598</v>
      </c>
      <c r="H77" s="30">
        <v>7.6559467009222901E-3</v>
      </c>
      <c r="I77" s="31">
        <v>93.569613558531202</v>
      </c>
      <c r="J77" s="30">
        <v>7.3727472109024203E-3</v>
      </c>
      <c r="K77" s="31">
        <v>77.378772165476803</v>
      </c>
      <c r="L77" s="30">
        <v>8.90996742484562E-3</v>
      </c>
      <c r="M77" s="31">
        <v>86.328868153386694</v>
      </c>
      <c r="N77" s="30">
        <v>3.1147883734767401E-2</v>
      </c>
      <c r="O77" s="31">
        <v>97.021420794198704</v>
      </c>
      <c r="P77" s="30">
        <v>-2.5855249339807099E-2</v>
      </c>
      <c r="Q77" s="31">
        <v>81.925432928564803</v>
      </c>
      <c r="R77" s="30">
        <v>-3.3542234267131502E-2</v>
      </c>
      <c r="S77" s="31">
        <v>105.478142467634</v>
      </c>
      <c r="T77" s="30">
        <v>-1.9407574805950002E-2</v>
      </c>
      <c r="U77" s="31"/>
      <c r="V77" s="30"/>
      <c r="W77" s="31"/>
      <c r="X77" s="30"/>
      <c r="Y77" s="31"/>
      <c r="Z77" s="30"/>
      <c r="AA77" s="31">
        <v>91.258682349930794</v>
      </c>
      <c r="AB77" s="30">
        <v>-7.6074156619032593E-5</v>
      </c>
      <c r="AC77" s="31">
        <v>90.302350399199696</v>
      </c>
      <c r="AD77" s="30">
        <v>-4.6029442747327299E-3</v>
      </c>
      <c r="AE77" s="31">
        <v>106.57539096317301</v>
      </c>
      <c r="AF77" s="30">
        <v>-1.7963303522541201E-2</v>
      </c>
      <c r="AG77" s="31">
        <v>115.391900142464</v>
      </c>
      <c r="AH77" s="30">
        <v>-2.1921735511291101E-2</v>
      </c>
      <c r="AI77" s="31">
        <v>93.903042364046598</v>
      </c>
      <c r="AJ77" s="30">
        <v>1.0274740870447101E-2</v>
      </c>
      <c r="AK77" s="31">
        <v>86.867073263094795</v>
      </c>
      <c r="AL77" s="30">
        <v>1.3950913452701601E-2</v>
      </c>
      <c r="AM77" s="31">
        <v>84.653585244575893</v>
      </c>
      <c r="AN77" s="30">
        <v>8.9037076195899196E-3</v>
      </c>
      <c r="AO77" s="31">
        <v>108.016072887359</v>
      </c>
      <c r="AP77" s="30">
        <v>-5.3491388527360196E-3</v>
      </c>
      <c r="AQ77" s="31">
        <v>114.494449430825</v>
      </c>
      <c r="AR77" s="30">
        <v>-1.06079603035063E-2</v>
      </c>
      <c r="AS77" s="31">
        <v>91.242330212110502</v>
      </c>
      <c r="AT77" s="30">
        <v>2.8319193710988601E-2</v>
      </c>
      <c r="AU77" s="31">
        <v>96.970006173604503</v>
      </c>
      <c r="AV77" s="30">
        <v>-4.0540986019838004E-3</v>
      </c>
      <c r="AW77" s="31">
        <v>92.271966346231693</v>
      </c>
      <c r="AX77" s="30">
        <v>-1.7256680629561499E-3</v>
      </c>
      <c r="AY77" s="31">
        <v>105.566533868677</v>
      </c>
      <c r="AZ77" s="30">
        <v>-1.0374671082700199E-2</v>
      </c>
      <c r="BA77" s="31">
        <v>112.524065351082</v>
      </c>
      <c r="BB77" s="30">
        <v>-2.09438861112946E-2</v>
      </c>
      <c r="BC77" s="31">
        <v>105.70803004854299</v>
      </c>
      <c r="BD77" s="30">
        <v>1.0778425649180499E-3</v>
      </c>
      <c r="BE77" s="31"/>
      <c r="BF77" s="30"/>
    </row>
    <row r="78" spans="1:58" x14ac:dyDescent="0.2">
      <c r="A78" s="28">
        <v>1996</v>
      </c>
      <c r="B78" s="28">
        <v>3</v>
      </c>
      <c r="C78" s="31">
        <v>92.010609094357093</v>
      </c>
      <c r="D78" s="30">
        <v>-1.8273221842259901E-3</v>
      </c>
      <c r="E78" s="31">
        <v>88.393140698989797</v>
      </c>
      <c r="F78" s="30">
        <v>-2.4575518775342702E-3</v>
      </c>
      <c r="G78" s="31">
        <v>90.490265121266702</v>
      </c>
      <c r="H78" s="30">
        <v>4.05641920410216E-3</v>
      </c>
      <c r="I78" s="31">
        <v>93.569890148359804</v>
      </c>
      <c r="J78" s="30">
        <v>3.2834048048961998E-3</v>
      </c>
      <c r="K78" s="31">
        <v>77.3655857653591</v>
      </c>
      <c r="L78" s="30">
        <v>7.6027997096881402E-3</v>
      </c>
      <c r="M78" s="31">
        <v>83.854239654447397</v>
      </c>
      <c r="N78" s="30">
        <v>-1.72005033039332E-2</v>
      </c>
      <c r="O78" s="31">
        <v>96.5838425288389</v>
      </c>
      <c r="P78" s="30">
        <v>-2.2754965886230199E-2</v>
      </c>
      <c r="Q78" s="31">
        <v>81.461358565038395</v>
      </c>
      <c r="R78" s="30">
        <v>-2.3310164526100699E-2</v>
      </c>
      <c r="S78" s="31">
        <v>105.108614627698</v>
      </c>
      <c r="T78" s="30">
        <v>-1.9380652183452501E-2</v>
      </c>
      <c r="U78" s="31"/>
      <c r="V78" s="30"/>
      <c r="W78" s="31"/>
      <c r="X78" s="30"/>
      <c r="Y78" s="31"/>
      <c r="Z78" s="30"/>
      <c r="AA78" s="31">
        <v>91.282652200648698</v>
      </c>
      <c r="AB78" s="30">
        <v>1.71738408444133E-3</v>
      </c>
      <c r="AC78" s="31">
        <v>89.984580334971795</v>
      </c>
      <c r="AD78" s="30">
        <v>-1.0061586663651101E-3</v>
      </c>
      <c r="AE78" s="31">
        <v>106.551060521369</v>
      </c>
      <c r="AF78" s="30">
        <v>-9.5669438389838195E-3</v>
      </c>
      <c r="AG78" s="31">
        <v>115.25802943674</v>
      </c>
      <c r="AH78" s="30">
        <v>-1.3488487142516201E-2</v>
      </c>
      <c r="AI78" s="31">
        <v>94.674408504386705</v>
      </c>
      <c r="AJ78" s="30">
        <v>1.20193592126971E-2</v>
      </c>
      <c r="AK78" s="31">
        <v>86.273010086117395</v>
      </c>
      <c r="AL78" s="30">
        <v>1.3690063435523E-3</v>
      </c>
      <c r="AM78" s="31">
        <v>83.946271335733798</v>
      </c>
      <c r="AN78" s="30">
        <v>-6.59661891017016E-3</v>
      </c>
      <c r="AO78" s="31">
        <v>107.714822717039</v>
      </c>
      <c r="AP78" s="30">
        <v>-1.5389383838031E-2</v>
      </c>
      <c r="AQ78" s="31">
        <v>114.035141638288</v>
      </c>
      <c r="AR78" s="30">
        <v>-1.7110448895603401E-2</v>
      </c>
      <c r="AS78" s="31">
        <v>90.814917990198595</v>
      </c>
      <c r="AT78" s="30">
        <v>2.2239252742410901E-2</v>
      </c>
      <c r="AU78" s="31">
        <v>96.957441024785993</v>
      </c>
      <c r="AV78" s="30">
        <v>-3.6713672625968701E-3</v>
      </c>
      <c r="AW78" s="31">
        <v>92.160241573792703</v>
      </c>
      <c r="AX78" s="30">
        <v>-3.3403972071351898E-3</v>
      </c>
      <c r="AY78" s="31">
        <v>105.86143380411001</v>
      </c>
      <c r="AZ78" s="30">
        <v>-4.5452230260512004E-3</v>
      </c>
      <c r="BA78" s="31">
        <v>112.41323573257699</v>
      </c>
      <c r="BB78" s="30">
        <v>-1.2706926695510001E-2</v>
      </c>
      <c r="BC78" s="31">
        <v>105.325403120519</v>
      </c>
      <c r="BD78" s="30">
        <v>-4.2337141745196804E-3</v>
      </c>
      <c r="BE78" s="31"/>
      <c r="BF78" s="30"/>
    </row>
    <row r="79" spans="1:58" x14ac:dyDescent="0.2">
      <c r="A79" s="28">
        <v>1996</v>
      </c>
      <c r="B79" s="28">
        <v>4</v>
      </c>
      <c r="C79" s="31">
        <v>91.518684126172602</v>
      </c>
      <c r="D79" s="30">
        <v>-3.9186506690388496E-3</v>
      </c>
      <c r="E79" s="31">
        <v>88.053285388593906</v>
      </c>
      <c r="F79" s="30">
        <v>-2.1065550502980001E-3</v>
      </c>
      <c r="G79" s="31">
        <v>90.760529731818593</v>
      </c>
      <c r="H79" s="30">
        <v>7.3804096368699197E-3</v>
      </c>
      <c r="I79" s="31">
        <v>93.960448257898506</v>
      </c>
      <c r="J79" s="30">
        <v>8.4304361956664096E-3</v>
      </c>
      <c r="K79" s="31">
        <v>77.165269176741603</v>
      </c>
      <c r="L79" s="30">
        <v>2.5791977543017102E-3</v>
      </c>
      <c r="M79" s="31">
        <v>82.280093071898307</v>
      </c>
      <c r="N79" s="30">
        <v>-2.4061632332100999E-2</v>
      </c>
      <c r="O79" s="31">
        <v>95.566397216867301</v>
      </c>
      <c r="P79" s="30">
        <v>-2.1788344813377401E-2</v>
      </c>
      <c r="Q79" s="31">
        <v>80.729579794208306</v>
      </c>
      <c r="R79" s="30">
        <v>-2.24359826811917E-2</v>
      </c>
      <c r="S79" s="31">
        <v>103.84043183324999</v>
      </c>
      <c r="T79" s="30">
        <v>-2.2250634582999598E-2</v>
      </c>
      <c r="U79" s="31"/>
      <c r="V79" s="30"/>
      <c r="W79" s="31"/>
      <c r="X79" s="30"/>
      <c r="Y79" s="31"/>
      <c r="Z79" s="30"/>
      <c r="AA79" s="31">
        <v>91.971783261783401</v>
      </c>
      <c r="AB79" s="30">
        <v>1.65522679212282E-2</v>
      </c>
      <c r="AC79" s="31">
        <v>90.787081216864706</v>
      </c>
      <c r="AD79" s="30">
        <v>1.4812379234866E-2</v>
      </c>
      <c r="AE79" s="31">
        <v>106.942718916285</v>
      </c>
      <c r="AF79" s="30">
        <v>1.44709354105554E-3</v>
      </c>
      <c r="AG79" s="31">
        <v>115.497656472201</v>
      </c>
      <c r="AH79" s="30">
        <v>-3.4153152699056802E-3</v>
      </c>
      <c r="AI79" s="31">
        <v>95.263699638283398</v>
      </c>
      <c r="AJ79" s="30">
        <v>1.7596167841900101E-2</v>
      </c>
      <c r="AK79" s="31">
        <v>87.340013599679295</v>
      </c>
      <c r="AL79" s="30">
        <v>2.3724547016108901E-2</v>
      </c>
      <c r="AM79" s="31">
        <v>84.648195806276703</v>
      </c>
      <c r="AN79" s="30">
        <v>1.3317458397462E-2</v>
      </c>
      <c r="AO79" s="31">
        <v>107.74077447154001</v>
      </c>
      <c r="AP79" s="30">
        <v>-2.5501321552766601E-3</v>
      </c>
      <c r="AQ79" s="31">
        <v>113.060394478256</v>
      </c>
      <c r="AR79" s="30">
        <v>-9.54425974819062E-3</v>
      </c>
      <c r="AS79" s="31">
        <v>93.318308408632504</v>
      </c>
      <c r="AT79" s="30">
        <v>5.5471364775391697E-2</v>
      </c>
      <c r="AU79" s="31">
        <v>96.991049188767093</v>
      </c>
      <c r="AV79" s="30">
        <v>9.6733316023489601E-4</v>
      </c>
      <c r="AW79" s="31">
        <v>92.126026109433894</v>
      </c>
      <c r="AX79" s="30">
        <v>-3.1639226062918401E-4</v>
      </c>
      <c r="AY79" s="31">
        <v>106.10876736580001</v>
      </c>
      <c r="AZ79" s="30">
        <v>4.5861305088570302E-3</v>
      </c>
      <c r="BA79" s="31">
        <v>112.643900012351</v>
      </c>
      <c r="BB79" s="30">
        <v>-3.0096316011229999E-3</v>
      </c>
      <c r="BC79" s="31">
        <v>105.465657824706</v>
      </c>
      <c r="BD79" s="30">
        <v>9.4715452647748909E-3</v>
      </c>
      <c r="BE79" s="31"/>
      <c r="BF79" s="30"/>
    </row>
    <row r="80" spans="1:58" x14ac:dyDescent="0.2">
      <c r="A80" s="28">
        <v>1997</v>
      </c>
      <c r="B80" s="28">
        <v>1</v>
      </c>
      <c r="C80" s="31">
        <v>91.948837826646994</v>
      </c>
      <c r="D80" s="30">
        <v>-2.84953129875487E-3</v>
      </c>
      <c r="E80" s="31">
        <v>88.485115845627803</v>
      </c>
      <c r="F80" s="30">
        <v>-3.1811946701092398E-3</v>
      </c>
      <c r="G80" s="31">
        <v>91.122912036871796</v>
      </c>
      <c r="H80" s="30">
        <v>6.7125562356113999E-3</v>
      </c>
      <c r="I80" s="31">
        <v>94.503261382482705</v>
      </c>
      <c r="J80" s="30">
        <v>9.2912029550209496E-3</v>
      </c>
      <c r="K80" s="31">
        <v>76.826251392655806</v>
      </c>
      <c r="L80" s="30">
        <v>-5.40453378439343E-3</v>
      </c>
      <c r="M80" s="31">
        <v>82.633799808980697</v>
      </c>
      <c r="N80" s="30">
        <v>-2.8157694275084699E-2</v>
      </c>
      <c r="O80" s="31">
        <v>95.318817887867198</v>
      </c>
      <c r="P80" s="30">
        <v>-2.36189772783305E-2</v>
      </c>
      <c r="Q80" s="31">
        <v>79.72879604936</v>
      </c>
      <c r="R80" s="30">
        <v>-3.12316420471473E-2</v>
      </c>
      <c r="S80" s="31">
        <v>104.16038447466499</v>
      </c>
      <c r="T80" s="30">
        <v>-1.9127161928068601E-2</v>
      </c>
      <c r="U80" s="31"/>
      <c r="V80" s="30"/>
      <c r="W80" s="31"/>
      <c r="X80" s="30"/>
      <c r="Y80" s="31"/>
      <c r="Z80" s="30"/>
      <c r="AA80" s="31">
        <v>93.934368322688897</v>
      </c>
      <c r="AB80" s="30">
        <v>3.2975432937892402E-2</v>
      </c>
      <c r="AC80" s="31">
        <v>93.550325898835695</v>
      </c>
      <c r="AD80" s="30">
        <v>3.8678529468350903E-2</v>
      </c>
      <c r="AE80" s="31">
        <v>109.368934000363</v>
      </c>
      <c r="AF80" s="30">
        <v>3.1376602156159401E-2</v>
      </c>
      <c r="AG80" s="31">
        <v>117.88339284849999</v>
      </c>
      <c r="AH80" s="30">
        <v>2.6497538768358801E-2</v>
      </c>
      <c r="AI80" s="31">
        <v>95.206381931639896</v>
      </c>
      <c r="AJ80" s="30">
        <v>1.96890398291165E-2</v>
      </c>
      <c r="AK80" s="31">
        <v>89.412292214720196</v>
      </c>
      <c r="AL80" s="30">
        <v>3.5542144318676701E-2</v>
      </c>
      <c r="AM80" s="31">
        <v>87.276274473750306</v>
      </c>
      <c r="AN80" s="30">
        <v>2.63951579739614E-2</v>
      </c>
      <c r="AO80" s="31">
        <v>110.602930652303</v>
      </c>
      <c r="AP80" s="30">
        <v>1.6826724973626899E-2</v>
      </c>
      <c r="AQ80" s="31">
        <v>117.231682281912</v>
      </c>
      <c r="AR80" s="30">
        <v>8.9468053410473002E-3</v>
      </c>
      <c r="AS80" s="31">
        <v>93.450546139682302</v>
      </c>
      <c r="AT80" s="30">
        <v>6.2054677384034897E-2</v>
      </c>
      <c r="AU80" s="31">
        <v>97.510499967755095</v>
      </c>
      <c r="AV80" s="30">
        <v>5.3403388845816302E-3</v>
      </c>
      <c r="AW80" s="31">
        <v>92.332574763453593</v>
      </c>
      <c r="AX80" s="30">
        <v>-1.57320133639371E-3</v>
      </c>
      <c r="AY80" s="31">
        <v>107.507170431598</v>
      </c>
      <c r="AZ80" s="30">
        <v>2.3403608358618402E-2</v>
      </c>
      <c r="BA80" s="31">
        <v>114.88572757745</v>
      </c>
      <c r="BB80" s="30">
        <v>2.5879916260653099E-2</v>
      </c>
      <c r="BC80" s="31">
        <v>108.244910634725</v>
      </c>
      <c r="BD80" s="30">
        <v>2.48500031675691E-2</v>
      </c>
      <c r="BE80" s="31"/>
      <c r="BF80" s="30"/>
    </row>
    <row r="81" spans="1:58" x14ac:dyDescent="0.2">
      <c r="A81" s="28">
        <v>1997</v>
      </c>
      <c r="B81" s="28">
        <v>2</v>
      </c>
      <c r="C81" s="31">
        <v>91.741059013341996</v>
      </c>
      <c r="D81" s="30">
        <v>-8.8921061984332805E-3</v>
      </c>
      <c r="E81" s="31">
        <v>89.449372757217006</v>
      </c>
      <c r="F81" s="30">
        <v>3.0603203451078399E-3</v>
      </c>
      <c r="G81" s="31">
        <v>90.967279928095707</v>
      </c>
      <c r="H81" s="30">
        <v>5.2418538081262503E-3</v>
      </c>
      <c r="I81" s="31">
        <v>94.372457876894401</v>
      </c>
      <c r="J81" s="30">
        <v>8.5801820466096003E-3</v>
      </c>
      <c r="K81" s="31">
        <v>76.576647662328995</v>
      </c>
      <c r="L81" s="30">
        <v>-1.03662087249518E-2</v>
      </c>
      <c r="M81" s="31">
        <v>86.216203875509393</v>
      </c>
      <c r="N81" s="30">
        <v>-1.3050591336036799E-3</v>
      </c>
      <c r="O81" s="31">
        <v>94.876302021349801</v>
      </c>
      <c r="P81" s="30">
        <v>-2.21097439646772E-2</v>
      </c>
      <c r="Q81" s="31">
        <v>79.131014809280501</v>
      </c>
      <c r="R81" s="30">
        <v>-3.4109287182173903E-2</v>
      </c>
      <c r="S81" s="31">
        <v>103.928157476012</v>
      </c>
      <c r="T81" s="30">
        <v>-1.46948453524162E-2</v>
      </c>
      <c r="U81" s="31"/>
      <c r="V81" s="30"/>
      <c r="W81" s="31"/>
      <c r="X81" s="30"/>
      <c r="Y81" s="31"/>
      <c r="Z81" s="30"/>
      <c r="AA81" s="31">
        <v>90.779501774841407</v>
      </c>
      <c r="AB81" s="30">
        <v>-5.25079436553699E-3</v>
      </c>
      <c r="AC81" s="31">
        <v>89.446546960158798</v>
      </c>
      <c r="AD81" s="30">
        <v>-9.4770893034081798E-3</v>
      </c>
      <c r="AE81" s="31">
        <v>104.63375494231499</v>
      </c>
      <c r="AF81" s="30">
        <v>-1.8218427380936E-2</v>
      </c>
      <c r="AG81" s="31">
        <v>112.371575531606</v>
      </c>
      <c r="AH81" s="30">
        <v>-2.61744941120515E-2</v>
      </c>
      <c r="AI81" s="31">
        <v>94.387290155851005</v>
      </c>
      <c r="AJ81" s="30">
        <v>5.1568914021664601E-3</v>
      </c>
      <c r="AK81" s="31">
        <v>88.739727495425299</v>
      </c>
      <c r="AL81" s="30">
        <v>2.15576991601725E-2</v>
      </c>
      <c r="AM81" s="31">
        <v>86.289352321275004</v>
      </c>
      <c r="AN81" s="30">
        <v>1.93230690935677E-2</v>
      </c>
      <c r="AO81" s="31">
        <v>110.051508155585</v>
      </c>
      <c r="AP81" s="30">
        <v>1.8843818459762102E-2</v>
      </c>
      <c r="AQ81" s="31">
        <v>115.305577342981</v>
      </c>
      <c r="AR81" s="30">
        <v>7.0844299980325999E-3</v>
      </c>
      <c r="AS81" s="31">
        <v>93.869412210975497</v>
      </c>
      <c r="AT81" s="30">
        <v>2.8792359782546999E-2</v>
      </c>
      <c r="AU81" s="31">
        <v>96.381622050415899</v>
      </c>
      <c r="AV81" s="30">
        <v>-6.0676919225440802E-3</v>
      </c>
      <c r="AW81" s="31">
        <v>92.059450505156306</v>
      </c>
      <c r="AX81" s="30">
        <v>-2.3031463345857301E-3</v>
      </c>
      <c r="AY81" s="31">
        <v>103.981135831115</v>
      </c>
      <c r="AZ81" s="30">
        <v>-1.5017998407845901E-2</v>
      </c>
      <c r="BA81" s="31">
        <v>109.6649534056</v>
      </c>
      <c r="BB81" s="30">
        <v>-2.5408893080444101E-2</v>
      </c>
      <c r="BC81" s="31">
        <v>107.132957356757</v>
      </c>
      <c r="BD81" s="30">
        <v>1.34798397771636E-2</v>
      </c>
      <c r="BE81" s="31"/>
      <c r="BF81" s="30"/>
    </row>
    <row r="82" spans="1:58" x14ac:dyDescent="0.2">
      <c r="A82" s="28">
        <v>1997</v>
      </c>
      <c r="B82" s="28">
        <v>3</v>
      </c>
      <c r="C82" s="31">
        <v>91.700942012399096</v>
      </c>
      <c r="D82" s="30">
        <v>-3.3655584394667302E-3</v>
      </c>
      <c r="E82" s="31">
        <v>88.803119777101898</v>
      </c>
      <c r="F82" s="30">
        <v>4.6381322676181096E-3</v>
      </c>
      <c r="G82" s="31">
        <v>90.988171217254603</v>
      </c>
      <c r="H82" s="30">
        <v>5.5023166892112004E-3</v>
      </c>
      <c r="I82" s="31">
        <v>94.4271409553306</v>
      </c>
      <c r="J82" s="30">
        <v>9.1616096333080304E-3</v>
      </c>
      <c r="K82" s="31">
        <v>76.464292678652996</v>
      </c>
      <c r="L82" s="30">
        <v>-1.16497933517826E-2</v>
      </c>
      <c r="M82" s="31">
        <v>84.077073049267796</v>
      </c>
      <c r="N82" s="30">
        <v>2.65738972458229E-3</v>
      </c>
      <c r="O82" s="31">
        <v>94.724049167097405</v>
      </c>
      <c r="P82" s="30">
        <v>-1.9255740018691202E-2</v>
      </c>
      <c r="Q82" s="31">
        <v>78.935566548129401</v>
      </c>
      <c r="R82" s="30">
        <v>-3.1006013911397901E-2</v>
      </c>
      <c r="S82" s="31">
        <v>103.84875350109201</v>
      </c>
      <c r="T82" s="30">
        <v>-1.1986278489813901E-2</v>
      </c>
      <c r="U82" s="31"/>
      <c r="V82" s="30"/>
      <c r="W82" s="31"/>
      <c r="X82" s="30"/>
      <c r="Y82" s="31"/>
      <c r="Z82" s="30"/>
      <c r="AA82" s="31">
        <v>92.033455808098296</v>
      </c>
      <c r="AB82" s="30">
        <v>8.2250415533415798E-3</v>
      </c>
      <c r="AC82" s="31">
        <v>90.996673987699296</v>
      </c>
      <c r="AD82" s="30">
        <v>1.1247412045040799E-2</v>
      </c>
      <c r="AE82" s="31">
        <v>107.10366240961601</v>
      </c>
      <c r="AF82" s="30">
        <v>5.1862636142998601E-3</v>
      </c>
      <c r="AG82" s="31">
        <v>115.131435956613</v>
      </c>
      <c r="AH82" s="30">
        <v>-1.0983484686146699E-3</v>
      </c>
      <c r="AI82" s="31">
        <v>94.883954832984898</v>
      </c>
      <c r="AJ82" s="30">
        <v>2.2133365490057998E-3</v>
      </c>
      <c r="AK82" s="31">
        <v>88.776225248897902</v>
      </c>
      <c r="AL82" s="30">
        <v>2.9015043757969899E-2</v>
      </c>
      <c r="AM82" s="31">
        <v>86.537379847533202</v>
      </c>
      <c r="AN82" s="30">
        <v>3.08662728024756E-2</v>
      </c>
      <c r="AO82" s="31">
        <v>110.722220095775</v>
      </c>
      <c r="AP82" s="30">
        <v>2.79199956224809E-2</v>
      </c>
      <c r="AQ82" s="31">
        <v>115.309915482967</v>
      </c>
      <c r="AR82" s="30">
        <v>1.1178780736923501E-2</v>
      </c>
      <c r="AS82" s="31">
        <v>93.157136589024503</v>
      </c>
      <c r="AT82" s="30">
        <v>2.5791121664379801E-2</v>
      </c>
      <c r="AU82" s="31">
        <v>96.857609126430305</v>
      </c>
      <c r="AV82" s="30">
        <v>-1.02964658823967E-3</v>
      </c>
      <c r="AW82" s="31">
        <v>92.034365699892902</v>
      </c>
      <c r="AX82" s="30">
        <v>-1.36583706542226E-3</v>
      </c>
      <c r="AY82" s="31">
        <v>105.82420794553499</v>
      </c>
      <c r="AZ82" s="30">
        <v>-3.5164702797596499E-4</v>
      </c>
      <c r="BA82" s="31">
        <v>112.284714955995</v>
      </c>
      <c r="BB82" s="30">
        <v>-1.14328865052471E-3</v>
      </c>
      <c r="BC82" s="31">
        <v>106.918003911811</v>
      </c>
      <c r="BD82" s="30">
        <v>1.51207661599972E-2</v>
      </c>
      <c r="BE82" s="31"/>
      <c r="BF82" s="30"/>
    </row>
    <row r="83" spans="1:58" x14ac:dyDescent="0.2">
      <c r="A83" s="28">
        <v>1997</v>
      </c>
      <c r="B83" s="28">
        <v>4</v>
      </c>
      <c r="C83" s="31">
        <v>91.162294167463699</v>
      </c>
      <c r="D83" s="30">
        <v>-3.8941770427721699E-3</v>
      </c>
      <c r="E83" s="31">
        <v>87.751612841718796</v>
      </c>
      <c r="F83" s="30">
        <v>-3.42602261282821E-3</v>
      </c>
      <c r="G83" s="31">
        <v>90.925327511249904</v>
      </c>
      <c r="H83" s="30">
        <v>1.8157428115308501E-3</v>
      </c>
      <c r="I83" s="31">
        <v>94.3485650810469</v>
      </c>
      <c r="J83" s="30">
        <v>4.1306403954468598E-3</v>
      </c>
      <c r="K83" s="31">
        <v>76.429610857441503</v>
      </c>
      <c r="L83" s="30">
        <v>-9.5335418012366703E-3</v>
      </c>
      <c r="M83" s="31">
        <v>80.825789514459899</v>
      </c>
      <c r="N83" s="30">
        <v>-1.7675035396077801E-2</v>
      </c>
      <c r="O83" s="31">
        <v>94.352636159512102</v>
      </c>
      <c r="P83" s="30">
        <v>-1.2700709587291499E-2</v>
      </c>
      <c r="Q83" s="31">
        <v>78.878054900087207</v>
      </c>
      <c r="R83" s="30">
        <v>-2.2934900675079601E-2</v>
      </c>
      <c r="S83" s="31">
        <v>103.142143168404</v>
      </c>
      <c r="T83" s="30">
        <v>-6.7246317500644403E-3</v>
      </c>
      <c r="U83" s="31"/>
      <c r="V83" s="30"/>
      <c r="W83" s="31"/>
      <c r="X83" s="30"/>
      <c r="Y83" s="31"/>
      <c r="Z83" s="30"/>
      <c r="AA83" s="31">
        <v>90.389117643044798</v>
      </c>
      <c r="AB83" s="30">
        <v>-1.7208164967659902E-2</v>
      </c>
      <c r="AC83" s="31">
        <v>88.772137175502294</v>
      </c>
      <c r="AD83" s="30">
        <v>-2.2194171399224201E-2</v>
      </c>
      <c r="AE83" s="31">
        <v>106.80849186914</v>
      </c>
      <c r="AF83" s="30">
        <v>-1.2551303025150099E-3</v>
      </c>
      <c r="AG83" s="31">
        <v>114.591523453574</v>
      </c>
      <c r="AH83" s="30">
        <v>-7.8454667073241096E-3</v>
      </c>
      <c r="AI83" s="31">
        <v>94.865907069458302</v>
      </c>
      <c r="AJ83" s="30">
        <v>-4.1756993517526597E-3</v>
      </c>
      <c r="AK83" s="31">
        <v>85.851118560956607</v>
      </c>
      <c r="AL83" s="30">
        <v>-1.7047112513023301E-2</v>
      </c>
      <c r="AM83" s="31">
        <v>82.770987723931</v>
      </c>
      <c r="AN83" s="30">
        <v>-2.2176587043176401E-2</v>
      </c>
      <c r="AO83" s="31">
        <v>107.602048825259</v>
      </c>
      <c r="AP83" s="30">
        <v>-1.28758723854983E-3</v>
      </c>
      <c r="AQ83" s="31">
        <v>111.22521383357</v>
      </c>
      <c r="AR83" s="30">
        <v>-1.62318613264666E-2</v>
      </c>
      <c r="AS83" s="31">
        <v>93.279644584082803</v>
      </c>
      <c r="AT83" s="30">
        <v>-4.1432196113488901E-4</v>
      </c>
      <c r="AU83" s="31">
        <v>96.661922689744401</v>
      </c>
      <c r="AV83" s="30">
        <v>-3.3933698189219101E-3</v>
      </c>
      <c r="AW83" s="31">
        <v>91.900376220223507</v>
      </c>
      <c r="AX83" s="30">
        <v>-2.4493609324075499E-3</v>
      </c>
      <c r="AY83" s="31">
        <v>105.461261775804</v>
      </c>
      <c r="AZ83" s="30">
        <v>-6.1022817064980703E-3</v>
      </c>
      <c r="BA83" s="31">
        <v>111.777657291271</v>
      </c>
      <c r="BB83" s="30">
        <v>-7.6900988068143699E-3</v>
      </c>
      <c r="BC83" s="31">
        <v>104.222475250145</v>
      </c>
      <c r="BD83" s="30">
        <v>-1.17875581511767E-2</v>
      </c>
      <c r="BE83" s="31"/>
      <c r="BF83" s="30"/>
    </row>
    <row r="84" spans="1:58" x14ac:dyDescent="0.2">
      <c r="A84" s="28">
        <v>1998</v>
      </c>
      <c r="B84" s="28">
        <v>1</v>
      </c>
      <c r="C84" s="31">
        <v>91.813927804664502</v>
      </c>
      <c r="D84" s="30">
        <v>-1.4672292241125801E-3</v>
      </c>
      <c r="E84" s="31">
        <v>88.144137399382601</v>
      </c>
      <c r="F84" s="30">
        <v>-3.85351189278005E-3</v>
      </c>
      <c r="G84" s="31">
        <v>90.952857858609903</v>
      </c>
      <c r="H84" s="30">
        <v>-1.86620658252357E-3</v>
      </c>
      <c r="I84" s="31">
        <v>94.395237534655095</v>
      </c>
      <c r="J84" s="30">
        <v>-1.1430700512061701E-3</v>
      </c>
      <c r="K84" s="31">
        <v>76.4078954064058</v>
      </c>
      <c r="L84" s="30">
        <v>-5.4454822234116804E-3</v>
      </c>
      <c r="M84" s="31">
        <v>82.061498170787004</v>
      </c>
      <c r="N84" s="30">
        <v>-6.9257572508669698E-3</v>
      </c>
      <c r="O84" s="31">
        <v>94.405738435182101</v>
      </c>
      <c r="P84" s="30">
        <v>-9.5792150271870602E-3</v>
      </c>
      <c r="Q84" s="31">
        <v>78.958513134933696</v>
      </c>
      <c r="R84" s="30">
        <v>-9.6612886760439904E-3</v>
      </c>
      <c r="S84" s="31">
        <v>103.228417022768</v>
      </c>
      <c r="T84" s="30">
        <v>-8.9474271489847802E-3</v>
      </c>
      <c r="U84" s="31"/>
      <c r="V84" s="30"/>
      <c r="W84" s="31"/>
      <c r="X84" s="30"/>
      <c r="Y84" s="31"/>
      <c r="Z84" s="30"/>
      <c r="AA84" s="31">
        <v>91.085792958324305</v>
      </c>
      <c r="AB84" s="30">
        <v>-3.0325166552236299E-2</v>
      </c>
      <c r="AC84" s="31">
        <v>89.571495739871096</v>
      </c>
      <c r="AD84" s="30">
        <v>-4.2531440919482202E-2</v>
      </c>
      <c r="AE84" s="31">
        <v>107.01000890285199</v>
      </c>
      <c r="AF84" s="30">
        <v>-2.1568511379142299E-2</v>
      </c>
      <c r="AG84" s="31">
        <v>114.55336324955201</v>
      </c>
      <c r="AH84" s="30">
        <v>-2.8248504886757599E-2</v>
      </c>
      <c r="AI84" s="31">
        <v>95.085349957832193</v>
      </c>
      <c r="AJ84" s="30">
        <v>-1.27125904116931E-3</v>
      </c>
      <c r="AK84" s="31">
        <v>86.094394595676903</v>
      </c>
      <c r="AL84" s="30">
        <v>-3.7107846548386503E-2</v>
      </c>
      <c r="AM84" s="31">
        <v>83.132592862624804</v>
      </c>
      <c r="AN84" s="30">
        <v>-4.7477755393555497E-2</v>
      </c>
      <c r="AO84" s="31">
        <v>107.423494685077</v>
      </c>
      <c r="AP84" s="30">
        <v>-2.8746398928809799E-2</v>
      </c>
      <c r="AQ84" s="31">
        <v>111.064024153427</v>
      </c>
      <c r="AR84" s="30">
        <v>-5.2610847242251998E-2</v>
      </c>
      <c r="AS84" s="31">
        <v>92.942258355165606</v>
      </c>
      <c r="AT84" s="30">
        <v>-5.4391098341672901E-3</v>
      </c>
      <c r="AU84" s="31">
        <v>96.717437557376002</v>
      </c>
      <c r="AV84" s="30">
        <v>-8.1330975704287899E-3</v>
      </c>
      <c r="AW84" s="31">
        <v>91.938781138574697</v>
      </c>
      <c r="AX84" s="30">
        <v>-4.2649479437540903E-3</v>
      </c>
      <c r="AY84" s="31">
        <v>105.56458802309599</v>
      </c>
      <c r="AZ84" s="30">
        <v>-1.8069328777820599E-2</v>
      </c>
      <c r="BA84" s="31">
        <v>111.75117003974999</v>
      </c>
      <c r="BB84" s="30">
        <v>-2.7284133580353899E-2</v>
      </c>
      <c r="BC84" s="31">
        <v>104.084551463387</v>
      </c>
      <c r="BD84" s="30">
        <v>-3.84346861847202E-2</v>
      </c>
      <c r="BE84" s="31"/>
      <c r="BF84" s="30"/>
    </row>
    <row r="85" spans="1:58" x14ac:dyDescent="0.2">
      <c r="A85" s="28">
        <v>1998</v>
      </c>
      <c r="B85" s="28">
        <v>2</v>
      </c>
      <c r="C85" s="31">
        <v>91.648920942162604</v>
      </c>
      <c r="D85" s="30">
        <v>-1.0043275297925099E-3</v>
      </c>
      <c r="E85" s="31">
        <v>88.350813217385493</v>
      </c>
      <c r="F85" s="30">
        <v>-1.22813554301066E-2</v>
      </c>
      <c r="G85" s="31">
        <v>91.020093138988301</v>
      </c>
      <c r="H85" s="30">
        <v>5.8057370665931497E-4</v>
      </c>
      <c r="I85" s="31">
        <v>94.494273029116101</v>
      </c>
      <c r="J85" s="30">
        <v>1.2907913491100301E-3</v>
      </c>
      <c r="K85" s="31">
        <v>76.350379067961995</v>
      </c>
      <c r="L85" s="30">
        <v>-2.9547989011571301E-3</v>
      </c>
      <c r="M85" s="31">
        <v>82.569748952971906</v>
      </c>
      <c r="N85" s="30">
        <v>-4.2294310798034002E-2</v>
      </c>
      <c r="O85" s="31">
        <v>94.299044485211795</v>
      </c>
      <c r="P85" s="30">
        <v>-6.0843174095049904E-3</v>
      </c>
      <c r="Q85" s="31">
        <v>78.9188208311528</v>
      </c>
      <c r="R85" s="30">
        <v>-2.6815525952634798E-3</v>
      </c>
      <c r="S85" s="31">
        <v>103.063673798216</v>
      </c>
      <c r="T85" s="30">
        <v>-8.3180891376402107E-3</v>
      </c>
      <c r="U85" s="31"/>
      <c r="V85" s="30"/>
      <c r="W85" s="31"/>
      <c r="X85" s="30"/>
      <c r="Y85" s="31"/>
      <c r="Z85" s="30"/>
      <c r="AA85" s="31">
        <v>91.517674811475999</v>
      </c>
      <c r="AB85" s="30">
        <v>8.1314946899069297E-3</v>
      </c>
      <c r="AC85" s="31">
        <v>90.066399251884604</v>
      </c>
      <c r="AD85" s="30">
        <v>6.9298627257448099E-3</v>
      </c>
      <c r="AE85" s="31">
        <v>107.610948246494</v>
      </c>
      <c r="AF85" s="30">
        <v>2.8453469015043802E-2</v>
      </c>
      <c r="AG85" s="31">
        <v>115.118050913933</v>
      </c>
      <c r="AH85" s="30">
        <v>2.4441015170725298E-2</v>
      </c>
      <c r="AI85" s="31">
        <v>95.378973014723499</v>
      </c>
      <c r="AJ85" s="30">
        <v>1.05065296104494E-2</v>
      </c>
      <c r="AK85" s="31">
        <v>87.310783502201801</v>
      </c>
      <c r="AL85" s="30">
        <v>-1.6102641213284499E-2</v>
      </c>
      <c r="AM85" s="31">
        <v>83.6260430500529</v>
      </c>
      <c r="AN85" s="30">
        <v>-3.08648657056328E-2</v>
      </c>
      <c r="AO85" s="31">
        <v>107.812489481724</v>
      </c>
      <c r="AP85" s="30">
        <v>-2.0345188461172701E-2</v>
      </c>
      <c r="AQ85" s="31">
        <v>109.66038590284001</v>
      </c>
      <c r="AR85" s="30">
        <v>-4.89585288953438E-2</v>
      </c>
      <c r="AS85" s="31">
        <v>96.430225199935506</v>
      </c>
      <c r="AT85" s="30">
        <v>2.7280590435619301E-2</v>
      </c>
      <c r="AU85" s="31">
        <v>96.847191151538695</v>
      </c>
      <c r="AV85" s="30">
        <v>4.8304758855302098E-3</v>
      </c>
      <c r="AW85" s="31">
        <v>91.950818732581297</v>
      </c>
      <c r="AX85" s="30">
        <v>-1.18001760795772E-3</v>
      </c>
      <c r="AY85" s="31">
        <v>106.012056870519</v>
      </c>
      <c r="AZ85" s="30">
        <v>1.9531629686198301E-2</v>
      </c>
      <c r="BA85" s="31">
        <v>112.29785538733999</v>
      </c>
      <c r="BB85" s="30">
        <v>2.40085998304496E-2</v>
      </c>
      <c r="BC85" s="31">
        <v>104.34122797518501</v>
      </c>
      <c r="BD85" s="30">
        <v>-2.6058548652542601E-2</v>
      </c>
      <c r="BE85" s="31"/>
      <c r="BF85" s="30"/>
    </row>
    <row r="86" spans="1:58" x14ac:dyDescent="0.2">
      <c r="A86" s="28">
        <v>1998</v>
      </c>
      <c r="B86" s="28">
        <v>3</v>
      </c>
      <c r="C86" s="31">
        <v>91.581391942455099</v>
      </c>
      <c r="D86" s="30">
        <v>-1.30369511283557E-3</v>
      </c>
      <c r="E86" s="31">
        <v>88.246895756459693</v>
      </c>
      <c r="F86" s="30">
        <v>-6.2635639607970797E-3</v>
      </c>
      <c r="G86" s="31">
        <v>91.056536234787799</v>
      </c>
      <c r="H86" s="30">
        <v>7.5136159589295204E-4</v>
      </c>
      <c r="I86" s="31">
        <v>94.580690595541498</v>
      </c>
      <c r="J86" s="30">
        <v>1.62611764644605E-3</v>
      </c>
      <c r="K86" s="31">
        <v>76.192330660482398</v>
      </c>
      <c r="L86" s="30">
        <v>-3.55671920374101E-3</v>
      </c>
      <c r="M86" s="31">
        <v>82.100416289697193</v>
      </c>
      <c r="N86" s="30">
        <v>-2.3510056759615001E-2</v>
      </c>
      <c r="O86" s="31">
        <v>94.157251396061795</v>
      </c>
      <c r="P86" s="30">
        <v>-5.9836733756569701E-3</v>
      </c>
      <c r="Q86" s="31">
        <v>78.757862673380899</v>
      </c>
      <c r="R86" s="30">
        <v>-2.2512522873970901E-3</v>
      </c>
      <c r="S86" s="31">
        <v>102.93082187548301</v>
      </c>
      <c r="T86" s="30">
        <v>-8.8391203039219803E-3</v>
      </c>
      <c r="U86" s="31"/>
      <c r="V86" s="30"/>
      <c r="W86" s="31"/>
      <c r="X86" s="30"/>
      <c r="Y86" s="31"/>
      <c r="Z86" s="30"/>
      <c r="AA86" s="31">
        <v>90.807607730517006</v>
      </c>
      <c r="AB86" s="30">
        <v>-1.3319591955096801E-2</v>
      </c>
      <c r="AC86" s="31">
        <v>88.373175513928402</v>
      </c>
      <c r="AD86" s="30">
        <v>-2.88307073083299E-2</v>
      </c>
      <c r="AE86" s="31">
        <v>106.549968216278</v>
      </c>
      <c r="AF86" s="30">
        <v>-5.1697036392685004E-3</v>
      </c>
      <c r="AG86" s="31">
        <v>113.916565681173</v>
      </c>
      <c r="AH86" s="30">
        <v>-1.05520292120534E-2</v>
      </c>
      <c r="AI86" s="31">
        <v>96.7644779731543</v>
      </c>
      <c r="AJ86" s="30">
        <v>1.9819190119967401E-2</v>
      </c>
      <c r="AK86" s="31">
        <v>86.440227913797798</v>
      </c>
      <c r="AL86" s="30">
        <v>-2.6313321258599899E-2</v>
      </c>
      <c r="AM86" s="31">
        <v>82.395235627240496</v>
      </c>
      <c r="AN86" s="30">
        <v>-4.7865375951878598E-2</v>
      </c>
      <c r="AO86" s="31">
        <v>107.126381412467</v>
      </c>
      <c r="AP86" s="30">
        <v>-3.2476215525647299E-2</v>
      </c>
      <c r="AQ86" s="31">
        <v>110.031805795645</v>
      </c>
      <c r="AR86" s="30">
        <v>-4.5773250853706801E-2</v>
      </c>
      <c r="AS86" s="31">
        <v>96.094507599898193</v>
      </c>
      <c r="AT86" s="30">
        <v>3.1531357858629101E-2</v>
      </c>
      <c r="AU86" s="31">
        <v>96.808957819810502</v>
      </c>
      <c r="AV86" s="30">
        <v>-5.0229720781447295E-4</v>
      </c>
      <c r="AW86" s="31">
        <v>91.937411950689096</v>
      </c>
      <c r="AX86" s="30">
        <v>-1.05345159350545E-3</v>
      </c>
      <c r="AY86" s="31">
        <v>105.913597176536</v>
      </c>
      <c r="AZ86" s="30">
        <v>8.4469548825949503E-4</v>
      </c>
      <c r="BA86" s="31">
        <v>111.157910646793</v>
      </c>
      <c r="BB86" s="30">
        <v>-1.00352421934118E-2</v>
      </c>
      <c r="BC86" s="31">
        <v>104.59665351307</v>
      </c>
      <c r="BD86" s="30">
        <v>-2.1711501466637501E-2</v>
      </c>
      <c r="BE86" s="31"/>
      <c r="BF86" s="30"/>
    </row>
    <row r="87" spans="1:58" x14ac:dyDescent="0.2">
      <c r="A87" s="28">
        <v>1998</v>
      </c>
      <c r="B87" s="28">
        <v>4</v>
      </c>
      <c r="C87" s="31">
        <v>90.817428486113101</v>
      </c>
      <c r="D87" s="30">
        <v>-3.7829859866961302E-3</v>
      </c>
      <c r="E87" s="31">
        <v>86.694055416414997</v>
      </c>
      <c r="F87" s="30">
        <v>-1.2051714960628001E-2</v>
      </c>
      <c r="G87" s="31">
        <v>90.769190022905704</v>
      </c>
      <c r="H87" s="30">
        <v>-1.71720567434674E-3</v>
      </c>
      <c r="I87" s="31">
        <v>94.263695742764298</v>
      </c>
      <c r="J87" s="30">
        <v>-8.9952971949958105E-4</v>
      </c>
      <c r="K87" s="31">
        <v>76.013206875456106</v>
      </c>
      <c r="L87" s="30">
        <v>-5.4482023042367001E-3</v>
      </c>
      <c r="M87" s="31">
        <v>78.155578994655102</v>
      </c>
      <c r="N87" s="30">
        <v>-3.3036615365534303E-2</v>
      </c>
      <c r="O87" s="31">
        <v>93.846933412311898</v>
      </c>
      <c r="P87" s="30">
        <v>-5.3597097843167702E-3</v>
      </c>
      <c r="Q87" s="31">
        <v>78.834189828368494</v>
      </c>
      <c r="R87" s="30">
        <v>-5.5611249255926897E-4</v>
      </c>
      <c r="S87" s="31">
        <v>102.395794439542</v>
      </c>
      <c r="T87" s="30">
        <v>-7.2361180981405102E-3</v>
      </c>
      <c r="U87" s="31"/>
      <c r="V87" s="30"/>
      <c r="W87" s="31"/>
      <c r="X87" s="30"/>
      <c r="Y87" s="31"/>
      <c r="Z87" s="30"/>
      <c r="AA87" s="31">
        <v>90.251684665144396</v>
      </c>
      <c r="AB87" s="30">
        <v>-1.52045933718647E-3</v>
      </c>
      <c r="AC87" s="31">
        <v>87.529204248004604</v>
      </c>
      <c r="AD87" s="30">
        <v>-1.40013856491982E-2</v>
      </c>
      <c r="AE87" s="31">
        <v>105.780791713998</v>
      </c>
      <c r="AF87" s="30">
        <v>-9.6218955736315798E-3</v>
      </c>
      <c r="AG87" s="31">
        <v>112.91919754542</v>
      </c>
      <c r="AH87" s="30">
        <v>-1.45938011621932E-2</v>
      </c>
      <c r="AI87" s="31">
        <v>97.411989364311594</v>
      </c>
      <c r="AJ87" s="30">
        <v>2.6838749277853499E-2</v>
      </c>
      <c r="AK87" s="31">
        <v>84.163774398878701</v>
      </c>
      <c r="AL87" s="30">
        <v>-1.9654306086645201E-2</v>
      </c>
      <c r="AM87" s="31">
        <v>79.903265002167302</v>
      </c>
      <c r="AN87" s="30">
        <v>-3.4646472159164103E-2</v>
      </c>
      <c r="AO87" s="31">
        <v>104.19992542951999</v>
      </c>
      <c r="AP87" s="30">
        <v>-3.1617645136701601E-2</v>
      </c>
      <c r="AQ87" s="31">
        <v>105.85788381220399</v>
      </c>
      <c r="AR87" s="30">
        <v>-4.8256414497853999E-2</v>
      </c>
      <c r="AS87" s="31">
        <v>95.423487823588005</v>
      </c>
      <c r="AT87" s="30">
        <v>2.29829696399921E-2</v>
      </c>
      <c r="AU87" s="31">
        <v>96.472031596708305</v>
      </c>
      <c r="AV87" s="30">
        <v>-1.9644870260401301E-3</v>
      </c>
      <c r="AW87" s="31">
        <v>91.645821536240504</v>
      </c>
      <c r="AX87" s="30">
        <v>-2.7698981707432501E-3</v>
      </c>
      <c r="AY87" s="31">
        <v>105.46967380956301</v>
      </c>
      <c r="AZ87" s="30">
        <v>7.9764205515253596E-5</v>
      </c>
      <c r="BA87" s="31">
        <v>110.212888626999</v>
      </c>
      <c r="BB87" s="30">
        <v>-1.39989395214684E-2</v>
      </c>
      <c r="BC87" s="31">
        <v>101.436545310906</v>
      </c>
      <c r="BD87" s="30">
        <v>-2.67306061629402E-2</v>
      </c>
      <c r="BE87" s="31"/>
      <c r="BF87" s="30"/>
    </row>
    <row r="88" spans="1:58" x14ac:dyDescent="0.2">
      <c r="A88" s="28">
        <v>1999</v>
      </c>
      <c r="B88" s="28">
        <v>1</v>
      </c>
      <c r="C88" s="31">
        <v>91.539472911578002</v>
      </c>
      <c r="D88" s="30">
        <v>-2.9892511915016202E-3</v>
      </c>
      <c r="E88" s="31">
        <v>87.118880083113098</v>
      </c>
      <c r="F88" s="30">
        <v>-1.1631599633496499E-2</v>
      </c>
      <c r="G88" s="31">
        <v>91.106424326128305</v>
      </c>
      <c r="H88" s="30">
        <v>1.6884182766096999E-3</v>
      </c>
      <c r="I88" s="31">
        <v>94.723717134991404</v>
      </c>
      <c r="J88" s="30">
        <v>3.4798323402247498E-3</v>
      </c>
      <c r="K88" s="31">
        <v>75.872646897064001</v>
      </c>
      <c r="L88" s="30">
        <v>-7.0051466081468804E-3</v>
      </c>
      <c r="M88" s="31">
        <v>78.430446016709297</v>
      </c>
      <c r="N88" s="30">
        <v>-4.4247938863128597E-2</v>
      </c>
      <c r="O88" s="31">
        <v>94.122318718072094</v>
      </c>
      <c r="P88" s="30">
        <v>-3.0021450158406199E-3</v>
      </c>
      <c r="Q88" s="31">
        <v>79.148857071750697</v>
      </c>
      <c r="R88" s="30">
        <v>2.4106828923158301E-3</v>
      </c>
      <c r="S88" s="31">
        <v>102.65879884199001</v>
      </c>
      <c r="T88" s="30">
        <v>-5.5180365756495302E-3</v>
      </c>
      <c r="U88" s="31"/>
      <c r="V88" s="30"/>
      <c r="W88" s="31"/>
      <c r="X88" s="30"/>
      <c r="Y88" s="31"/>
      <c r="Z88" s="30"/>
      <c r="AA88" s="31">
        <v>90.6637151267213</v>
      </c>
      <c r="AB88" s="30">
        <v>-4.6338492304296404E-3</v>
      </c>
      <c r="AC88" s="31">
        <v>88.119474763818602</v>
      </c>
      <c r="AD88" s="30">
        <v>-1.6210748341965099E-2</v>
      </c>
      <c r="AE88" s="31">
        <v>106.17866344203</v>
      </c>
      <c r="AF88" s="30">
        <v>-7.7688570381883003E-3</v>
      </c>
      <c r="AG88" s="31">
        <v>113.24119426438</v>
      </c>
      <c r="AH88" s="30">
        <v>-1.14546526435284E-2</v>
      </c>
      <c r="AI88" s="31">
        <v>97.046373420773904</v>
      </c>
      <c r="AJ88" s="30">
        <v>2.0623823373541E-2</v>
      </c>
      <c r="AK88" s="31">
        <v>83.9314554462578</v>
      </c>
      <c r="AL88" s="30">
        <v>-2.5122880061784401E-2</v>
      </c>
      <c r="AM88" s="31">
        <v>80.174330637872899</v>
      </c>
      <c r="AN88" s="30">
        <v>-3.5584866571409898E-2</v>
      </c>
      <c r="AO88" s="31">
        <v>104.21404989701701</v>
      </c>
      <c r="AP88" s="30">
        <v>-2.98765628270506E-2</v>
      </c>
      <c r="AQ88" s="31">
        <v>106.916841280903</v>
      </c>
      <c r="AR88" s="30">
        <v>-3.7340470094928697E-2</v>
      </c>
      <c r="AS88" s="31">
        <v>93.269527594135695</v>
      </c>
      <c r="AT88" s="30">
        <v>3.5212103166182302E-3</v>
      </c>
      <c r="AU88" s="31">
        <v>96.752934757179602</v>
      </c>
      <c r="AV88" s="30">
        <v>3.6701964712948499E-4</v>
      </c>
      <c r="AW88" s="31">
        <v>91.968674455628602</v>
      </c>
      <c r="AX88" s="30">
        <v>3.2514371719627498E-4</v>
      </c>
      <c r="AY88" s="31">
        <v>105.61635889784</v>
      </c>
      <c r="AZ88" s="30">
        <v>4.9041895311807704E-4</v>
      </c>
      <c r="BA88" s="31">
        <v>110.53643444522</v>
      </c>
      <c r="BB88" s="30">
        <v>-1.0870003366388801E-2</v>
      </c>
      <c r="BC88" s="31">
        <v>101.50380365175801</v>
      </c>
      <c r="BD88" s="30">
        <v>-2.4794724820776898E-2</v>
      </c>
      <c r="BE88" s="31"/>
      <c r="BF88" s="30"/>
    </row>
    <row r="89" spans="1:58" x14ac:dyDescent="0.2">
      <c r="A89" s="28">
        <v>1999</v>
      </c>
      <c r="B89" s="28">
        <v>2</v>
      </c>
      <c r="C89" s="31">
        <v>91.358680024901801</v>
      </c>
      <c r="D89" s="30">
        <v>-3.1668776268951601E-3</v>
      </c>
      <c r="E89" s="31">
        <v>87.195439744560503</v>
      </c>
      <c r="F89" s="30">
        <v>-1.30771119217915E-2</v>
      </c>
      <c r="G89" s="31">
        <v>91.226816756021805</v>
      </c>
      <c r="H89" s="30">
        <v>2.2711866128051201E-3</v>
      </c>
      <c r="I89" s="31">
        <v>94.853792302575897</v>
      </c>
      <c r="J89" s="30">
        <v>3.8046673299347899E-3</v>
      </c>
      <c r="K89" s="31">
        <v>75.956217057019401</v>
      </c>
      <c r="L89" s="30">
        <v>-5.1625416370461004E-3</v>
      </c>
      <c r="M89" s="31">
        <v>78.497787564829395</v>
      </c>
      <c r="N89" s="30">
        <v>-4.93154144196533E-2</v>
      </c>
      <c r="O89" s="31">
        <v>94.377014027291096</v>
      </c>
      <c r="P89" s="30">
        <v>8.2683279035267198E-4</v>
      </c>
      <c r="Q89" s="31">
        <v>79.923075411286703</v>
      </c>
      <c r="R89" s="30">
        <v>1.2725159468392601E-2</v>
      </c>
      <c r="S89" s="31">
        <v>102.548215656854</v>
      </c>
      <c r="T89" s="30">
        <v>-5.0013561749346902E-3</v>
      </c>
      <c r="U89" s="31"/>
      <c r="V89" s="30"/>
      <c r="W89" s="31"/>
      <c r="X89" s="30"/>
      <c r="Y89" s="31"/>
      <c r="Z89" s="30"/>
      <c r="AA89" s="31">
        <v>91.058434181102498</v>
      </c>
      <c r="AB89" s="30">
        <v>-5.0180539586421897E-3</v>
      </c>
      <c r="AC89" s="31">
        <v>88.533689958282693</v>
      </c>
      <c r="AD89" s="30">
        <v>-1.70175482347803E-2</v>
      </c>
      <c r="AE89" s="31">
        <v>106.497919765266</v>
      </c>
      <c r="AF89" s="30">
        <v>-1.03430784633456E-2</v>
      </c>
      <c r="AG89" s="31">
        <v>113.22454588033899</v>
      </c>
      <c r="AH89" s="30">
        <v>-1.6448376415003501E-2</v>
      </c>
      <c r="AI89" s="31">
        <v>97.421777237352401</v>
      </c>
      <c r="AJ89" s="30">
        <v>2.1417762826126101E-2</v>
      </c>
      <c r="AK89" s="31">
        <v>84.923679586822004</v>
      </c>
      <c r="AL89" s="30">
        <v>-2.7340310321686798E-2</v>
      </c>
      <c r="AM89" s="31">
        <v>80.861287608473404</v>
      </c>
      <c r="AN89" s="30">
        <v>-3.30609382046766E-2</v>
      </c>
      <c r="AO89" s="31">
        <v>105.07945386274</v>
      </c>
      <c r="AP89" s="30">
        <v>-2.5349898069526301E-2</v>
      </c>
      <c r="AQ89" s="31">
        <v>107.200367627408</v>
      </c>
      <c r="AR89" s="30">
        <v>-2.2433062360474699E-2</v>
      </c>
      <c r="AS89" s="31">
        <v>95.155327612611003</v>
      </c>
      <c r="AT89" s="30">
        <v>-1.32209334229093E-2</v>
      </c>
      <c r="AU89" s="31">
        <v>96.906986735334897</v>
      </c>
      <c r="AV89" s="30">
        <v>6.1742197254432995E-4</v>
      </c>
      <c r="AW89" s="31">
        <v>92.124698648140694</v>
      </c>
      <c r="AX89" s="30">
        <v>1.8910099763778099E-3</v>
      </c>
      <c r="AY89" s="31">
        <v>105.761862828296</v>
      </c>
      <c r="AZ89" s="30">
        <v>-2.3600527110638802E-3</v>
      </c>
      <c r="BA89" s="31">
        <v>110.532039583873</v>
      </c>
      <c r="BB89" s="30">
        <v>-1.57243947124035E-2</v>
      </c>
      <c r="BC89" s="31">
        <v>102.349305896232</v>
      </c>
      <c r="BD89" s="30">
        <v>-1.9090460382800298E-2</v>
      </c>
      <c r="BE89" s="31"/>
      <c r="BF89" s="30"/>
    </row>
    <row r="90" spans="1:58" x14ac:dyDescent="0.2">
      <c r="A90" s="28">
        <v>1999</v>
      </c>
      <c r="B90" s="28">
        <v>3</v>
      </c>
      <c r="C90" s="31">
        <v>92.116806087221704</v>
      </c>
      <c r="D90" s="30">
        <v>5.8463202339515997E-3</v>
      </c>
      <c r="E90" s="31">
        <v>88.196553413805205</v>
      </c>
      <c r="F90" s="30">
        <v>-5.7047154149591996E-4</v>
      </c>
      <c r="G90" s="31">
        <v>91.468230332278296</v>
      </c>
      <c r="H90" s="30">
        <v>4.5213019791236998E-3</v>
      </c>
      <c r="I90" s="31">
        <v>95.061482209443497</v>
      </c>
      <c r="J90" s="30">
        <v>5.0834013885354698E-3</v>
      </c>
      <c r="K90" s="31">
        <v>76.324111122555294</v>
      </c>
      <c r="L90" s="30">
        <v>1.72957646695648E-3</v>
      </c>
      <c r="M90" s="31">
        <v>81.102591719327293</v>
      </c>
      <c r="N90" s="30">
        <v>-1.2153709024434E-2</v>
      </c>
      <c r="O90" s="31">
        <v>94.840850333205793</v>
      </c>
      <c r="P90" s="30">
        <v>7.2601836503125598E-3</v>
      </c>
      <c r="Q90" s="31">
        <v>81.158510091516504</v>
      </c>
      <c r="R90" s="30">
        <v>3.04813682932383E-2</v>
      </c>
      <c r="S90" s="31">
        <v>102.479406601688</v>
      </c>
      <c r="T90" s="30">
        <v>-4.38561808378146E-3</v>
      </c>
      <c r="U90" s="31"/>
      <c r="V90" s="30"/>
      <c r="W90" s="31"/>
      <c r="X90" s="30"/>
      <c r="Y90" s="31"/>
      <c r="Z90" s="30"/>
      <c r="AA90" s="31">
        <v>90.567033187284196</v>
      </c>
      <c r="AB90" s="30">
        <v>-2.6492774035715701E-3</v>
      </c>
      <c r="AC90" s="31">
        <v>87.373715095366094</v>
      </c>
      <c r="AD90" s="30">
        <v>-1.1309545150437601E-2</v>
      </c>
      <c r="AE90" s="31">
        <v>105.36679693940501</v>
      </c>
      <c r="AF90" s="30">
        <v>-1.11043794445003E-2</v>
      </c>
      <c r="AG90" s="31">
        <v>111.38660748088201</v>
      </c>
      <c r="AH90" s="30">
        <v>-2.2208870019587001E-2</v>
      </c>
      <c r="AI90" s="31">
        <v>98.390708329543898</v>
      </c>
      <c r="AJ90" s="30">
        <v>1.6806067582370701E-2</v>
      </c>
      <c r="AK90" s="31">
        <v>84.9487449101115</v>
      </c>
      <c r="AL90" s="30">
        <v>-1.72545010544587E-2</v>
      </c>
      <c r="AM90" s="31">
        <v>81.009187743742999</v>
      </c>
      <c r="AN90" s="30">
        <v>-1.6821942105585099E-2</v>
      </c>
      <c r="AO90" s="31">
        <v>105.595721243253</v>
      </c>
      <c r="AP90" s="30">
        <v>-1.42883587500324E-2</v>
      </c>
      <c r="AQ90" s="31">
        <v>107.518287972642</v>
      </c>
      <c r="AR90" s="30">
        <v>-2.28435569590749E-2</v>
      </c>
      <c r="AS90" s="31">
        <v>94.752958540679799</v>
      </c>
      <c r="AT90" s="30">
        <v>-1.39607256723158E-2</v>
      </c>
      <c r="AU90" s="31">
        <v>96.957243625298005</v>
      </c>
      <c r="AV90" s="30">
        <v>1.5317364098010901E-3</v>
      </c>
      <c r="AW90" s="31">
        <v>92.427970070500805</v>
      </c>
      <c r="AX90" s="30">
        <v>5.3357834357439203E-3</v>
      </c>
      <c r="AY90" s="31">
        <v>105.13780177077599</v>
      </c>
      <c r="AZ90" s="30">
        <v>-7.3247951768343799E-3</v>
      </c>
      <c r="BA90" s="31">
        <v>108.795071539085</v>
      </c>
      <c r="BB90" s="30">
        <v>-2.1256598778795301E-2</v>
      </c>
      <c r="BC90" s="31">
        <v>102.419764195976</v>
      </c>
      <c r="BD90" s="30">
        <v>-2.08122271982795E-2</v>
      </c>
      <c r="BE90" s="31"/>
      <c r="BF90" s="30"/>
    </row>
    <row r="91" spans="1:58" x14ac:dyDescent="0.2">
      <c r="A91" s="28">
        <v>1999</v>
      </c>
      <c r="B91" s="28">
        <v>4</v>
      </c>
      <c r="C91" s="31">
        <v>91.706523939937796</v>
      </c>
      <c r="D91" s="30">
        <v>9.7899210387861792E-3</v>
      </c>
      <c r="E91" s="31">
        <v>88.256253779522496</v>
      </c>
      <c r="F91" s="30">
        <v>1.8019671078989899E-2</v>
      </c>
      <c r="G91" s="31">
        <v>91.687555102726805</v>
      </c>
      <c r="H91" s="30">
        <v>1.01175859296456E-2</v>
      </c>
      <c r="I91" s="31">
        <v>95.213356357518506</v>
      </c>
      <c r="J91" s="30">
        <v>1.00745107357731E-2</v>
      </c>
      <c r="K91" s="31">
        <v>76.804479632035495</v>
      </c>
      <c r="L91" s="30">
        <v>1.04096747013438E-2</v>
      </c>
      <c r="M91" s="31">
        <v>80.927162318393599</v>
      </c>
      <c r="N91" s="30">
        <v>3.5462386171153798E-2</v>
      </c>
      <c r="O91" s="31">
        <v>95.037610641820606</v>
      </c>
      <c r="P91" s="30">
        <v>1.26874388561804E-2</v>
      </c>
      <c r="Q91" s="31">
        <v>82.084987632423406</v>
      </c>
      <c r="R91" s="30">
        <v>4.1235887768140703E-2</v>
      </c>
      <c r="S91" s="31">
        <v>102.20062340174</v>
      </c>
      <c r="T91" s="30">
        <v>-1.9060454471835401E-3</v>
      </c>
      <c r="U91" s="31"/>
      <c r="V91" s="30"/>
      <c r="W91" s="31"/>
      <c r="X91" s="30"/>
      <c r="Y91" s="31"/>
      <c r="Z91" s="30"/>
      <c r="AA91" s="31">
        <v>91.415765639499298</v>
      </c>
      <c r="AB91" s="30">
        <v>1.2898163382477601E-2</v>
      </c>
      <c r="AC91" s="31">
        <v>88.6256427809071</v>
      </c>
      <c r="AD91" s="30">
        <v>1.25265451950858E-2</v>
      </c>
      <c r="AE91" s="31">
        <v>105.569594994958</v>
      </c>
      <c r="AF91" s="30">
        <v>-1.9965507500709898E-3</v>
      </c>
      <c r="AG91" s="31">
        <v>110.99949340635099</v>
      </c>
      <c r="AH91" s="30">
        <v>-1.70006888181846E-2</v>
      </c>
      <c r="AI91" s="31">
        <v>98.480481049645903</v>
      </c>
      <c r="AJ91" s="30">
        <v>1.0968790313256E-2</v>
      </c>
      <c r="AK91" s="31">
        <v>86.842115358008996</v>
      </c>
      <c r="AL91" s="30">
        <v>3.18229663327214E-2</v>
      </c>
      <c r="AM91" s="31">
        <v>83.182793975274606</v>
      </c>
      <c r="AN91" s="30">
        <v>4.1043741742197201E-2</v>
      </c>
      <c r="AO91" s="31">
        <v>106.811747791874</v>
      </c>
      <c r="AP91" s="30">
        <v>2.5065491665062299E-2</v>
      </c>
      <c r="AQ91" s="31">
        <v>106.91860478490401</v>
      </c>
      <c r="AR91" s="30">
        <v>1.0020235947487501E-2</v>
      </c>
      <c r="AS91" s="31">
        <v>95.8085870799476</v>
      </c>
      <c r="AT91" s="30">
        <v>4.0356862355686004E-3</v>
      </c>
      <c r="AU91" s="31">
        <v>96.999430055046503</v>
      </c>
      <c r="AV91" s="30">
        <v>5.46685344559772E-3</v>
      </c>
      <c r="AW91" s="31">
        <v>92.6413956271779</v>
      </c>
      <c r="AX91" s="30">
        <v>1.0863278589780199E-2</v>
      </c>
      <c r="AY91" s="31">
        <v>104.77251817170701</v>
      </c>
      <c r="AZ91" s="30">
        <v>-6.6100103724048304E-3</v>
      </c>
      <c r="BA91" s="31">
        <v>108.421475122011</v>
      </c>
      <c r="BB91" s="30">
        <v>-1.6254119888380901E-2</v>
      </c>
      <c r="BC91" s="31">
        <v>102.365629384941</v>
      </c>
      <c r="BD91" s="30">
        <v>9.1592637661961403E-3</v>
      </c>
      <c r="BE91" s="31"/>
      <c r="BF91" s="30"/>
    </row>
    <row r="92" spans="1:58" x14ac:dyDescent="0.2">
      <c r="A92" s="28">
        <v>2000</v>
      </c>
      <c r="B92" s="28">
        <v>1</v>
      </c>
      <c r="C92" s="31">
        <v>92.645877387146299</v>
      </c>
      <c r="D92" s="30">
        <v>1.20866380412421E-2</v>
      </c>
      <c r="E92" s="31">
        <v>89.376084733167005</v>
      </c>
      <c r="F92" s="30">
        <v>2.5909477347510399E-2</v>
      </c>
      <c r="G92" s="31">
        <v>92.209427402409403</v>
      </c>
      <c r="H92" s="30">
        <v>1.2106754100377599E-2</v>
      </c>
      <c r="I92" s="31">
        <v>95.723863347666693</v>
      </c>
      <c r="J92" s="30">
        <v>1.05585617089963E-2</v>
      </c>
      <c r="K92" s="31">
        <v>77.367988500968394</v>
      </c>
      <c r="L92" s="30">
        <v>1.97085730504853E-2</v>
      </c>
      <c r="M92" s="31">
        <v>83.23151844585</v>
      </c>
      <c r="N92" s="30">
        <v>6.1214396614777102E-2</v>
      </c>
      <c r="O92" s="31">
        <v>95.301017257570905</v>
      </c>
      <c r="P92" s="30">
        <v>1.25230503832934E-2</v>
      </c>
      <c r="Q92" s="31">
        <v>82.703053868055804</v>
      </c>
      <c r="R92" s="30">
        <v>4.4905219453555703E-2</v>
      </c>
      <c r="S92" s="31">
        <v>102.416911090697</v>
      </c>
      <c r="T92" s="30">
        <v>-2.35623009445884E-3</v>
      </c>
      <c r="U92" s="31"/>
      <c r="V92" s="30"/>
      <c r="W92" s="31"/>
      <c r="X92" s="30"/>
      <c r="Y92" s="31"/>
      <c r="Z92" s="30"/>
      <c r="AA92" s="31">
        <v>92.841620991801804</v>
      </c>
      <c r="AB92" s="30">
        <v>2.40218025704819E-2</v>
      </c>
      <c r="AC92" s="31">
        <v>90.156723298059305</v>
      </c>
      <c r="AD92" s="30">
        <v>2.3119163382453001E-2</v>
      </c>
      <c r="AE92" s="31">
        <v>107.196859194542</v>
      </c>
      <c r="AF92" s="30">
        <v>9.5894572365578003E-3</v>
      </c>
      <c r="AG92" s="31">
        <v>111.552553946204</v>
      </c>
      <c r="AH92" s="30">
        <v>-1.4911890758005E-2</v>
      </c>
      <c r="AI92" s="31">
        <v>99.612240967607505</v>
      </c>
      <c r="AJ92" s="30">
        <v>2.6439602598116001E-2</v>
      </c>
      <c r="AK92" s="31">
        <v>88.599846546917306</v>
      </c>
      <c r="AL92" s="30">
        <v>5.5621472019495598E-2</v>
      </c>
      <c r="AM92" s="31">
        <v>85.686461324968505</v>
      </c>
      <c r="AN92" s="30">
        <v>6.8751814243294601E-2</v>
      </c>
      <c r="AO92" s="31">
        <v>110.300913665417</v>
      </c>
      <c r="AP92" s="30">
        <v>5.8407323910885302E-2</v>
      </c>
      <c r="AQ92" s="31">
        <v>110.77294094953599</v>
      </c>
      <c r="AR92" s="30">
        <v>3.6066344856765097E-2</v>
      </c>
      <c r="AS92" s="31">
        <v>95.373912472257402</v>
      </c>
      <c r="AT92" s="30">
        <v>2.25624052399944E-2</v>
      </c>
      <c r="AU92" s="31">
        <v>97.592414838637097</v>
      </c>
      <c r="AV92" s="30">
        <v>8.6765335187435292E-3</v>
      </c>
      <c r="AW92" s="31">
        <v>93.092028953771006</v>
      </c>
      <c r="AX92" s="30">
        <v>1.22145339681321E-2</v>
      </c>
      <c r="AY92" s="31">
        <v>105.69788027050799</v>
      </c>
      <c r="AZ92" s="30">
        <v>7.7186312346566599E-4</v>
      </c>
      <c r="BA92" s="31">
        <v>108.95247806891101</v>
      </c>
      <c r="BB92" s="30">
        <v>-1.4329721998530999E-2</v>
      </c>
      <c r="BC92" s="31">
        <v>104.705667191217</v>
      </c>
      <c r="BD92" s="30">
        <v>3.1544271488029602E-2</v>
      </c>
      <c r="BE92" s="31"/>
      <c r="BF92" s="30"/>
    </row>
    <row r="93" spans="1:58" x14ac:dyDescent="0.2">
      <c r="A93" s="28">
        <v>2000</v>
      </c>
      <c r="B93" s="28">
        <v>2</v>
      </c>
      <c r="C93" s="31">
        <v>92.621487862957807</v>
      </c>
      <c r="D93" s="30">
        <v>1.38225271830963E-2</v>
      </c>
      <c r="E93" s="31">
        <v>88.972352983136204</v>
      </c>
      <c r="F93" s="30">
        <v>2.0378511121467598E-2</v>
      </c>
      <c r="G93" s="31">
        <v>92.183100540859797</v>
      </c>
      <c r="H93" s="30">
        <v>1.04824855107626E-2</v>
      </c>
      <c r="I93" s="31">
        <v>95.532140336221303</v>
      </c>
      <c r="J93" s="30">
        <v>7.1515119973428699E-3</v>
      </c>
      <c r="K93" s="31">
        <v>77.996131301832705</v>
      </c>
      <c r="L93" s="30">
        <v>2.6856448673345398E-2</v>
      </c>
      <c r="M93" s="31">
        <v>82.188334546572094</v>
      </c>
      <c r="N93" s="30">
        <v>4.7014662402998099E-2</v>
      </c>
      <c r="O93" s="31">
        <v>95.746126407201999</v>
      </c>
      <c r="P93" s="30">
        <v>1.45068414594576E-2</v>
      </c>
      <c r="Q93" s="31">
        <v>83.516145827130202</v>
      </c>
      <c r="R93" s="30">
        <v>4.4956608555831501E-2</v>
      </c>
      <c r="S93" s="31">
        <v>102.523000389003</v>
      </c>
      <c r="T93" s="30">
        <v>-2.4588694878025001E-4</v>
      </c>
      <c r="U93" s="31"/>
      <c r="V93" s="30"/>
      <c r="W93" s="31"/>
      <c r="X93" s="30"/>
      <c r="Y93" s="31"/>
      <c r="Z93" s="30"/>
      <c r="AA93" s="31">
        <v>93.821935340017902</v>
      </c>
      <c r="AB93" s="30">
        <v>3.0348656703443899E-2</v>
      </c>
      <c r="AC93" s="31">
        <v>90.893426750007393</v>
      </c>
      <c r="AD93" s="30">
        <v>2.66535461566852E-2</v>
      </c>
      <c r="AE93" s="31">
        <v>107.654963511197</v>
      </c>
      <c r="AF93" s="30">
        <v>1.08644727378888E-2</v>
      </c>
      <c r="AG93" s="31">
        <v>110.964783701469</v>
      </c>
      <c r="AH93" s="30">
        <v>-1.9958235745614401E-2</v>
      </c>
      <c r="AI93" s="31">
        <v>101.128709742428</v>
      </c>
      <c r="AJ93" s="30">
        <v>3.80503477784482E-2</v>
      </c>
      <c r="AK93" s="31">
        <v>88.990637768828094</v>
      </c>
      <c r="AL93" s="30">
        <v>4.7889566276367201E-2</v>
      </c>
      <c r="AM93" s="31">
        <v>85.866427894153404</v>
      </c>
      <c r="AN93" s="30">
        <v>6.1897855373199501E-2</v>
      </c>
      <c r="AO93" s="31">
        <v>110.803044827275</v>
      </c>
      <c r="AP93" s="30">
        <v>5.4469173126946401E-2</v>
      </c>
      <c r="AQ93" s="31">
        <v>110.601089572596</v>
      </c>
      <c r="AR93" s="30">
        <v>3.1723043684031199E-2</v>
      </c>
      <c r="AS93" s="31">
        <v>96.633953825952005</v>
      </c>
      <c r="AT93" s="30">
        <v>1.55390796336778E-2</v>
      </c>
      <c r="AU93" s="31">
        <v>97.7545178141702</v>
      </c>
      <c r="AV93" s="30">
        <v>8.7458201661973992E-3</v>
      </c>
      <c r="AW93" s="31">
        <v>93.198059990757599</v>
      </c>
      <c r="AX93" s="30">
        <v>1.16511788735012E-2</v>
      </c>
      <c r="AY93" s="31">
        <v>105.99244088205801</v>
      </c>
      <c r="AZ93" s="30">
        <v>2.1801625613926401E-3</v>
      </c>
      <c r="BA93" s="31">
        <v>108.402424862741</v>
      </c>
      <c r="BB93" s="30">
        <v>-1.9266944943289298E-2</v>
      </c>
      <c r="BC93" s="31">
        <v>105.03601697940201</v>
      </c>
      <c r="BD93" s="30">
        <v>2.6250408438469999E-2</v>
      </c>
      <c r="BE93" s="31"/>
      <c r="BF93" s="30"/>
    </row>
    <row r="94" spans="1:58" x14ac:dyDescent="0.2">
      <c r="A94" s="28">
        <v>2000</v>
      </c>
      <c r="B94" s="28">
        <v>3</v>
      </c>
      <c r="C94" s="31">
        <v>93.430141236431098</v>
      </c>
      <c r="D94" s="30">
        <v>1.42572805657832E-2</v>
      </c>
      <c r="E94" s="31">
        <v>90.198795652115294</v>
      </c>
      <c r="F94" s="30">
        <v>2.2702046291036799E-2</v>
      </c>
      <c r="G94" s="31">
        <v>92.386398977504399</v>
      </c>
      <c r="H94" s="30">
        <v>1.00381153313094E-2</v>
      </c>
      <c r="I94" s="31">
        <v>95.623418440145599</v>
      </c>
      <c r="J94" s="30">
        <v>5.9112925407995799E-3</v>
      </c>
      <c r="K94" s="31">
        <v>78.659637461853094</v>
      </c>
      <c r="L94" s="30">
        <v>3.0600111877459001E-2</v>
      </c>
      <c r="M94" s="31">
        <v>85.698153186437807</v>
      </c>
      <c r="N94" s="30">
        <v>5.6663558706167703E-2</v>
      </c>
      <c r="O94" s="31">
        <v>96.251515280506396</v>
      </c>
      <c r="P94" s="30">
        <v>1.4874022558259099E-2</v>
      </c>
      <c r="Q94" s="31">
        <v>84.523903349270995</v>
      </c>
      <c r="R94" s="30">
        <v>4.1466917689341E-2</v>
      </c>
      <c r="S94" s="31">
        <v>102.66311023059301</v>
      </c>
      <c r="T94" s="30">
        <v>1.79259067745519E-3</v>
      </c>
      <c r="U94" s="31"/>
      <c r="V94" s="30"/>
      <c r="W94" s="31"/>
      <c r="X94" s="30"/>
      <c r="Y94" s="31"/>
      <c r="Z94" s="30"/>
      <c r="AA94" s="31">
        <v>93.849196363758097</v>
      </c>
      <c r="AB94" s="30">
        <v>3.6240153408654899E-2</v>
      </c>
      <c r="AC94" s="31">
        <v>91.291634304696998</v>
      </c>
      <c r="AD94" s="30">
        <v>4.4840936488217902E-2</v>
      </c>
      <c r="AE94" s="31">
        <v>108.557943037127</v>
      </c>
      <c r="AF94" s="30">
        <v>3.0286069145262901E-2</v>
      </c>
      <c r="AG94" s="31">
        <v>111.481405091062</v>
      </c>
      <c r="AH94" s="30">
        <v>8.5106829558823105E-4</v>
      </c>
      <c r="AI94" s="31">
        <v>100.376756089674</v>
      </c>
      <c r="AJ94" s="30">
        <v>2.0185318246492799E-2</v>
      </c>
      <c r="AK94" s="31">
        <v>89.766586687213106</v>
      </c>
      <c r="AL94" s="30">
        <v>5.6714690513669098E-2</v>
      </c>
      <c r="AM94" s="31">
        <v>87.213308746109504</v>
      </c>
      <c r="AN94" s="30">
        <v>7.6585399448666006E-2</v>
      </c>
      <c r="AO94" s="31">
        <v>112.50632239036899</v>
      </c>
      <c r="AP94" s="30">
        <v>6.5443950434292103E-2</v>
      </c>
      <c r="AQ94" s="31">
        <v>111.536398586627</v>
      </c>
      <c r="AR94" s="30">
        <v>3.7371415502887501E-2</v>
      </c>
      <c r="AS94" s="31">
        <v>96.0101992463171</v>
      </c>
      <c r="AT94" s="30">
        <v>1.3268616885430601E-2</v>
      </c>
      <c r="AU94" s="31">
        <v>97.967689303096293</v>
      </c>
      <c r="AV94" s="30">
        <v>1.0421559442255E-2</v>
      </c>
      <c r="AW94" s="31">
        <v>93.484636716337604</v>
      </c>
      <c r="AX94" s="30">
        <v>1.1432325572344301E-2</v>
      </c>
      <c r="AY94" s="31">
        <v>106.018953409288</v>
      </c>
      <c r="AZ94" s="30">
        <v>8.3809212640151304E-3</v>
      </c>
      <c r="BA94" s="31">
        <v>108.911770182355</v>
      </c>
      <c r="BB94" s="30">
        <v>1.07264641328952E-3</v>
      </c>
      <c r="BC94" s="31">
        <v>105.365596108348</v>
      </c>
      <c r="BD94" s="30">
        <v>2.8762338358203899E-2</v>
      </c>
      <c r="BE94" s="31"/>
      <c r="BF94" s="30"/>
    </row>
    <row r="95" spans="1:58" x14ac:dyDescent="0.2">
      <c r="A95" s="28">
        <v>2000</v>
      </c>
      <c r="B95" s="28">
        <v>4</v>
      </c>
      <c r="C95" s="31">
        <v>93.3029880691101</v>
      </c>
      <c r="D95" s="30">
        <v>1.7408403029405699E-2</v>
      </c>
      <c r="E95" s="31">
        <v>89.967403227568497</v>
      </c>
      <c r="F95" s="30">
        <v>1.9388421497253502E-2</v>
      </c>
      <c r="G95" s="31">
        <v>92.916445453916694</v>
      </c>
      <c r="H95" s="30">
        <v>1.34030223601567E-2</v>
      </c>
      <c r="I95" s="31">
        <v>96.125478297140802</v>
      </c>
      <c r="J95" s="30">
        <v>9.5797687899727996E-3</v>
      </c>
      <c r="K95" s="31">
        <v>79.3351582644339</v>
      </c>
      <c r="L95" s="30">
        <v>3.2949622789226099E-2</v>
      </c>
      <c r="M95" s="31">
        <v>83.472905169034206</v>
      </c>
      <c r="N95" s="30">
        <v>3.1457211370205199E-2</v>
      </c>
      <c r="O95" s="31">
        <v>96.872014509653198</v>
      </c>
      <c r="P95" s="30">
        <v>1.93018727579977E-2</v>
      </c>
      <c r="Q95" s="31">
        <v>85.618430486211295</v>
      </c>
      <c r="R95" s="30">
        <v>4.3046151990795901E-2</v>
      </c>
      <c r="S95" s="31">
        <v>103.040554090122</v>
      </c>
      <c r="T95" s="30">
        <v>8.2184497552455493E-3</v>
      </c>
      <c r="U95" s="31"/>
      <c r="V95" s="30"/>
      <c r="W95" s="31"/>
      <c r="X95" s="30"/>
      <c r="Y95" s="31"/>
      <c r="Z95" s="30"/>
      <c r="AA95" s="31">
        <v>94.566620070871707</v>
      </c>
      <c r="AB95" s="30">
        <v>3.4467297947247601E-2</v>
      </c>
      <c r="AC95" s="31">
        <v>92.123677903149598</v>
      </c>
      <c r="AD95" s="30">
        <v>3.94697856340522E-2</v>
      </c>
      <c r="AE95" s="31">
        <v>109.881627890041</v>
      </c>
      <c r="AF95" s="30">
        <v>4.0845405301485303E-2</v>
      </c>
      <c r="AG95" s="31">
        <v>112.749180769861</v>
      </c>
      <c r="AH95" s="30">
        <v>1.5763021161771199E-2</v>
      </c>
      <c r="AI95" s="31">
        <v>100.75711845954</v>
      </c>
      <c r="AJ95" s="30">
        <v>2.3117651189649601E-2</v>
      </c>
      <c r="AK95" s="31">
        <v>90.248424697502202</v>
      </c>
      <c r="AL95" s="30">
        <v>3.9224163592177098E-2</v>
      </c>
      <c r="AM95" s="31">
        <v>87.557645591454303</v>
      </c>
      <c r="AN95" s="30">
        <v>5.2593227602815401E-2</v>
      </c>
      <c r="AO95" s="31">
        <v>113.27952811471501</v>
      </c>
      <c r="AP95" s="30">
        <v>6.0553080129767803E-2</v>
      </c>
      <c r="AQ95" s="31">
        <v>111.35212241931499</v>
      </c>
      <c r="AR95" s="30">
        <v>4.1466287774047698E-2</v>
      </c>
      <c r="AS95" s="31">
        <v>96.359279055771594</v>
      </c>
      <c r="AT95" s="30">
        <v>5.7478352682986998E-3</v>
      </c>
      <c r="AU95" s="31">
        <v>98.608652198163099</v>
      </c>
      <c r="AV95" s="30">
        <v>1.6590016479512502E-2</v>
      </c>
      <c r="AW95" s="31">
        <v>94.044023782728104</v>
      </c>
      <c r="AX95" s="30">
        <v>1.5140403985221399E-2</v>
      </c>
      <c r="AY95" s="31">
        <v>106.840223796646</v>
      </c>
      <c r="AZ95" s="30">
        <v>1.9735190687606E-2</v>
      </c>
      <c r="BA95" s="31">
        <v>110.14153209795001</v>
      </c>
      <c r="BB95" s="30">
        <v>1.5864541355878201E-2</v>
      </c>
      <c r="BC95" s="31">
        <v>105.442422211509</v>
      </c>
      <c r="BD95" s="30">
        <v>3.0056893559437001E-2</v>
      </c>
      <c r="BE95" s="31"/>
      <c r="BF95" s="30"/>
    </row>
    <row r="96" spans="1:58" x14ac:dyDescent="0.2">
      <c r="A96" s="28">
        <v>2001</v>
      </c>
      <c r="B96" s="28">
        <v>1</v>
      </c>
      <c r="C96" s="31">
        <v>94.365275456100903</v>
      </c>
      <c r="D96" s="30">
        <v>1.85588189938506E-2</v>
      </c>
      <c r="E96" s="31">
        <v>90.979856592885497</v>
      </c>
      <c r="F96" s="30">
        <v>1.7944082743237302E-2</v>
      </c>
      <c r="G96" s="31">
        <v>93.130699965671397</v>
      </c>
      <c r="H96" s="30">
        <v>9.9910886469503097E-3</v>
      </c>
      <c r="I96" s="31">
        <v>96.209029483844802</v>
      </c>
      <c r="J96" s="30">
        <v>5.06839276237692E-3</v>
      </c>
      <c r="K96" s="31">
        <v>80.038671623985394</v>
      </c>
      <c r="L96" s="30">
        <v>3.4519226553027402E-2</v>
      </c>
      <c r="M96" s="31">
        <v>86.4233620034952</v>
      </c>
      <c r="N96" s="30">
        <v>3.8348976652658802E-2</v>
      </c>
      <c r="O96" s="31">
        <v>97.430045433844697</v>
      </c>
      <c r="P96" s="30">
        <v>2.2340036208843499E-2</v>
      </c>
      <c r="Q96" s="31">
        <v>86.798882095417596</v>
      </c>
      <c r="R96" s="30">
        <v>4.9524510109339101E-2</v>
      </c>
      <c r="S96" s="31">
        <v>103.37252846865</v>
      </c>
      <c r="T96" s="30">
        <v>9.3306600226061905E-3</v>
      </c>
      <c r="U96" s="31"/>
      <c r="V96" s="30"/>
      <c r="W96" s="31"/>
      <c r="X96" s="30"/>
      <c r="Y96" s="31"/>
      <c r="Z96" s="30"/>
      <c r="AA96" s="31">
        <v>94.292181532422006</v>
      </c>
      <c r="AB96" s="30">
        <v>1.56240328973614E-2</v>
      </c>
      <c r="AC96" s="31">
        <v>91.206572657512396</v>
      </c>
      <c r="AD96" s="30">
        <v>1.1644715125485299E-2</v>
      </c>
      <c r="AE96" s="31">
        <v>109.408909140418</v>
      </c>
      <c r="AF96" s="30">
        <v>2.0635398858668701E-2</v>
      </c>
      <c r="AG96" s="31">
        <v>112.172675559605</v>
      </c>
      <c r="AH96" s="30">
        <v>5.5590086597250296E-3</v>
      </c>
      <c r="AI96" s="31">
        <v>102.009325583302</v>
      </c>
      <c r="AJ96" s="30">
        <v>2.4064157099662701E-2</v>
      </c>
      <c r="AK96" s="31">
        <v>89.905061397169405</v>
      </c>
      <c r="AL96" s="30">
        <v>1.47315700999646E-2</v>
      </c>
      <c r="AM96" s="31">
        <v>87.764276232924203</v>
      </c>
      <c r="AN96" s="30">
        <v>2.4249045599813002E-2</v>
      </c>
      <c r="AO96" s="31">
        <v>114.13213431038901</v>
      </c>
      <c r="AP96" s="30">
        <v>3.47342602854026E-2</v>
      </c>
      <c r="AQ96" s="31">
        <v>113.04148261968</v>
      </c>
      <c r="AR96" s="30">
        <v>2.0479204133231801E-2</v>
      </c>
      <c r="AS96" s="31">
        <v>94.494475703498907</v>
      </c>
      <c r="AT96" s="30">
        <v>-9.2209362703273793E-3</v>
      </c>
      <c r="AU96" s="31">
        <v>98.888369791644294</v>
      </c>
      <c r="AV96" s="30">
        <v>1.32792589992778E-2</v>
      </c>
      <c r="AW96" s="31">
        <v>94.346436100712197</v>
      </c>
      <c r="AX96" s="30">
        <v>1.34749146735662E-2</v>
      </c>
      <c r="AY96" s="31">
        <v>107.057815236628</v>
      </c>
      <c r="AZ96" s="30">
        <v>1.2866246348922E-2</v>
      </c>
      <c r="BA96" s="31">
        <v>109.623886635399</v>
      </c>
      <c r="BB96" s="30">
        <v>6.1623983078444898E-3</v>
      </c>
      <c r="BC96" s="31">
        <v>105.85471852844201</v>
      </c>
      <c r="BD96" s="30">
        <v>1.0974108355822999E-2</v>
      </c>
      <c r="BE96" s="31"/>
      <c r="BF96" s="30"/>
    </row>
    <row r="97" spans="1:58" x14ac:dyDescent="0.2">
      <c r="A97" s="28">
        <v>2001</v>
      </c>
      <c r="B97" s="28">
        <v>2</v>
      </c>
      <c r="C97" s="31">
        <v>93.872788677160102</v>
      </c>
      <c r="D97" s="30">
        <v>1.3509832794456699E-2</v>
      </c>
      <c r="E97" s="31">
        <v>90.211426710071805</v>
      </c>
      <c r="F97" s="30">
        <v>1.39265028448829E-2</v>
      </c>
      <c r="G97" s="31">
        <v>93.578567677688795</v>
      </c>
      <c r="H97" s="30">
        <v>1.51379930664233E-2</v>
      </c>
      <c r="I97" s="31">
        <v>96.650029955054706</v>
      </c>
      <c r="J97" s="30">
        <v>1.1701712270854901E-2</v>
      </c>
      <c r="K97" s="31">
        <v>80.522199511872799</v>
      </c>
      <c r="L97" s="30">
        <v>3.2387096229999003E-2</v>
      </c>
      <c r="M97" s="31">
        <v>83.083534642455405</v>
      </c>
      <c r="N97" s="30">
        <v>1.0892057867117E-2</v>
      </c>
      <c r="O97" s="31">
        <v>97.791881747763</v>
      </c>
      <c r="P97" s="30">
        <v>2.1366455410012801E-2</v>
      </c>
      <c r="Q97" s="31">
        <v>87.269941004911004</v>
      </c>
      <c r="R97" s="30">
        <v>4.4946939787556997E-2</v>
      </c>
      <c r="S97" s="31">
        <v>103.571179565801</v>
      </c>
      <c r="T97" s="30">
        <v>1.02238441405413E-2</v>
      </c>
      <c r="U97" s="31"/>
      <c r="V97" s="30"/>
      <c r="W97" s="31"/>
      <c r="X97" s="30"/>
      <c r="Y97" s="31"/>
      <c r="Z97" s="30"/>
      <c r="AA97" s="31">
        <v>95.127553945473196</v>
      </c>
      <c r="AB97" s="30">
        <v>1.3915920629047099E-2</v>
      </c>
      <c r="AC97" s="31">
        <v>92.108526360595206</v>
      </c>
      <c r="AD97" s="30">
        <v>1.3368399168509799E-2</v>
      </c>
      <c r="AE97" s="31">
        <v>109.513046964236</v>
      </c>
      <c r="AF97" s="30">
        <v>1.7259617136419901E-2</v>
      </c>
      <c r="AG97" s="31">
        <v>112.39368977338</v>
      </c>
      <c r="AH97" s="30">
        <v>1.28771131186565E-2</v>
      </c>
      <c r="AI97" s="31">
        <v>102.66509836721499</v>
      </c>
      <c r="AJ97" s="30">
        <v>1.51924080580046E-2</v>
      </c>
      <c r="AK97" s="31">
        <v>90.179822421612499</v>
      </c>
      <c r="AL97" s="30">
        <v>1.3363031017640499E-2</v>
      </c>
      <c r="AM97" s="31">
        <v>87.502015009638598</v>
      </c>
      <c r="AN97" s="30">
        <v>1.9048039560949401E-2</v>
      </c>
      <c r="AO97" s="31">
        <v>113.016538382289</v>
      </c>
      <c r="AP97" s="30">
        <v>1.9976829684281501E-2</v>
      </c>
      <c r="AQ97" s="31">
        <v>111.18016908955001</v>
      </c>
      <c r="AR97" s="30">
        <v>5.2357487542919997E-3</v>
      </c>
      <c r="AS97" s="31">
        <v>96.443302586401003</v>
      </c>
      <c r="AT97" s="30">
        <v>-1.9729218561667099E-3</v>
      </c>
      <c r="AU97" s="31">
        <v>99.309730752950699</v>
      </c>
      <c r="AV97" s="30">
        <v>1.5909371490502099E-2</v>
      </c>
      <c r="AW97" s="31">
        <v>94.775092507250903</v>
      </c>
      <c r="AX97" s="30">
        <v>1.6921301973986402E-2</v>
      </c>
      <c r="AY97" s="31">
        <v>107.449033116678</v>
      </c>
      <c r="AZ97" s="30">
        <v>1.3742416180800601E-2</v>
      </c>
      <c r="BA97" s="31">
        <v>109.847702696209</v>
      </c>
      <c r="BB97" s="30">
        <v>1.33325230989789E-2</v>
      </c>
      <c r="BC97" s="31">
        <v>105.33535191445</v>
      </c>
      <c r="BD97" s="30">
        <v>2.8498313593330301E-3</v>
      </c>
      <c r="BE97" s="31"/>
      <c r="BF97" s="30"/>
    </row>
    <row r="98" spans="1:58" x14ac:dyDescent="0.2">
      <c r="A98" s="28">
        <v>2001</v>
      </c>
      <c r="B98" s="28">
        <v>3</v>
      </c>
      <c r="C98" s="31">
        <v>94.177780057798202</v>
      </c>
      <c r="D98" s="30">
        <v>8.0021159282546196E-3</v>
      </c>
      <c r="E98" s="31">
        <v>90.686028084814197</v>
      </c>
      <c r="F98" s="30">
        <v>5.40176206540521E-3</v>
      </c>
      <c r="G98" s="31">
        <v>93.346341746321997</v>
      </c>
      <c r="H98" s="30">
        <v>1.03905204601746E-2</v>
      </c>
      <c r="I98" s="31">
        <v>96.293519719350599</v>
      </c>
      <c r="J98" s="30">
        <v>7.0077109785033898E-3</v>
      </c>
      <c r="K98" s="31">
        <v>80.801317841949697</v>
      </c>
      <c r="L98" s="30">
        <v>2.72271834603257E-2</v>
      </c>
      <c r="M98" s="31">
        <v>84.996459369315005</v>
      </c>
      <c r="N98" s="30">
        <v>-8.1879689471978708E-3</v>
      </c>
      <c r="O98" s="31">
        <v>97.792118812122496</v>
      </c>
      <c r="P98" s="30">
        <v>1.6006018472813199E-2</v>
      </c>
      <c r="Q98" s="31">
        <v>87.030570900259804</v>
      </c>
      <c r="R98" s="30">
        <v>2.9656315570646598E-2</v>
      </c>
      <c r="S98" s="31">
        <v>103.66405240589199</v>
      </c>
      <c r="T98" s="30">
        <v>9.7497745105406004E-3</v>
      </c>
      <c r="U98" s="31"/>
      <c r="V98" s="30"/>
      <c r="W98" s="31"/>
      <c r="X98" s="30"/>
      <c r="Y98" s="31"/>
      <c r="Z98" s="30"/>
      <c r="AA98" s="31">
        <v>93.147909474682606</v>
      </c>
      <c r="AB98" s="30">
        <v>-7.4724868858475598E-3</v>
      </c>
      <c r="AC98" s="31">
        <v>90.657250636792796</v>
      </c>
      <c r="AD98" s="30">
        <v>-6.9489791998569297E-3</v>
      </c>
      <c r="AE98" s="31">
        <v>107.921417403189</v>
      </c>
      <c r="AF98" s="30">
        <v>-5.8634643963421098E-3</v>
      </c>
      <c r="AG98" s="31">
        <v>110.93522096913</v>
      </c>
      <c r="AH98" s="30">
        <v>-4.8993293678525297E-3</v>
      </c>
      <c r="AI98" s="31">
        <v>99.495661256498593</v>
      </c>
      <c r="AJ98" s="30">
        <v>-8.7778771450618392E-3</v>
      </c>
      <c r="AK98" s="31">
        <v>88.489370346030697</v>
      </c>
      <c r="AL98" s="30">
        <v>-1.4228193232218699E-2</v>
      </c>
      <c r="AM98" s="31">
        <v>85.764552499265506</v>
      </c>
      <c r="AN98" s="30">
        <v>-1.6611641820190301E-2</v>
      </c>
      <c r="AO98" s="31">
        <v>110.793130585485</v>
      </c>
      <c r="AP98" s="30">
        <v>-1.52275158274269E-2</v>
      </c>
      <c r="AQ98" s="31">
        <v>109.105593847855</v>
      </c>
      <c r="AR98" s="30">
        <v>-2.17938248820536E-2</v>
      </c>
      <c r="AS98" s="31">
        <v>94.947678824791893</v>
      </c>
      <c r="AT98" s="30">
        <v>-1.10667453027494E-2</v>
      </c>
      <c r="AU98" s="31">
        <v>98.580128675266494</v>
      </c>
      <c r="AV98" s="30">
        <v>6.25144245543496E-3</v>
      </c>
      <c r="AW98" s="31">
        <v>94.602706891821697</v>
      </c>
      <c r="AX98" s="30">
        <v>1.1959934966390799E-2</v>
      </c>
      <c r="AY98" s="31">
        <v>105.35106816328801</v>
      </c>
      <c r="AZ98" s="30">
        <v>-6.2996777889474699E-3</v>
      </c>
      <c r="BA98" s="31">
        <v>108.452130990735</v>
      </c>
      <c r="BB98" s="30">
        <v>-4.2202894218962301E-3</v>
      </c>
      <c r="BC98" s="31">
        <v>103.488041809582</v>
      </c>
      <c r="BD98" s="30">
        <v>-1.78194246330203E-2</v>
      </c>
      <c r="BE98" s="31"/>
      <c r="BF98" s="30"/>
    </row>
    <row r="99" spans="1:58" x14ac:dyDescent="0.2">
      <c r="A99" s="28">
        <v>2001</v>
      </c>
      <c r="B99" s="28">
        <v>4</v>
      </c>
      <c r="C99" s="31">
        <v>93.681777105186399</v>
      </c>
      <c r="D99" s="30">
        <v>4.0597739034433601E-3</v>
      </c>
      <c r="E99" s="31">
        <v>89.995528784944099</v>
      </c>
      <c r="F99" s="30">
        <v>3.1261941955174099E-4</v>
      </c>
      <c r="G99" s="31">
        <v>92.938359536085102</v>
      </c>
      <c r="H99" s="30">
        <v>2.3584718573021999E-4</v>
      </c>
      <c r="I99" s="31">
        <v>95.736837266756396</v>
      </c>
      <c r="J99" s="30">
        <v>-4.04305952250283E-3</v>
      </c>
      <c r="K99" s="31">
        <v>81.035933841993099</v>
      </c>
      <c r="L99" s="30">
        <v>2.1437854474182699E-2</v>
      </c>
      <c r="M99" s="31">
        <v>83.677651206554103</v>
      </c>
      <c r="N99" s="30">
        <v>2.4528442745013201E-3</v>
      </c>
      <c r="O99" s="31">
        <v>97.431350066687003</v>
      </c>
      <c r="P99" s="30">
        <v>5.7739643370182704E-3</v>
      </c>
      <c r="Q99" s="31">
        <v>86.797822538236304</v>
      </c>
      <c r="R99" s="30">
        <v>1.37749786503616E-2</v>
      </c>
      <c r="S99" s="31">
        <v>103.21810552435301</v>
      </c>
      <c r="T99" s="30">
        <v>1.7231218892328501E-3</v>
      </c>
      <c r="U99" s="31"/>
      <c r="V99" s="30"/>
      <c r="W99" s="31"/>
      <c r="X99" s="30"/>
      <c r="Y99" s="31"/>
      <c r="Z99" s="30"/>
      <c r="AA99" s="31">
        <v>92.215118328455901</v>
      </c>
      <c r="AB99" s="30">
        <v>-2.48660863701529E-2</v>
      </c>
      <c r="AC99" s="31">
        <v>90.082608404501897</v>
      </c>
      <c r="AD99" s="30">
        <v>-2.2155753494704101E-2</v>
      </c>
      <c r="AE99" s="31">
        <v>107.259228972494</v>
      </c>
      <c r="AF99" s="30">
        <v>-2.3865672250240898E-2</v>
      </c>
      <c r="AG99" s="31">
        <v>110.632794529858</v>
      </c>
      <c r="AH99" s="30">
        <v>-1.8770746053784398E-2</v>
      </c>
      <c r="AI99" s="31">
        <v>97.624832311706498</v>
      </c>
      <c r="AJ99" s="30">
        <v>-3.1087492335261899E-2</v>
      </c>
      <c r="AK99" s="31">
        <v>87.021361006654502</v>
      </c>
      <c r="AL99" s="30">
        <v>-3.5757562546540597E-2</v>
      </c>
      <c r="AM99" s="31">
        <v>83.961791546148007</v>
      </c>
      <c r="AN99" s="30">
        <v>-4.1068418651691398E-2</v>
      </c>
      <c r="AO99" s="31">
        <v>108.289442742576</v>
      </c>
      <c r="AP99" s="30">
        <v>-4.4051078382726101E-2</v>
      </c>
      <c r="AQ99" s="31">
        <v>107.211433914501</v>
      </c>
      <c r="AR99" s="30">
        <v>-3.71855373283436E-2</v>
      </c>
      <c r="AS99" s="31">
        <v>94.407119014406007</v>
      </c>
      <c r="AT99" s="30">
        <v>-2.02591806465852E-2</v>
      </c>
      <c r="AU99" s="31">
        <v>98.039531196828406</v>
      </c>
      <c r="AV99" s="30">
        <v>-5.77151181613322E-3</v>
      </c>
      <c r="AW99" s="31">
        <v>94.206955296237098</v>
      </c>
      <c r="AX99" s="30">
        <v>1.7325025765100299E-3</v>
      </c>
      <c r="AY99" s="31">
        <v>104.453680435919</v>
      </c>
      <c r="AZ99" s="30">
        <v>-2.2337498705263598E-2</v>
      </c>
      <c r="BA99" s="31">
        <v>108.124059000812</v>
      </c>
      <c r="BB99" s="30">
        <v>-1.83170967273577E-2</v>
      </c>
      <c r="BC99" s="31">
        <v>102.068446655296</v>
      </c>
      <c r="BD99" s="30">
        <v>-3.1998274370488598E-2</v>
      </c>
      <c r="BE99" s="31"/>
      <c r="BF99" s="30"/>
    </row>
    <row r="100" spans="1:58" x14ac:dyDescent="0.2">
      <c r="A100" s="28">
        <v>2002</v>
      </c>
      <c r="B100" s="28">
        <v>1</v>
      </c>
      <c r="C100" s="31">
        <v>93.804806811384495</v>
      </c>
      <c r="D100" s="30">
        <v>-5.9393526062150297E-3</v>
      </c>
      <c r="E100" s="31">
        <v>89.813084571639095</v>
      </c>
      <c r="F100" s="30">
        <v>-1.2824509346804999E-2</v>
      </c>
      <c r="G100" s="31">
        <v>92.8395439548773</v>
      </c>
      <c r="H100" s="30">
        <v>-3.12631614388581E-3</v>
      </c>
      <c r="I100" s="31">
        <v>95.561891483591594</v>
      </c>
      <c r="J100" s="30">
        <v>-6.7263748914738698E-3</v>
      </c>
      <c r="K100" s="31">
        <v>81.203014591062797</v>
      </c>
      <c r="L100" s="30">
        <v>1.4547255013769101E-2</v>
      </c>
      <c r="M100" s="31">
        <v>83.304789252389398</v>
      </c>
      <c r="N100" s="30">
        <v>-3.6084834919749301E-2</v>
      </c>
      <c r="O100" s="31">
        <v>97.341930846450694</v>
      </c>
      <c r="P100" s="30">
        <v>-9.0438824083072201E-4</v>
      </c>
      <c r="Q100" s="31">
        <v>86.573043406387796</v>
      </c>
      <c r="R100" s="30">
        <v>-2.60186172422683E-3</v>
      </c>
      <c r="S100" s="31">
        <v>103.25722764227299</v>
      </c>
      <c r="T100" s="30">
        <v>-1.11539137220584E-3</v>
      </c>
      <c r="U100" s="31"/>
      <c r="V100" s="30"/>
      <c r="W100" s="31"/>
      <c r="X100" s="30"/>
      <c r="Y100" s="31"/>
      <c r="Z100" s="30"/>
      <c r="AA100" s="31">
        <v>92.969845570279503</v>
      </c>
      <c r="AB100" s="30">
        <v>-1.40238134344981E-2</v>
      </c>
      <c r="AC100" s="31">
        <v>90.613833290501205</v>
      </c>
      <c r="AD100" s="30">
        <v>-6.4988668002791102E-3</v>
      </c>
      <c r="AE100" s="31">
        <v>106.82513944899399</v>
      </c>
      <c r="AF100" s="30">
        <v>-2.3615715682786999E-2</v>
      </c>
      <c r="AG100" s="31">
        <v>110.506351212228</v>
      </c>
      <c r="AH100" s="30">
        <v>-1.4854993331173599E-2</v>
      </c>
      <c r="AI100" s="31">
        <v>99.002430611117902</v>
      </c>
      <c r="AJ100" s="30">
        <v>-2.9476667500640499E-2</v>
      </c>
      <c r="AK100" s="31">
        <v>87.285415364495606</v>
      </c>
      <c r="AL100" s="30">
        <v>-2.9137914951207201E-2</v>
      </c>
      <c r="AM100" s="31">
        <v>84.830961991691396</v>
      </c>
      <c r="AN100" s="30">
        <v>-3.3422644920444597E-2</v>
      </c>
      <c r="AO100" s="31">
        <v>107.96512288366399</v>
      </c>
      <c r="AP100" s="30">
        <v>-5.4033962161383002E-2</v>
      </c>
      <c r="AQ100" s="31">
        <v>107.92781499540899</v>
      </c>
      <c r="AR100" s="30">
        <v>-4.5237089126614803E-2</v>
      </c>
      <c r="AS100" s="31">
        <v>92.979750458147507</v>
      </c>
      <c r="AT100" s="30">
        <v>-1.60297756464013E-2</v>
      </c>
      <c r="AU100" s="31">
        <v>98.078979879844198</v>
      </c>
      <c r="AV100" s="30">
        <v>-8.1848847696187593E-3</v>
      </c>
      <c r="AW100" s="31">
        <v>94.111265514088501</v>
      </c>
      <c r="AX100" s="30">
        <v>-2.49262819395424E-3</v>
      </c>
      <c r="AY100" s="31">
        <v>104.86114694463301</v>
      </c>
      <c r="AZ100" s="30">
        <v>-2.0518523445851498E-2</v>
      </c>
      <c r="BA100" s="31">
        <v>107.956298142536</v>
      </c>
      <c r="BB100" s="30">
        <v>-1.5211908134662999E-2</v>
      </c>
      <c r="BC100" s="31">
        <v>102.02587034797401</v>
      </c>
      <c r="BD100" s="30">
        <v>-3.6170784200227901E-2</v>
      </c>
      <c r="BE100" s="31"/>
      <c r="BF100" s="30"/>
    </row>
    <row r="101" spans="1:58" x14ac:dyDescent="0.2">
      <c r="A101" s="28">
        <v>2002</v>
      </c>
      <c r="B101" s="28">
        <v>2</v>
      </c>
      <c r="C101" s="31">
        <v>93.417038320316195</v>
      </c>
      <c r="D101" s="30">
        <v>-4.8549783517274304E-3</v>
      </c>
      <c r="E101" s="31">
        <v>89.075897851832906</v>
      </c>
      <c r="F101" s="30">
        <v>-1.25874171338449E-2</v>
      </c>
      <c r="G101" s="31">
        <v>93.155290788720606</v>
      </c>
      <c r="H101" s="30">
        <v>-4.5232247027547903E-3</v>
      </c>
      <c r="I101" s="31">
        <v>95.899938146669598</v>
      </c>
      <c r="J101" s="30">
        <v>-7.7609061138819201E-3</v>
      </c>
      <c r="K101" s="31">
        <v>81.412695979711103</v>
      </c>
      <c r="L101" s="30">
        <v>1.10590181743235E-2</v>
      </c>
      <c r="M101" s="31">
        <v>80.429824809040795</v>
      </c>
      <c r="N101" s="30">
        <v>-3.1940261627465098E-2</v>
      </c>
      <c r="O101" s="31">
        <v>97.161218588019594</v>
      </c>
      <c r="P101" s="30">
        <v>-6.44903389189344E-3</v>
      </c>
      <c r="Q101" s="31">
        <v>86.276455439679694</v>
      </c>
      <c r="R101" s="30">
        <v>-1.13840522153599E-2</v>
      </c>
      <c r="S101" s="31">
        <v>103.157625656048</v>
      </c>
      <c r="T101" s="30">
        <v>-3.9929439008626897E-3</v>
      </c>
      <c r="U101" s="31"/>
      <c r="V101" s="30"/>
      <c r="W101" s="31"/>
      <c r="X101" s="30"/>
      <c r="Y101" s="31"/>
      <c r="Z101" s="30"/>
      <c r="AA101" s="31">
        <v>92.573042608604695</v>
      </c>
      <c r="AB101" s="30">
        <v>-2.6853537496957E-2</v>
      </c>
      <c r="AC101" s="31">
        <v>89.930790871668904</v>
      </c>
      <c r="AD101" s="30">
        <v>-2.3643147653896201E-2</v>
      </c>
      <c r="AE101" s="31">
        <v>106.133215383733</v>
      </c>
      <c r="AF101" s="30">
        <v>-3.0862364569276698E-2</v>
      </c>
      <c r="AG101" s="31">
        <v>110.382828843802</v>
      </c>
      <c r="AH101" s="30">
        <v>-1.7891226221264999E-2</v>
      </c>
      <c r="AI101" s="31">
        <v>99.237329659215007</v>
      </c>
      <c r="AJ101" s="30">
        <v>-3.3387867566630397E-2</v>
      </c>
      <c r="AK101" s="31">
        <v>86.156747257326202</v>
      </c>
      <c r="AL101" s="30">
        <v>-4.4611699782213701E-2</v>
      </c>
      <c r="AM101" s="31">
        <v>82.780278075243402</v>
      </c>
      <c r="AN101" s="30">
        <v>-5.3961465160260701E-2</v>
      </c>
      <c r="AO101" s="31">
        <v>105.80958457113201</v>
      </c>
      <c r="AP101" s="30">
        <v>-6.3769019245470696E-2</v>
      </c>
      <c r="AQ101" s="31">
        <v>107.091891703378</v>
      </c>
      <c r="AR101" s="30">
        <v>-3.6771642098140697E-2</v>
      </c>
      <c r="AS101" s="31">
        <v>94.468043142799701</v>
      </c>
      <c r="AT101" s="30">
        <v>-2.0481043168671401E-2</v>
      </c>
      <c r="AU101" s="31">
        <v>98.197613509034795</v>
      </c>
      <c r="AV101" s="30">
        <v>-1.1198472047844899E-2</v>
      </c>
      <c r="AW101" s="31">
        <v>94.288991818418495</v>
      </c>
      <c r="AX101" s="30">
        <v>-5.12899197429173E-3</v>
      </c>
      <c r="AY101" s="31">
        <v>104.844463235446</v>
      </c>
      <c r="AZ101" s="30">
        <v>-2.42400494977284E-2</v>
      </c>
      <c r="BA101" s="31">
        <v>107.777759386797</v>
      </c>
      <c r="BB101" s="30">
        <v>-1.88437560240662E-2</v>
      </c>
      <c r="BC101" s="31">
        <v>102.006197183879</v>
      </c>
      <c r="BD101" s="30">
        <v>-3.16052936650792E-2</v>
      </c>
      <c r="BE101" s="31"/>
      <c r="BF101" s="30"/>
    </row>
    <row r="102" spans="1:58" x14ac:dyDescent="0.2">
      <c r="A102" s="28">
        <v>2002</v>
      </c>
      <c r="B102" s="28">
        <v>3</v>
      </c>
      <c r="C102" s="31">
        <v>93.581912158794395</v>
      </c>
      <c r="D102" s="30">
        <v>-6.3270539891484602E-3</v>
      </c>
      <c r="E102" s="31">
        <v>89.002305841812898</v>
      </c>
      <c r="F102" s="30">
        <v>-1.8566501130985E-2</v>
      </c>
      <c r="G102" s="31">
        <v>92.978486467821696</v>
      </c>
      <c r="H102" s="30">
        <v>-3.9407573089478296E-3</v>
      </c>
      <c r="I102" s="31">
        <v>95.621756018372807</v>
      </c>
      <c r="J102" s="30">
        <v>-6.9762088137977898E-3</v>
      </c>
      <c r="K102" s="31">
        <v>81.641877946506796</v>
      </c>
      <c r="L102" s="30">
        <v>1.04028019221327E-2</v>
      </c>
      <c r="M102" s="31">
        <v>80.341325798104194</v>
      </c>
      <c r="N102" s="30">
        <v>-5.4768558664120198E-2</v>
      </c>
      <c r="O102" s="31">
        <v>97.089749049078705</v>
      </c>
      <c r="P102" s="30">
        <v>-7.1822737003293096E-3</v>
      </c>
      <c r="Q102" s="31">
        <v>85.909129630459901</v>
      </c>
      <c r="R102" s="30">
        <v>-1.2885601670764401E-2</v>
      </c>
      <c r="S102" s="31">
        <v>103.277824241486</v>
      </c>
      <c r="T102" s="30">
        <v>-3.7257675678484801E-3</v>
      </c>
      <c r="U102" s="31"/>
      <c r="V102" s="30"/>
      <c r="W102" s="31"/>
      <c r="X102" s="30"/>
      <c r="Y102" s="31"/>
      <c r="Z102" s="30"/>
      <c r="AA102" s="31">
        <v>91.375318439653597</v>
      </c>
      <c r="AB102" s="30">
        <v>-1.9029853112385101E-2</v>
      </c>
      <c r="AC102" s="31">
        <v>88.089329046867803</v>
      </c>
      <c r="AD102" s="30">
        <v>-2.83256063016184E-2</v>
      </c>
      <c r="AE102" s="31">
        <v>104.40970285989199</v>
      </c>
      <c r="AF102" s="30">
        <v>-3.2539551720086497E-2</v>
      </c>
      <c r="AG102" s="31">
        <v>109.024600744106</v>
      </c>
      <c r="AH102" s="30">
        <v>-1.7222845984647399E-2</v>
      </c>
      <c r="AI102" s="31">
        <v>99.517576850612102</v>
      </c>
      <c r="AJ102" s="30">
        <v>2.2026683210785199E-4</v>
      </c>
      <c r="AK102" s="31">
        <v>84.332933831332099</v>
      </c>
      <c r="AL102" s="30">
        <v>-4.6971025993802901E-2</v>
      </c>
      <c r="AM102" s="31">
        <v>80.537036402067699</v>
      </c>
      <c r="AN102" s="30">
        <v>-6.0951942788281602E-2</v>
      </c>
      <c r="AO102" s="31">
        <v>103.30081949667699</v>
      </c>
      <c r="AP102" s="30">
        <v>-6.7624328775748296E-2</v>
      </c>
      <c r="AQ102" s="31">
        <v>104.030872370034</v>
      </c>
      <c r="AR102" s="30">
        <v>-4.65120192178042E-2</v>
      </c>
      <c r="AS102" s="31">
        <v>93.481019143272903</v>
      </c>
      <c r="AT102" s="30">
        <v>-1.54470304031916E-2</v>
      </c>
      <c r="AU102" s="31">
        <v>97.871493076221199</v>
      </c>
      <c r="AV102" s="30">
        <v>-7.1884223379307102E-3</v>
      </c>
      <c r="AW102" s="31">
        <v>94.143299536312497</v>
      </c>
      <c r="AX102" s="30">
        <v>-4.8561755852776197E-3</v>
      </c>
      <c r="AY102" s="31">
        <v>104.066795490947</v>
      </c>
      <c r="AZ102" s="30">
        <v>-1.2190409596519E-2</v>
      </c>
      <c r="BA102" s="31">
        <v>106.353887649105</v>
      </c>
      <c r="BB102" s="30">
        <v>-1.9347184075236799E-2</v>
      </c>
      <c r="BC102" s="31">
        <v>99.761081474531693</v>
      </c>
      <c r="BD102" s="30">
        <v>-3.6013439522880698E-2</v>
      </c>
      <c r="BE102" s="31"/>
      <c r="BF102" s="30"/>
    </row>
    <row r="103" spans="1:58" x14ac:dyDescent="0.2">
      <c r="A103" s="28">
        <v>2002</v>
      </c>
      <c r="B103" s="28">
        <v>4</v>
      </c>
      <c r="C103" s="31">
        <v>93.565816454415298</v>
      </c>
      <c r="D103" s="30">
        <v>-1.2378143792132199E-3</v>
      </c>
      <c r="E103" s="31">
        <v>88.576000115162103</v>
      </c>
      <c r="F103" s="30">
        <v>-1.57733243967501E-2</v>
      </c>
      <c r="G103" s="31">
        <v>93.217355867883398</v>
      </c>
      <c r="H103" s="30">
        <v>3.0019502516604999E-3</v>
      </c>
      <c r="I103" s="31">
        <v>95.865137748107998</v>
      </c>
      <c r="J103" s="30">
        <v>1.3401370362184899E-3</v>
      </c>
      <c r="K103" s="31">
        <v>81.878059228979197</v>
      </c>
      <c r="L103" s="30">
        <v>1.03919995372437E-2</v>
      </c>
      <c r="M103" s="31">
        <v>78.6761207436993</v>
      </c>
      <c r="N103" s="30">
        <v>-5.9771401213315499E-2</v>
      </c>
      <c r="O103" s="31">
        <v>96.761775755154801</v>
      </c>
      <c r="P103" s="30">
        <v>-6.8722676127750404E-3</v>
      </c>
      <c r="Q103" s="31">
        <v>85.417322237910099</v>
      </c>
      <c r="R103" s="30">
        <v>-1.5904780326926798E-2</v>
      </c>
      <c r="S103" s="31">
        <v>103.07226931071</v>
      </c>
      <c r="T103" s="30">
        <v>-1.41289372539966E-3</v>
      </c>
      <c r="U103" s="31"/>
      <c r="V103" s="30"/>
      <c r="W103" s="31"/>
      <c r="X103" s="30"/>
      <c r="Y103" s="31"/>
      <c r="Z103" s="30"/>
      <c r="AA103" s="31">
        <v>92.465926899770693</v>
      </c>
      <c r="AB103" s="30">
        <v>2.7198205225029701E-3</v>
      </c>
      <c r="AC103" s="31">
        <v>89.595042341640806</v>
      </c>
      <c r="AD103" s="30">
        <v>-5.4124327824938102E-3</v>
      </c>
      <c r="AE103" s="31">
        <v>106.1948240813</v>
      </c>
      <c r="AF103" s="30">
        <v>-9.9236671882767507E-3</v>
      </c>
      <c r="AG103" s="31">
        <v>110.752729004252</v>
      </c>
      <c r="AH103" s="30">
        <v>1.0840770578310901E-3</v>
      </c>
      <c r="AI103" s="31">
        <v>99.702769372198702</v>
      </c>
      <c r="AJ103" s="30">
        <v>2.12849232238124E-2</v>
      </c>
      <c r="AK103" s="31">
        <v>84.5171050490857</v>
      </c>
      <c r="AL103" s="30">
        <v>-2.8777485534584799E-2</v>
      </c>
      <c r="AM103" s="31">
        <v>80.538112599406602</v>
      </c>
      <c r="AN103" s="30">
        <v>-4.0776630461245099E-2</v>
      </c>
      <c r="AO103" s="31">
        <v>103.179597872804</v>
      </c>
      <c r="AP103" s="30">
        <v>-4.7186916289882502E-2</v>
      </c>
      <c r="AQ103" s="31">
        <v>104.87054957284499</v>
      </c>
      <c r="AR103" s="30">
        <v>-2.1834278828163099E-2</v>
      </c>
      <c r="AS103" s="31">
        <v>94.409292616635696</v>
      </c>
      <c r="AT103" s="30">
        <v>2.3023711054559501E-5</v>
      </c>
      <c r="AU103" s="31">
        <v>98.257632436280204</v>
      </c>
      <c r="AV103" s="30">
        <v>2.2246254831015401E-3</v>
      </c>
      <c r="AW103" s="31">
        <v>94.2247269238689</v>
      </c>
      <c r="AX103" s="30">
        <v>1.8864453878064699E-4</v>
      </c>
      <c r="AY103" s="31">
        <v>105.183463550921</v>
      </c>
      <c r="AZ103" s="30">
        <v>6.9866673147069803E-3</v>
      </c>
      <c r="BA103" s="31">
        <v>108.04358381473401</v>
      </c>
      <c r="BB103" s="30">
        <v>-7.4428565503159604E-4</v>
      </c>
      <c r="BC103" s="31">
        <v>100.581236921106</v>
      </c>
      <c r="BD103" s="30">
        <v>-1.4570709978693501E-2</v>
      </c>
      <c r="BE103" s="31"/>
      <c r="BF103" s="30"/>
    </row>
    <row r="104" spans="1:58" x14ac:dyDescent="0.2">
      <c r="A104" s="28">
        <v>2003</v>
      </c>
      <c r="B104" s="28">
        <v>1</v>
      </c>
      <c r="C104" s="31">
        <v>94.488414051628595</v>
      </c>
      <c r="D104" s="30">
        <v>7.2875502171081399E-3</v>
      </c>
      <c r="E104" s="31">
        <v>89.185625431960005</v>
      </c>
      <c r="F104" s="30">
        <v>-6.9862775860743999E-3</v>
      </c>
      <c r="G104" s="31">
        <v>93.675476815411002</v>
      </c>
      <c r="H104" s="30">
        <v>9.0040603919809802E-3</v>
      </c>
      <c r="I104" s="31">
        <v>96.372882832749198</v>
      </c>
      <c r="J104" s="30">
        <v>8.4865560587705797E-3</v>
      </c>
      <c r="K104" s="31">
        <v>82.124522470532796</v>
      </c>
      <c r="L104" s="30">
        <v>1.13481978977099E-2</v>
      </c>
      <c r="M104" s="31">
        <v>79.501941032684002</v>
      </c>
      <c r="N104" s="30">
        <v>-4.5649815020644698E-2</v>
      </c>
      <c r="O104" s="31">
        <v>96.831983102753497</v>
      </c>
      <c r="P104" s="30">
        <v>-5.23872640765277E-3</v>
      </c>
      <c r="Q104" s="31">
        <v>84.801125109936095</v>
      </c>
      <c r="R104" s="30">
        <v>-2.0467321313102999E-2</v>
      </c>
      <c r="S104" s="31">
        <v>103.473703531992</v>
      </c>
      <c r="T104" s="30">
        <v>2.09647203069663E-3</v>
      </c>
      <c r="U104" s="31"/>
      <c r="V104" s="30"/>
      <c r="W104" s="31"/>
      <c r="X104" s="30"/>
      <c r="Y104" s="31"/>
      <c r="Z104" s="30"/>
      <c r="AA104" s="31">
        <v>92.718348268475097</v>
      </c>
      <c r="AB104" s="30">
        <v>-2.7051491831761002E-3</v>
      </c>
      <c r="AC104" s="31">
        <v>89.460787777995904</v>
      </c>
      <c r="AD104" s="30">
        <v>-1.2724828766583301E-2</v>
      </c>
      <c r="AE104" s="31">
        <v>105.934279834809</v>
      </c>
      <c r="AF104" s="30">
        <v>-8.3394191552714804E-3</v>
      </c>
      <c r="AG104" s="31">
        <v>110.38119772413</v>
      </c>
      <c r="AH104" s="30">
        <v>-1.1325456566450001E-3</v>
      </c>
      <c r="AI104" s="31">
        <v>100.891867343325</v>
      </c>
      <c r="AJ104" s="30">
        <v>1.90847509555487E-2</v>
      </c>
      <c r="AK104" s="31">
        <v>84.252518182075207</v>
      </c>
      <c r="AL104" s="30">
        <v>-3.4746895225912899E-2</v>
      </c>
      <c r="AM104" s="31">
        <v>80.876031530124607</v>
      </c>
      <c r="AN104" s="30">
        <v>-4.6621308643819297E-2</v>
      </c>
      <c r="AO104" s="31">
        <v>103.36189943586901</v>
      </c>
      <c r="AP104" s="30">
        <v>-4.2636208109126501E-2</v>
      </c>
      <c r="AQ104" s="31">
        <v>104.508244091671</v>
      </c>
      <c r="AR104" s="30">
        <v>-3.1683870408044802E-2</v>
      </c>
      <c r="AS104" s="31">
        <v>92.508429743076903</v>
      </c>
      <c r="AT104" s="30">
        <v>-5.06906840197197E-3</v>
      </c>
      <c r="AU104" s="31">
        <v>98.593380508203296</v>
      </c>
      <c r="AV104" s="30">
        <v>5.2447591623530103E-3</v>
      </c>
      <c r="AW104" s="31">
        <v>94.587759472810404</v>
      </c>
      <c r="AX104" s="30">
        <v>5.06309160884211E-3</v>
      </c>
      <c r="AY104" s="31">
        <v>105.45666706387399</v>
      </c>
      <c r="AZ104" s="30">
        <v>5.6791303222660803E-3</v>
      </c>
      <c r="BA104" s="31">
        <v>107.792042998819</v>
      </c>
      <c r="BB104" s="30">
        <v>-1.52149662913481E-3</v>
      </c>
      <c r="BC104" s="31">
        <v>99.675641845616894</v>
      </c>
      <c r="BD104" s="30">
        <v>-2.30356133629732E-2</v>
      </c>
      <c r="BE104" s="31"/>
      <c r="BF104" s="30"/>
    </row>
    <row r="105" spans="1:58" x14ac:dyDescent="0.2">
      <c r="A105" s="28">
        <v>2003</v>
      </c>
      <c r="B105" s="28">
        <v>2</v>
      </c>
      <c r="C105" s="31">
        <v>94.761506945873506</v>
      </c>
      <c r="D105" s="30">
        <v>1.4392113577260701E-2</v>
      </c>
      <c r="E105" s="31">
        <v>89.850881972276099</v>
      </c>
      <c r="F105" s="30">
        <v>8.7002672903992995E-3</v>
      </c>
      <c r="G105" s="31">
        <v>94.258332382064694</v>
      </c>
      <c r="H105" s="30">
        <v>1.18408904529732E-2</v>
      </c>
      <c r="I105" s="31">
        <v>97.0585367389086</v>
      </c>
      <c r="J105" s="30">
        <v>1.20813278363858E-2</v>
      </c>
      <c r="K105" s="31">
        <v>82.298451065668601</v>
      </c>
      <c r="L105" s="30">
        <v>1.08798151848228E-2</v>
      </c>
      <c r="M105" s="31">
        <v>80.322184449597003</v>
      </c>
      <c r="N105" s="30">
        <v>-1.3383139861284899E-3</v>
      </c>
      <c r="O105" s="31">
        <v>96.570743001597904</v>
      </c>
      <c r="P105" s="30">
        <v>-6.0772764586808402E-3</v>
      </c>
      <c r="Q105" s="31">
        <v>84.597930711533706</v>
      </c>
      <c r="R105" s="30">
        <v>-1.9455188783451802E-2</v>
      </c>
      <c r="S105" s="31">
        <v>103.265802163768</v>
      </c>
      <c r="T105" s="30">
        <v>1.0486525550725801E-3</v>
      </c>
      <c r="U105" s="31"/>
      <c r="V105" s="30"/>
      <c r="W105" s="31"/>
      <c r="X105" s="30"/>
      <c r="Y105" s="31"/>
      <c r="Z105" s="30"/>
      <c r="AA105" s="31">
        <v>92.440312816704804</v>
      </c>
      <c r="AB105" s="30">
        <v>-1.43378448152542E-3</v>
      </c>
      <c r="AC105" s="31">
        <v>88.328914163358206</v>
      </c>
      <c r="AD105" s="30">
        <v>-1.7812327599748299E-2</v>
      </c>
      <c r="AE105" s="31">
        <v>104.75482003337601</v>
      </c>
      <c r="AF105" s="30">
        <v>-1.2987407809829E-2</v>
      </c>
      <c r="AG105" s="31">
        <v>109.34524340145801</v>
      </c>
      <c r="AH105" s="30">
        <v>-9.3998808801299995E-3</v>
      </c>
      <c r="AI105" s="31">
        <v>102.847311731765</v>
      </c>
      <c r="AJ105" s="30">
        <v>3.6377259292916402E-2</v>
      </c>
      <c r="AK105" s="31">
        <v>84.750643429746304</v>
      </c>
      <c r="AL105" s="30">
        <v>-1.6320298436757901E-2</v>
      </c>
      <c r="AM105" s="31">
        <v>80.259449926156293</v>
      </c>
      <c r="AN105" s="30">
        <v>-3.0452037703906101E-2</v>
      </c>
      <c r="AO105" s="31">
        <v>102.755095542463</v>
      </c>
      <c r="AP105" s="30">
        <v>-2.8867791524270402E-2</v>
      </c>
      <c r="AQ105" s="31">
        <v>103.987297744134</v>
      </c>
      <c r="AR105" s="30">
        <v>-2.8990000175200401E-2</v>
      </c>
      <c r="AS105" s="31">
        <v>96.109465783715905</v>
      </c>
      <c r="AT105" s="30">
        <v>1.7375427565859101E-2</v>
      </c>
      <c r="AU105" s="31">
        <v>98.850575548547198</v>
      </c>
      <c r="AV105" s="30">
        <v>6.6494695357575103E-3</v>
      </c>
      <c r="AW105" s="31">
        <v>94.931051011718495</v>
      </c>
      <c r="AX105" s="30">
        <v>6.8094820075763601E-3</v>
      </c>
      <c r="AY105" s="31">
        <v>105.487902060867</v>
      </c>
      <c r="AZ105" s="30">
        <v>6.1370796851265598E-3</v>
      </c>
      <c r="BA105" s="31">
        <v>106.76338466772501</v>
      </c>
      <c r="BB105" s="30">
        <v>-9.4117258035758492E-3</v>
      </c>
      <c r="BC105" s="31">
        <v>100.59255193819</v>
      </c>
      <c r="BD105" s="30">
        <v>-1.3858425122355401E-2</v>
      </c>
      <c r="BE105" s="31"/>
      <c r="BF105" s="30"/>
    </row>
    <row r="106" spans="1:58" x14ac:dyDescent="0.2">
      <c r="A106" s="28">
        <v>2003</v>
      </c>
      <c r="B106" s="28">
        <v>3</v>
      </c>
      <c r="C106" s="31">
        <v>94.761881207245096</v>
      </c>
      <c r="D106" s="30">
        <v>1.2608943557901301E-2</v>
      </c>
      <c r="E106" s="31">
        <v>89.742457571016899</v>
      </c>
      <c r="F106" s="30">
        <v>8.3160961078856399E-3</v>
      </c>
      <c r="G106" s="31">
        <v>94.110402021833394</v>
      </c>
      <c r="H106" s="30">
        <v>1.2173951168837901E-2</v>
      </c>
      <c r="I106" s="31">
        <v>96.846411610909598</v>
      </c>
      <c r="J106" s="30">
        <v>1.2807290344066399E-2</v>
      </c>
      <c r="K106" s="31">
        <v>82.403076664134502</v>
      </c>
      <c r="L106" s="30">
        <v>9.3236306755028996E-3</v>
      </c>
      <c r="M106" s="31">
        <v>80.330819326256105</v>
      </c>
      <c r="N106" s="30">
        <v>-1.3077294585028801E-4</v>
      </c>
      <c r="O106" s="31">
        <v>96.667834062790106</v>
      </c>
      <c r="P106" s="30">
        <v>-4.3456182596091101E-3</v>
      </c>
      <c r="Q106" s="31">
        <v>84.805536697799795</v>
      </c>
      <c r="R106" s="30">
        <v>-1.2846049510770501E-2</v>
      </c>
      <c r="S106" s="31">
        <v>103.297783979607</v>
      </c>
      <c r="T106" s="30">
        <v>1.9326257371643499E-4</v>
      </c>
      <c r="U106" s="31"/>
      <c r="V106" s="30"/>
      <c r="W106" s="31"/>
      <c r="X106" s="30"/>
      <c r="Y106" s="31"/>
      <c r="Z106" s="30"/>
      <c r="AA106" s="31">
        <v>93.450745822780803</v>
      </c>
      <c r="AB106" s="30">
        <v>2.2713216419572201E-2</v>
      </c>
      <c r="AC106" s="31">
        <v>89.579584563090805</v>
      </c>
      <c r="AD106" s="30">
        <v>1.6917548724092901E-2</v>
      </c>
      <c r="AE106" s="31">
        <v>105.318685393968</v>
      </c>
      <c r="AF106" s="30">
        <v>8.7059201317234401E-3</v>
      </c>
      <c r="AG106" s="31">
        <v>109.59779948992301</v>
      </c>
      <c r="AH106" s="30">
        <v>5.2575174951763302E-3</v>
      </c>
      <c r="AI106" s="31">
        <v>102.993808201105</v>
      </c>
      <c r="AJ106" s="30">
        <v>3.4930827905018197E-2</v>
      </c>
      <c r="AK106" s="31">
        <v>85.579651904498803</v>
      </c>
      <c r="AL106" s="30">
        <v>1.47832882899608E-2</v>
      </c>
      <c r="AM106" s="31">
        <v>81.078395686188401</v>
      </c>
      <c r="AN106" s="30">
        <v>6.7218674575766401E-3</v>
      </c>
      <c r="AO106" s="31">
        <v>102.813374199785</v>
      </c>
      <c r="AP106" s="30">
        <v>-4.71869728881968E-3</v>
      </c>
      <c r="AQ106" s="31">
        <v>103.85367203115401</v>
      </c>
      <c r="AR106" s="30">
        <v>-1.7033437751973199E-3</v>
      </c>
      <c r="AS106" s="31">
        <v>96.806979855230395</v>
      </c>
      <c r="AT106" s="30">
        <v>3.5578994992127702E-2</v>
      </c>
      <c r="AU106" s="31">
        <v>98.896460125949304</v>
      </c>
      <c r="AV106" s="30">
        <v>1.0472580089586001E-2</v>
      </c>
      <c r="AW106" s="31">
        <v>94.850361830584006</v>
      </c>
      <c r="AX106" s="30">
        <v>7.5104898357507598E-3</v>
      </c>
      <c r="AY106" s="31">
        <v>105.848420905501</v>
      </c>
      <c r="AZ106" s="30">
        <v>1.7120018024474399E-2</v>
      </c>
      <c r="BA106" s="31">
        <v>107.130979583555</v>
      </c>
      <c r="BB106" s="30">
        <v>7.3066622351747297E-3</v>
      </c>
      <c r="BC106" s="31">
        <v>100.81244954963201</v>
      </c>
      <c r="BD106" s="30">
        <v>1.05388600400067E-2</v>
      </c>
      <c r="BE106" s="31"/>
      <c r="BF106" s="30"/>
    </row>
    <row r="107" spans="1:58" x14ac:dyDescent="0.2">
      <c r="A107" s="28">
        <v>2003</v>
      </c>
      <c r="B107" s="28">
        <v>4</v>
      </c>
      <c r="C107" s="31">
        <v>94.760176013997096</v>
      </c>
      <c r="D107" s="30">
        <v>1.27649135639576E-2</v>
      </c>
      <c r="E107" s="31">
        <v>89.256621125944605</v>
      </c>
      <c r="F107" s="30">
        <v>7.68403416159713E-3</v>
      </c>
      <c r="G107" s="31">
        <v>94.3516083679052</v>
      </c>
      <c r="H107" s="30">
        <v>1.21678252881299E-2</v>
      </c>
      <c r="I107" s="31">
        <v>97.168861994784194</v>
      </c>
      <c r="J107" s="30">
        <v>1.35995657785608E-2</v>
      </c>
      <c r="K107" s="31">
        <v>82.3173190111971</v>
      </c>
      <c r="L107" s="30">
        <v>5.3648045197245402E-3</v>
      </c>
      <c r="M107" s="31">
        <v>78.445395683477798</v>
      </c>
      <c r="N107" s="30">
        <v>-2.9325932448178698E-3</v>
      </c>
      <c r="O107" s="31">
        <v>96.706728888494098</v>
      </c>
      <c r="P107" s="30">
        <v>-5.6889062061038498E-4</v>
      </c>
      <c r="Q107" s="31">
        <v>84.880728988079596</v>
      </c>
      <c r="R107" s="30">
        <v>-6.2820191007148E-3</v>
      </c>
      <c r="S107" s="31">
        <v>103.302911545444</v>
      </c>
      <c r="T107" s="30">
        <v>2.2376749466781502E-3</v>
      </c>
      <c r="U107" s="31"/>
      <c r="V107" s="30"/>
      <c r="W107" s="31"/>
      <c r="X107" s="30"/>
      <c r="Y107" s="31"/>
      <c r="Z107" s="30"/>
      <c r="AA107" s="31">
        <v>94.477583898157803</v>
      </c>
      <c r="AB107" s="30">
        <v>2.1755657092667999E-2</v>
      </c>
      <c r="AC107" s="31">
        <v>91.059510555489197</v>
      </c>
      <c r="AD107" s="30">
        <v>1.63454157236083E-2</v>
      </c>
      <c r="AE107" s="31">
        <v>107.11371456651899</v>
      </c>
      <c r="AF107" s="30">
        <v>8.6528744989991004E-3</v>
      </c>
      <c r="AG107" s="31">
        <v>111.364518817839</v>
      </c>
      <c r="AH107" s="30">
        <v>5.5239254065104796E-3</v>
      </c>
      <c r="AI107" s="31">
        <v>103.05740479388599</v>
      </c>
      <c r="AJ107" s="30">
        <v>3.3646361508417003E-2</v>
      </c>
      <c r="AK107" s="31">
        <v>85.570480127421007</v>
      </c>
      <c r="AL107" s="30">
        <v>1.2463454323518501E-2</v>
      </c>
      <c r="AM107" s="31">
        <v>80.606175592005897</v>
      </c>
      <c r="AN107" s="30">
        <v>8.4510290100503504E-4</v>
      </c>
      <c r="AO107" s="31">
        <v>102.09667373188999</v>
      </c>
      <c r="AP107" s="30">
        <v>-1.04955258911664E-2</v>
      </c>
      <c r="AQ107" s="31">
        <v>103.17672102847099</v>
      </c>
      <c r="AR107" s="30">
        <v>-1.61516131199184E-2</v>
      </c>
      <c r="AS107" s="31">
        <v>98.477235815937604</v>
      </c>
      <c r="AT107" s="30">
        <v>4.3088377071317498E-2</v>
      </c>
      <c r="AU107" s="31">
        <v>99.339105519483397</v>
      </c>
      <c r="AV107" s="30">
        <v>1.10065045980479E-2</v>
      </c>
      <c r="AW107" s="31">
        <v>95.021220316522005</v>
      </c>
      <c r="AX107" s="30">
        <v>8.4531249774448796E-3</v>
      </c>
      <c r="AY107" s="31">
        <v>106.94337995509299</v>
      </c>
      <c r="AZ107" s="30">
        <v>1.6731873478569501E-2</v>
      </c>
      <c r="BA107" s="31">
        <v>108.914591020817</v>
      </c>
      <c r="BB107" s="30">
        <v>8.0616282367758103E-3</v>
      </c>
      <c r="BC107" s="31">
        <v>100.794262739331</v>
      </c>
      <c r="BD107" s="30">
        <v>2.1179478871575798E-3</v>
      </c>
      <c r="BE107" s="31"/>
      <c r="BF107" s="30"/>
    </row>
    <row r="108" spans="1:58" x14ac:dyDescent="0.2">
      <c r="A108" s="28">
        <v>2004</v>
      </c>
      <c r="B108" s="28">
        <v>1</v>
      </c>
      <c r="C108" s="31">
        <v>95.123565957445194</v>
      </c>
      <c r="D108" s="30">
        <v>6.7220083244230499E-3</v>
      </c>
      <c r="E108" s="31">
        <v>89.678146179893503</v>
      </c>
      <c r="F108" s="30">
        <v>5.5224229863053403E-3</v>
      </c>
      <c r="G108" s="31">
        <v>94.248430240686304</v>
      </c>
      <c r="H108" s="30">
        <v>6.1163651870630399E-3</v>
      </c>
      <c r="I108" s="31">
        <v>97.105952904261699</v>
      </c>
      <c r="J108" s="30">
        <v>7.6066010475650501E-3</v>
      </c>
      <c r="K108" s="31">
        <v>82.055651396919103</v>
      </c>
      <c r="L108" s="30">
        <v>-8.3861764479009604E-4</v>
      </c>
      <c r="M108" s="31">
        <v>79.848438497180197</v>
      </c>
      <c r="N108" s="30">
        <v>4.3583522615351401E-3</v>
      </c>
      <c r="O108" s="31">
        <v>96.830157752696707</v>
      </c>
      <c r="P108" s="30">
        <v>-1.8850693731087299E-5</v>
      </c>
      <c r="Q108" s="31">
        <v>84.819099840476994</v>
      </c>
      <c r="R108" s="30">
        <v>2.11963349751043E-4</v>
      </c>
      <c r="S108" s="31">
        <v>103.521687849489</v>
      </c>
      <c r="T108" s="30">
        <v>4.6373441616909299E-4</v>
      </c>
      <c r="U108" s="31"/>
      <c r="V108" s="30"/>
      <c r="W108" s="31"/>
      <c r="X108" s="30"/>
      <c r="Y108" s="31"/>
      <c r="Z108" s="30"/>
      <c r="AA108" s="31">
        <v>94.406954840344497</v>
      </c>
      <c r="AB108" s="30">
        <v>1.8212215849444699E-2</v>
      </c>
      <c r="AC108" s="31">
        <v>91.469299216202501</v>
      </c>
      <c r="AD108" s="30">
        <v>2.24513050700028E-2</v>
      </c>
      <c r="AE108" s="31">
        <v>107.592597646817</v>
      </c>
      <c r="AF108" s="30">
        <v>1.5654213297093201E-2</v>
      </c>
      <c r="AG108" s="31">
        <v>111.587043357856</v>
      </c>
      <c r="AH108" s="30">
        <v>1.09243753337303E-2</v>
      </c>
      <c r="AI108" s="31">
        <v>101.75478440017901</v>
      </c>
      <c r="AJ108" s="30">
        <v>8.5528901345233201E-3</v>
      </c>
      <c r="AK108" s="31">
        <v>85.694507205359201</v>
      </c>
      <c r="AL108" s="30">
        <v>1.7115085155885699E-2</v>
      </c>
      <c r="AM108" s="31">
        <v>80.871036056005707</v>
      </c>
      <c r="AN108" s="30">
        <v>-6.1767052912942196E-5</v>
      </c>
      <c r="AO108" s="31">
        <v>102.591937787096</v>
      </c>
      <c r="AP108" s="30">
        <v>-7.4491824644766797E-3</v>
      </c>
      <c r="AQ108" s="31">
        <v>103.62302007625</v>
      </c>
      <c r="AR108" s="30">
        <v>-8.4703749748635798E-3</v>
      </c>
      <c r="AS108" s="31">
        <v>97.928556828323906</v>
      </c>
      <c r="AT108" s="30">
        <v>5.8590628987004602E-2</v>
      </c>
      <c r="AU108" s="31">
        <v>99.282663806727797</v>
      </c>
      <c r="AV108" s="30">
        <v>6.9911721757745003E-3</v>
      </c>
      <c r="AW108" s="31">
        <v>94.995244387416093</v>
      </c>
      <c r="AX108" s="30">
        <v>4.3080089524991597E-3</v>
      </c>
      <c r="AY108" s="31">
        <v>106.79569504880401</v>
      </c>
      <c r="AZ108" s="30">
        <v>1.26974237116635E-2</v>
      </c>
      <c r="BA108" s="31">
        <v>109.382509588665</v>
      </c>
      <c r="BB108" s="30">
        <v>1.47549535716995E-2</v>
      </c>
      <c r="BC108" s="31">
        <v>100.984608001209</v>
      </c>
      <c r="BD108" s="30">
        <v>1.31322571026875E-2</v>
      </c>
      <c r="BE108" s="31"/>
      <c r="BF108" s="30"/>
    </row>
    <row r="109" spans="1:58" x14ac:dyDescent="0.2">
      <c r="A109" s="28">
        <v>2004</v>
      </c>
      <c r="B109" s="28">
        <v>2</v>
      </c>
      <c r="C109" s="31">
        <v>95.124758705447306</v>
      </c>
      <c r="D109" s="30">
        <v>3.8333261181808802E-3</v>
      </c>
      <c r="E109" s="31">
        <v>90.219042533571695</v>
      </c>
      <c r="F109" s="30">
        <v>4.0974618525078102E-3</v>
      </c>
      <c r="G109" s="31">
        <v>94.810183345083601</v>
      </c>
      <c r="H109" s="30">
        <v>5.8546650367414799E-3</v>
      </c>
      <c r="I109" s="31">
        <v>97.820244280717603</v>
      </c>
      <c r="J109" s="30">
        <v>7.8479190744240607E-3</v>
      </c>
      <c r="K109" s="31">
        <v>82.019766201303298</v>
      </c>
      <c r="L109" s="30">
        <v>-3.3862710750520702E-3</v>
      </c>
      <c r="M109" s="31">
        <v>80.344465238302803</v>
      </c>
      <c r="N109" s="30">
        <v>2.7739271358817602E-4</v>
      </c>
      <c r="O109" s="31">
        <v>97.006659658099693</v>
      </c>
      <c r="P109" s="30">
        <v>4.5139619200669197E-3</v>
      </c>
      <c r="Q109" s="31">
        <v>85.348006545567202</v>
      </c>
      <c r="R109" s="30">
        <v>8.8663614786410605E-3</v>
      </c>
      <c r="S109" s="31">
        <v>103.486900682461</v>
      </c>
      <c r="T109" s="30">
        <v>2.1410623271305202E-3</v>
      </c>
      <c r="U109" s="31"/>
      <c r="V109" s="30"/>
      <c r="W109" s="31"/>
      <c r="X109" s="30"/>
      <c r="Y109" s="31"/>
      <c r="Z109" s="30"/>
      <c r="AA109" s="31">
        <v>93.938953631130403</v>
      </c>
      <c r="AB109" s="30">
        <v>1.62119833735004E-2</v>
      </c>
      <c r="AC109" s="31">
        <v>91.006032346555102</v>
      </c>
      <c r="AD109" s="30">
        <v>3.0308514584993999E-2</v>
      </c>
      <c r="AE109" s="31">
        <v>107.480217631729</v>
      </c>
      <c r="AF109" s="30">
        <v>2.6016918338315001E-2</v>
      </c>
      <c r="AG109" s="31">
        <v>111.184727088069</v>
      </c>
      <c r="AH109" s="30">
        <v>1.6822713356241501E-2</v>
      </c>
      <c r="AI109" s="31">
        <v>101.19397658031301</v>
      </c>
      <c r="AJ109" s="30">
        <v>-1.6075628264979502E-2</v>
      </c>
      <c r="AK109" s="31">
        <v>86.301023572617595</v>
      </c>
      <c r="AL109" s="30">
        <v>1.82934321219217E-2</v>
      </c>
      <c r="AM109" s="31">
        <v>80.942747362896299</v>
      </c>
      <c r="AN109" s="30">
        <v>8.5136072745168895E-3</v>
      </c>
      <c r="AO109" s="31">
        <v>102.959175986646</v>
      </c>
      <c r="AP109" s="30">
        <v>1.9860858783273799E-3</v>
      </c>
      <c r="AQ109" s="31">
        <v>103.877692391265</v>
      </c>
      <c r="AR109" s="30">
        <v>-1.0540263594431801E-3</v>
      </c>
      <c r="AS109" s="31">
        <v>99.866970708434096</v>
      </c>
      <c r="AT109" s="30">
        <v>3.9096096248979903E-2</v>
      </c>
      <c r="AU109" s="31">
        <v>99.497467463682497</v>
      </c>
      <c r="AV109" s="30">
        <v>6.5441390861458197E-3</v>
      </c>
      <c r="AW109" s="31">
        <v>95.447579411086906</v>
      </c>
      <c r="AX109" s="30">
        <v>5.4410900739378897E-3</v>
      </c>
      <c r="AY109" s="31">
        <v>106.447372166191</v>
      </c>
      <c r="AZ109" s="30">
        <v>9.0955463762138998E-3</v>
      </c>
      <c r="BA109" s="31">
        <v>109.150349000814</v>
      </c>
      <c r="BB109" s="30">
        <v>2.2357518361919099E-2</v>
      </c>
      <c r="BC109" s="31">
        <v>101.84806537551999</v>
      </c>
      <c r="BD109" s="30">
        <v>1.2481176917568599E-2</v>
      </c>
      <c r="BE109" s="31"/>
      <c r="BF109" s="30"/>
    </row>
    <row r="110" spans="1:58" x14ac:dyDescent="0.2">
      <c r="A110" s="28">
        <v>2004</v>
      </c>
      <c r="B110" s="28">
        <v>3</v>
      </c>
      <c r="C110" s="31">
        <v>94.839678569198</v>
      </c>
      <c r="D110" s="30">
        <v>8.2097739050568397E-4</v>
      </c>
      <c r="E110" s="31">
        <v>89.740694850398896</v>
      </c>
      <c r="F110" s="30">
        <v>-1.9641991824803599E-5</v>
      </c>
      <c r="G110" s="31">
        <v>94.514538383036097</v>
      </c>
      <c r="H110" s="30">
        <v>4.2942794050433398E-3</v>
      </c>
      <c r="I110" s="31">
        <v>97.396561429526102</v>
      </c>
      <c r="J110" s="30">
        <v>5.6806422609310099E-3</v>
      </c>
      <c r="K110" s="31">
        <v>82.223939896397994</v>
      </c>
      <c r="L110" s="30">
        <v>-2.17390872997025E-3</v>
      </c>
      <c r="M110" s="31">
        <v>79.440579235492095</v>
      </c>
      <c r="N110" s="30">
        <v>-1.10821736692155E-2</v>
      </c>
      <c r="O110" s="31">
        <v>97.398050908821503</v>
      </c>
      <c r="P110" s="30">
        <v>7.5538761482656404E-3</v>
      </c>
      <c r="Q110" s="31">
        <v>86.464701851188394</v>
      </c>
      <c r="R110" s="30">
        <v>1.95643494280449E-2</v>
      </c>
      <c r="S110" s="31">
        <v>103.41627119755501</v>
      </c>
      <c r="T110" s="30">
        <v>1.1470451096111699E-3</v>
      </c>
      <c r="U110" s="31"/>
      <c r="V110" s="30"/>
      <c r="W110" s="31"/>
      <c r="X110" s="30"/>
      <c r="Y110" s="31"/>
      <c r="Z110" s="30"/>
      <c r="AA110" s="31">
        <v>94.775401103388006</v>
      </c>
      <c r="AB110" s="30">
        <v>1.4174903249240201E-2</v>
      </c>
      <c r="AC110" s="31">
        <v>92.203966384066604</v>
      </c>
      <c r="AD110" s="30">
        <v>2.9296650947598899E-2</v>
      </c>
      <c r="AE110" s="31">
        <v>108.51487211280801</v>
      </c>
      <c r="AF110" s="30">
        <v>3.0347765041736099E-2</v>
      </c>
      <c r="AG110" s="31">
        <v>112.25631174266</v>
      </c>
      <c r="AH110" s="30">
        <v>2.42569856795549E-2</v>
      </c>
      <c r="AI110" s="31">
        <v>101.28429586129199</v>
      </c>
      <c r="AJ110" s="30">
        <v>-1.6598204976319801E-2</v>
      </c>
      <c r="AK110" s="31">
        <v>86.772882439990894</v>
      </c>
      <c r="AL110" s="30">
        <v>1.3942923451285101E-2</v>
      </c>
      <c r="AM110" s="31">
        <v>81.8654862707143</v>
      </c>
      <c r="AN110" s="30">
        <v>9.7077720626375097E-3</v>
      </c>
      <c r="AO110" s="31">
        <v>103.91057619889899</v>
      </c>
      <c r="AP110" s="30">
        <v>1.06717828069889E-2</v>
      </c>
      <c r="AQ110" s="31">
        <v>104.91768757388</v>
      </c>
      <c r="AR110" s="30">
        <v>1.02453338617325E-2</v>
      </c>
      <c r="AS110" s="31">
        <v>99.132200690960005</v>
      </c>
      <c r="AT110" s="30">
        <v>2.4019144479115798E-2</v>
      </c>
      <c r="AU110" s="31">
        <v>99.647727868884104</v>
      </c>
      <c r="AV110" s="30">
        <v>7.5965079233180103E-3</v>
      </c>
      <c r="AW110" s="31">
        <v>95.346879057930806</v>
      </c>
      <c r="AX110" s="30">
        <v>5.2347425751906301E-3</v>
      </c>
      <c r="AY110" s="31">
        <v>107.19115579291</v>
      </c>
      <c r="AZ110" s="30">
        <v>1.26854503441993E-2</v>
      </c>
      <c r="BA110" s="31">
        <v>110.3075522037</v>
      </c>
      <c r="BB110" s="30">
        <v>2.9651298181845798E-2</v>
      </c>
      <c r="BC110" s="31">
        <v>102.279564218018</v>
      </c>
      <c r="BD110" s="30">
        <v>1.4552911618955999E-2</v>
      </c>
      <c r="BE110" s="31"/>
      <c r="BF110" s="30"/>
    </row>
    <row r="111" spans="1:58" x14ac:dyDescent="0.2">
      <c r="A111" s="28">
        <v>2004</v>
      </c>
      <c r="B111" s="28">
        <v>4</v>
      </c>
      <c r="C111" s="31">
        <v>95.316522339302495</v>
      </c>
      <c r="D111" s="30">
        <v>5.8710984794205804E-3</v>
      </c>
      <c r="E111" s="31">
        <v>90.799177182318999</v>
      </c>
      <c r="F111" s="30">
        <v>1.7282259141288701E-2</v>
      </c>
      <c r="G111" s="31">
        <v>95.156647963313006</v>
      </c>
      <c r="H111" s="30">
        <v>8.5323356891671108E-3</v>
      </c>
      <c r="I111" s="31">
        <v>98.148401529161603</v>
      </c>
      <c r="J111" s="30">
        <v>1.0080796607764999E-2</v>
      </c>
      <c r="K111" s="31">
        <v>82.415860746799495</v>
      </c>
      <c r="L111" s="30">
        <v>1.19709602773876E-3</v>
      </c>
      <c r="M111" s="31">
        <v>81.416934472001401</v>
      </c>
      <c r="N111" s="30">
        <v>3.78803467384317E-2</v>
      </c>
      <c r="O111" s="31">
        <v>97.469711852827601</v>
      </c>
      <c r="P111" s="30">
        <v>7.8896574530331592E-3</v>
      </c>
      <c r="Q111" s="31">
        <v>87.042830697472098</v>
      </c>
      <c r="R111" s="30">
        <v>2.5472233040035701E-2</v>
      </c>
      <c r="S111" s="31">
        <v>103.13732475425201</v>
      </c>
      <c r="T111" s="30">
        <v>-1.60292472607337E-3</v>
      </c>
      <c r="U111" s="31"/>
      <c r="V111" s="30"/>
      <c r="W111" s="31"/>
      <c r="X111" s="30"/>
      <c r="Y111" s="31"/>
      <c r="Z111" s="30"/>
      <c r="AA111" s="31">
        <v>94.515643964078095</v>
      </c>
      <c r="AB111" s="30">
        <v>4.0284757875808103E-4</v>
      </c>
      <c r="AC111" s="31">
        <v>91.825394083895205</v>
      </c>
      <c r="AD111" s="30">
        <v>8.4108021637050393E-3</v>
      </c>
      <c r="AE111" s="31">
        <v>108.09727692734199</v>
      </c>
      <c r="AF111" s="30">
        <v>9.1824129599393806E-3</v>
      </c>
      <c r="AG111" s="31">
        <v>111.736964135546</v>
      </c>
      <c r="AH111" s="30">
        <v>3.34438043337948E-3</v>
      </c>
      <c r="AI111" s="31">
        <v>101.142773371586</v>
      </c>
      <c r="AJ111" s="30">
        <v>-1.8578300376658301E-2</v>
      </c>
      <c r="AK111" s="31">
        <v>87.691564822401602</v>
      </c>
      <c r="AL111" s="30">
        <v>2.4787575012109798E-2</v>
      </c>
      <c r="AM111" s="31">
        <v>82.748140163494</v>
      </c>
      <c r="AN111" s="30">
        <v>2.6573206776733901E-2</v>
      </c>
      <c r="AO111" s="31">
        <v>105.176676238608</v>
      </c>
      <c r="AP111" s="30">
        <v>3.0167510792824499E-2</v>
      </c>
      <c r="AQ111" s="31">
        <v>106.376497306256</v>
      </c>
      <c r="AR111" s="30">
        <v>3.10125796389908E-2</v>
      </c>
      <c r="AS111" s="31">
        <v>100.281045573942</v>
      </c>
      <c r="AT111" s="30">
        <v>1.8317022640403E-2</v>
      </c>
      <c r="AU111" s="31">
        <v>99.917741907921695</v>
      </c>
      <c r="AV111" s="30">
        <v>5.8248600630375104E-3</v>
      </c>
      <c r="AW111" s="31">
        <v>95.826340299999302</v>
      </c>
      <c r="AX111" s="30">
        <v>8.47305455345038E-3</v>
      </c>
      <c r="AY111" s="31">
        <v>106.953806438938</v>
      </c>
      <c r="AZ111" s="30">
        <v>9.7495364828059595E-5</v>
      </c>
      <c r="BA111" s="31">
        <v>109.92720121125301</v>
      </c>
      <c r="BB111" s="30">
        <v>9.2972868092760005E-3</v>
      </c>
      <c r="BC111" s="31">
        <v>103.579045037114</v>
      </c>
      <c r="BD111" s="30">
        <v>2.7628381041742599E-2</v>
      </c>
      <c r="BE111" s="31"/>
      <c r="BF111" s="30"/>
    </row>
    <row r="112" spans="1:58" x14ac:dyDescent="0.2">
      <c r="A112" s="28">
        <v>2005</v>
      </c>
      <c r="B112" s="28">
        <v>1</v>
      </c>
      <c r="C112" s="31">
        <v>95.651293285090802</v>
      </c>
      <c r="D112" s="30">
        <v>5.5478084987026204E-3</v>
      </c>
      <c r="E112" s="31">
        <v>90.755047352686304</v>
      </c>
      <c r="F112" s="30">
        <v>1.20085128726068E-2</v>
      </c>
      <c r="G112" s="31">
        <v>95.238746784146699</v>
      </c>
      <c r="H112" s="30">
        <v>1.0507512336613E-2</v>
      </c>
      <c r="I112" s="31">
        <v>98.210562124096398</v>
      </c>
      <c r="J112" s="30">
        <v>1.1375298700006E-2</v>
      </c>
      <c r="K112" s="31">
        <v>82.584329735908099</v>
      </c>
      <c r="L112" s="30">
        <v>6.4429241616967801E-3</v>
      </c>
      <c r="M112" s="31">
        <v>81.141496471176097</v>
      </c>
      <c r="N112" s="30">
        <v>1.61939043309096E-2</v>
      </c>
      <c r="O112" s="31">
        <v>97.379040376103006</v>
      </c>
      <c r="P112" s="30">
        <v>5.6685090280255103E-3</v>
      </c>
      <c r="Q112" s="31">
        <v>87.083305752773299</v>
      </c>
      <c r="R112" s="30">
        <v>2.6694528903922401E-2</v>
      </c>
      <c r="S112" s="31">
        <v>103.090628461926</v>
      </c>
      <c r="T112" s="30">
        <v>-4.1639524675172197E-3</v>
      </c>
      <c r="U112" s="31"/>
      <c r="V112" s="30"/>
      <c r="W112" s="31"/>
      <c r="X112" s="30"/>
      <c r="Y112" s="31"/>
      <c r="Z112" s="30"/>
      <c r="AA112" s="31">
        <v>95.251209200832207</v>
      </c>
      <c r="AB112" s="30">
        <v>8.9427136159139203E-3</v>
      </c>
      <c r="AC112" s="31">
        <v>92.885110664095706</v>
      </c>
      <c r="AD112" s="30">
        <v>1.54785426369868E-2</v>
      </c>
      <c r="AE112" s="31">
        <v>109.267696538948</v>
      </c>
      <c r="AF112" s="30">
        <v>1.5568904634408499E-2</v>
      </c>
      <c r="AG112" s="31">
        <v>112.374398016002</v>
      </c>
      <c r="AH112" s="30">
        <v>7.0559684570330504E-3</v>
      </c>
      <c r="AI112" s="31">
        <v>101.157440204843</v>
      </c>
      <c r="AJ112" s="30">
        <v>-5.8704285882761297E-3</v>
      </c>
      <c r="AK112" s="31">
        <v>87.669639011126506</v>
      </c>
      <c r="AL112" s="30">
        <v>2.30485228304553E-2</v>
      </c>
      <c r="AM112" s="31">
        <v>83.319379634750206</v>
      </c>
      <c r="AN112" s="30">
        <v>3.0274665667061801E-2</v>
      </c>
      <c r="AO112" s="31">
        <v>106.03043984483401</v>
      </c>
      <c r="AP112" s="30">
        <v>3.35162989598023E-2</v>
      </c>
      <c r="AQ112" s="31">
        <v>107.389933660347</v>
      </c>
      <c r="AR112" s="30">
        <v>3.6352092240945502E-2</v>
      </c>
      <c r="AS112" s="31">
        <v>98.621890457779003</v>
      </c>
      <c r="AT112" s="30">
        <v>7.0799943541557404E-3</v>
      </c>
      <c r="AU112" s="31">
        <v>100.177103403318</v>
      </c>
      <c r="AV112" s="30">
        <v>9.0090209337170303E-3</v>
      </c>
      <c r="AW112" s="31">
        <v>95.865138114481994</v>
      </c>
      <c r="AX112" s="30">
        <v>9.1572344771100305E-3</v>
      </c>
      <c r="AY112" s="31">
        <v>107.722093663222</v>
      </c>
      <c r="AZ112" s="30">
        <v>8.6744939858718305E-3</v>
      </c>
      <c r="BA112" s="31">
        <v>111.197384348132</v>
      </c>
      <c r="BB112" s="30">
        <v>1.6592001466161601E-2</v>
      </c>
      <c r="BC112" s="31">
        <v>103.616635898279</v>
      </c>
      <c r="BD112" s="30">
        <v>2.6063654146564599E-2</v>
      </c>
      <c r="BE112" s="31"/>
      <c r="BF112" s="30"/>
    </row>
    <row r="113" spans="1:58" x14ac:dyDescent="0.2">
      <c r="A113" s="28">
        <v>2005</v>
      </c>
      <c r="B113" s="28">
        <v>2</v>
      </c>
      <c r="C113" s="31">
        <v>95.693605541713495</v>
      </c>
      <c r="D113" s="30">
        <v>5.98000819142763E-3</v>
      </c>
      <c r="E113" s="31">
        <v>91.138683204637999</v>
      </c>
      <c r="F113" s="30">
        <v>1.01934208703678E-2</v>
      </c>
      <c r="G113" s="31">
        <v>95.694683562725601</v>
      </c>
      <c r="H113" s="30">
        <v>9.3291689398244896E-3</v>
      </c>
      <c r="I113" s="31">
        <v>98.7163098191823</v>
      </c>
      <c r="J113" s="30">
        <v>9.1603281616559097E-3</v>
      </c>
      <c r="K113" s="31">
        <v>82.840117053061903</v>
      </c>
      <c r="L113" s="30">
        <v>1.00018677174136E-2</v>
      </c>
      <c r="M113" s="31">
        <v>81.330651400828799</v>
      </c>
      <c r="N113" s="30">
        <v>1.2274475405381E-2</v>
      </c>
      <c r="O113" s="31">
        <v>97.284991047559899</v>
      </c>
      <c r="P113" s="30">
        <v>2.8691987791478199E-3</v>
      </c>
      <c r="Q113" s="31">
        <v>87.469059039715404</v>
      </c>
      <c r="R113" s="30">
        <v>2.4851810604572099E-2</v>
      </c>
      <c r="S113" s="31">
        <v>102.629781056167</v>
      </c>
      <c r="T113" s="30">
        <v>-8.2823972951375797E-3</v>
      </c>
      <c r="U113" s="31"/>
      <c r="V113" s="30"/>
      <c r="W113" s="31"/>
      <c r="X113" s="30"/>
      <c r="Y113" s="31"/>
      <c r="Z113" s="30"/>
      <c r="AA113" s="31">
        <v>95.9372418898364</v>
      </c>
      <c r="AB113" s="30">
        <v>2.1272200524530299E-2</v>
      </c>
      <c r="AC113" s="31">
        <v>93.958820222527294</v>
      </c>
      <c r="AD113" s="30">
        <v>3.2446067582947699E-2</v>
      </c>
      <c r="AE113" s="31">
        <v>109.96042331624</v>
      </c>
      <c r="AF113" s="30">
        <v>2.3075927265135299E-2</v>
      </c>
      <c r="AG113" s="31">
        <v>112.711184089768</v>
      </c>
      <c r="AH113" s="30">
        <v>1.3729016940331001E-2</v>
      </c>
      <c r="AI113" s="31">
        <v>100.864669767021</v>
      </c>
      <c r="AJ113" s="30">
        <v>-3.25421358484201E-3</v>
      </c>
      <c r="AK113" s="31">
        <v>88.985012853087198</v>
      </c>
      <c r="AL113" s="30">
        <v>3.11003180421285E-2</v>
      </c>
      <c r="AM113" s="31">
        <v>84.328443574919305</v>
      </c>
      <c r="AN113" s="30">
        <v>4.1828283846650598E-2</v>
      </c>
      <c r="AO113" s="31">
        <v>106.668105303849</v>
      </c>
      <c r="AP113" s="30">
        <v>3.6023300319375701E-2</v>
      </c>
      <c r="AQ113" s="31">
        <v>107.723941862953</v>
      </c>
      <c r="AR113" s="30">
        <v>3.7026712695932697E-2</v>
      </c>
      <c r="AS113" s="31">
        <v>100.646492082896</v>
      </c>
      <c r="AT113" s="30">
        <v>7.8055974756454597E-3</v>
      </c>
      <c r="AU113" s="31">
        <v>100.48928923175799</v>
      </c>
      <c r="AV113" s="30">
        <v>9.9683116903159803E-3</v>
      </c>
      <c r="AW113" s="31">
        <v>96.155513753428195</v>
      </c>
      <c r="AX113" s="30">
        <v>7.4169962895789298E-3</v>
      </c>
      <c r="AY113" s="31">
        <v>108.065225880581</v>
      </c>
      <c r="AZ113" s="30">
        <v>1.5198625212318E-2</v>
      </c>
      <c r="BA113" s="31">
        <v>111.868080860962</v>
      </c>
      <c r="BB113" s="30">
        <v>2.48989754501645E-2</v>
      </c>
      <c r="BC113" s="31">
        <v>104.578038704259</v>
      </c>
      <c r="BD113" s="30">
        <v>2.6804370988035699E-2</v>
      </c>
      <c r="BE113" s="31"/>
      <c r="BF113" s="30"/>
    </row>
    <row r="114" spans="1:58" x14ac:dyDescent="0.2">
      <c r="A114" s="28">
        <v>2005</v>
      </c>
      <c r="B114" s="28">
        <v>3</v>
      </c>
      <c r="C114" s="31">
        <v>96.163217902960099</v>
      </c>
      <c r="D114" s="30">
        <v>1.3955544279880199E-2</v>
      </c>
      <c r="E114" s="31">
        <v>91.132613306437605</v>
      </c>
      <c r="F114" s="30">
        <v>1.55104488366073E-2</v>
      </c>
      <c r="G114" s="31">
        <v>95.349352637179294</v>
      </c>
      <c r="H114" s="30">
        <v>8.8326544087848902E-3</v>
      </c>
      <c r="I114" s="31">
        <v>98.202378618653199</v>
      </c>
      <c r="J114" s="30">
        <v>8.2735691825242003E-3</v>
      </c>
      <c r="K114" s="31">
        <v>83.172289365868394</v>
      </c>
      <c r="L114" s="30">
        <v>1.1533739087002301E-2</v>
      </c>
      <c r="M114" s="31">
        <v>82.040522122210504</v>
      </c>
      <c r="N114" s="30">
        <v>3.2728146140666499E-2</v>
      </c>
      <c r="O114" s="31">
        <v>97.447139524128005</v>
      </c>
      <c r="P114" s="30">
        <v>5.0399997585626199E-4</v>
      </c>
      <c r="Q114" s="31">
        <v>88.200362486002007</v>
      </c>
      <c r="R114" s="30">
        <v>2.00736323338138E-2</v>
      </c>
      <c r="S114" s="31">
        <v>102.39989401008999</v>
      </c>
      <c r="T114" s="30">
        <v>-9.8280200561745596E-3</v>
      </c>
      <c r="U114" s="31"/>
      <c r="V114" s="30"/>
      <c r="W114" s="31"/>
      <c r="X114" s="30"/>
      <c r="Y114" s="31"/>
      <c r="Z114" s="30"/>
      <c r="AA114" s="31">
        <v>97.672592768568904</v>
      </c>
      <c r="AB114" s="30">
        <v>3.05690256274453E-2</v>
      </c>
      <c r="AC114" s="31">
        <v>95.614290456381596</v>
      </c>
      <c r="AD114" s="30">
        <v>3.6986739356847501E-2</v>
      </c>
      <c r="AE114" s="31">
        <v>111.37410026053</v>
      </c>
      <c r="AF114" s="30">
        <v>2.6348721535136298E-2</v>
      </c>
      <c r="AG114" s="31">
        <v>113.67474607606</v>
      </c>
      <c r="AH114" s="30">
        <v>1.2635675548037699E-2</v>
      </c>
      <c r="AI114" s="31">
        <v>103.04312129393701</v>
      </c>
      <c r="AJ114" s="30">
        <v>1.7365233353192601E-2</v>
      </c>
      <c r="AK114" s="31">
        <v>89.8677317079663</v>
      </c>
      <c r="AL114" s="30">
        <v>3.5666088079022301E-2</v>
      </c>
      <c r="AM114" s="31">
        <v>85.7724973320217</v>
      </c>
      <c r="AN114" s="30">
        <v>4.7724764602114403E-2</v>
      </c>
      <c r="AO114" s="31">
        <v>107.803923905435</v>
      </c>
      <c r="AP114" s="30">
        <v>3.74682525009098E-2</v>
      </c>
      <c r="AQ114" s="31">
        <v>108.766314344324</v>
      </c>
      <c r="AR114" s="30">
        <v>3.6682344602132301E-2</v>
      </c>
      <c r="AS114" s="31">
        <v>100.21755182193699</v>
      </c>
      <c r="AT114" s="30">
        <v>1.0948522512488099E-2</v>
      </c>
      <c r="AU114" s="31">
        <v>100.859399970844</v>
      </c>
      <c r="AV114" s="30">
        <v>1.2159555745755699E-2</v>
      </c>
      <c r="AW114" s="31">
        <v>95.959041154633695</v>
      </c>
      <c r="AX114" s="30">
        <v>6.42036847719951E-3</v>
      </c>
      <c r="AY114" s="31">
        <v>109.703693641623</v>
      </c>
      <c r="AZ114" s="30">
        <v>2.34397868940515E-2</v>
      </c>
      <c r="BA114" s="31">
        <v>113.25130934866399</v>
      </c>
      <c r="BB114" s="30">
        <v>2.6686814149658799E-2</v>
      </c>
      <c r="BC114" s="31">
        <v>105.057732719131</v>
      </c>
      <c r="BD114" s="30">
        <v>2.7162498416506E-2</v>
      </c>
      <c r="BE114" s="31"/>
      <c r="BF114" s="30"/>
    </row>
    <row r="115" spans="1:58" x14ac:dyDescent="0.2">
      <c r="A115" s="28">
        <v>2005</v>
      </c>
      <c r="B115" s="28">
        <v>4</v>
      </c>
      <c r="C115" s="31">
        <v>96.491215850236898</v>
      </c>
      <c r="D115" s="30">
        <v>1.23241331314292E-2</v>
      </c>
      <c r="E115" s="31">
        <v>91.581386875681403</v>
      </c>
      <c r="F115" s="30">
        <v>8.6147222655084104E-3</v>
      </c>
      <c r="G115" s="31">
        <v>96.192041903237595</v>
      </c>
      <c r="H115" s="30">
        <v>1.0880941711227001E-2</v>
      </c>
      <c r="I115" s="31">
        <v>99.182042663467101</v>
      </c>
      <c r="J115" s="30">
        <v>1.05314107840913E-2</v>
      </c>
      <c r="K115" s="31">
        <v>83.455999857445605</v>
      </c>
      <c r="L115" s="30">
        <v>1.2620618182240801E-2</v>
      </c>
      <c r="M115" s="31">
        <v>81.657333733098199</v>
      </c>
      <c r="N115" s="30">
        <v>2.9526935969250699E-3</v>
      </c>
      <c r="O115" s="31">
        <v>97.408871459938297</v>
      </c>
      <c r="P115" s="30">
        <v>-6.24197935264026E-4</v>
      </c>
      <c r="Q115" s="31">
        <v>88.720000989897102</v>
      </c>
      <c r="R115" s="30">
        <v>1.9268333520243899E-2</v>
      </c>
      <c r="S115" s="31">
        <v>101.989946692882</v>
      </c>
      <c r="T115" s="30">
        <v>-1.11247607411158E-2</v>
      </c>
      <c r="U115" s="31"/>
      <c r="V115" s="30"/>
      <c r="W115" s="31"/>
      <c r="X115" s="30"/>
      <c r="Y115" s="31"/>
      <c r="Z115" s="30"/>
      <c r="AA115" s="31">
        <v>98.8456957681652</v>
      </c>
      <c r="AB115" s="30">
        <v>4.5813069905472598E-2</v>
      </c>
      <c r="AC115" s="31">
        <v>97.1053649947076</v>
      </c>
      <c r="AD115" s="30">
        <v>5.7500117080775397E-2</v>
      </c>
      <c r="AE115" s="31">
        <v>112.019424234656</v>
      </c>
      <c r="AF115" s="30">
        <v>3.6283497779050003E-2</v>
      </c>
      <c r="AG115" s="31">
        <v>113.92252850125401</v>
      </c>
      <c r="AH115" s="30">
        <v>1.9559904661965E-2</v>
      </c>
      <c r="AI115" s="31">
        <v>103.268942455379</v>
      </c>
      <c r="AJ115" s="30">
        <v>2.1021463154681699E-2</v>
      </c>
      <c r="AK115" s="31">
        <v>91.287674629909205</v>
      </c>
      <c r="AL115" s="30">
        <v>4.1008617131996501E-2</v>
      </c>
      <c r="AM115" s="31">
        <v>87.116933685255702</v>
      </c>
      <c r="AN115" s="30">
        <v>5.2796274491847997E-2</v>
      </c>
      <c r="AO115" s="31">
        <v>108.045544107007</v>
      </c>
      <c r="AP115" s="30">
        <v>2.72766545872851E-2</v>
      </c>
      <c r="AQ115" s="31">
        <v>108.715928979194</v>
      </c>
      <c r="AR115" s="30">
        <v>2.1991997595134798E-2</v>
      </c>
      <c r="AS115" s="31">
        <v>101.53504435171899</v>
      </c>
      <c r="AT115" s="30">
        <v>1.2504843468666101E-2</v>
      </c>
      <c r="AU115" s="31">
        <v>101.39787230648299</v>
      </c>
      <c r="AV115" s="30">
        <v>1.4813489279267299E-2</v>
      </c>
      <c r="AW115" s="31">
        <v>96.541482905930295</v>
      </c>
      <c r="AX115" s="30">
        <v>7.4629022009207197E-3</v>
      </c>
      <c r="AY115" s="31">
        <v>110.118485803632</v>
      </c>
      <c r="AZ115" s="30">
        <v>2.9589216784922798E-2</v>
      </c>
      <c r="BA115" s="31">
        <v>113.709260692865</v>
      </c>
      <c r="BB115" s="30">
        <v>3.4405128484477999E-2</v>
      </c>
      <c r="BC115" s="31">
        <v>105.547093603809</v>
      </c>
      <c r="BD115" s="30">
        <v>1.9000450969492499E-2</v>
      </c>
      <c r="BE115" s="31"/>
      <c r="BF115" s="30"/>
    </row>
    <row r="116" spans="1:58" x14ac:dyDescent="0.2">
      <c r="A116" s="28">
        <v>2006</v>
      </c>
      <c r="B116" s="28">
        <v>1</v>
      </c>
      <c r="C116" s="31">
        <v>97.601995808196506</v>
      </c>
      <c r="D116" s="30">
        <v>2.0393895953833702E-2</v>
      </c>
      <c r="E116" s="31">
        <v>92.768997087009595</v>
      </c>
      <c r="F116" s="30">
        <v>2.21910493473358E-2</v>
      </c>
      <c r="G116" s="31">
        <v>96.371685144940699</v>
      </c>
      <c r="H116" s="30">
        <v>1.1895771406586601E-2</v>
      </c>
      <c r="I116" s="31">
        <v>99.346340272061695</v>
      </c>
      <c r="J116" s="30">
        <v>1.15647250499409E-2</v>
      </c>
      <c r="K116" s="31">
        <v>83.697014319062902</v>
      </c>
      <c r="L116" s="30">
        <v>1.3473313723233699E-2</v>
      </c>
      <c r="M116" s="31">
        <v>85.041318502714702</v>
      </c>
      <c r="N116" s="30">
        <v>4.8061992952322698E-2</v>
      </c>
      <c r="O116" s="31">
        <v>97.5906874701829</v>
      </c>
      <c r="P116" s="30">
        <v>2.1734358159881699E-3</v>
      </c>
      <c r="Q116" s="31">
        <v>89.027127004223004</v>
      </c>
      <c r="R116" s="30">
        <v>2.23213994306573E-2</v>
      </c>
      <c r="S116" s="31">
        <v>102.269333037506</v>
      </c>
      <c r="T116" s="30">
        <v>-7.9667321527991906E-3</v>
      </c>
      <c r="U116" s="31"/>
      <c r="V116" s="30"/>
      <c r="W116" s="31"/>
      <c r="X116" s="30"/>
      <c r="Y116" s="31"/>
      <c r="Z116" s="30"/>
      <c r="AA116" s="31">
        <v>100.329529291919</v>
      </c>
      <c r="AB116" s="30">
        <v>5.3315019659010601E-2</v>
      </c>
      <c r="AC116" s="31">
        <v>98.943763016731296</v>
      </c>
      <c r="AD116" s="30">
        <v>6.5227379386409101E-2</v>
      </c>
      <c r="AE116" s="31">
        <v>113.130062507106</v>
      </c>
      <c r="AF116" s="30">
        <v>3.5347738540280699E-2</v>
      </c>
      <c r="AG116" s="31">
        <v>114.40443209020999</v>
      </c>
      <c r="AH116" s="30">
        <v>1.8064916120118998E-2</v>
      </c>
      <c r="AI116" s="31">
        <v>103.945991124139</v>
      </c>
      <c r="AJ116" s="30">
        <v>2.7566444086061501E-2</v>
      </c>
      <c r="AK116" s="31">
        <v>93.0094370167904</v>
      </c>
      <c r="AL116" s="30">
        <v>6.0908178314572202E-2</v>
      </c>
      <c r="AM116" s="31">
        <v>89.961209974692906</v>
      </c>
      <c r="AN116" s="30">
        <v>7.9715311960539603E-2</v>
      </c>
      <c r="AO116" s="31">
        <v>110.193149205558</v>
      </c>
      <c r="AP116" s="30">
        <v>3.9259568920172697E-2</v>
      </c>
      <c r="AQ116" s="31">
        <v>110.662251821963</v>
      </c>
      <c r="AR116" s="30">
        <v>3.0471367753759099E-2</v>
      </c>
      <c r="AS116" s="31">
        <v>100.196007173905</v>
      </c>
      <c r="AT116" s="30">
        <v>1.5961129003092999E-2</v>
      </c>
      <c r="AU116" s="31">
        <v>101.81958396530401</v>
      </c>
      <c r="AV116" s="30">
        <v>1.6395768156455898E-2</v>
      </c>
      <c r="AW116" s="31">
        <v>96.734141677919496</v>
      </c>
      <c r="AX116" s="30">
        <v>9.0648548630858396E-3</v>
      </c>
      <c r="AY116" s="31">
        <v>110.987182791469</v>
      </c>
      <c r="AZ116" s="30">
        <v>3.0310301417410899E-2</v>
      </c>
      <c r="BA116" s="31">
        <v>114.713955594517</v>
      </c>
      <c r="BB116" s="30">
        <v>3.1624586018809103E-2</v>
      </c>
      <c r="BC116" s="31">
        <v>106.31819068057401</v>
      </c>
      <c r="BD116" s="30">
        <v>2.6072596923016899E-2</v>
      </c>
      <c r="BE116" s="31"/>
      <c r="BF116" s="30"/>
    </row>
    <row r="117" spans="1:58" x14ac:dyDescent="0.2">
      <c r="A117" s="28">
        <v>2006</v>
      </c>
      <c r="B117" s="28">
        <v>2</v>
      </c>
      <c r="C117" s="31">
        <v>97.843400352395705</v>
      </c>
      <c r="D117" s="30">
        <v>2.2465396705583E-2</v>
      </c>
      <c r="E117" s="31">
        <v>93.487444245890302</v>
      </c>
      <c r="F117" s="30">
        <v>2.5771285678754901E-2</v>
      </c>
      <c r="G117" s="31">
        <v>97.061008556650705</v>
      </c>
      <c r="H117" s="30">
        <v>1.42779613564381E-2</v>
      </c>
      <c r="I117" s="31">
        <v>100.130602111074</v>
      </c>
      <c r="J117" s="30">
        <v>1.43268350942436E-2</v>
      </c>
      <c r="K117" s="31">
        <v>83.996317488664303</v>
      </c>
      <c r="L117" s="30">
        <v>1.39570111285787E-2</v>
      </c>
      <c r="M117" s="31">
        <v>85.606285002103803</v>
      </c>
      <c r="N117" s="30">
        <v>5.2570999096060597E-2</v>
      </c>
      <c r="O117" s="31">
        <v>97.984773186552701</v>
      </c>
      <c r="P117" s="30">
        <v>7.1931151090986996E-3</v>
      </c>
      <c r="Q117" s="31">
        <v>89.841411493082305</v>
      </c>
      <c r="R117" s="30">
        <v>2.7122190171152701E-2</v>
      </c>
      <c r="S117" s="31">
        <v>102.36660865743499</v>
      </c>
      <c r="T117" s="30">
        <v>-2.5642888060722901E-3</v>
      </c>
      <c r="U117" s="31"/>
      <c r="V117" s="30"/>
      <c r="W117" s="31"/>
      <c r="X117" s="30"/>
      <c r="Y117" s="31"/>
      <c r="Z117" s="30"/>
      <c r="AA117" s="31">
        <v>101.05030729899801</v>
      </c>
      <c r="AB117" s="30">
        <v>5.32959391831642E-2</v>
      </c>
      <c r="AC117" s="31">
        <v>99.743159315598703</v>
      </c>
      <c r="AD117" s="30">
        <v>6.1562491731718801E-2</v>
      </c>
      <c r="AE117" s="31">
        <v>113.155186178249</v>
      </c>
      <c r="AF117" s="30">
        <v>2.9053751937827301E-2</v>
      </c>
      <c r="AG117" s="31">
        <v>113.916110806079</v>
      </c>
      <c r="AH117" s="30">
        <v>1.06903917835846E-2</v>
      </c>
      <c r="AI117" s="31">
        <v>104.450316094581</v>
      </c>
      <c r="AJ117" s="30">
        <v>3.5549081118716699E-2</v>
      </c>
      <c r="AK117" s="31">
        <v>94.677929409432494</v>
      </c>
      <c r="AL117" s="30">
        <v>6.3976127819908205E-2</v>
      </c>
      <c r="AM117" s="31">
        <v>91.235373546840805</v>
      </c>
      <c r="AN117" s="30">
        <v>8.1905104364759604E-2</v>
      </c>
      <c r="AO117" s="31">
        <v>111.316679416149</v>
      </c>
      <c r="AP117" s="30">
        <v>4.35797945323875E-2</v>
      </c>
      <c r="AQ117" s="31">
        <v>111.660922011758</v>
      </c>
      <c r="AR117" s="30">
        <v>3.6546937298431101E-2</v>
      </c>
      <c r="AS117" s="31">
        <v>103.00086696199899</v>
      </c>
      <c r="AT117" s="30">
        <v>2.33925180140762E-2</v>
      </c>
      <c r="AU117" s="31">
        <v>102.25772675946</v>
      </c>
      <c r="AV117" s="30">
        <v>1.7598268842600202E-2</v>
      </c>
      <c r="AW117" s="31">
        <v>97.329655477933699</v>
      </c>
      <c r="AX117" s="30">
        <v>1.2210862161439601E-2</v>
      </c>
      <c r="AY117" s="31">
        <v>111.098567630408</v>
      </c>
      <c r="AZ117" s="30">
        <v>2.8069545268700102E-2</v>
      </c>
      <c r="BA117" s="31">
        <v>114.61043105358399</v>
      </c>
      <c r="BB117" s="30">
        <v>2.4514143547615299E-2</v>
      </c>
      <c r="BC117" s="31">
        <v>107.928975819822</v>
      </c>
      <c r="BD117" s="30">
        <v>3.2042455156750901E-2</v>
      </c>
      <c r="BE117" s="31"/>
      <c r="BF117" s="30"/>
    </row>
    <row r="118" spans="1:58" x14ac:dyDescent="0.2">
      <c r="A118" s="28">
        <v>2006</v>
      </c>
      <c r="B118" s="28">
        <v>3</v>
      </c>
      <c r="C118" s="31">
        <v>98.244142183035606</v>
      </c>
      <c r="D118" s="30">
        <v>2.1639503392819399E-2</v>
      </c>
      <c r="E118" s="31">
        <v>93.568735932262499</v>
      </c>
      <c r="F118" s="30">
        <v>2.6731622604009499E-2</v>
      </c>
      <c r="G118" s="31">
        <v>97.026201999336394</v>
      </c>
      <c r="H118" s="30">
        <v>1.75863738533997E-2</v>
      </c>
      <c r="I118" s="31">
        <v>99.998143114362904</v>
      </c>
      <c r="J118" s="30">
        <v>1.82863645562308E-2</v>
      </c>
      <c r="K118" s="31">
        <v>84.359466582608604</v>
      </c>
      <c r="L118" s="30">
        <v>1.42737109413686E-2</v>
      </c>
      <c r="M118" s="31">
        <v>86.116871866804999</v>
      </c>
      <c r="N118" s="30">
        <v>4.9687028301968097E-2</v>
      </c>
      <c r="O118" s="31">
        <v>98.513074416163704</v>
      </c>
      <c r="P118" s="30">
        <v>1.09385960146293E-2</v>
      </c>
      <c r="Q118" s="31">
        <v>91.162595924166794</v>
      </c>
      <c r="R118" s="30">
        <v>3.3585275101730899E-2</v>
      </c>
      <c r="S118" s="31">
        <v>102.41752628153699</v>
      </c>
      <c r="T118" s="30">
        <v>1.7219032907411799E-4</v>
      </c>
      <c r="U118" s="31"/>
      <c r="V118" s="30"/>
      <c r="W118" s="31"/>
      <c r="X118" s="30"/>
      <c r="Y118" s="31"/>
      <c r="Z118" s="30"/>
      <c r="AA118" s="31">
        <v>102.106748405196</v>
      </c>
      <c r="AB118" s="30">
        <v>4.5398156339858699E-2</v>
      </c>
      <c r="AC118" s="31">
        <v>100.539395369593</v>
      </c>
      <c r="AD118" s="30">
        <v>5.1510133994648002E-2</v>
      </c>
      <c r="AE118" s="31">
        <v>114.026775107411</v>
      </c>
      <c r="AF118" s="30">
        <v>2.3817699453247299E-2</v>
      </c>
      <c r="AG118" s="31">
        <v>114.399249254606</v>
      </c>
      <c r="AH118" s="30">
        <v>6.37347523134979E-3</v>
      </c>
      <c r="AI118" s="31">
        <v>106.189434025827</v>
      </c>
      <c r="AJ118" s="30">
        <v>3.05339424153779E-2</v>
      </c>
      <c r="AK118" s="31">
        <v>95.264033570062594</v>
      </c>
      <c r="AL118" s="30">
        <v>6.0047157745475803E-2</v>
      </c>
      <c r="AM118" s="31">
        <v>92.302816671308904</v>
      </c>
      <c r="AN118" s="30">
        <v>7.6135352734439096E-2</v>
      </c>
      <c r="AO118" s="31">
        <v>113.06958134678401</v>
      </c>
      <c r="AP118" s="30">
        <v>4.8844766039945399E-2</v>
      </c>
      <c r="AQ118" s="31">
        <v>113.575009784467</v>
      </c>
      <c r="AR118" s="30">
        <v>4.4211256666469002E-2</v>
      </c>
      <c r="AS118" s="31">
        <v>102.727434347469</v>
      </c>
      <c r="AT118" s="30">
        <v>2.5044340835536499E-2</v>
      </c>
      <c r="AU118" s="31">
        <v>102.702392136745</v>
      </c>
      <c r="AV118" s="30">
        <v>1.8272884494987499E-2</v>
      </c>
      <c r="AW118" s="31">
        <v>97.461140668485996</v>
      </c>
      <c r="AX118" s="30">
        <v>1.5653548595089901E-2</v>
      </c>
      <c r="AY118" s="31">
        <v>112.199493594949</v>
      </c>
      <c r="AZ118" s="30">
        <v>2.2750373031918299E-2</v>
      </c>
      <c r="BA118" s="31">
        <v>115.332205515238</v>
      </c>
      <c r="BB118" s="30">
        <v>1.8374146652620799E-2</v>
      </c>
      <c r="BC118" s="31">
        <v>109.01097449217001</v>
      </c>
      <c r="BD118" s="30">
        <v>3.7629231763528101E-2</v>
      </c>
      <c r="BE118" s="31"/>
      <c r="BF118" s="30"/>
    </row>
    <row r="119" spans="1:58" x14ac:dyDescent="0.2">
      <c r="A119" s="28">
        <v>2006</v>
      </c>
      <c r="B119" s="28">
        <v>4</v>
      </c>
      <c r="C119" s="31">
        <v>98.477575694768703</v>
      </c>
      <c r="D119" s="30">
        <v>2.0585913723118601E-2</v>
      </c>
      <c r="E119" s="31">
        <v>93.621527401077003</v>
      </c>
      <c r="F119" s="30">
        <v>2.2276803125563301E-2</v>
      </c>
      <c r="G119" s="31">
        <v>97.463282416206596</v>
      </c>
      <c r="H119" s="30">
        <v>1.32156516050237E-2</v>
      </c>
      <c r="I119" s="31">
        <v>100.481292247868</v>
      </c>
      <c r="J119" s="30">
        <v>1.3099645354238699E-2</v>
      </c>
      <c r="K119" s="31">
        <v>84.605665284108198</v>
      </c>
      <c r="L119" s="30">
        <v>1.3775707302368099E-2</v>
      </c>
      <c r="M119" s="31">
        <v>85.153921791783901</v>
      </c>
      <c r="N119" s="30">
        <v>4.28202575180145E-2</v>
      </c>
      <c r="O119" s="31">
        <v>98.745247898077906</v>
      </c>
      <c r="P119" s="30">
        <v>1.37192477246715E-2</v>
      </c>
      <c r="Q119" s="31">
        <v>92.184211830988801</v>
      </c>
      <c r="R119" s="30">
        <v>3.9046559991429398E-2</v>
      </c>
      <c r="S119" s="31">
        <v>102.243528205281</v>
      </c>
      <c r="T119" s="30">
        <v>2.4863383168756102E-3</v>
      </c>
      <c r="U119" s="31"/>
      <c r="V119" s="30"/>
      <c r="W119" s="31"/>
      <c r="X119" s="30"/>
      <c r="Y119" s="31"/>
      <c r="Z119" s="30"/>
      <c r="AA119" s="31">
        <v>102.907215499757</v>
      </c>
      <c r="AB119" s="30">
        <v>4.1089495096658497E-2</v>
      </c>
      <c r="AC119" s="31">
        <v>101.860388282093</v>
      </c>
      <c r="AD119" s="30">
        <v>4.8967668137020103E-2</v>
      </c>
      <c r="AE119" s="31">
        <v>115.62867943932601</v>
      </c>
      <c r="AF119" s="30">
        <v>3.22199049792369E-2</v>
      </c>
      <c r="AG119" s="31">
        <v>115.91836698036001</v>
      </c>
      <c r="AH119" s="30">
        <v>1.7519260723602999E-2</v>
      </c>
      <c r="AI119" s="31">
        <v>105.473067051721</v>
      </c>
      <c r="AJ119" s="30">
        <v>2.1343537988621802E-2</v>
      </c>
      <c r="AK119" s="31">
        <v>95.649651992829106</v>
      </c>
      <c r="AL119" s="30">
        <v>4.7782763451954299E-2</v>
      </c>
      <c r="AM119" s="31">
        <v>91.886648499710006</v>
      </c>
      <c r="AN119" s="30">
        <v>5.4750719667048899E-2</v>
      </c>
      <c r="AO119" s="31">
        <v>112.127506428402</v>
      </c>
      <c r="AP119" s="30">
        <v>3.7780015410467001E-2</v>
      </c>
      <c r="AQ119" s="31">
        <v>112.315525086505</v>
      </c>
      <c r="AR119" s="30">
        <v>3.3110107608976799E-2</v>
      </c>
      <c r="AS119" s="31">
        <v>104.621668574791</v>
      </c>
      <c r="AT119" s="30">
        <v>3.0399594965266501E-2</v>
      </c>
      <c r="AU119" s="31">
        <v>103.251549236714</v>
      </c>
      <c r="AV119" s="30">
        <v>1.8281221174229801E-2</v>
      </c>
      <c r="AW119" s="31">
        <v>97.832599004437299</v>
      </c>
      <c r="AX119" s="30">
        <v>1.3373692423650101E-2</v>
      </c>
      <c r="AY119" s="31">
        <v>113.071210913903</v>
      </c>
      <c r="AZ119" s="30">
        <v>2.68140729389976E-2</v>
      </c>
      <c r="BA119" s="31">
        <v>117.08479265415799</v>
      </c>
      <c r="BB119" s="30">
        <v>2.9685638097763901E-2</v>
      </c>
      <c r="BC119" s="31">
        <v>108.907771243697</v>
      </c>
      <c r="BD119" s="30">
        <v>3.1840551218804199E-2</v>
      </c>
      <c r="BE119" s="31"/>
      <c r="BF119" s="30"/>
    </row>
    <row r="120" spans="1:58" x14ac:dyDescent="0.2">
      <c r="A120" s="28">
        <v>2007</v>
      </c>
      <c r="B120" s="28">
        <v>1</v>
      </c>
      <c r="C120" s="31">
        <v>100.051926175047</v>
      </c>
      <c r="D120" s="30">
        <v>2.5101232270544799E-2</v>
      </c>
      <c r="E120" s="31">
        <v>94.776249208702495</v>
      </c>
      <c r="F120" s="30">
        <v>2.1637100590947901E-2</v>
      </c>
      <c r="G120" s="31">
        <v>97.540924953509901</v>
      </c>
      <c r="H120" s="30">
        <v>1.21326072778605E-2</v>
      </c>
      <c r="I120" s="31">
        <v>100.544847856884</v>
      </c>
      <c r="J120" s="30">
        <v>1.2063932919320799E-2</v>
      </c>
      <c r="K120" s="31">
        <v>84.741222949920001</v>
      </c>
      <c r="L120" s="30">
        <v>1.2476055918511799E-2</v>
      </c>
      <c r="M120" s="31">
        <v>88.817298357563004</v>
      </c>
      <c r="N120" s="30">
        <v>4.4401708737944703E-2</v>
      </c>
      <c r="O120" s="31">
        <v>99.169044786754</v>
      </c>
      <c r="P120" s="30">
        <v>1.6173236991012599E-2</v>
      </c>
      <c r="Q120" s="31">
        <v>92.905905728879702</v>
      </c>
      <c r="R120" s="30">
        <v>4.3568503838977903E-2</v>
      </c>
      <c r="S120" s="31">
        <v>102.64884539197401</v>
      </c>
      <c r="T120" s="30">
        <v>3.71091062389239E-3</v>
      </c>
      <c r="U120" s="31"/>
      <c r="V120" s="30"/>
      <c r="W120" s="31"/>
      <c r="X120" s="30"/>
      <c r="Y120" s="31"/>
      <c r="Z120" s="30"/>
      <c r="AA120" s="31">
        <v>104.682974224124</v>
      </c>
      <c r="AB120" s="30">
        <v>4.33914617454043E-2</v>
      </c>
      <c r="AC120" s="31">
        <v>103.314892300401</v>
      </c>
      <c r="AD120" s="30">
        <v>4.4177916327380301E-2</v>
      </c>
      <c r="AE120" s="31">
        <v>116.846524578854</v>
      </c>
      <c r="AF120" s="30">
        <v>3.2851233256542503E-2</v>
      </c>
      <c r="AG120" s="31">
        <v>117.42695414018</v>
      </c>
      <c r="AH120" s="30">
        <v>2.6419623739631502E-2</v>
      </c>
      <c r="AI120" s="31">
        <v>108.224843800074</v>
      </c>
      <c r="AJ120" s="30">
        <v>4.1164191419612799E-2</v>
      </c>
      <c r="AK120" s="31">
        <v>96.764108361902004</v>
      </c>
      <c r="AL120" s="30">
        <v>4.0368713815930497E-2</v>
      </c>
      <c r="AM120" s="31">
        <v>93.633890129881493</v>
      </c>
      <c r="AN120" s="30">
        <v>4.0825152932266101E-2</v>
      </c>
      <c r="AO120" s="31">
        <v>113.939809854567</v>
      </c>
      <c r="AP120" s="30">
        <v>3.40008491999799E-2</v>
      </c>
      <c r="AQ120" s="31">
        <v>114.382285543431</v>
      </c>
      <c r="AR120" s="30">
        <v>3.36161035964848E-2</v>
      </c>
      <c r="AS120" s="31">
        <v>104.206092563696</v>
      </c>
      <c r="AT120" s="30">
        <v>4.0022407108810699E-2</v>
      </c>
      <c r="AU120" s="31">
        <v>103.95517081067101</v>
      </c>
      <c r="AV120" s="30">
        <v>2.0974224821962199E-2</v>
      </c>
      <c r="AW120" s="31">
        <v>98.0149624633152</v>
      </c>
      <c r="AX120" s="30">
        <v>1.3240628005573201E-2</v>
      </c>
      <c r="AY120" s="31">
        <v>114.79801308059599</v>
      </c>
      <c r="AZ120" s="30">
        <v>3.4335769169738801E-2</v>
      </c>
      <c r="BA120" s="31">
        <v>118.259389234305</v>
      </c>
      <c r="BB120" s="30">
        <v>3.0906733373580901E-2</v>
      </c>
      <c r="BC120" s="31">
        <v>110.108967333667</v>
      </c>
      <c r="BD120" s="30">
        <v>3.5655014714105301E-2</v>
      </c>
      <c r="BE120" s="31"/>
      <c r="BF120" s="30"/>
    </row>
    <row r="121" spans="1:58" x14ac:dyDescent="0.2">
      <c r="A121" s="28">
        <v>2007</v>
      </c>
      <c r="B121" s="28">
        <v>2</v>
      </c>
      <c r="C121" s="31">
        <v>100.261799716078</v>
      </c>
      <c r="D121" s="30">
        <v>2.47170412615716E-2</v>
      </c>
      <c r="E121" s="31">
        <v>95.930548334730801</v>
      </c>
      <c r="F121" s="30">
        <v>2.6132964790595001E-2</v>
      </c>
      <c r="G121" s="31">
        <v>98.667292285225301</v>
      </c>
      <c r="H121" s="30">
        <v>1.6549217368136498E-2</v>
      </c>
      <c r="I121" s="31">
        <v>101.84197286963099</v>
      </c>
      <c r="J121" s="30">
        <v>1.70913858748016E-2</v>
      </c>
      <c r="K121" s="31">
        <v>85.1656249922966</v>
      </c>
      <c r="L121" s="30">
        <v>1.39209377100389E-2</v>
      </c>
      <c r="M121" s="31">
        <v>89.9250178434026</v>
      </c>
      <c r="N121" s="30">
        <v>5.0448782366770299E-2</v>
      </c>
      <c r="O121" s="31">
        <v>99.802927182155898</v>
      </c>
      <c r="P121" s="30">
        <v>1.8555474860789699E-2</v>
      </c>
      <c r="Q121" s="31">
        <v>93.720401130953803</v>
      </c>
      <c r="R121" s="30">
        <v>4.3175964996611499E-2</v>
      </c>
      <c r="S121" s="31">
        <v>103.162786541047</v>
      </c>
      <c r="T121" s="30">
        <v>7.7777108576180297E-3</v>
      </c>
      <c r="U121" s="31"/>
      <c r="V121" s="30"/>
      <c r="W121" s="31"/>
      <c r="X121" s="30"/>
      <c r="Y121" s="31"/>
      <c r="Z121" s="30"/>
      <c r="AA121" s="31">
        <v>105.223882225495</v>
      </c>
      <c r="AB121" s="30">
        <v>4.1301951850064099E-2</v>
      </c>
      <c r="AC121" s="31">
        <v>103.871541334253</v>
      </c>
      <c r="AD121" s="30">
        <v>4.1390126871671699E-2</v>
      </c>
      <c r="AE121" s="31">
        <v>117.42777636092799</v>
      </c>
      <c r="AF121" s="30">
        <v>3.7758677502848899E-2</v>
      </c>
      <c r="AG121" s="31">
        <v>117.188025589696</v>
      </c>
      <c r="AH121" s="30">
        <v>2.87221426404436E-2</v>
      </c>
      <c r="AI121" s="31">
        <v>108.729338515888</v>
      </c>
      <c r="AJ121" s="30">
        <v>4.0967060525041801E-2</v>
      </c>
      <c r="AK121" s="31">
        <v>99.098158378062493</v>
      </c>
      <c r="AL121" s="30">
        <v>4.66870050517776E-2</v>
      </c>
      <c r="AM121" s="31">
        <v>95.463795030261196</v>
      </c>
      <c r="AN121" s="30">
        <v>4.6346294414517403E-2</v>
      </c>
      <c r="AO121" s="31">
        <v>116.46864964708899</v>
      </c>
      <c r="AP121" s="30">
        <v>4.6282104873782898E-2</v>
      </c>
      <c r="AQ121" s="31">
        <v>116.803269765171</v>
      </c>
      <c r="AR121" s="30">
        <v>4.6053244597711103E-2</v>
      </c>
      <c r="AS121" s="31">
        <v>107.896325680685</v>
      </c>
      <c r="AT121" s="30">
        <v>4.7528325373147801E-2</v>
      </c>
      <c r="AU121" s="31">
        <v>104.793294863054</v>
      </c>
      <c r="AV121" s="30">
        <v>2.4795858307694402E-2</v>
      </c>
      <c r="AW121" s="31">
        <v>98.9978615362743</v>
      </c>
      <c r="AX121" s="30">
        <v>1.71397509849276E-2</v>
      </c>
      <c r="AY121" s="31">
        <v>115.328965480451</v>
      </c>
      <c r="AZ121" s="30">
        <v>3.8077879312689702E-2</v>
      </c>
      <c r="BA121" s="31">
        <v>118.80271805291299</v>
      </c>
      <c r="BB121" s="30">
        <v>3.6578581554839402E-2</v>
      </c>
      <c r="BC121" s="31">
        <v>112.948554098009</v>
      </c>
      <c r="BD121" s="30">
        <v>4.6508161872745202E-2</v>
      </c>
      <c r="BE121" s="31"/>
      <c r="BF121" s="30"/>
    </row>
    <row r="122" spans="1:58" x14ac:dyDescent="0.2">
      <c r="A122" s="28">
        <v>2007</v>
      </c>
      <c r="B122" s="28">
        <v>3</v>
      </c>
      <c r="C122" s="31">
        <v>100.608589393369</v>
      </c>
      <c r="D122" s="30">
        <v>2.40670553764732E-2</v>
      </c>
      <c r="E122" s="31">
        <v>96.385055184349</v>
      </c>
      <c r="F122" s="30">
        <v>3.00989344787705E-2</v>
      </c>
      <c r="G122" s="31">
        <v>98.664787499026403</v>
      </c>
      <c r="H122" s="30">
        <v>1.6888072148812001E-2</v>
      </c>
      <c r="I122" s="31">
        <v>101.662813187808</v>
      </c>
      <c r="J122" s="30">
        <v>1.6647009850383501E-2</v>
      </c>
      <c r="K122" s="31">
        <v>85.885659227925501</v>
      </c>
      <c r="L122" s="30">
        <v>1.8091539777842901E-2</v>
      </c>
      <c r="M122" s="31">
        <v>91.616250043199699</v>
      </c>
      <c r="N122" s="30">
        <v>6.3859474423321599E-2</v>
      </c>
      <c r="O122" s="31">
        <v>100.37307152846201</v>
      </c>
      <c r="P122" s="30">
        <v>1.8880713279142199E-2</v>
      </c>
      <c r="Q122" s="31">
        <v>94.627200362547498</v>
      </c>
      <c r="R122" s="30">
        <v>3.8004670701377703E-2</v>
      </c>
      <c r="S122" s="31">
        <v>103.516784607437</v>
      </c>
      <c r="T122" s="30">
        <v>1.0733107562843E-2</v>
      </c>
      <c r="U122" s="31"/>
      <c r="V122" s="30"/>
      <c r="W122" s="31"/>
      <c r="X122" s="30"/>
      <c r="Y122" s="31"/>
      <c r="Z122" s="30"/>
      <c r="AA122" s="31">
        <v>105.600221986864</v>
      </c>
      <c r="AB122" s="30">
        <v>3.42139343014334E-2</v>
      </c>
      <c r="AC122" s="31">
        <v>104.20752442673501</v>
      </c>
      <c r="AD122" s="30">
        <v>3.6484494895332502E-2</v>
      </c>
      <c r="AE122" s="31">
        <v>117.239001513912</v>
      </c>
      <c r="AF122" s="30">
        <v>2.81708081586594E-2</v>
      </c>
      <c r="AG122" s="31">
        <v>117.185740781628</v>
      </c>
      <c r="AH122" s="30">
        <v>2.4357603263822199E-2</v>
      </c>
      <c r="AI122" s="31">
        <v>109.206818305063</v>
      </c>
      <c r="AJ122" s="30">
        <v>2.8415108404315801E-2</v>
      </c>
      <c r="AK122" s="31">
        <v>99.675756193140998</v>
      </c>
      <c r="AL122" s="30">
        <v>4.6310474769407403E-2</v>
      </c>
      <c r="AM122" s="31">
        <v>96.358608628081697</v>
      </c>
      <c r="AN122" s="30">
        <v>4.3940067086094103E-2</v>
      </c>
      <c r="AO122" s="31">
        <v>117.228198937256</v>
      </c>
      <c r="AP122" s="30">
        <v>3.6779278219112997E-2</v>
      </c>
      <c r="AQ122" s="31">
        <v>117.706070690036</v>
      </c>
      <c r="AR122" s="30">
        <v>3.6372974243270101E-2</v>
      </c>
      <c r="AS122" s="31">
        <v>107.60157383459401</v>
      </c>
      <c r="AT122" s="30">
        <v>4.7447300889834197E-2</v>
      </c>
      <c r="AU122" s="31">
        <v>104.932745315918</v>
      </c>
      <c r="AV122" s="30">
        <v>2.1716662414286599E-2</v>
      </c>
      <c r="AW122" s="31">
        <v>99.166024299518995</v>
      </c>
      <c r="AX122" s="30">
        <v>1.7492957904445199E-2</v>
      </c>
      <c r="AY122" s="31">
        <v>115.395661256567</v>
      </c>
      <c r="AZ122" s="30">
        <v>2.8486471366410099E-2</v>
      </c>
      <c r="BA122" s="31">
        <v>118.634977685119</v>
      </c>
      <c r="BB122" s="30">
        <v>2.8637032952992102E-2</v>
      </c>
      <c r="BC122" s="31">
        <v>113.42838024925901</v>
      </c>
      <c r="BD122" s="30">
        <v>4.0522578370369801E-2</v>
      </c>
      <c r="BE122" s="31"/>
      <c r="BF122" s="30"/>
    </row>
    <row r="123" spans="1:58" x14ac:dyDescent="0.2">
      <c r="A123" s="28">
        <v>2007</v>
      </c>
      <c r="B123" s="28">
        <v>4</v>
      </c>
      <c r="C123" s="31">
        <v>100.933438695425</v>
      </c>
      <c r="D123" s="30">
        <v>2.49382966967873E-2</v>
      </c>
      <c r="E123" s="31">
        <v>96.700049668995604</v>
      </c>
      <c r="F123" s="30">
        <v>3.2882632375031799E-2</v>
      </c>
      <c r="G123" s="31">
        <v>99.627171763544595</v>
      </c>
      <c r="H123" s="30">
        <v>2.22020979972468E-2</v>
      </c>
      <c r="I123" s="31">
        <v>102.621080356504</v>
      </c>
      <c r="J123" s="30">
        <v>2.1295388034596501E-2</v>
      </c>
      <c r="K123" s="31">
        <v>86.869931918190204</v>
      </c>
      <c r="L123" s="30">
        <v>2.6762588846485299E-2</v>
      </c>
      <c r="M123" s="31">
        <v>90.028024572429402</v>
      </c>
      <c r="N123" s="30">
        <v>5.7238735199577999E-2</v>
      </c>
      <c r="O123" s="31">
        <v>100.758438203118</v>
      </c>
      <c r="P123" s="30">
        <v>2.0387718375251E-2</v>
      </c>
      <c r="Q123" s="31">
        <v>95.485373716147905</v>
      </c>
      <c r="R123" s="30">
        <v>3.5810490967926899E-2</v>
      </c>
      <c r="S123" s="31">
        <v>103.63266335647801</v>
      </c>
      <c r="T123" s="30">
        <v>1.3586533794179E-2</v>
      </c>
      <c r="U123" s="31"/>
      <c r="V123" s="30"/>
      <c r="W123" s="31"/>
      <c r="X123" s="30"/>
      <c r="Y123" s="31"/>
      <c r="Z123" s="30"/>
      <c r="AA123" s="31">
        <v>107.338453764322</v>
      </c>
      <c r="AB123" s="30">
        <v>4.3060520518848601E-2</v>
      </c>
      <c r="AC123" s="31">
        <v>106.20791489355901</v>
      </c>
      <c r="AD123" s="30">
        <v>4.2681229521979398E-2</v>
      </c>
      <c r="AE123" s="31">
        <v>119.173834252679</v>
      </c>
      <c r="AF123" s="30">
        <v>3.06598227234267E-2</v>
      </c>
      <c r="AG123" s="31">
        <v>119.304747332587</v>
      </c>
      <c r="AH123" s="30">
        <v>2.92134925675867E-2</v>
      </c>
      <c r="AI123" s="31">
        <v>110.35502920563999</v>
      </c>
      <c r="AJ123" s="30">
        <v>4.6286339161116997E-2</v>
      </c>
      <c r="AK123" s="31">
        <v>101.44525761844601</v>
      </c>
      <c r="AL123" s="30">
        <v>6.0592019990326297E-2</v>
      </c>
      <c r="AM123" s="31">
        <v>98.149000166213099</v>
      </c>
      <c r="AN123" s="30">
        <v>6.8153009917679502E-2</v>
      </c>
      <c r="AO123" s="31">
        <v>118.01708309927299</v>
      </c>
      <c r="AP123" s="30">
        <v>5.2525708084231203E-2</v>
      </c>
      <c r="AQ123" s="31">
        <v>118.441682171545</v>
      </c>
      <c r="AR123" s="30">
        <v>5.4544169920600197E-2</v>
      </c>
      <c r="AS123" s="31">
        <v>109.26737115626401</v>
      </c>
      <c r="AT123" s="30">
        <v>4.4404783872773503E-2</v>
      </c>
      <c r="AU123" s="31">
        <v>106.022436827908</v>
      </c>
      <c r="AV123" s="30">
        <v>2.6836281021231E-2</v>
      </c>
      <c r="AW123" s="31">
        <v>99.956292873683907</v>
      </c>
      <c r="AX123" s="30">
        <v>2.17074256521619E-2</v>
      </c>
      <c r="AY123" s="31">
        <v>117.09381044489</v>
      </c>
      <c r="AZ123" s="30">
        <v>3.5575806595461702E-2</v>
      </c>
      <c r="BA123" s="31">
        <v>120.636934255217</v>
      </c>
      <c r="BB123" s="30">
        <v>3.0338197818325901E-2</v>
      </c>
      <c r="BC123" s="31">
        <v>114.481523170678</v>
      </c>
      <c r="BD123" s="30">
        <v>5.1178642839997401E-2</v>
      </c>
      <c r="BE123" s="31"/>
      <c r="BF123" s="30"/>
    </row>
    <row r="124" spans="1:58" x14ac:dyDescent="0.2">
      <c r="A124" s="28">
        <v>2008</v>
      </c>
      <c r="B124" s="28">
        <v>1</v>
      </c>
      <c r="C124" s="31">
        <v>101.89429877354</v>
      </c>
      <c r="D124" s="30">
        <v>1.8414164213793799E-2</v>
      </c>
      <c r="E124" s="31">
        <v>98.051161461813393</v>
      </c>
      <c r="F124" s="30">
        <v>3.4554144951435301E-2</v>
      </c>
      <c r="G124" s="31">
        <v>100.16712544623</v>
      </c>
      <c r="H124" s="30">
        <v>2.69240884682194E-2</v>
      </c>
      <c r="I124" s="31">
        <v>102.992479019236</v>
      </c>
      <c r="J124" s="30">
        <v>2.4343675628574001E-2</v>
      </c>
      <c r="K124" s="31">
        <v>88.106385236378003</v>
      </c>
      <c r="L124" s="30">
        <v>3.9711042268609803E-2</v>
      </c>
      <c r="M124" s="31">
        <v>93.293930816186602</v>
      </c>
      <c r="N124" s="30">
        <v>5.0402709172727302E-2</v>
      </c>
      <c r="O124" s="31">
        <v>101.30158339974599</v>
      </c>
      <c r="P124" s="30">
        <v>2.1504075365222301E-2</v>
      </c>
      <c r="Q124" s="31">
        <v>96.296515734682501</v>
      </c>
      <c r="R124" s="30">
        <v>3.6495096616326203E-2</v>
      </c>
      <c r="S124" s="31">
        <v>104.15331775154699</v>
      </c>
      <c r="T124" s="30">
        <v>1.4656495685148501E-2</v>
      </c>
      <c r="U124" s="31"/>
      <c r="V124" s="30"/>
      <c r="W124" s="31"/>
      <c r="X124" s="30"/>
      <c r="Y124" s="31"/>
      <c r="Z124" s="30"/>
      <c r="AA124" s="31">
        <v>108.49272131369899</v>
      </c>
      <c r="AB124" s="30">
        <v>3.6393187314479797E-2</v>
      </c>
      <c r="AC124" s="31">
        <v>110.09760987449199</v>
      </c>
      <c r="AD124" s="30">
        <v>6.5650918498461303E-2</v>
      </c>
      <c r="AE124" s="31">
        <v>121.816907548747</v>
      </c>
      <c r="AF124" s="30">
        <v>4.2537704803865997E-2</v>
      </c>
      <c r="AG124" s="31">
        <v>120.493380774401</v>
      </c>
      <c r="AH124" s="30">
        <v>2.61134818379112E-2</v>
      </c>
      <c r="AI124" s="31">
        <v>104.772994453536</v>
      </c>
      <c r="AJ124" s="30">
        <v>-3.1895165891070103E-2</v>
      </c>
      <c r="AK124" s="31">
        <v>103.350956587236</v>
      </c>
      <c r="AL124" s="30">
        <v>6.8071192272019201E-2</v>
      </c>
      <c r="AM124" s="31">
        <v>101.52856793805999</v>
      </c>
      <c r="AN124" s="30">
        <v>8.4314320351607505E-2</v>
      </c>
      <c r="AO124" s="31">
        <v>119.805133011862</v>
      </c>
      <c r="AP124" s="30">
        <v>5.1477382354605097E-2</v>
      </c>
      <c r="AQ124" s="31">
        <v>120.0436131642</v>
      </c>
      <c r="AR124" s="30">
        <v>4.9494793655084003E-2</v>
      </c>
      <c r="AS124" s="31">
        <v>106.604949773428</v>
      </c>
      <c r="AT124" s="30">
        <v>2.30203162858835E-2</v>
      </c>
      <c r="AU124" s="31">
        <v>106.252989808024</v>
      </c>
      <c r="AV124" s="30">
        <v>2.2103941337738402E-2</v>
      </c>
      <c r="AW124" s="31">
        <v>100.50089290138</v>
      </c>
      <c r="AX124" s="30">
        <v>2.5362764781913499E-2</v>
      </c>
      <c r="AY124" s="31">
        <v>116.69748328273199</v>
      </c>
      <c r="AZ124" s="30">
        <v>1.6546194060017599E-2</v>
      </c>
      <c r="BA124" s="31">
        <v>123.16960185101399</v>
      </c>
      <c r="BB124" s="30">
        <v>4.1520699950344402E-2</v>
      </c>
      <c r="BC124" s="31">
        <v>114.612441000302</v>
      </c>
      <c r="BD124" s="30">
        <v>4.09001535087372E-2</v>
      </c>
      <c r="BE124" s="31"/>
      <c r="BF124" s="30"/>
    </row>
    <row r="125" spans="1:58" x14ac:dyDescent="0.2">
      <c r="A125" s="28">
        <v>2008</v>
      </c>
      <c r="B125" s="28">
        <v>2</v>
      </c>
      <c r="C125" s="31">
        <v>101.923151540853</v>
      </c>
      <c r="D125" s="30">
        <v>1.6570137674359199E-2</v>
      </c>
      <c r="E125" s="31">
        <v>98.401581524766002</v>
      </c>
      <c r="F125" s="30">
        <v>2.5758564220992101E-2</v>
      </c>
      <c r="G125" s="31">
        <v>101.03975713458</v>
      </c>
      <c r="H125" s="30">
        <v>2.4045099388116099E-2</v>
      </c>
      <c r="I125" s="31">
        <v>103.773886050595</v>
      </c>
      <c r="J125" s="30">
        <v>1.8969714809404601E-2</v>
      </c>
      <c r="K125" s="31">
        <v>89.337733907414702</v>
      </c>
      <c r="L125" s="30">
        <v>4.89881793915736E-2</v>
      </c>
      <c r="M125" s="31">
        <v>92.588234728594998</v>
      </c>
      <c r="N125" s="30">
        <v>2.9615972830053801E-2</v>
      </c>
      <c r="O125" s="31">
        <v>101.906027068383</v>
      </c>
      <c r="P125" s="30">
        <v>2.1072527085184801E-2</v>
      </c>
      <c r="Q125" s="31">
        <v>97.359981715142595</v>
      </c>
      <c r="R125" s="30">
        <v>3.8834453761068297E-2</v>
      </c>
      <c r="S125" s="31">
        <v>104.51793409918599</v>
      </c>
      <c r="T125" s="30">
        <v>1.31360115752508E-2</v>
      </c>
      <c r="U125" s="31"/>
      <c r="V125" s="30"/>
      <c r="W125" s="31"/>
      <c r="X125" s="30"/>
      <c r="Y125" s="31"/>
      <c r="Z125" s="30"/>
      <c r="AA125" s="31">
        <v>107.759694281968</v>
      </c>
      <c r="AB125" s="30">
        <v>2.4099206404861101E-2</v>
      </c>
      <c r="AC125" s="31">
        <v>108.720402663188</v>
      </c>
      <c r="AD125" s="30">
        <v>4.6681326440818301E-2</v>
      </c>
      <c r="AE125" s="31">
        <v>121.62628773018599</v>
      </c>
      <c r="AF125" s="30">
        <v>3.5753988531243501E-2</v>
      </c>
      <c r="AG125" s="31">
        <v>119.487074056968</v>
      </c>
      <c r="AH125" s="30">
        <v>1.9618458931306901E-2</v>
      </c>
      <c r="AI125" s="31">
        <v>105.029145446489</v>
      </c>
      <c r="AJ125" s="30">
        <v>-3.40312294722354E-2</v>
      </c>
      <c r="AK125" s="31">
        <v>103.188949931192</v>
      </c>
      <c r="AL125" s="30">
        <v>4.12801975342783E-2</v>
      </c>
      <c r="AM125" s="31">
        <v>100.49378654335</v>
      </c>
      <c r="AN125" s="30">
        <v>5.2690043502820097E-2</v>
      </c>
      <c r="AO125" s="31">
        <v>121.071393333872</v>
      </c>
      <c r="AP125" s="30">
        <v>3.95191641761952E-2</v>
      </c>
      <c r="AQ125" s="31">
        <v>121.178676983095</v>
      </c>
      <c r="AR125" s="30">
        <v>3.7459629569616598E-2</v>
      </c>
      <c r="AS125" s="31">
        <v>109.229119013588</v>
      </c>
      <c r="AT125" s="30">
        <v>1.23525367939519E-2</v>
      </c>
      <c r="AU125" s="31">
        <v>106.82634276762199</v>
      </c>
      <c r="AV125" s="30">
        <v>1.9400553319986101E-2</v>
      </c>
      <c r="AW125" s="31">
        <v>101.286434517087</v>
      </c>
      <c r="AX125" s="30">
        <v>2.3117398146770898E-2</v>
      </c>
      <c r="AY125" s="31">
        <v>116.913883538459</v>
      </c>
      <c r="AZ125" s="30">
        <v>1.37425845398458E-2</v>
      </c>
      <c r="BA125" s="31">
        <v>123.019982436277</v>
      </c>
      <c r="BB125" s="30">
        <v>3.5498046277741002E-2</v>
      </c>
      <c r="BC125" s="31">
        <v>116.268802776201</v>
      </c>
      <c r="BD125" s="30">
        <v>2.93961149366351E-2</v>
      </c>
      <c r="BE125" s="31"/>
      <c r="BF125" s="30"/>
    </row>
    <row r="126" spans="1:58" x14ac:dyDescent="0.2">
      <c r="A126" s="28">
        <v>2008</v>
      </c>
      <c r="B126" s="28">
        <v>3</v>
      </c>
      <c r="C126" s="31">
        <v>101.69094519481899</v>
      </c>
      <c r="D126" s="30">
        <v>1.0758085447540901E-2</v>
      </c>
      <c r="E126" s="31">
        <v>97.360474796091793</v>
      </c>
      <c r="F126" s="30">
        <v>1.01200296029003E-2</v>
      </c>
      <c r="G126" s="31">
        <v>100.973764179924</v>
      </c>
      <c r="H126" s="30">
        <v>2.3402236394828101E-2</v>
      </c>
      <c r="I126" s="31">
        <v>103.409115277198</v>
      </c>
      <c r="J126" s="30">
        <v>1.7177392938790201E-2</v>
      </c>
      <c r="K126" s="31">
        <v>90.5524990842747</v>
      </c>
      <c r="L126" s="30">
        <v>5.4337824245653997E-2</v>
      </c>
      <c r="M126" s="31">
        <v>89.268931257639494</v>
      </c>
      <c r="N126" s="30">
        <v>-2.5621205675339799E-2</v>
      </c>
      <c r="O126" s="31">
        <v>102.567646653135</v>
      </c>
      <c r="P126" s="30">
        <v>2.1864182207975501E-2</v>
      </c>
      <c r="Q126" s="31">
        <v>98.680062375895901</v>
      </c>
      <c r="R126" s="30">
        <v>4.2829778307088798E-2</v>
      </c>
      <c r="S126" s="31">
        <v>104.798965367522</v>
      </c>
      <c r="T126" s="30">
        <v>1.2386211230844201E-2</v>
      </c>
      <c r="U126" s="31"/>
      <c r="V126" s="30"/>
      <c r="W126" s="31"/>
      <c r="X126" s="30"/>
      <c r="Y126" s="31"/>
      <c r="Z126" s="30"/>
      <c r="AA126" s="31">
        <v>109.48066702918</v>
      </c>
      <c r="AB126" s="30">
        <v>3.6746561411567E-2</v>
      </c>
      <c r="AC126" s="31">
        <v>110.47589879481001</v>
      </c>
      <c r="AD126" s="30">
        <v>6.0152799930316199E-2</v>
      </c>
      <c r="AE126" s="31">
        <v>122.949040841583</v>
      </c>
      <c r="AF126" s="30">
        <v>4.8704264399534999E-2</v>
      </c>
      <c r="AG126" s="31">
        <v>121.63627043459999</v>
      </c>
      <c r="AH126" s="30">
        <v>3.7978423170655702E-2</v>
      </c>
      <c r="AI126" s="31">
        <v>106.75619511284501</v>
      </c>
      <c r="AJ126" s="30">
        <v>-2.2440203187433699E-2</v>
      </c>
      <c r="AK126" s="31">
        <v>103.838709708351</v>
      </c>
      <c r="AL126" s="30">
        <v>4.1764955433529802E-2</v>
      </c>
      <c r="AM126" s="31">
        <v>101.516681758066</v>
      </c>
      <c r="AN126" s="30">
        <v>5.3529966895773599E-2</v>
      </c>
      <c r="AO126" s="31">
        <v>121.415250130386</v>
      </c>
      <c r="AP126" s="30">
        <v>3.5717099052003501E-2</v>
      </c>
      <c r="AQ126" s="31">
        <v>122.113296044986</v>
      </c>
      <c r="AR126" s="30">
        <v>3.7442634259325001E-2</v>
      </c>
      <c r="AS126" s="31">
        <v>108.847032181991</v>
      </c>
      <c r="AT126" s="30">
        <v>1.1574722404258201E-2</v>
      </c>
      <c r="AU126" s="31">
        <v>107.494493668171</v>
      </c>
      <c r="AV126" s="30">
        <v>2.4413240543169401E-2</v>
      </c>
      <c r="AW126" s="31">
        <v>101.44107400449001</v>
      </c>
      <c r="AX126" s="30">
        <v>2.2941826306346998E-2</v>
      </c>
      <c r="AY126" s="31">
        <v>118.514321506508</v>
      </c>
      <c r="AZ126" s="30">
        <v>2.7025801628765899E-2</v>
      </c>
      <c r="BA126" s="31">
        <v>124.746523538752</v>
      </c>
      <c r="BB126" s="30">
        <v>5.1515547715230897E-2</v>
      </c>
      <c r="BC126" s="31">
        <v>116.696616770513</v>
      </c>
      <c r="BD126" s="30">
        <v>2.8813216886917702E-2</v>
      </c>
      <c r="BE126" s="31"/>
      <c r="BF126" s="30"/>
    </row>
    <row r="127" spans="1:58" x14ac:dyDescent="0.2">
      <c r="A127" s="28">
        <v>2008</v>
      </c>
      <c r="B127" s="28">
        <v>4</v>
      </c>
      <c r="C127" s="31">
        <v>101.81196417960101</v>
      </c>
      <c r="D127" s="30">
        <v>8.7040082605997996E-3</v>
      </c>
      <c r="E127" s="31">
        <v>97.057811719690207</v>
      </c>
      <c r="F127" s="30">
        <v>3.6997090686019499E-3</v>
      </c>
      <c r="G127" s="31">
        <v>101.00959735491401</v>
      </c>
      <c r="H127" s="30">
        <v>1.38759895207161E-2</v>
      </c>
      <c r="I127" s="31">
        <v>103.261562595516</v>
      </c>
      <c r="J127" s="30">
        <v>6.2412346156126598E-3</v>
      </c>
      <c r="K127" s="31">
        <v>91.379008352685901</v>
      </c>
      <c r="L127" s="30">
        <v>5.1906066171919299E-2</v>
      </c>
      <c r="M127" s="31">
        <v>88.952007939212606</v>
      </c>
      <c r="N127" s="30">
        <v>-1.1952018700034499E-2</v>
      </c>
      <c r="O127" s="31">
        <v>102.557095935313</v>
      </c>
      <c r="P127" s="30">
        <v>1.78511870992775E-2</v>
      </c>
      <c r="Q127" s="31">
        <v>98.590728192702201</v>
      </c>
      <c r="R127" s="30">
        <v>3.2521781668737502E-2</v>
      </c>
      <c r="S127" s="31">
        <v>104.75503341253</v>
      </c>
      <c r="T127" s="30">
        <v>1.08302731947607E-2</v>
      </c>
      <c r="U127" s="31"/>
      <c r="V127" s="30"/>
      <c r="W127" s="31"/>
      <c r="X127" s="30"/>
      <c r="Y127" s="31"/>
      <c r="Z127" s="30"/>
      <c r="AA127" s="31">
        <v>107.078767418982</v>
      </c>
      <c r="AB127" s="30">
        <v>-2.4193225841537798E-3</v>
      </c>
      <c r="AC127" s="31">
        <v>106.091937728894</v>
      </c>
      <c r="AD127" s="30">
        <v>-1.09198231394259E-3</v>
      </c>
      <c r="AE127" s="31">
        <v>118.57308896699099</v>
      </c>
      <c r="AF127" s="30">
        <v>-5.0409159817280703E-3</v>
      </c>
      <c r="AG127" s="31">
        <v>120.714488399527</v>
      </c>
      <c r="AH127" s="30">
        <v>1.18163031937812E-2</v>
      </c>
      <c r="AI127" s="31">
        <v>109.75523994256</v>
      </c>
      <c r="AJ127" s="30">
        <v>-5.4350877109736696E-3</v>
      </c>
      <c r="AK127" s="31">
        <v>100.218689550273</v>
      </c>
      <c r="AL127" s="30">
        <v>-1.20909355150591E-2</v>
      </c>
      <c r="AM127" s="31">
        <v>97.007983756293498</v>
      </c>
      <c r="AN127" s="30">
        <v>-1.16253492953297E-2</v>
      </c>
      <c r="AO127" s="31">
        <v>115.38403424667</v>
      </c>
      <c r="AP127" s="30">
        <v>-2.2310743355591599E-2</v>
      </c>
      <c r="AQ127" s="31">
        <v>116.597634715374</v>
      </c>
      <c r="AR127" s="30">
        <v>-1.5569244056333999E-2</v>
      </c>
      <c r="AS127" s="31">
        <v>107.808367150973</v>
      </c>
      <c r="AT127" s="30">
        <v>-1.3352604623424E-2</v>
      </c>
      <c r="AU127" s="31">
        <v>106.99935692625399</v>
      </c>
      <c r="AV127" s="30">
        <v>9.2142769735787892E-3</v>
      </c>
      <c r="AW127" s="31">
        <v>101.463049126312</v>
      </c>
      <c r="AX127" s="30">
        <v>1.50741510044989E-2</v>
      </c>
      <c r="AY127" s="31">
        <v>116.967967414996</v>
      </c>
      <c r="AZ127" s="30">
        <v>-1.0747197432190399E-3</v>
      </c>
      <c r="BA127" s="31">
        <v>120.805307525437</v>
      </c>
      <c r="BB127" s="30">
        <v>1.3957024957511599E-3</v>
      </c>
      <c r="BC127" s="31">
        <v>112.796825757568</v>
      </c>
      <c r="BD127" s="30">
        <v>-1.47158892234369E-2</v>
      </c>
      <c r="BE127" s="31"/>
      <c r="BF127" s="30"/>
    </row>
    <row r="128" spans="1:58" x14ac:dyDescent="0.2">
      <c r="A128" s="28">
        <v>2009</v>
      </c>
      <c r="B128" s="28">
        <v>1</v>
      </c>
      <c r="C128" s="31">
        <v>102.49647457301</v>
      </c>
      <c r="D128" s="30">
        <v>5.9098085635551599E-3</v>
      </c>
      <c r="E128" s="31">
        <v>97.669807108079695</v>
      </c>
      <c r="F128" s="30">
        <v>-3.8893405039597301E-3</v>
      </c>
      <c r="G128" s="31">
        <v>100.008905705668</v>
      </c>
      <c r="H128" s="30">
        <v>-1.5795575629931099E-3</v>
      </c>
      <c r="I128" s="31">
        <v>101.90715208538499</v>
      </c>
      <c r="J128" s="30">
        <v>-1.0537924168697499E-2</v>
      </c>
      <c r="K128" s="31">
        <v>91.812357817182999</v>
      </c>
      <c r="L128" s="30">
        <v>4.2062474483119699E-2</v>
      </c>
      <c r="M128" s="31">
        <v>92.201598844499003</v>
      </c>
      <c r="N128" s="30">
        <v>-1.17084998148462E-2</v>
      </c>
      <c r="O128" s="31">
        <v>101.924769884558</v>
      </c>
      <c r="P128" s="30">
        <v>6.1517941171109801E-3</v>
      </c>
      <c r="Q128" s="31">
        <v>97.095086193841794</v>
      </c>
      <c r="R128" s="30">
        <v>8.2928281783278806E-3</v>
      </c>
      <c r="S128" s="31">
        <v>104.652190496808</v>
      </c>
      <c r="T128" s="30">
        <v>4.7897921643869096E-3</v>
      </c>
      <c r="U128" s="31"/>
      <c r="V128" s="30"/>
      <c r="W128" s="31"/>
      <c r="X128" s="30"/>
      <c r="Y128" s="31"/>
      <c r="Z128" s="30"/>
      <c r="AA128" s="31">
        <v>107.08513288913301</v>
      </c>
      <c r="AB128" s="30">
        <v>-1.2974035562218499E-2</v>
      </c>
      <c r="AC128" s="31">
        <v>105.83382203807</v>
      </c>
      <c r="AD128" s="30">
        <v>-3.8727342412626202E-2</v>
      </c>
      <c r="AE128" s="31">
        <v>115.757643483788</v>
      </c>
      <c r="AF128" s="30">
        <v>-4.9740747708063297E-2</v>
      </c>
      <c r="AG128" s="31">
        <v>119.59939515622899</v>
      </c>
      <c r="AH128" s="30">
        <v>-7.4193753418302401E-3</v>
      </c>
      <c r="AI128" s="31">
        <v>109.86103215444599</v>
      </c>
      <c r="AJ128" s="30">
        <v>4.8562491961293003E-2</v>
      </c>
      <c r="AK128" s="31">
        <v>100.361277077371</v>
      </c>
      <c r="AL128" s="30">
        <v>-2.8927448846019398E-2</v>
      </c>
      <c r="AM128" s="31">
        <v>98.226638447622904</v>
      </c>
      <c r="AN128" s="30">
        <v>-3.2522171419290501E-2</v>
      </c>
      <c r="AO128" s="31">
        <v>110.35916651831501</v>
      </c>
      <c r="AP128" s="30">
        <v>-7.8844422238661602E-2</v>
      </c>
      <c r="AQ128" s="31">
        <v>111.328438799258</v>
      </c>
      <c r="AR128" s="30">
        <v>-7.2600067052475001E-2</v>
      </c>
      <c r="AS128" s="31">
        <v>104.774936742351</v>
      </c>
      <c r="AT128" s="30">
        <v>-1.7166304519316E-2</v>
      </c>
      <c r="AU128" s="31">
        <v>105.73929452646399</v>
      </c>
      <c r="AV128" s="30">
        <v>-4.8346430767587396E-3</v>
      </c>
      <c r="AW128" s="31">
        <v>100.55582603184899</v>
      </c>
      <c r="AX128" s="30">
        <v>5.4659345686558503E-4</v>
      </c>
      <c r="AY128" s="31">
        <v>115.035256062149</v>
      </c>
      <c r="AZ128" s="30">
        <v>-1.4243899472589999E-2</v>
      </c>
      <c r="BA128" s="31">
        <v>117.618626518271</v>
      </c>
      <c r="BB128" s="30">
        <v>-4.5067737894101997E-2</v>
      </c>
      <c r="BC128" s="31">
        <v>108.410954408305</v>
      </c>
      <c r="BD128" s="30">
        <v>-5.4108319636792399E-2</v>
      </c>
      <c r="BE128" s="31"/>
      <c r="BF128" s="30"/>
    </row>
    <row r="129" spans="1:58" x14ac:dyDescent="0.2">
      <c r="A129" s="28">
        <v>2009</v>
      </c>
      <c r="B129" s="28">
        <v>2</v>
      </c>
      <c r="C129" s="31">
        <v>102.10174824828</v>
      </c>
      <c r="D129" s="30">
        <v>1.7522682994735E-3</v>
      </c>
      <c r="E129" s="31">
        <v>97.047058273992704</v>
      </c>
      <c r="F129" s="30">
        <v>-1.37652589499523E-2</v>
      </c>
      <c r="G129" s="31">
        <v>100.986885888841</v>
      </c>
      <c r="H129" s="30">
        <v>-5.2327170253030396E-4</v>
      </c>
      <c r="I129" s="31">
        <v>102.97868745938899</v>
      </c>
      <c r="J129" s="30">
        <v>-7.6628005509735697E-3</v>
      </c>
      <c r="K129" s="31">
        <v>92.351989045338698</v>
      </c>
      <c r="L129" s="30">
        <v>3.3739999953969597E-2</v>
      </c>
      <c r="M129" s="31">
        <v>88.458978745789494</v>
      </c>
      <c r="N129" s="30">
        <v>-4.4598063619093999E-2</v>
      </c>
      <c r="O129" s="31">
        <v>101.600760431141</v>
      </c>
      <c r="P129" s="30">
        <v>-2.9955699974167898E-3</v>
      </c>
      <c r="Q129" s="31">
        <v>96.517161135916794</v>
      </c>
      <c r="R129" s="30">
        <v>-8.6567454551479406E-3</v>
      </c>
      <c r="S129" s="31">
        <v>104.519293232525</v>
      </c>
      <c r="T129" s="30">
        <v>1.3003828965851801E-5</v>
      </c>
      <c r="U129" s="31"/>
      <c r="V129" s="30"/>
      <c r="W129" s="31"/>
      <c r="X129" s="30"/>
      <c r="Y129" s="31"/>
      <c r="Z129" s="30"/>
      <c r="AA129" s="31">
        <v>106.310038391639</v>
      </c>
      <c r="AB129" s="30">
        <v>-1.3452672634123501E-2</v>
      </c>
      <c r="AC129" s="31">
        <v>105.795791880907</v>
      </c>
      <c r="AD129" s="30">
        <v>-2.6900293878985501E-2</v>
      </c>
      <c r="AE129" s="31">
        <v>115.481451464939</v>
      </c>
      <c r="AF129" s="30">
        <v>-5.0522270965620897E-2</v>
      </c>
      <c r="AG129" s="31">
        <v>118.891355013008</v>
      </c>
      <c r="AH129" s="30">
        <v>-4.9856358828931401E-3</v>
      </c>
      <c r="AI129" s="31">
        <v>107.502170453369</v>
      </c>
      <c r="AJ129" s="30">
        <v>2.35460832930376E-2</v>
      </c>
      <c r="AK129" s="31">
        <v>98.728839573011996</v>
      </c>
      <c r="AL129" s="30">
        <v>-4.3222751672095099E-2</v>
      </c>
      <c r="AM129" s="31">
        <v>94.822348803263495</v>
      </c>
      <c r="AN129" s="30">
        <v>-5.6435705481551898E-2</v>
      </c>
      <c r="AO129" s="31">
        <v>109.377029885726</v>
      </c>
      <c r="AP129" s="30">
        <v>-9.6590640663537702E-2</v>
      </c>
      <c r="AQ129" s="31">
        <v>110.080171701029</v>
      </c>
      <c r="AR129" s="30">
        <v>-9.1587939053120404E-2</v>
      </c>
      <c r="AS129" s="31">
        <v>107.740529608275</v>
      </c>
      <c r="AT129" s="30">
        <v>-1.36281370641407E-2</v>
      </c>
      <c r="AU129" s="31">
        <v>105.80426441279199</v>
      </c>
      <c r="AV129" s="30">
        <v>-9.5676621360497593E-3</v>
      </c>
      <c r="AW129" s="31">
        <v>101.174655013676</v>
      </c>
      <c r="AX129" s="30">
        <v>-1.10359796891057E-3</v>
      </c>
      <c r="AY129" s="31">
        <v>113.981947732726</v>
      </c>
      <c r="AZ129" s="30">
        <v>-2.50777385627475E-2</v>
      </c>
      <c r="BA129" s="31">
        <v>117.265938322431</v>
      </c>
      <c r="BB129" s="30">
        <v>-4.67732477268544E-2</v>
      </c>
      <c r="BC129" s="31">
        <v>108.832301041273</v>
      </c>
      <c r="BD129" s="30">
        <v>-6.3959562301873496E-2</v>
      </c>
      <c r="BE129" s="31"/>
      <c r="BF129" s="30"/>
    </row>
    <row r="130" spans="1:58" x14ac:dyDescent="0.2">
      <c r="A130" s="28">
        <v>2009</v>
      </c>
      <c r="B130" s="28">
        <v>3</v>
      </c>
      <c r="C130" s="31">
        <v>102.30561742406501</v>
      </c>
      <c r="D130" s="30">
        <v>6.04451289215646E-3</v>
      </c>
      <c r="E130" s="31">
        <v>97.586895601570603</v>
      </c>
      <c r="F130" s="30">
        <v>2.32559265916721E-3</v>
      </c>
      <c r="G130" s="31">
        <v>100.974178820779</v>
      </c>
      <c r="H130" s="30">
        <v>4.1064216877995099E-6</v>
      </c>
      <c r="I130" s="31">
        <v>102.81254985260399</v>
      </c>
      <c r="J130" s="30">
        <v>-5.7689829662955798E-3</v>
      </c>
      <c r="K130" s="31">
        <v>92.992595807912807</v>
      </c>
      <c r="L130" s="30">
        <v>2.69467629089639E-2</v>
      </c>
      <c r="M130" s="31">
        <v>90.168203224029398</v>
      </c>
      <c r="N130" s="30">
        <v>1.0073739583534001E-2</v>
      </c>
      <c r="O130" s="31">
        <v>101.710838984864</v>
      </c>
      <c r="P130" s="30">
        <v>-8.3535861085705099E-3</v>
      </c>
      <c r="Q130" s="31">
        <v>96.858098643052998</v>
      </c>
      <c r="R130" s="30">
        <v>-1.84633419251659E-2</v>
      </c>
      <c r="S130" s="31">
        <v>104.515140586586</v>
      </c>
      <c r="T130" s="30">
        <v>-2.7082784638282598E-3</v>
      </c>
      <c r="U130" s="31"/>
      <c r="V130" s="30"/>
      <c r="W130" s="31"/>
      <c r="X130" s="30"/>
      <c r="Y130" s="31"/>
      <c r="Z130" s="30"/>
      <c r="AA130" s="31">
        <v>105.644144784235</v>
      </c>
      <c r="AB130" s="30">
        <v>-3.5042919896738002E-2</v>
      </c>
      <c r="AC130" s="31">
        <v>104.869698449056</v>
      </c>
      <c r="AD130" s="30">
        <v>-5.0745912972076097E-2</v>
      </c>
      <c r="AE130" s="31">
        <v>115.177488204265</v>
      </c>
      <c r="AF130" s="30">
        <v>-6.3209542621254597E-2</v>
      </c>
      <c r="AG130" s="31">
        <v>117.67606458397999</v>
      </c>
      <c r="AH130" s="30">
        <v>-3.2557771102898501E-2</v>
      </c>
      <c r="AI130" s="31">
        <v>107.255827086396</v>
      </c>
      <c r="AJ130" s="30">
        <v>4.6801215894165501E-3</v>
      </c>
      <c r="AK130" s="31">
        <v>98.624402231543698</v>
      </c>
      <c r="AL130" s="30">
        <v>-5.0215449435499798E-2</v>
      </c>
      <c r="AM130" s="31">
        <v>95.136688553474301</v>
      </c>
      <c r="AN130" s="30">
        <v>-6.2846746900141595E-2</v>
      </c>
      <c r="AO130" s="31">
        <v>109.831378598848</v>
      </c>
      <c r="AP130" s="30">
        <v>-9.5407055696030904E-2</v>
      </c>
      <c r="AQ130" s="31">
        <v>110.533532630377</v>
      </c>
      <c r="AR130" s="30">
        <v>-9.4828030932375601E-2</v>
      </c>
      <c r="AS130" s="31">
        <v>106.539544720528</v>
      </c>
      <c r="AT130" s="30">
        <v>-2.1199360379481599E-2</v>
      </c>
      <c r="AU130" s="31">
        <v>105.685775218518</v>
      </c>
      <c r="AV130" s="30">
        <v>-1.6826149767595899E-2</v>
      </c>
      <c r="AW130" s="31">
        <v>101.19635291792299</v>
      </c>
      <c r="AX130" s="30">
        <v>-2.4124457372752799E-3</v>
      </c>
      <c r="AY130" s="31">
        <v>113.689455907952</v>
      </c>
      <c r="AZ130" s="30">
        <v>-4.0711245166186703E-2</v>
      </c>
      <c r="BA130" s="31">
        <v>116.93131958454499</v>
      </c>
      <c r="BB130" s="30">
        <v>-6.2648671341769796E-2</v>
      </c>
      <c r="BC130" s="31">
        <v>108.706406689258</v>
      </c>
      <c r="BD130" s="30">
        <v>-6.8469937710082099E-2</v>
      </c>
      <c r="BE130" s="31"/>
      <c r="BF130" s="30"/>
    </row>
    <row r="131" spans="1:58" x14ac:dyDescent="0.2">
      <c r="A131" s="28">
        <v>2009</v>
      </c>
      <c r="B131" s="28">
        <v>4</v>
      </c>
      <c r="C131" s="31">
        <v>102.35095427559099</v>
      </c>
      <c r="D131" s="30">
        <v>5.2939760109114199E-3</v>
      </c>
      <c r="E131" s="31">
        <v>97.639499325050494</v>
      </c>
      <c r="F131" s="30">
        <v>5.9932075023516598E-3</v>
      </c>
      <c r="G131" s="31">
        <v>100.980645928062</v>
      </c>
      <c r="H131" s="30">
        <v>-2.8662055497707999E-4</v>
      </c>
      <c r="I131" s="31">
        <v>102.721005219319</v>
      </c>
      <c r="J131" s="30">
        <v>-5.2348362992948897E-3</v>
      </c>
      <c r="K131" s="31">
        <v>93.470948824959095</v>
      </c>
      <c r="L131" s="30">
        <v>2.2893009127426402E-2</v>
      </c>
      <c r="M131" s="31">
        <v>90.350217388039198</v>
      </c>
      <c r="N131" s="30">
        <v>1.5718694622184101E-2</v>
      </c>
      <c r="O131" s="31">
        <v>101.569310024394</v>
      </c>
      <c r="P131" s="30">
        <v>-9.6315706086466096E-3</v>
      </c>
      <c r="Q131" s="31">
        <v>96.935886593858797</v>
      </c>
      <c r="R131" s="30">
        <v>-1.6784961721846299E-2</v>
      </c>
      <c r="S131" s="31">
        <v>104.239208803385</v>
      </c>
      <c r="T131" s="30">
        <v>-4.9241033327074302E-3</v>
      </c>
      <c r="U131" s="31"/>
      <c r="V131" s="30"/>
      <c r="W131" s="31"/>
      <c r="X131" s="30"/>
      <c r="Y131" s="31"/>
      <c r="Z131" s="30"/>
      <c r="AA131" s="31">
        <v>107.743017600054</v>
      </c>
      <c r="AB131" s="30">
        <v>6.20337903660828E-3</v>
      </c>
      <c r="AC131" s="31">
        <v>107.593746750474</v>
      </c>
      <c r="AD131" s="30">
        <v>1.41557318466292E-2</v>
      </c>
      <c r="AE131" s="31">
        <v>115.665176004521</v>
      </c>
      <c r="AF131" s="30">
        <v>-2.4524223732415799E-2</v>
      </c>
      <c r="AG131" s="31">
        <v>117.446526141981</v>
      </c>
      <c r="AH131" s="30">
        <v>-2.7071831234791701E-2</v>
      </c>
      <c r="AI131" s="31">
        <v>108.175960197149</v>
      </c>
      <c r="AJ131" s="30">
        <v>-1.43891056703815E-2</v>
      </c>
      <c r="AK131" s="31">
        <v>100.97144592596599</v>
      </c>
      <c r="AL131" s="30">
        <v>7.5111376837040398E-3</v>
      </c>
      <c r="AM131" s="31">
        <v>98.068341554401201</v>
      </c>
      <c r="AN131" s="30">
        <v>1.09306240275191E-2</v>
      </c>
      <c r="AO131" s="31">
        <v>110.529391683361</v>
      </c>
      <c r="AP131" s="30">
        <v>-4.2073780787821299E-2</v>
      </c>
      <c r="AQ131" s="31">
        <v>111.22594746372</v>
      </c>
      <c r="AR131" s="30">
        <v>-4.6070293490654397E-2</v>
      </c>
      <c r="AS131" s="31">
        <v>107.480342646065</v>
      </c>
      <c r="AT131" s="30">
        <v>-3.0426627689197302E-3</v>
      </c>
      <c r="AU131" s="31">
        <v>105.833733241917</v>
      </c>
      <c r="AV131" s="30">
        <v>-1.0893744764657E-2</v>
      </c>
      <c r="AW131" s="31">
        <v>101.16008665628</v>
      </c>
      <c r="AX131" s="30">
        <v>-2.9859389466460099E-3</v>
      </c>
      <c r="AY131" s="31">
        <v>114.158255213244</v>
      </c>
      <c r="AZ131" s="30">
        <v>-2.4021210796832899E-2</v>
      </c>
      <c r="BA131" s="31">
        <v>117.28994769014599</v>
      </c>
      <c r="BB131" s="30">
        <v>-2.9099382364062201E-2</v>
      </c>
      <c r="BC131" s="31">
        <v>109.451422138898</v>
      </c>
      <c r="BD131" s="30">
        <v>-2.96586681070269E-2</v>
      </c>
      <c r="BE131" s="31"/>
      <c r="BF131" s="30"/>
    </row>
    <row r="132" spans="1:58" x14ac:dyDescent="0.2">
      <c r="A132" s="28">
        <v>2010</v>
      </c>
      <c r="B132" s="28">
        <v>1</v>
      </c>
      <c r="C132" s="31">
        <v>102.788362733981</v>
      </c>
      <c r="D132" s="30">
        <v>2.84778732328839E-3</v>
      </c>
      <c r="E132" s="31">
        <v>97.045551664432296</v>
      </c>
      <c r="F132" s="30">
        <v>-6.3914884459289603E-3</v>
      </c>
      <c r="G132" s="31">
        <v>101.279116846653</v>
      </c>
      <c r="H132" s="30">
        <v>1.27009802979219E-2</v>
      </c>
      <c r="I132" s="31">
        <v>103.00693804671501</v>
      </c>
      <c r="J132" s="30">
        <v>1.0792039016147999E-2</v>
      </c>
      <c r="K132" s="31">
        <v>93.780608637677005</v>
      </c>
      <c r="L132" s="30">
        <v>2.1437754865343502E-2</v>
      </c>
      <c r="M132" s="31">
        <v>87.511934259663605</v>
      </c>
      <c r="N132" s="30">
        <v>-5.0863159029862499E-2</v>
      </c>
      <c r="O132" s="31">
        <v>101.520382998381</v>
      </c>
      <c r="P132" s="30">
        <v>-3.96750354830799E-3</v>
      </c>
      <c r="Q132" s="31">
        <v>96.748277096620498</v>
      </c>
      <c r="R132" s="30">
        <v>-3.5718501400672201E-3</v>
      </c>
      <c r="S132" s="31">
        <v>104.261630207995</v>
      </c>
      <c r="T132" s="30">
        <v>-3.7319838883296298E-3</v>
      </c>
      <c r="U132" s="31"/>
      <c r="V132" s="30"/>
      <c r="W132" s="31"/>
      <c r="X132" s="30"/>
      <c r="Y132" s="31"/>
      <c r="Z132" s="30"/>
      <c r="AA132" s="31">
        <v>108.981737057757</v>
      </c>
      <c r="AB132" s="30">
        <v>1.7711180977726799E-2</v>
      </c>
      <c r="AC132" s="31">
        <v>110.023997739801</v>
      </c>
      <c r="AD132" s="30">
        <v>3.9592028531514299E-2</v>
      </c>
      <c r="AE132" s="31">
        <v>117.40568996571299</v>
      </c>
      <c r="AF132" s="30">
        <v>1.42370424304274E-2</v>
      </c>
      <c r="AG132" s="31">
        <v>117.82793246764901</v>
      </c>
      <c r="AH132" s="30">
        <v>-1.4811635847041101E-2</v>
      </c>
      <c r="AI132" s="31">
        <v>105.86054714884401</v>
      </c>
      <c r="AJ132" s="30">
        <v>-3.6414048977607201E-2</v>
      </c>
      <c r="AK132" s="31">
        <v>100.633282464346</v>
      </c>
      <c r="AL132" s="30">
        <v>2.71026231327154E-3</v>
      </c>
      <c r="AM132" s="31">
        <v>98.771528082899806</v>
      </c>
      <c r="AN132" s="30">
        <v>5.54726949724005E-3</v>
      </c>
      <c r="AO132" s="31">
        <v>109.650261620009</v>
      </c>
      <c r="AP132" s="30">
        <v>-6.4236159140338396E-3</v>
      </c>
      <c r="AQ132" s="31">
        <v>109.90786791049</v>
      </c>
      <c r="AR132" s="30">
        <v>-1.27601797356459E-2</v>
      </c>
      <c r="AS132" s="31">
        <v>104.325862409577</v>
      </c>
      <c r="AT132" s="30">
        <v>-4.2860854583851599E-3</v>
      </c>
      <c r="AU132" s="31">
        <v>105.977107430255</v>
      </c>
      <c r="AV132" s="30">
        <v>2.2490494650595498E-3</v>
      </c>
      <c r="AW132" s="31">
        <v>101.36905774137099</v>
      </c>
      <c r="AX132" s="30">
        <v>8.0873654129627309E-3</v>
      </c>
      <c r="AY132" s="31">
        <v>114.148362908636</v>
      </c>
      <c r="AZ132" s="30">
        <v>-7.7097507657434301E-3</v>
      </c>
      <c r="BA132" s="31">
        <v>118.457761846327</v>
      </c>
      <c r="BB132" s="30">
        <v>7.1343744855338898E-3</v>
      </c>
      <c r="BC132" s="31">
        <v>107.440190405416</v>
      </c>
      <c r="BD132" s="30">
        <v>-8.9544825814582597E-3</v>
      </c>
      <c r="BE132" s="31"/>
      <c r="BF132" s="30"/>
    </row>
    <row r="133" spans="1:58" x14ac:dyDescent="0.2">
      <c r="A133" s="28">
        <v>2010</v>
      </c>
      <c r="B133" s="28">
        <v>2</v>
      </c>
      <c r="C133" s="31">
        <v>102.820368447807</v>
      </c>
      <c r="D133" s="30">
        <v>7.0382751701674202E-3</v>
      </c>
      <c r="E133" s="31">
        <v>97.984002853251297</v>
      </c>
      <c r="F133" s="30">
        <v>9.6545386941382406E-3</v>
      </c>
      <c r="G133" s="31">
        <v>101.67029836302299</v>
      </c>
      <c r="H133" s="30">
        <v>6.7673388298621403E-3</v>
      </c>
      <c r="I133" s="31">
        <v>103.408008933294</v>
      </c>
      <c r="J133" s="30">
        <v>4.1690322968421798E-3</v>
      </c>
      <c r="K133" s="31">
        <v>94.125131063198793</v>
      </c>
      <c r="L133" s="30">
        <v>1.9199824889419601E-2</v>
      </c>
      <c r="M133" s="31">
        <v>90.039355774682704</v>
      </c>
      <c r="N133" s="30">
        <v>1.7865648589894499E-2</v>
      </c>
      <c r="O133" s="31">
        <v>101.544473514869</v>
      </c>
      <c r="P133" s="30">
        <v>-5.5400093496083002E-4</v>
      </c>
      <c r="Q133" s="31">
        <v>96.850445234614597</v>
      </c>
      <c r="R133" s="30">
        <v>3.4531071446299898E-3</v>
      </c>
      <c r="S133" s="31">
        <v>104.23610059744399</v>
      </c>
      <c r="T133" s="30">
        <v>-2.70947713405134E-3</v>
      </c>
      <c r="U133" s="31"/>
      <c r="V133" s="30"/>
      <c r="W133" s="31"/>
      <c r="X133" s="30"/>
      <c r="Y133" s="31"/>
      <c r="Z133" s="30"/>
      <c r="AA133" s="31">
        <v>111.20485825207101</v>
      </c>
      <c r="AB133" s="30">
        <v>4.60428754846176E-2</v>
      </c>
      <c r="AC133" s="31">
        <v>113.033890634812</v>
      </c>
      <c r="AD133" s="30">
        <v>6.8415752887912101E-2</v>
      </c>
      <c r="AE133" s="31">
        <v>119.278427395458</v>
      </c>
      <c r="AF133" s="30">
        <v>3.2879530715565403E-2</v>
      </c>
      <c r="AG133" s="31">
        <v>117.470043457811</v>
      </c>
      <c r="AH133" s="30">
        <v>-1.19547090286068E-2</v>
      </c>
      <c r="AI133" s="31">
        <v>106.120811042935</v>
      </c>
      <c r="AJ133" s="30">
        <v>-1.2849595544053001E-2</v>
      </c>
      <c r="AK133" s="31">
        <v>104.45758485607701</v>
      </c>
      <c r="AL133" s="30">
        <v>5.80250442306516E-2</v>
      </c>
      <c r="AM133" s="31">
        <v>103.72969380420101</v>
      </c>
      <c r="AN133" s="30">
        <v>9.3937190054404804E-2</v>
      </c>
      <c r="AO133" s="31">
        <v>111.324622853977</v>
      </c>
      <c r="AP133" s="30">
        <v>1.7806233816056501E-2</v>
      </c>
      <c r="AQ133" s="31">
        <v>111.401396928761</v>
      </c>
      <c r="AR133" s="30">
        <v>1.2002390687765801E-2</v>
      </c>
      <c r="AS133" s="31">
        <v>104.99524356839601</v>
      </c>
      <c r="AT133" s="30">
        <v>-2.5480532255234702E-2</v>
      </c>
      <c r="AU133" s="31">
        <v>106.61982747137201</v>
      </c>
      <c r="AV133" s="30">
        <v>7.7082248348558898E-3</v>
      </c>
      <c r="AW133" s="31">
        <v>101.643487960801</v>
      </c>
      <c r="AX133" s="30">
        <v>4.6338971658619298E-3</v>
      </c>
      <c r="AY133" s="31">
        <v>115.491722166915</v>
      </c>
      <c r="AZ133" s="30">
        <v>1.3245732892097E-2</v>
      </c>
      <c r="BA133" s="31">
        <v>120.245790289002</v>
      </c>
      <c r="BB133" s="30">
        <v>2.5411061465926001E-2</v>
      </c>
      <c r="BC133" s="31">
        <v>108.6248788186</v>
      </c>
      <c r="BD133" s="30">
        <v>-1.90588842364048E-3</v>
      </c>
      <c r="BE133" s="31"/>
      <c r="BF133" s="30"/>
    </row>
    <row r="134" spans="1:58" x14ac:dyDescent="0.2">
      <c r="A134" s="28">
        <v>2010</v>
      </c>
      <c r="B134" s="28">
        <v>3</v>
      </c>
      <c r="C134" s="31">
        <v>102.634835464305</v>
      </c>
      <c r="D134" s="30">
        <v>3.2179859574648102E-3</v>
      </c>
      <c r="E134" s="31">
        <v>97.251914256955104</v>
      </c>
      <c r="F134" s="30">
        <v>-3.4326467969953999E-3</v>
      </c>
      <c r="G134" s="31">
        <v>100.87176631761901</v>
      </c>
      <c r="H134" s="30">
        <v>-1.01424447671628E-3</v>
      </c>
      <c r="I134" s="31">
        <v>102.335822601521</v>
      </c>
      <c r="J134" s="30">
        <v>-4.6368585524406702E-3</v>
      </c>
      <c r="K134" s="31">
        <v>94.498144572177097</v>
      </c>
      <c r="L134" s="30">
        <v>1.6189985355116E-2</v>
      </c>
      <c r="M134" s="31">
        <v>89.414970708294007</v>
      </c>
      <c r="N134" s="30">
        <v>-8.35363785462029E-3</v>
      </c>
      <c r="O134" s="31">
        <v>101.56747012225</v>
      </c>
      <c r="P134" s="30">
        <v>-1.40957310002754E-3</v>
      </c>
      <c r="Q134" s="31">
        <v>97.240994833870602</v>
      </c>
      <c r="R134" s="30">
        <v>3.9531665000849302E-3</v>
      </c>
      <c r="S134" s="31">
        <v>104.032967175317</v>
      </c>
      <c r="T134" s="30">
        <v>-4.61343120779423E-3</v>
      </c>
      <c r="U134" s="31"/>
      <c r="V134" s="30"/>
      <c r="W134" s="31"/>
      <c r="X134" s="30"/>
      <c r="Y134" s="31"/>
      <c r="Z134" s="30"/>
      <c r="AA134" s="31">
        <v>108.56709326519101</v>
      </c>
      <c r="AB134" s="30">
        <v>2.7667870159071101E-2</v>
      </c>
      <c r="AC134" s="31">
        <v>109.457098239594</v>
      </c>
      <c r="AD134" s="30">
        <v>4.3743806441533403E-2</v>
      </c>
      <c r="AE134" s="31">
        <v>115.140969101233</v>
      </c>
      <c r="AF134" s="30">
        <v>-3.17068062525738E-4</v>
      </c>
      <c r="AG134" s="31">
        <v>114.99325114649299</v>
      </c>
      <c r="AH134" s="30">
        <v>-2.27982933230465E-2</v>
      </c>
      <c r="AI134" s="31">
        <v>106.11799886344799</v>
      </c>
      <c r="AJ134" s="30">
        <v>-1.06085445784829E-2</v>
      </c>
      <c r="AK134" s="31">
        <v>100.695592920678</v>
      </c>
      <c r="AL134" s="30">
        <v>2.10007933358318E-2</v>
      </c>
      <c r="AM134" s="31">
        <v>100.419110922196</v>
      </c>
      <c r="AN134" s="30">
        <v>5.5524555763286597E-2</v>
      </c>
      <c r="AO134" s="31">
        <v>109.39521868760001</v>
      </c>
      <c r="AP134" s="30">
        <v>-3.9711776070929803E-3</v>
      </c>
      <c r="AQ134" s="31">
        <v>109.745001569232</v>
      </c>
      <c r="AR134" s="30">
        <v>-7.1338628412653798E-3</v>
      </c>
      <c r="AS134" s="31">
        <v>100.63022089943</v>
      </c>
      <c r="AT134" s="30">
        <v>-5.5466013456311102E-2</v>
      </c>
      <c r="AU134" s="31">
        <v>105.35866571585299</v>
      </c>
      <c r="AV134" s="30">
        <v>-3.0951138125197E-3</v>
      </c>
      <c r="AW134" s="31">
        <v>101.082419535217</v>
      </c>
      <c r="AX134" s="30">
        <v>-1.1258645140946901E-3</v>
      </c>
      <c r="AY134" s="31">
        <v>112.899778442338</v>
      </c>
      <c r="AZ134" s="30">
        <v>-6.9459164819417598E-3</v>
      </c>
      <c r="BA134" s="31">
        <v>116.376178025344</v>
      </c>
      <c r="BB134" s="30">
        <v>-4.7475865420194604E-3</v>
      </c>
      <c r="BC134" s="31">
        <v>105.898902754568</v>
      </c>
      <c r="BD134" s="30">
        <v>-2.58264808873255E-2</v>
      </c>
      <c r="BE134" s="31"/>
      <c r="BF134" s="30"/>
    </row>
    <row r="135" spans="1:58" x14ac:dyDescent="0.2">
      <c r="A135" s="28">
        <v>2010</v>
      </c>
      <c r="B135" s="28">
        <v>4</v>
      </c>
      <c r="C135" s="31">
        <v>102.853425198159</v>
      </c>
      <c r="D135" s="30">
        <v>4.9092939692057004E-3</v>
      </c>
      <c r="E135" s="31">
        <v>97.088513695252004</v>
      </c>
      <c r="F135" s="30">
        <v>-5.6430607859240299E-3</v>
      </c>
      <c r="G135" s="31">
        <v>101.349963084709</v>
      </c>
      <c r="H135" s="30">
        <v>3.6573063407630002E-3</v>
      </c>
      <c r="I135" s="31">
        <v>102.83983372638799</v>
      </c>
      <c r="J135" s="30">
        <v>1.15680825761832E-3</v>
      </c>
      <c r="K135" s="31">
        <v>94.888021934122506</v>
      </c>
      <c r="L135" s="30">
        <v>1.5160572637570299E-2</v>
      </c>
      <c r="M135" s="31">
        <v>87.871000227410406</v>
      </c>
      <c r="N135" s="30">
        <v>-2.7440079640106502E-2</v>
      </c>
      <c r="O135" s="31">
        <v>101.587205126781</v>
      </c>
      <c r="P135" s="30">
        <v>1.7618611746672601E-4</v>
      </c>
      <c r="Q135" s="31">
        <v>97.864293181848197</v>
      </c>
      <c r="R135" s="30">
        <v>9.5775323320577092E-3</v>
      </c>
      <c r="S135" s="31">
        <v>103.68688272403401</v>
      </c>
      <c r="T135" s="30">
        <v>-5.2986403647074E-3</v>
      </c>
      <c r="U135" s="31"/>
      <c r="V135" s="30"/>
      <c r="W135" s="31"/>
      <c r="X135" s="30"/>
      <c r="Y135" s="31"/>
      <c r="Z135" s="30"/>
      <c r="AA135" s="31">
        <v>110.668603134111</v>
      </c>
      <c r="AB135" s="30">
        <v>2.7153365472982999E-2</v>
      </c>
      <c r="AC135" s="31">
        <v>112.524364320038</v>
      </c>
      <c r="AD135" s="30">
        <v>4.5826246584750298E-2</v>
      </c>
      <c r="AE135" s="31">
        <v>116.886515937841</v>
      </c>
      <c r="AF135" s="30">
        <v>1.05592709535338E-2</v>
      </c>
      <c r="AG135" s="31">
        <v>114.62089391028</v>
      </c>
      <c r="AH135" s="30">
        <v>-2.4058883004204099E-2</v>
      </c>
      <c r="AI135" s="31">
        <v>104.957657065776</v>
      </c>
      <c r="AJ135" s="30">
        <v>-2.9750631522079799E-2</v>
      </c>
      <c r="AK135" s="31">
        <v>102.44076636511301</v>
      </c>
      <c r="AL135" s="30">
        <v>1.45518411237202E-2</v>
      </c>
      <c r="AM135" s="31">
        <v>102.23441811043899</v>
      </c>
      <c r="AN135" s="30">
        <v>4.2481360345288002E-2</v>
      </c>
      <c r="AO135" s="31">
        <v>109.07624986724799</v>
      </c>
      <c r="AP135" s="30">
        <v>-1.3147107696707801E-2</v>
      </c>
      <c r="AQ135" s="31">
        <v>109.46664739018</v>
      </c>
      <c r="AR135" s="30">
        <v>-1.5817352997730901E-2</v>
      </c>
      <c r="AS135" s="31">
        <v>101.77802184660401</v>
      </c>
      <c r="AT135" s="30">
        <v>-5.3054546153046098E-2</v>
      </c>
      <c r="AU135" s="31">
        <v>105.87234994919901</v>
      </c>
      <c r="AV135" s="30">
        <v>3.6488089476738301E-4</v>
      </c>
      <c r="AW135" s="31">
        <v>101.426611888765</v>
      </c>
      <c r="AX135" s="30">
        <v>2.6346876648113398E-3</v>
      </c>
      <c r="AY135" s="31">
        <v>113.76389589581299</v>
      </c>
      <c r="AZ135" s="30">
        <v>-3.4544967133073299E-3</v>
      </c>
      <c r="BA135" s="31">
        <v>118.177371133642</v>
      </c>
      <c r="BB135" s="30">
        <v>7.5660656430684998E-3</v>
      </c>
      <c r="BC135" s="31">
        <v>106.205583956171</v>
      </c>
      <c r="BD135" s="30">
        <v>-2.9655514010663499E-2</v>
      </c>
      <c r="BE135" s="31"/>
      <c r="BF135" s="30"/>
    </row>
    <row r="136" spans="1:58" x14ac:dyDescent="0.2">
      <c r="A136" s="28">
        <v>2011</v>
      </c>
      <c r="B136" s="28">
        <v>1</v>
      </c>
      <c r="C136" s="31">
        <v>103.36272676998</v>
      </c>
      <c r="D136" s="30">
        <v>5.5878313529162896E-3</v>
      </c>
      <c r="E136" s="31">
        <v>96.728211860633095</v>
      </c>
      <c r="F136" s="30">
        <v>-3.2700087572950002E-3</v>
      </c>
      <c r="G136" s="31">
        <v>101.40447878086199</v>
      </c>
      <c r="H136" s="30">
        <v>1.2377866051021E-3</v>
      </c>
      <c r="I136" s="31">
        <v>102.79941511310101</v>
      </c>
      <c r="J136" s="30">
        <v>-2.0146500570696899E-3</v>
      </c>
      <c r="K136" s="31">
        <v>95.325507654941703</v>
      </c>
      <c r="L136" s="30">
        <v>1.6473544368148098E-2</v>
      </c>
      <c r="M136" s="31">
        <v>86.403467998781807</v>
      </c>
      <c r="N136" s="30">
        <v>-1.26664582409162E-2</v>
      </c>
      <c r="O136" s="31">
        <v>101.968272258677</v>
      </c>
      <c r="P136" s="30">
        <v>4.4118161010449101E-3</v>
      </c>
      <c r="Q136" s="31">
        <v>98.721936707583893</v>
      </c>
      <c r="R136" s="30">
        <v>2.0399945820144701E-2</v>
      </c>
      <c r="S136" s="31">
        <v>103.902586451323</v>
      </c>
      <c r="T136" s="30">
        <v>-3.4436806326207901E-3</v>
      </c>
      <c r="U136" s="31"/>
      <c r="V136" s="30"/>
      <c r="W136" s="31"/>
      <c r="X136" s="30"/>
      <c r="Y136" s="31"/>
      <c r="Z136" s="30"/>
      <c r="AA136" s="31">
        <v>110.52182283495701</v>
      </c>
      <c r="AB136" s="30">
        <v>1.41315950615082E-2</v>
      </c>
      <c r="AC136" s="31">
        <v>111.96134843009099</v>
      </c>
      <c r="AD136" s="30">
        <v>1.7608437523531702E-2</v>
      </c>
      <c r="AE136" s="31">
        <v>117.290108055017</v>
      </c>
      <c r="AF136" s="30">
        <v>-9.8446600612123202E-4</v>
      </c>
      <c r="AG136" s="31">
        <v>113.262030496435</v>
      </c>
      <c r="AH136" s="30">
        <v>-3.8750590590793901E-2</v>
      </c>
      <c r="AI136" s="31">
        <v>106.361306411675</v>
      </c>
      <c r="AJ136" s="30">
        <v>4.7303672266816301E-3</v>
      </c>
      <c r="AK136" s="31">
        <v>100.863399298232</v>
      </c>
      <c r="AL136" s="30">
        <v>2.2866871501277001E-3</v>
      </c>
      <c r="AM136" s="31">
        <v>101.088272594177</v>
      </c>
      <c r="AN136" s="30">
        <v>2.3455590454498399E-2</v>
      </c>
      <c r="AO136" s="31">
        <v>108.715359541761</v>
      </c>
      <c r="AP136" s="30">
        <v>-8.5262184005381308E-3</v>
      </c>
      <c r="AQ136" s="31">
        <v>109.07575567702401</v>
      </c>
      <c r="AR136" s="30">
        <v>-7.5709978665405896E-3</v>
      </c>
      <c r="AS136" s="31">
        <v>98.919007283535905</v>
      </c>
      <c r="AT136" s="30">
        <v>-5.1826603693087198E-2</v>
      </c>
      <c r="AU136" s="31">
        <v>106.13726198408899</v>
      </c>
      <c r="AV136" s="30">
        <v>1.51121839156909E-3</v>
      </c>
      <c r="AW136" s="31">
        <v>101.57639867498</v>
      </c>
      <c r="AX136" s="30">
        <v>2.04540653951635E-3</v>
      </c>
      <c r="AY136" s="31">
        <v>114.231986682002</v>
      </c>
      <c r="AZ136" s="30">
        <v>7.3258845974621999E-4</v>
      </c>
      <c r="BA136" s="31">
        <v>118.28226188911501</v>
      </c>
      <c r="BB136" s="30">
        <v>-1.4815403775649801E-3</v>
      </c>
      <c r="BC136" s="31">
        <v>104.906688850629</v>
      </c>
      <c r="BD136" s="30">
        <v>-2.35805758089913E-2</v>
      </c>
      <c r="BE136" s="31"/>
      <c r="BF136" s="30"/>
    </row>
    <row r="137" spans="1:58" x14ac:dyDescent="0.2">
      <c r="A137" s="28">
        <v>2011</v>
      </c>
      <c r="B137" s="28">
        <v>2</v>
      </c>
      <c r="C137" s="31">
        <v>102.943804779705</v>
      </c>
      <c r="D137" s="30">
        <v>1.2005046642134E-3</v>
      </c>
      <c r="E137" s="31">
        <v>96.990494683864696</v>
      </c>
      <c r="F137" s="30">
        <v>-1.0139493595444899E-2</v>
      </c>
      <c r="G137" s="31">
        <v>101.567986693706</v>
      </c>
      <c r="H137" s="30">
        <v>-1.0063083414143499E-3</v>
      </c>
      <c r="I137" s="31">
        <v>102.91057028688201</v>
      </c>
      <c r="J137" s="30">
        <v>-4.8104460335661701E-3</v>
      </c>
      <c r="K137" s="31">
        <v>95.697335734319594</v>
      </c>
      <c r="L137" s="30">
        <v>1.6703346421533601E-2</v>
      </c>
      <c r="M137" s="31">
        <v>87.107536407388395</v>
      </c>
      <c r="N137" s="30">
        <v>-3.25615320330691E-2</v>
      </c>
      <c r="O137" s="31">
        <v>102.239083371083</v>
      </c>
      <c r="P137" s="30">
        <v>6.8404496293197302E-3</v>
      </c>
      <c r="Q137" s="31">
        <v>99.301461253646593</v>
      </c>
      <c r="R137" s="30">
        <v>2.53072251045885E-2</v>
      </c>
      <c r="S137" s="31">
        <v>103.906301308389</v>
      </c>
      <c r="T137" s="30">
        <v>-3.1639641848126799E-3</v>
      </c>
      <c r="U137" s="31"/>
      <c r="V137" s="30"/>
      <c r="W137" s="31"/>
      <c r="X137" s="30"/>
      <c r="Y137" s="31"/>
      <c r="Z137" s="30"/>
      <c r="AA137" s="31">
        <v>109.42333697863999</v>
      </c>
      <c r="AB137" s="30">
        <v>-1.6020174850564499E-2</v>
      </c>
      <c r="AC137" s="31">
        <v>110.40245030385201</v>
      </c>
      <c r="AD137" s="30">
        <v>-2.3280100474125799E-2</v>
      </c>
      <c r="AE137" s="31">
        <v>115.10536226107099</v>
      </c>
      <c r="AF137" s="30">
        <v>-3.49859167789979E-2</v>
      </c>
      <c r="AG137" s="31">
        <v>111.971027673314</v>
      </c>
      <c r="AH137" s="30">
        <v>-4.68120690401546E-2</v>
      </c>
      <c r="AI137" s="31">
        <v>106.64351743864501</v>
      </c>
      <c r="AJ137" s="30">
        <v>4.9255785983233196E-3</v>
      </c>
      <c r="AK137" s="31">
        <v>100.70126810270401</v>
      </c>
      <c r="AL137" s="30">
        <v>-3.5960210630452003E-2</v>
      </c>
      <c r="AM137" s="31">
        <v>100.452796771154</v>
      </c>
      <c r="AN137" s="30">
        <v>-3.1590732729163698E-2</v>
      </c>
      <c r="AO137" s="31">
        <v>107.556454663747</v>
      </c>
      <c r="AP137" s="30">
        <v>-3.3848470299087198E-2</v>
      </c>
      <c r="AQ137" s="31">
        <v>107.910408218654</v>
      </c>
      <c r="AR137" s="30">
        <v>-3.1337028137444899E-2</v>
      </c>
      <c r="AS137" s="31">
        <v>100.189134170196</v>
      </c>
      <c r="AT137" s="30">
        <v>-4.5774544016068203E-2</v>
      </c>
      <c r="AU137" s="31">
        <v>105.75070610409</v>
      </c>
      <c r="AV137" s="30">
        <v>-8.15159232474927E-3</v>
      </c>
      <c r="AW137" s="31">
        <v>101.773659406505</v>
      </c>
      <c r="AX137" s="30">
        <v>1.2806668515175099E-3</v>
      </c>
      <c r="AY137" s="31">
        <v>112.783081016824</v>
      </c>
      <c r="AZ137" s="30">
        <v>-2.34531194034545E-2</v>
      </c>
      <c r="BA137" s="31">
        <v>116.025505932589</v>
      </c>
      <c r="BB137" s="30">
        <v>-3.5097148484536003E-2</v>
      </c>
      <c r="BC137" s="31">
        <v>104.643358067577</v>
      </c>
      <c r="BD137" s="30">
        <v>-3.6653856780560198E-2</v>
      </c>
      <c r="BE137" s="31"/>
      <c r="BF137" s="30"/>
    </row>
    <row r="138" spans="1:58" x14ac:dyDescent="0.2">
      <c r="A138" s="28">
        <v>2011</v>
      </c>
      <c r="B138" s="28">
        <v>3</v>
      </c>
      <c r="C138" s="31">
        <v>102.71986344556301</v>
      </c>
      <c r="D138" s="30">
        <v>8.2845147920051999E-4</v>
      </c>
      <c r="E138" s="31">
        <v>96.773097179692499</v>
      </c>
      <c r="F138" s="30">
        <v>-4.9234720048545498E-3</v>
      </c>
      <c r="G138" s="31">
        <v>100.775051259048</v>
      </c>
      <c r="H138" s="30">
        <v>-9.5879215861927004E-4</v>
      </c>
      <c r="I138" s="31">
        <v>101.85301467961899</v>
      </c>
      <c r="J138" s="30">
        <v>-4.7178779593379802E-3</v>
      </c>
      <c r="K138" s="31">
        <v>96.034267105870498</v>
      </c>
      <c r="L138" s="30">
        <v>1.6255584071496201E-2</v>
      </c>
      <c r="M138" s="31">
        <v>88.115082207378194</v>
      </c>
      <c r="N138" s="30">
        <v>-1.45377053822064E-2</v>
      </c>
      <c r="O138" s="31">
        <v>101.87340298063501</v>
      </c>
      <c r="P138" s="30">
        <v>3.0121145876404998E-3</v>
      </c>
      <c r="Q138" s="31">
        <v>99.604538888471396</v>
      </c>
      <c r="R138" s="30">
        <v>2.4306045599787902E-2</v>
      </c>
      <c r="S138" s="31">
        <v>103.097543755335</v>
      </c>
      <c r="T138" s="30">
        <v>-8.9916056936602002E-3</v>
      </c>
      <c r="U138" s="31"/>
      <c r="V138" s="30"/>
      <c r="W138" s="31"/>
      <c r="X138" s="30"/>
      <c r="Y138" s="31"/>
      <c r="Z138" s="30"/>
      <c r="AA138" s="31">
        <v>108.84093077702499</v>
      </c>
      <c r="AB138" s="30">
        <v>2.5222883251145899E-3</v>
      </c>
      <c r="AC138" s="31">
        <v>109.61158136018599</v>
      </c>
      <c r="AD138" s="30">
        <v>1.41135771984424E-3</v>
      </c>
      <c r="AE138" s="31">
        <v>110.776394201595</v>
      </c>
      <c r="AF138" s="30">
        <v>-3.7906358906886102E-2</v>
      </c>
      <c r="AG138" s="31">
        <v>108.391227889227</v>
      </c>
      <c r="AH138" s="30">
        <v>-5.7412267167360698E-2</v>
      </c>
      <c r="AI138" s="31">
        <v>106.526282300551</v>
      </c>
      <c r="AJ138" s="30">
        <v>3.8474475722860601E-3</v>
      </c>
      <c r="AK138" s="31">
        <v>100.181636890766</v>
      </c>
      <c r="AL138" s="30">
        <v>-5.1040568410695196E-3</v>
      </c>
      <c r="AM138" s="31">
        <v>101.873105171758</v>
      </c>
      <c r="AN138" s="30">
        <v>1.44792583424496E-2</v>
      </c>
      <c r="AO138" s="31">
        <v>104.86217662181799</v>
      </c>
      <c r="AP138" s="30">
        <v>-4.1437296073489401E-2</v>
      </c>
      <c r="AQ138" s="31">
        <v>105.113945915332</v>
      </c>
      <c r="AR138" s="30">
        <v>-4.2198328741001101E-2</v>
      </c>
      <c r="AS138" s="31">
        <v>94.601016757711193</v>
      </c>
      <c r="AT138" s="30">
        <v>-5.9914448043835597E-2</v>
      </c>
      <c r="AU138" s="31">
        <v>104.36020275707099</v>
      </c>
      <c r="AV138" s="30">
        <v>-9.4767995778769504E-3</v>
      </c>
      <c r="AW138" s="31">
        <v>101.100120863893</v>
      </c>
      <c r="AX138" s="30">
        <v>1.7511777772294401E-4</v>
      </c>
      <c r="AY138" s="31">
        <v>109.897697934476</v>
      </c>
      <c r="AZ138" s="30">
        <v>-2.6590667840818899E-2</v>
      </c>
      <c r="BA138" s="31">
        <v>111.572185527165</v>
      </c>
      <c r="BB138" s="30">
        <v>-4.12798613916803E-2</v>
      </c>
      <c r="BC138" s="31">
        <v>100.75781936478</v>
      </c>
      <c r="BD138" s="30">
        <v>-4.8547088365053503E-2</v>
      </c>
      <c r="BE138" s="31"/>
      <c r="BF138" s="30"/>
    </row>
    <row r="139" spans="1:58" x14ac:dyDescent="0.2">
      <c r="A139" s="28">
        <v>2011</v>
      </c>
      <c r="B139" s="28">
        <v>4</v>
      </c>
      <c r="C139" s="31">
        <v>102.52311693179701</v>
      </c>
      <c r="D139" s="30">
        <v>-3.21144644162763E-3</v>
      </c>
      <c r="E139" s="31">
        <v>97.454529207762704</v>
      </c>
      <c r="F139" s="30">
        <v>3.7699157045447702E-3</v>
      </c>
      <c r="G139" s="31">
        <v>100.68641190591499</v>
      </c>
      <c r="H139" s="30">
        <v>-6.5471279771439602E-3</v>
      </c>
      <c r="I139" s="31">
        <v>101.68492582580799</v>
      </c>
      <c r="J139" s="30">
        <v>-1.12301611032555E-2</v>
      </c>
      <c r="K139" s="31">
        <v>96.355122092373506</v>
      </c>
      <c r="L139" s="30">
        <v>1.5461384148882399E-2</v>
      </c>
      <c r="M139" s="31">
        <v>90.072896565604694</v>
      </c>
      <c r="N139" s="30">
        <v>2.5058282396874802E-2</v>
      </c>
      <c r="O139" s="31">
        <v>101.36474869830199</v>
      </c>
      <c r="P139" s="30">
        <v>-2.1898075471348298E-3</v>
      </c>
      <c r="Q139" s="31">
        <v>99.712460075687105</v>
      </c>
      <c r="R139" s="30">
        <v>1.8884997109260199E-2</v>
      </c>
      <c r="S139" s="31">
        <v>102.240857893232</v>
      </c>
      <c r="T139" s="30">
        <v>-1.39460729536161E-2</v>
      </c>
      <c r="U139" s="31"/>
      <c r="V139" s="30"/>
      <c r="W139" s="31"/>
      <c r="X139" s="30"/>
      <c r="Y139" s="31"/>
      <c r="Z139" s="30"/>
      <c r="AA139" s="31">
        <v>111.89843599909599</v>
      </c>
      <c r="AB139" s="30">
        <v>1.11127531219892E-2</v>
      </c>
      <c r="AC139" s="31">
        <v>113.738170012222</v>
      </c>
      <c r="AD139" s="30">
        <v>1.0787047760889601E-2</v>
      </c>
      <c r="AE139" s="31">
        <v>113.883251051749</v>
      </c>
      <c r="AF139" s="30">
        <v>-2.5693852383184699E-2</v>
      </c>
      <c r="AG139" s="31">
        <v>112.129286952965</v>
      </c>
      <c r="AH139" s="30">
        <v>-2.1737807761869302E-2</v>
      </c>
      <c r="AI139" s="31">
        <v>106.649402252353</v>
      </c>
      <c r="AJ139" s="30">
        <v>1.6118358906547701E-2</v>
      </c>
      <c r="AK139" s="31">
        <v>104.62606788866</v>
      </c>
      <c r="AL139" s="30">
        <v>2.1332342592579101E-2</v>
      </c>
      <c r="AM139" s="31">
        <v>106.084509579231</v>
      </c>
      <c r="AN139" s="30">
        <v>3.7659445223559899E-2</v>
      </c>
      <c r="AO139" s="31">
        <v>107.033870659697</v>
      </c>
      <c r="AP139" s="30">
        <v>-1.8724325506580802E-2</v>
      </c>
      <c r="AQ139" s="31">
        <v>107.306151488232</v>
      </c>
      <c r="AR139" s="30">
        <v>-1.9736567744206599E-2</v>
      </c>
      <c r="AS139" s="31">
        <v>99.530900516509107</v>
      </c>
      <c r="AT139" s="30">
        <v>-2.2078650079109901E-2</v>
      </c>
      <c r="AU139" s="31">
        <v>104.956930534638</v>
      </c>
      <c r="AV139" s="30">
        <v>-8.6464446571804503E-3</v>
      </c>
      <c r="AW139" s="31">
        <v>100.89463712438901</v>
      </c>
      <c r="AX139" s="30">
        <v>-5.2449229493997098E-3</v>
      </c>
      <c r="AY139" s="31">
        <v>112.066978988412</v>
      </c>
      <c r="AZ139" s="30">
        <v>-1.49161286543342E-2</v>
      </c>
      <c r="BA139" s="31">
        <v>114.80091470916599</v>
      </c>
      <c r="BB139" s="30">
        <v>-2.8571090997259501E-2</v>
      </c>
      <c r="BC139" s="31">
        <v>104.007072165455</v>
      </c>
      <c r="BD139" s="30">
        <v>-2.0700529188965401E-2</v>
      </c>
      <c r="BE139" s="31"/>
      <c r="BF139" s="30"/>
    </row>
    <row r="140" spans="1:58" x14ac:dyDescent="0.2">
      <c r="A140" s="28">
        <v>2012</v>
      </c>
      <c r="B140" s="28">
        <v>1</v>
      </c>
      <c r="C140" s="31">
        <v>103.41504760811701</v>
      </c>
      <c r="D140" s="30">
        <v>5.0618670551272305E-4</v>
      </c>
      <c r="E140" s="31">
        <v>96.881224930891804</v>
      </c>
      <c r="F140" s="30">
        <v>1.5818866834755899E-3</v>
      </c>
      <c r="G140" s="31">
        <v>100.577046374387</v>
      </c>
      <c r="H140" s="30">
        <v>-8.1597224937461892E-3</v>
      </c>
      <c r="I140" s="31">
        <v>101.47578573425901</v>
      </c>
      <c r="J140" s="30">
        <v>-1.28758454256359E-2</v>
      </c>
      <c r="K140" s="31">
        <v>96.647023506147093</v>
      </c>
      <c r="L140" s="30">
        <v>1.38631923785708E-2</v>
      </c>
      <c r="M140" s="31">
        <v>88.876072276546495</v>
      </c>
      <c r="N140" s="30">
        <v>2.8616956414290001E-2</v>
      </c>
      <c r="O140" s="31">
        <v>101.342442956349</v>
      </c>
      <c r="P140" s="30">
        <v>-6.1374905003818104E-3</v>
      </c>
      <c r="Q140" s="31">
        <v>99.624540839026594</v>
      </c>
      <c r="R140" s="30">
        <v>9.1428932772685805E-3</v>
      </c>
      <c r="S140" s="31">
        <v>102.38241537997401</v>
      </c>
      <c r="T140" s="30">
        <v>-1.46307336830378E-2</v>
      </c>
      <c r="U140" s="31"/>
      <c r="V140" s="30"/>
      <c r="W140" s="31"/>
      <c r="X140" s="30"/>
      <c r="Y140" s="31"/>
      <c r="Z140" s="30"/>
      <c r="AA140" s="31">
        <v>113.457306127309</v>
      </c>
      <c r="AB140" s="30">
        <v>2.65602142369235E-2</v>
      </c>
      <c r="AC140" s="31">
        <v>115.78177210374101</v>
      </c>
      <c r="AD140" s="30">
        <v>3.4122701514577997E-2</v>
      </c>
      <c r="AE140" s="31">
        <v>115.97594380197</v>
      </c>
      <c r="AF140" s="30">
        <v>-1.12043911872837E-2</v>
      </c>
      <c r="AG140" s="31">
        <v>112.774787733973</v>
      </c>
      <c r="AH140" s="30">
        <v>-4.3019073587725601E-3</v>
      </c>
      <c r="AI140" s="31">
        <v>106.964816289238</v>
      </c>
      <c r="AJ140" s="30">
        <v>5.6741487851506003E-3</v>
      </c>
      <c r="AK140" s="31">
        <v>103.95727104822799</v>
      </c>
      <c r="AL140" s="30">
        <v>3.0673879440130201E-2</v>
      </c>
      <c r="AM140" s="31">
        <v>106.479336708472</v>
      </c>
      <c r="AN140" s="30">
        <v>5.3330262511630797E-2</v>
      </c>
      <c r="AO140" s="31">
        <v>107.391318634098</v>
      </c>
      <c r="AP140" s="30">
        <v>-1.21789682087599E-2</v>
      </c>
      <c r="AQ140" s="31">
        <v>107.709967477012</v>
      </c>
      <c r="AR140" s="30">
        <v>-1.2521464476997901E-2</v>
      </c>
      <c r="AS140" s="31">
        <v>96.216630319373095</v>
      </c>
      <c r="AT140" s="30">
        <v>-2.7319086982109199E-2</v>
      </c>
      <c r="AU140" s="31">
        <v>105.396669650669</v>
      </c>
      <c r="AV140" s="30">
        <v>-6.9776845527736997E-3</v>
      </c>
      <c r="AW140" s="31">
        <v>100.808101655176</v>
      </c>
      <c r="AX140" s="30">
        <v>-7.5637355707263198E-3</v>
      </c>
      <c r="AY140" s="31">
        <v>113.549495374687</v>
      </c>
      <c r="AZ140" s="30">
        <v>-5.9746077008610001E-3</v>
      </c>
      <c r="BA140" s="31">
        <v>116.972785800203</v>
      </c>
      <c r="BB140" s="30">
        <v>-1.10707731488954E-2</v>
      </c>
      <c r="BC140" s="31">
        <v>103.003233725366</v>
      </c>
      <c r="BD140" s="30">
        <v>-1.8144268455304799E-2</v>
      </c>
      <c r="BE140" s="31"/>
      <c r="BF140" s="30"/>
    </row>
    <row r="141" spans="1:58" x14ac:dyDescent="0.2">
      <c r="A141" s="28">
        <v>2012</v>
      </c>
      <c r="B141" s="28">
        <v>2</v>
      </c>
      <c r="C141" s="31">
        <v>103.130528158357</v>
      </c>
      <c r="D141" s="30">
        <v>1.81383793858836E-3</v>
      </c>
      <c r="E141" s="31">
        <v>97.138956041651895</v>
      </c>
      <c r="F141" s="30">
        <v>1.5306794575193901E-3</v>
      </c>
      <c r="G141" s="31">
        <v>100.81159775342999</v>
      </c>
      <c r="H141" s="30">
        <v>-7.4471195590114503E-3</v>
      </c>
      <c r="I141" s="31">
        <v>101.698673215334</v>
      </c>
      <c r="J141" s="30">
        <v>-1.1776215680948301E-2</v>
      </c>
      <c r="K141" s="31">
        <v>96.914423708539204</v>
      </c>
      <c r="L141" s="30">
        <v>1.2718096746167799E-2</v>
      </c>
      <c r="M141" s="31">
        <v>89.171873753218506</v>
      </c>
      <c r="N141" s="30">
        <v>2.3698722647550501E-2</v>
      </c>
      <c r="O141" s="31">
        <v>101.224462355931</v>
      </c>
      <c r="P141" s="30">
        <v>-9.9240034407325206E-3</v>
      </c>
      <c r="Q141" s="31">
        <v>99.6548895232782</v>
      </c>
      <c r="R141" s="30">
        <v>3.5591447010914199E-3</v>
      </c>
      <c r="S141" s="31">
        <v>102.11620042259</v>
      </c>
      <c r="T141" s="30">
        <v>-1.7228030093054101E-2</v>
      </c>
      <c r="U141" s="31"/>
      <c r="V141" s="30"/>
      <c r="W141" s="31"/>
      <c r="X141" s="30"/>
      <c r="Y141" s="31"/>
      <c r="Z141" s="30"/>
      <c r="AA141" s="31">
        <v>112.05893744374799</v>
      </c>
      <c r="AB141" s="30">
        <v>2.4086273896240899E-2</v>
      </c>
      <c r="AC141" s="31">
        <v>113.95644715156401</v>
      </c>
      <c r="AD141" s="30">
        <v>3.2191285953620599E-2</v>
      </c>
      <c r="AE141" s="31">
        <v>115.12143493803801</v>
      </c>
      <c r="AF141" s="30">
        <v>1.39634476197248E-4</v>
      </c>
      <c r="AG141" s="31">
        <v>111.82752760407099</v>
      </c>
      <c r="AH141" s="30">
        <v>-1.2815821398116699E-3</v>
      </c>
      <c r="AI141" s="31">
        <v>106.75689208701</v>
      </c>
      <c r="AJ141" s="30">
        <v>1.06311805057069E-3</v>
      </c>
      <c r="AK141" s="31">
        <v>103.474314038393</v>
      </c>
      <c r="AL141" s="30">
        <v>2.7537348714028201E-2</v>
      </c>
      <c r="AM141" s="31">
        <v>104.536510490217</v>
      </c>
      <c r="AN141" s="30">
        <v>4.0653061441049201E-2</v>
      </c>
      <c r="AO141" s="31">
        <v>106.646272438681</v>
      </c>
      <c r="AP141" s="30">
        <v>-8.4623673020108904E-3</v>
      </c>
      <c r="AQ141" s="31">
        <v>106.932265177611</v>
      </c>
      <c r="AR141" s="30">
        <v>-9.0643994141967905E-3</v>
      </c>
      <c r="AS141" s="31">
        <v>99.468848552519106</v>
      </c>
      <c r="AT141" s="30">
        <v>-7.1892588317384902E-3</v>
      </c>
      <c r="AU141" s="31">
        <v>105.24380414896901</v>
      </c>
      <c r="AV141" s="30">
        <v>-4.7933670969786402E-3</v>
      </c>
      <c r="AW141" s="31">
        <v>100.940171437403</v>
      </c>
      <c r="AX141" s="30">
        <v>-8.1896236606072703E-3</v>
      </c>
      <c r="AY141" s="31">
        <v>112.852207730549</v>
      </c>
      <c r="AZ141" s="30">
        <v>6.1291740837665599E-4</v>
      </c>
      <c r="BA141" s="31">
        <v>116.02580292159899</v>
      </c>
      <c r="BB141" s="30">
        <v>2.5596872659239301E-6</v>
      </c>
      <c r="BC141" s="31">
        <v>103.771469876041</v>
      </c>
      <c r="BD141" s="30">
        <v>-8.3319974400439794E-3</v>
      </c>
      <c r="BE141" s="31"/>
      <c r="BF141" s="30"/>
    </row>
    <row r="142" spans="1:58" x14ac:dyDescent="0.2">
      <c r="A142" s="28">
        <v>2012</v>
      </c>
      <c r="B142" s="28">
        <v>3</v>
      </c>
      <c r="C142" s="31">
        <v>102.94899120490599</v>
      </c>
      <c r="D142" s="30">
        <v>2.2306080991263402E-3</v>
      </c>
      <c r="E142" s="31">
        <v>96.727474886677101</v>
      </c>
      <c r="F142" s="30">
        <v>-4.7143570212226899E-4</v>
      </c>
      <c r="G142" s="31">
        <v>100.367396881292</v>
      </c>
      <c r="H142" s="30">
        <v>-4.0451914701409297E-3</v>
      </c>
      <c r="I142" s="31">
        <v>101.100923741749</v>
      </c>
      <c r="J142" s="30">
        <v>-7.3840812688380497E-3</v>
      </c>
      <c r="K142" s="31">
        <v>97.143922159008497</v>
      </c>
      <c r="L142" s="30">
        <v>1.1554782335295499E-2</v>
      </c>
      <c r="M142" s="31">
        <v>88.802739772320805</v>
      </c>
      <c r="N142" s="30">
        <v>7.8040847005531599E-3</v>
      </c>
      <c r="O142" s="31">
        <v>101.362328823268</v>
      </c>
      <c r="P142" s="30">
        <v>-5.0167574893301703E-3</v>
      </c>
      <c r="Q142" s="31">
        <v>99.801555785951905</v>
      </c>
      <c r="R142" s="30">
        <v>1.9779911606341298E-3</v>
      </c>
      <c r="S142" s="31">
        <v>102.2274290095</v>
      </c>
      <c r="T142" s="30">
        <v>-8.4397233352103695E-3</v>
      </c>
      <c r="U142" s="31"/>
      <c r="V142" s="30"/>
      <c r="W142" s="31"/>
      <c r="X142" s="30"/>
      <c r="Y142" s="31"/>
      <c r="Z142" s="30"/>
      <c r="AA142" s="31">
        <v>114.61023763702001</v>
      </c>
      <c r="AB142" s="30">
        <v>5.3006776208244198E-2</v>
      </c>
      <c r="AC142" s="31">
        <v>117.184918482233</v>
      </c>
      <c r="AD142" s="30">
        <v>6.90924903013692E-2</v>
      </c>
      <c r="AE142" s="31">
        <v>115.848733758243</v>
      </c>
      <c r="AF142" s="30">
        <v>4.5788993162363401E-2</v>
      </c>
      <c r="AG142" s="31">
        <v>113.31773976302</v>
      </c>
      <c r="AH142" s="30">
        <v>4.5451204582973102E-2</v>
      </c>
      <c r="AI142" s="31">
        <v>107.582264779277</v>
      </c>
      <c r="AJ142" s="30">
        <v>9.9128821162366397E-3</v>
      </c>
      <c r="AK142" s="31">
        <v>105.75038926081901</v>
      </c>
      <c r="AL142" s="30">
        <v>5.5586558004886003E-2</v>
      </c>
      <c r="AM142" s="31">
        <v>108.271299462733</v>
      </c>
      <c r="AN142" s="30">
        <v>6.2805529292427401E-2</v>
      </c>
      <c r="AO142" s="31">
        <v>107.887102544504</v>
      </c>
      <c r="AP142" s="30">
        <v>2.88466825707312E-2</v>
      </c>
      <c r="AQ142" s="31">
        <v>108.13849510167699</v>
      </c>
      <c r="AR142" s="30">
        <v>2.8774004819315899E-2</v>
      </c>
      <c r="AS142" s="31">
        <v>98.230814578797506</v>
      </c>
      <c r="AT142" s="30">
        <v>3.83695434308369E-2</v>
      </c>
      <c r="AU142" s="31">
        <v>105.327164806719</v>
      </c>
      <c r="AV142" s="30">
        <v>9.2656206494652303E-3</v>
      </c>
      <c r="AW142" s="31">
        <v>100.664857802989</v>
      </c>
      <c r="AX142" s="30">
        <v>-4.3052674634251904E-3</v>
      </c>
      <c r="AY142" s="31">
        <v>113.62824769607199</v>
      </c>
      <c r="AZ142" s="30">
        <v>3.3945658841920703E-2</v>
      </c>
      <c r="BA142" s="31">
        <v>116.785663731133</v>
      </c>
      <c r="BB142" s="30">
        <v>4.6727400555394399E-2</v>
      </c>
      <c r="BC142" s="31">
        <v>104.01300480077499</v>
      </c>
      <c r="BD142" s="30">
        <v>3.2307025464795899E-2</v>
      </c>
      <c r="BE142" s="31"/>
      <c r="BF142" s="30"/>
    </row>
    <row r="143" spans="1:58" x14ac:dyDescent="0.2">
      <c r="A143" s="28">
        <v>2012</v>
      </c>
      <c r="B143" s="28">
        <v>4</v>
      </c>
      <c r="C143" s="31">
        <v>102.885005600136</v>
      </c>
      <c r="D143" s="30">
        <v>3.5298250694006899E-3</v>
      </c>
      <c r="E143" s="31">
        <v>97.176089598957006</v>
      </c>
      <c r="F143" s="30">
        <v>-2.8571233278661401E-3</v>
      </c>
      <c r="G143" s="31">
        <v>100.25383607356601</v>
      </c>
      <c r="H143" s="30">
        <v>-4.2962682268697901E-3</v>
      </c>
      <c r="I143" s="31">
        <v>100.93738354142999</v>
      </c>
      <c r="J143" s="30">
        <v>-7.3515546017032304E-3</v>
      </c>
      <c r="K143" s="31">
        <v>97.298751295101397</v>
      </c>
      <c r="L143" s="30">
        <v>9.7932438072490004E-3</v>
      </c>
      <c r="M143" s="31">
        <v>90.496990015415605</v>
      </c>
      <c r="N143" s="30">
        <v>4.7083358699588898E-3</v>
      </c>
      <c r="O143" s="31">
        <v>101.42804246276199</v>
      </c>
      <c r="P143" s="30">
        <v>6.24415936239187E-4</v>
      </c>
      <c r="Q143" s="31">
        <v>99.900114378551507</v>
      </c>
      <c r="R143" s="30">
        <v>1.8819543988977099E-3</v>
      </c>
      <c r="S143" s="31">
        <v>102.280832213745</v>
      </c>
      <c r="T143" s="30">
        <v>3.9098185731711898E-4</v>
      </c>
      <c r="U143" s="31"/>
      <c r="V143" s="30"/>
      <c r="W143" s="31"/>
      <c r="X143" s="30"/>
      <c r="Y143" s="31"/>
      <c r="Z143" s="30"/>
      <c r="AA143" s="31">
        <v>112.974177976028</v>
      </c>
      <c r="AB143" s="30">
        <v>9.6135568591935207E-3</v>
      </c>
      <c r="AC143" s="31">
        <v>115.259702751926</v>
      </c>
      <c r="AD143" s="30">
        <v>1.33775032562959E-2</v>
      </c>
      <c r="AE143" s="31">
        <v>115.1313634439</v>
      </c>
      <c r="AF143" s="30">
        <v>1.0959578169955599E-2</v>
      </c>
      <c r="AG143" s="31">
        <v>112.449306164557</v>
      </c>
      <c r="AH143" s="30">
        <v>2.8540198576845199E-3</v>
      </c>
      <c r="AI143" s="31">
        <v>106.844724103025</v>
      </c>
      <c r="AJ143" s="30">
        <v>1.8314387755358199E-3</v>
      </c>
      <c r="AK143" s="31">
        <v>104.981537878974</v>
      </c>
      <c r="AL143" s="30">
        <v>3.3975279534797002E-3</v>
      </c>
      <c r="AM143" s="31">
        <v>106.344503930662</v>
      </c>
      <c r="AN143" s="30">
        <v>2.4508229567370399E-3</v>
      </c>
      <c r="AO143" s="31">
        <v>107.56648765294</v>
      </c>
      <c r="AP143" s="30">
        <v>4.9761537162074099E-3</v>
      </c>
      <c r="AQ143" s="31">
        <v>107.868408173639</v>
      </c>
      <c r="AR143" s="30">
        <v>5.2397432729487398E-3</v>
      </c>
      <c r="AS143" s="31">
        <v>100.38929677398799</v>
      </c>
      <c r="AT143" s="30">
        <v>8.6244196829763399E-3</v>
      </c>
      <c r="AU143" s="31">
        <v>105.034435679913</v>
      </c>
      <c r="AV143" s="30">
        <v>7.38447140937737E-4</v>
      </c>
      <c r="AW143" s="31">
        <v>100.605961490174</v>
      </c>
      <c r="AX143" s="30">
        <v>-2.8611593484367801E-3</v>
      </c>
      <c r="AY143" s="31">
        <v>112.886797728674</v>
      </c>
      <c r="AZ143" s="30">
        <v>7.3154353553688302E-3</v>
      </c>
      <c r="BA143" s="31">
        <v>116.046897365283</v>
      </c>
      <c r="BB143" s="30">
        <v>1.0853420979036099E-2</v>
      </c>
      <c r="BC143" s="31">
        <v>104.745885607107</v>
      </c>
      <c r="BD143" s="30">
        <v>7.1034923517212497E-3</v>
      </c>
      <c r="BE143" s="31"/>
      <c r="BF143" s="30"/>
    </row>
    <row r="144" spans="1:58" x14ac:dyDescent="0.2">
      <c r="A144" s="28">
        <v>2013</v>
      </c>
      <c r="B144" s="28">
        <v>1</v>
      </c>
      <c r="C144" s="31">
        <v>103.21894420922</v>
      </c>
      <c r="D144" s="30">
        <v>-1.8962752851959799E-3</v>
      </c>
      <c r="E144" s="31">
        <v>97.362266516370894</v>
      </c>
      <c r="F144" s="30">
        <v>4.96527150458959E-3</v>
      </c>
      <c r="G144" s="31">
        <v>100.048552743998</v>
      </c>
      <c r="H144" s="30">
        <v>-5.2546147400503998E-3</v>
      </c>
      <c r="I144" s="31">
        <v>100.662409697451</v>
      </c>
      <c r="J144" s="30">
        <v>-8.0154692168446003E-3</v>
      </c>
      <c r="K144" s="31">
        <v>97.369021571069894</v>
      </c>
      <c r="L144" s="30">
        <v>7.4704635355571404E-3</v>
      </c>
      <c r="M144" s="31">
        <v>91.5259681002712</v>
      </c>
      <c r="N144" s="30">
        <v>2.9815627039405702E-2</v>
      </c>
      <c r="O144" s="31">
        <v>101.518868780866</v>
      </c>
      <c r="P144" s="30">
        <v>1.74088781926329E-3</v>
      </c>
      <c r="Q144" s="31">
        <v>99.949607291984606</v>
      </c>
      <c r="R144" s="30">
        <v>3.2629154445305E-3</v>
      </c>
      <c r="S144" s="31">
        <v>102.421300803064</v>
      </c>
      <c r="T144" s="30">
        <v>3.7980568191864399E-4</v>
      </c>
      <c r="U144" s="31"/>
      <c r="V144" s="30"/>
      <c r="W144" s="31"/>
      <c r="X144" s="30"/>
      <c r="Y144" s="31"/>
      <c r="Z144" s="30"/>
      <c r="AA144" s="31">
        <v>112.69442531687601</v>
      </c>
      <c r="AB144" s="30">
        <v>-6.7239460945468501E-3</v>
      </c>
      <c r="AC144" s="31">
        <v>114.845453715335</v>
      </c>
      <c r="AD144" s="30">
        <v>-8.0869239725144294E-3</v>
      </c>
      <c r="AE144" s="31">
        <v>116.36256064997499</v>
      </c>
      <c r="AF144" s="30">
        <v>3.33359518647325E-3</v>
      </c>
      <c r="AG144" s="31">
        <v>113.135490149625</v>
      </c>
      <c r="AH144" s="30">
        <v>3.1984313417936501E-3</v>
      </c>
      <c r="AI144" s="31">
        <v>106.79504486886</v>
      </c>
      <c r="AJ144" s="30">
        <v>-1.58717068161263E-3</v>
      </c>
      <c r="AK144" s="31">
        <v>104.35255351259499</v>
      </c>
      <c r="AL144" s="30">
        <v>3.8023551443879802E-3</v>
      </c>
      <c r="AM144" s="31">
        <v>106.10598432038699</v>
      </c>
      <c r="AN144" s="30">
        <v>-3.50633653087939E-3</v>
      </c>
      <c r="AO144" s="31">
        <v>109.669627394128</v>
      </c>
      <c r="AP144" s="30">
        <v>2.1215018020155602E-2</v>
      </c>
      <c r="AQ144" s="31">
        <v>110.01454998040801</v>
      </c>
      <c r="AR144" s="30">
        <v>2.1396186048314499E-2</v>
      </c>
      <c r="AS144" s="31">
        <v>98.768140058840302</v>
      </c>
      <c r="AT144" s="30">
        <v>2.6518385969224002E-2</v>
      </c>
      <c r="AU144" s="31">
        <v>105.248743291767</v>
      </c>
      <c r="AV144" s="30">
        <v>-1.40352023827195E-3</v>
      </c>
      <c r="AW144" s="31">
        <v>100.47649338551101</v>
      </c>
      <c r="AX144" s="30">
        <v>-3.28950019116037E-3</v>
      </c>
      <c r="AY144" s="31">
        <v>113.775492320365</v>
      </c>
      <c r="AZ144" s="30">
        <v>1.9902945841572301E-3</v>
      </c>
      <c r="BA144" s="31">
        <v>117.439523602744</v>
      </c>
      <c r="BB144" s="30">
        <v>3.9901400941091403E-3</v>
      </c>
      <c r="BC144" s="31">
        <v>105.36128826193899</v>
      </c>
      <c r="BD144" s="30">
        <v>2.2893014629621601E-2</v>
      </c>
      <c r="BE144" s="31"/>
      <c r="BF144" s="30"/>
    </row>
    <row r="145" spans="1:58" x14ac:dyDescent="0.2">
      <c r="A145" s="28">
        <v>2013</v>
      </c>
      <c r="B145" s="28">
        <v>2</v>
      </c>
      <c r="C145" s="31">
        <v>103.29172180254101</v>
      </c>
      <c r="D145" s="30">
        <v>1.56300609589999E-3</v>
      </c>
      <c r="E145" s="31">
        <v>98.894252853922595</v>
      </c>
      <c r="F145" s="30">
        <v>1.80699575515102E-2</v>
      </c>
      <c r="G145" s="31">
        <v>100.296897198113</v>
      </c>
      <c r="H145" s="30">
        <v>-5.1055688709209504E-3</v>
      </c>
      <c r="I145" s="31">
        <v>100.937665622701</v>
      </c>
      <c r="J145" s="30">
        <v>-7.4829648074342704E-3</v>
      </c>
      <c r="K145" s="31">
        <v>97.491975754120801</v>
      </c>
      <c r="L145" s="30">
        <v>5.95940236221693E-3</v>
      </c>
      <c r="M145" s="31">
        <v>97.086237794944694</v>
      </c>
      <c r="N145" s="30">
        <v>8.8754039907571899E-2</v>
      </c>
      <c r="O145" s="31">
        <v>101.573161858456</v>
      </c>
      <c r="P145" s="30">
        <v>3.4448145676322399E-3</v>
      </c>
      <c r="Q145" s="31">
        <v>100.173314835873</v>
      </c>
      <c r="R145" s="30">
        <v>5.2022064855556903E-3</v>
      </c>
      <c r="S145" s="31">
        <v>102.375140789383</v>
      </c>
      <c r="T145" s="30">
        <v>2.5357422791025801E-3</v>
      </c>
      <c r="U145" s="31"/>
      <c r="V145" s="30"/>
      <c r="W145" s="31"/>
      <c r="X145" s="30"/>
      <c r="Y145" s="31"/>
      <c r="Z145" s="30"/>
      <c r="AA145" s="31">
        <v>105.931655958474</v>
      </c>
      <c r="AB145" s="30">
        <v>-5.46790967775381E-2</v>
      </c>
      <c r="AC145" s="31">
        <v>106.119742640418</v>
      </c>
      <c r="AD145" s="30">
        <v>-6.8769294822982205E-2</v>
      </c>
      <c r="AE145" s="31">
        <v>114.952568690192</v>
      </c>
      <c r="AF145" s="30">
        <v>-1.46685322274942E-3</v>
      </c>
      <c r="AG145" s="31">
        <v>112.83083434151</v>
      </c>
      <c r="AH145" s="30">
        <v>8.9719120053415296E-3</v>
      </c>
      <c r="AI145" s="31">
        <v>107.060168861995</v>
      </c>
      <c r="AJ145" s="30">
        <v>2.8408168227458401E-3</v>
      </c>
      <c r="AK145" s="31">
        <v>98.446500281118006</v>
      </c>
      <c r="AL145" s="30">
        <v>-4.8589969443136899E-2</v>
      </c>
      <c r="AM145" s="31">
        <v>97.223088192507802</v>
      </c>
      <c r="AN145" s="30">
        <v>-6.9960459397521296E-2</v>
      </c>
      <c r="AO145" s="31">
        <v>106.81156159577399</v>
      </c>
      <c r="AP145" s="30">
        <v>1.5498821788486601E-3</v>
      </c>
      <c r="AQ145" s="31">
        <v>107.195769663384</v>
      </c>
      <c r="AR145" s="30">
        <v>2.4642186839953801E-3</v>
      </c>
      <c r="AS145" s="31">
        <v>102.080926696535</v>
      </c>
      <c r="AT145" s="30">
        <v>2.6260263208303099E-2</v>
      </c>
      <c r="AU145" s="31">
        <v>105.137255212878</v>
      </c>
      <c r="AV145" s="30">
        <v>-1.01240103350464E-3</v>
      </c>
      <c r="AW145" s="31">
        <v>100.676714934275</v>
      </c>
      <c r="AX145" s="30">
        <v>-2.61002630940654E-3</v>
      </c>
      <c r="AY145" s="31">
        <v>113.047350238278</v>
      </c>
      <c r="AZ145" s="30">
        <v>1.72918644352049E-3</v>
      </c>
      <c r="BA145" s="31">
        <v>116.16818431226901</v>
      </c>
      <c r="BB145" s="30">
        <v>1.2271528150185099E-3</v>
      </c>
      <c r="BC145" s="31">
        <v>104.95690366930999</v>
      </c>
      <c r="BD145" s="30">
        <v>1.1423503923430899E-2</v>
      </c>
      <c r="BE145" s="31"/>
      <c r="BF145" s="30"/>
    </row>
    <row r="146" spans="1:58" x14ac:dyDescent="0.2">
      <c r="A146" s="28">
        <v>2013</v>
      </c>
      <c r="B146" s="28">
        <v>3</v>
      </c>
      <c r="C146" s="31">
        <v>102.97757614605899</v>
      </c>
      <c r="D146" s="30">
        <v>2.77661206952606E-4</v>
      </c>
      <c r="E146" s="31">
        <v>97.435216508238497</v>
      </c>
      <c r="F146" s="30">
        <v>7.3168623743213902E-3</v>
      </c>
      <c r="G146" s="31">
        <v>100.236512969079</v>
      </c>
      <c r="H146" s="30">
        <v>-1.30404809011075E-3</v>
      </c>
      <c r="I146" s="31">
        <v>100.825107720723</v>
      </c>
      <c r="J146" s="30">
        <v>-2.7281256275137901E-3</v>
      </c>
      <c r="K146" s="31">
        <v>97.657696943680904</v>
      </c>
      <c r="L146" s="30">
        <v>5.2888000942712399E-3</v>
      </c>
      <c r="M146" s="31">
        <v>91.425113736598107</v>
      </c>
      <c r="N146" s="30">
        <v>2.9530327228649799E-2</v>
      </c>
      <c r="O146" s="31">
        <v>102.07819042670501</v>
      </c>
      <c r="P146" s="30">
        <v>7.0624028842600798E-3</v>
      </c>
      <c r="Q146" s="31">
        <v>100.571920767865</v>
      </c>
      <c r="R146" s="30">
        <v>7.7189676638478302E-3</v>
      </c>
      <c r="S146" s="31">
        <v>102.938999139196</v>
      </c>
      <c r="T146" s="30">
        <v>6.9606575905389904E-3</v>
      </c>
      <c r="U146" s="31"/>
      <c r="V146" s="30"/>
      <c r="W146" s="31"/>
      <c r="X146" s="30"/>
      <c r="Y146" s="31"/>
      <c r="Z146" s="30"/>
      <c r="AA146" s="31">
        <v>106.91681295035301</v>
      </c>
      <c r="AB146" s="30">
        <v>-6.7126853981686205E-2</v>
      </c>
      <c r="AC146" s="31">
        <v>106.855891318432</v>
      </c>
      <c r="AD146" s="30">
        <v>-8.8142973495062199E-2</v>
      </c>
      <c r="AE146" s="31">
        <v>115.070081891732</v>
      </c>
      <c r="AF146" s="30">
        <v>-6.72128077063205E-3</v>
      </c>
      <c r="AG146" s="31">
        <v>113.01068696925201</v>
      </c>
      <c r="AH146" s="30">
        <v>-2.7096621800817302E-3</v>
      </c>
      <c r="AI146" s="31">
        <v>107.39227428984</v>
      </c>
      <c r="AJ146" s="30">
        <v>-1.76600195047938E-3</v>
      </c>
      <c r="AK146" s="31">
        <v>98.541385840172694</v>
      </c>
      <c r="AL146" s="30">
        <v>-6.8169994181924307E-2</v>
      </c>
      <c r="AM146" s="31">
        <v>97.342226652980202</v>
      </c>
      <c r="AN146" s="30">
        <v>-0.100941550198303</v>
      </c>
      <c r="AO146" s="31">
        <v>107.55590859713701</v>
      </c>
      <c r="AP146" s="30">
        <v>-3.06981964994613E-3</v>
      </c>
      <c r="AQ146" s="31">
        <v>107.993048989198</v>
      </c>
      <c r="AR146" s="30">
        <v>-1.3449984886648701E-3</v>
      </c>
      <c r="AS146" s="31">
        <v>100.643408056475</v>
      </c>
      <c r="AT146" s="30">
        <v>2.4560454761804101E-2</v>
      </c>
      <c r="AU146" s="31">
        <v>105.260993125407</v>
      </c>
      <c r="AV146" s="30">
        <v>-6.28248955847011E-4</v>
      </c>
      <c r="AW146" s="31">
        <v>100.774682407911</v>
      </c>
      <c r="AX146" s="30">
        <v>1.0909925004485301E-3</v>
      </c>
      <c r="AY146" s="31">
        <v>113.220320442079</v>
      </c>
      <c r="AZ146" s="30">
        <v>-3.5900162350848098E-3</v>
      </c>
      <c r="BA146" s="31">
        <v>116.24648943814</v>
      </c>
      <c r="BB146" s="30">
        <v>-4.6167849354734596E-3</v>
      </c>
      <c r="BC146" s="31">
        <v>104.91368930671101</v>
      </c>
      <c r="BD146" s="30">
        <v>8.6593451238248208E-3</v>
      </c>
      <c r="BE146" s="31"/>
      <c r="BF146" s="30"/>
    </row>
    <row r="147" spans="1:58" x14ac:dyDescent="0.2">
      <c r="A147" s="28">
        <v>2013</v>
      </c>
      <c r="B147" s="28">
        <v>4</v>
      </c>
      <c r="C147" s="31">
        <v>102.769799948954</v>
      </c>
      <c r="D147" s="30">
        <v>-1.1197516150250901E-3</v>
      </c>
      <c r="E147" s="31">
        <v>98.286663312465507</v>
      </c>
      <c r="F147" s="30">
        <v>1.14284667976645E-2</v>
      </c>
      <c r="G147" s="31">
        <v>100.14849163812301</v>
      </c>
      <c r="H147" s="30">
        <v>-1.05077710308821E-3</v>
      </c>
      <c r="I147" s="31">
        <v>100.69708878661601</v>
      </c>
      <c r="J147" s="30">
        <v>-2.38063189655935E-3</v>
      </c>
      <c r="K147" s="31">
        <v>97.759226651179802</v>
      </c>
      <c r="L147" s="30">
        <v>4.7325926586852E-3</v>
      </c>
      <c r="M147" s="31">
        <v>94.251668581720807</v>
      </c>
      <c r="N147" s="30">
        <v>4.14895408749563E-2</v>
      </c>
      <c r="O147" s="31">
        <v>101.96991471368101</v>
      </c>
      <c r="P147" s="30">
        <v>5.3424303354534502E-3</v>
      </c>
      <c r="Q147" s="31">
        <v>100.66871465251</v>
      </c>
      <c r="R147" s="30">
        <v>7.6936876272792904E-3</v>
      </c>
      <c r="S147" s="31">
        <v>102.706382833825</v>
      </c>
      <c r="T147" s="30">
        <v>4.1606096750441699E-3</v>
      </c>
      <c r="U147" s="31"/>
      <c r="V147" s="30"/>
      <c r="W147" s="31"/>
      <c r="X147" s="30"/>
      <c r="Y147" s="31"/>
      <c r="Z147" s="30"/>
      <c r="AA147" s="31">
        <v>104.91448548407401</v>
      </c>
      <c r="AB147" s="30">
        <v>-7.1341014702170705E-2</v>
      </c>
      <c r="AC147" s="31">
        <v>103.982874431532</v>
      </c>
      <c r="AD147" s="30">
        <v>-9.7838429660583898E-2</v>
      </c>
      <c r="AE147" s="31">
        <v>114.629247141476</v>
      </c>
      <c r="AF147" s="30">
        <v>-4.3612469044435097E-3</v>
      </c>
      <c r="AG147" s="31">
        <v>112.73959415245299</v>
      </c>
      <c r="AH147" s="30">
        <v>2.5815009251455301E-3</v>
      </c>
      <c r="AI147" s="31">
        <v>107.469092542037</v>
      </c>
      <c r="AJ147" s="30">
        <v>5.8436992959023399E-3</v>
      </c>
      <c r="AK147" s="31">
        <v>98.1234769981168</v>
      </c>
      <c r="AL147" s="30">
        <v>-6.5326351846391406E-2</v>
      </c>
      <c r="AM147" s="31">
        <v>95.890536780649896</v>
      </c>
      <c r="AN147" s="30">
        <v>-9.8302843716571206E-2</v>
      </c>
      <c r="AO147" s="31">
        <v>107.318334673238</v>
      </c>
      <c r="AP147" s="30">
        <v>-2.3069729719394898E-3</v>
      </c>
      <c r="AQ147" s="31">
        <v>107.90823303843101</v>
      </c>
      <c r="AR147" s="30">
        <v>3.6919859546480398E-4</v>
      </c>
      <c r="AS147" s="31">
        <v>102.305784401803</v>
      </c>
      <c r="AT147" s="30">
        <v>1.9090557354231E-2</v>
      </c>
      <c r="AU147" s="31">
        <v>105.155767195593</v>
      </c>
      <c r="AV147" s="30">
        <v>1.15515939982225E-3</v>
      </c>
      <c r="AW147" s="31">
        <v>100.688794243807</v>
      </c>
      <c r="AX147" s="30">
        <v>8.2333842255621903E-4</v>
      </c>
      <c r="AY147" s="31">
        <v>113.07715594794099</v>
      </c>
      <c r="AZ147" s="30">
        <v>1.68627530496868E-3</v>
      </c>
      <c r="BA147" s="31">
        <v>115.970139606619</v>
      </c>
      <c r="BB147" s="30">
        <v>-6.6143740510160598E-4</v>
      </c>
      <c r="BC147" s="31">
        <v>105.508845954115</v>
      </c>
      <c r="BD147" s="30">
        <v>7.2839170969401E-3</v>
      </c>
      <c r="BE147" s="31"/>
      <c r="BF147" s="30"/>
    </row>
    <row r="148" spans="1:58" x14ac:dyDescent="0.2">
      <c r="A148" s="28">
        <v>2014</v>
      </c>
      <c r="B148" s="28">
        <v>1</v>
      </c>
      <c r="C148" s="31">
        <v>103.128741902575</v>
      </c>
      <c r="D148" s="30">
        <v>-8.7389294026007903E-4</v>
      </c>
      <c r="E148" s="31">
        <v>98.002942500196497</v>
      </c>
      <c r="F148" s="30">
        <v>6.5803314440906497E-3</v>
      </c>
      <c r="G148" s="31">
        <v>100.097066125365</v>
      </c>
      <c r="H148" s="30">
        <v>4.84898382204557E-4</v>
      </c>
      <c r="I148" s="31">
        <v>100.621900256513</v>
      </c>
      <c r="J148" s="30">
        <v>-4.0242868275752698E-4</v>
      </c>
      <c r="K148" s="31">
        <v>97.801246010146002</v>
      </c>
      <c r="L148" s="30">
        <v>4.4390344290412597E-3</v>
      </c>
      <c r="M148" s="31">
        <v>93.673720426442898</v>
      </c>
      <c r="N148" s="30">
        <v>2.3466043252540598E-2</v>
      </c>
      <c r="O148" s="31">
        <v>101.849508305787</v>
      </c>
      <c r="P148" s="30">
        <v>3.2569268047577499E-3</v>
      </c>
      <c r="Q148" s="31">
        <v>100.46489057480299</v>
      </c>
      <c r="R148" s="30">
        <v>5.1554307893702002E-3</v>
      </c>
      <c r="S148" s="31">
        <v>102.64483430201599</v>
      </c>
      <c r="T148" s="30">
        <v>2.1824903335407901E-3</v>
      </c>
      <c r="U148" s="31"/>
      <c r="V148" s="30"/>
      <c r="W148" s="31"/>
      <c r="X148" s="30"/>
      <c r="Y148" s="31"/>
      <c r="Z148" s="30"/>
      <c r="AA148" s="31">
        <v>104.318998149959</v>
      </c>
      <c r="AB148" s="30">
        <v>-7.4319800144212897E-2</v>
      </c>
      <c r="AC148" s="31">
        <v>103.73599432127</v>
      </c>
      <c r="AD148" s="30">
        <v>-9.6733993681643093E-2</v>
      </c>
      <c r="AE148" s="31">
        <v>114.072533419544</v>
      </c>
      <c r="AF148" s="30">
        <v>-1.9680103442540699E-2</v>
      </c>
      <c r="AG148" s="31">
        <v>112.715436989361</v>
      </c>
      <c r="AH148" s="30">
        <v>-3.7128328140753099E-3</v>
      </c>
      <c r="AI148" s="31">
        <v>106.421173672111</v>
      </c>
      <c r="AJ148" s="30">
        <v>-3.50082906194016E-3</v>
      </c>
      <c r="AK148" s="31">
        <v>96.283405458843305</v>
      </c>
      <c r="AL148" s="30">
        <v>-7.7325832307279296E-2</v>
      </c>
      <c r="AM148" s="31">
        <v>94.637546215603294</v>
      </c>
      <c r="AN148" s="30">
        <v>-0.108084743553719</v>
      </c>
      <c r="AO148" s="31">
        <v>106.670347319199</v>
      </c>
      <c r="AP148" s="30">
        <v>-2.7348320097328901E-2</v>
      </c>
      <c r="AQ148" s="31">
        <v>107.27935233836</v>
      </c>
      <c r="AR148" s="30">
        <v>-2.4862144530297899E-2</v>
      </c>
      <c r="AS148" s="31">
        <v>99.734311865536498</v>
      </c>
      <c r="AT148" s="30">
        <v>9.7822213329177305E-3</v>
      </c>
      <c r="AU148" s="31">
        <v>104.87499106473</v>
      </c>
      <c r="AV148" s="30">
        <v>-3.5511324444187399E-3</v>
      </c>
      <c r="AW148" s="31">
        <v>100.610704919824</v>
      </c>
      <c r="AX148" s="30">
        <v>1.3357505799769199E-3</v>
      </c>
      <c r="AY148" s="31">
        <v>112.430879219109</v>
      </c>
      <c r="AZ148" s="30">
        <v>-1.18181259762874E-2</v>
      </c>
      <c r="BA148" s="31">
        <v>115.56357068400401</v>
      </c>
      <c r="BB148" s="30">
        <v>-1.5973778343020498E-2</v>
      </c>
      <c r="BC148" s="31">
        <v>104.10251637393399</v>
      </c>
      <c r="BD148" s="30">
        <v>-1.1947195300758801E-2</v>
      </c>
      <c r="BE148" s="31"/>
      <c r="BF148" s="30"/>
    </row>
    <row r="149" spans="1:58" x14ac:dyDescent="0.2">
      <c r="A149" s="28">
        <v>2014</v>
      </c>
      <c r="B149" s="28">
        <v>2</v>
      </c>
      <c r="C149" s="31">
        <v>102.780317630881</v>
      </c>
      <c r="D149" s="30">
        <v>-4.9510663849485796E-3</v>
      </c>
      <c r="E149" s="31">
        <v>98.202272460383099</v>
      </c>
      <c r="F149" s="30">
        <v>-6.9971749982444802E-3</v>
      </c>
      <c r="G149" s="31">
        <v>100.348968272533</v>
      </c>
      <c r="H149" s="30">
        <v>5.1916934496487599E-4</v>
      </c>
      <c r="I149" s="31">
        <v>100.927292762539</v>
      </c>
      <c r="J149" s="30">
        <v>-1.02765009452721E-4</v>
      </c>
      <c r="K149" s="31">
        <v>97.819906904561904</v>
      </c>
      <c r="L149" s="30">
        <v>3.36367324494713E-3</v>
      </c>
      <c r="M149" s="31">
        <v>93.741798213265994</v>
      </c>
      <c r="N149" s="30">
        <v>-3.4448132481376001E-2</v>
      </c>
      <c r="O149" s="31">
        <v>101.737066246311</v>
      </c>
      <c r="P149" s="30">
        <v>1.6136584197701299E-3</v>
      </c>
      <c r="Q149" s="31">
        <v>100.403064340265</v>
      </c>
      <c r="R149" s="30">
        <v>2.2935200334326402E-3</v>
      </c>
      <c r="S149" s="31">
        <v>102.500093222736</v>
      </c>
      <c r="T149" s="30">
        <v>1.2205349110136999E-3</v>
      </c>
      <c r="U149" s="31"/>
      <c r="V149" s="30"/>
      <c r="W149" s="31"/>
      <c r="X149" s="30"/>
      <c r="Y149" s="31"/>
      <c r="Z149" s="30"/>
      <c r="AA149" s="31">
        <v>104.498197088281</v>
      </c>
      <c r="AB149" s="30">
        <v>-1.35319216642371E-2</v>
      </c>
      <c r="AC149" s="31">
        <v>103.96044934806601</v>
      </c>
      <c r="AD149" s="30">
        <v>-2.0347705701370102E-2</v>
      </c>
      <c r="AE149" s="31">
        <v>113.208997676358</v>
      </c>
      <c r="AF149" s="30">
        <v>-1.5167742954336001E-2</v>
      </c>
      <c r="AG149" s="31">
        <v>111.69703173551601</v>
      </c>
      <c r="AH149" s="30">
        <v>-1.0048694690693199E-2</v>
      </c>
      <c r="AI149" s="31">
        <v>106.33067540080501</v>
      </c>
      <c r="AJ149" s="30">
        <v>-6.8138642871968802E-3</v>
      </c>
      <c r="AK149" s="31">
        <v>97.342064705151998</v>
      </c>
      <c r="AL149" s="30">
        <v>-1.1218637257924E-2</v>
      </c>
      <c r="AM149" s="31">
        <v>94.645138104781793</v>
      </c>
      <c r="AN149" s="30">
        <v>-2.6515821865495899E-2</v>
      </c>
      <c r="AO149" s="31">
        <v>105.136801589138</v>
      </c>
      <c r="AP149" s="30">
        <v>-1.56795760834787E-2</v>
      </c>
      <c r="AQ149" s="31">
        <v>105.58549988231201</v>
      </c>
      <c r="AR149" s="30">
        <v>-1.50217661212568E-2</v>
      </c>
      <c r="AS149" s="31">
        <v>102.86327637500101</v>
      </c>
      <c r="AT149" s="30">
        <v>7.6640142657797804E-3</v>
      </c>
      <c r="AU149" s="31">
        <v>104.712898604573</v>
      </c>
      <c r="AV149" s="30">
        <v>-4.0362153971553703E-3</v>
      </c>
      <c r="AW149" s="31">
        <v>100.75785767425999</v>
      </c>
      <c r="AX149" s="30">
        <v>8.0597325844244895E-4</v>
      </c>
      <c r="AY149" s="31">
        <v>111.699597319928</v>
      </c>
      <c r="AZ149" s="30">
        <v>-1.19220213079674E-2</v>
      </c>
      <c r="BA149" s="31">
        <v>114.49766150816301</v>
      </c>
      <c r="BB149" s="30">
        <v>-1.4380209297367901E-2</v>
      </c>
      <c r="BC149" s="31">
        <v>104.300572509864</v>
      </c>
      <c r="BD149" s="30">
        <v>-6.2533395755800499E-3</v>
      </c>
      <c r="BE149" s="31"/>
      <c r="BF149" s="30"/>
    </row>
    <row r="150" spans="1:58" x14ac:dyDescent="0.2">
      <c r="A150" s="28">
        <v>2014</v>
      </c>
      <c r="B150" s="28">
        <v>3</v>
      </c>
      <c r="C150" s="31">
        <v>102.409245452373</v>
      </c>
      <c r="D150" s="30">
        <v>-5.5189752464067697E-3</v>
      </c>
      <c r="E150" s="31">
        <v>97.871131604469497</v>
      </c>
      <c r="F150" s="30">
        <v>4.4738967270023799E-3</v>
      </c>
      <c r="G150" s="31">
        <v>100.09924771918899</v>
      </c>
      <c r="H150" s="30">
        <v>-1.36941365800003E-3</v>
      </c>
      <c r="I150" s="31">
        <v>100.619946672979</v>
      </c>
      <c r="J150" s="30">
        <v>-2.0348210121735599E-3</v>
      </c>
      <c r="K150" s="31">
        <v>97.820008657529797</v>
      </c>
      <c r="L150" s="30">
        <v>1.6620473237505299E-3</v>
      </c>
      <c r="M150" s="31">
        <v>93.229085385775207</v>
      </c>
      <c r="N150" s="30">
        <v>1.97316861357648E-2</v>
      </c>
      <c r="O150" s="31">
        <v>101.80988205836</v>
      </c>
      <c r="P150" s="30">
        <v>-2.6284592940318801E-3</v>
      </c>
      <c r="Q150" s="31">
        <v>100.483772834861</v>
      </c>
      <c r="R150" s="30">
        <v>-8.7646663533158498E-4</v>
      </c>
      <c r="S150" s="31">
        <v>102.56579320624</v>
      </c>
      <c r="T150" s="30">
        <v>-3.6255057468691501E-3</v>
      </c>
      <c r="U150" s="31"/>
      <c r="V150" s="30"/>
      <c r="W150" s="31"/>
      <c r="X150" s="30"/>
      <c r="Y150" s="31"/>
      <c r="Z150" s="30"/>
      <c r="AA150" s="31">
        <v>104.31507470822901</v>
      </c>
      <c r="AB150" s="30">
        <v>-2.4334229297802601E-2</v>
      </c>
      <c r="AC150" s="31">
        <v>103.60847854047699</v>
      </c>
      <c r="AD150" s="30">
        <v>-3.0390582474084799E-2</v>
      </c>
      <c r="AE150" s="31">
        <v>112.427793363406</v>
      </c>
      <c r="AF150" s="30">
        <v>-2.2962428503460201E-2</v>
      </c>
      <c r="AG150" s="31">
        <v>110.73348448205201</v>
      </c>
      <c r="AH150" s="30">
        <v>-2.0150328683687602E-2</v>
      </c>
      <c r="AI150" s="31">
        <v>106.43980151023899</v>
      </c>
      <c r="AJ150" s="30">
        <v>-8.8690996247176006E-3</v>
      </c>
      <c r="AK150" s="31">
        <v>97.319422837106501</v>
      </c>
      <c r="AL150" s="30">
        <v>-1.24005055606594E-2</v>
      </c>
      <c r="AM150" s="31">
        <v>95.591916671048295</v>
      </c>
      <c r="AN150" s="30">
        <v>-1.7980993882250201E-2</v>
      </c>
      <c r="AO150" s="31">
        <v>106.193643116258</v>
      </c>
      <c r="AP150" s="30">
        <v>-1.26656498805824E-2</v>
      </c>
      <c r="AQ150" s="31">
        <v>106.67522770690999</v>
      </c>
      <c r="AR150" s="30">
        <v>-1.22028342992688E-2</v>
      </c>
      <c r="AS150" s="31">
        <v>100.523064408379</v>
      </c>
      <c r="AT150" s="30">
        <v>-1.1957429743275599E-3</v>
      </c>
      <c r="AU150" s="31">
        <v>104.453520162405</v>
      </c>
      <c r="AV150" s="30">
        <v>-7.6711509081043303E-3</v>
      </c>
      <c r="AW150" s="31">
        <v>100.602013502359</v>
      </c>
      <c r="AX150" s="30">
        <v>-1.7134155268573299E-3</v>
      </c>
      <c r="AY150" s="31">
        <v>111.245188738564</v>
      </c>
      <c r="AZ150" s="30">
        <v>-1.74450283818515E-2</v>
      </c>
      <c r="BA150" s="31">
        <v>113.701708240776</v>
      </c>
      <c r="BB150" s="30">
        <v>-2.1891252025452099E-2</v>
      </c>
      <c r="BC150" s="31">
        <v>104.07511999083501</v>
      </c>
      <c r="BD150" s="30">
        <v>-7.9929446902253804E-3</v>
      </c>
      <c r="BE150" s="31"/>
      <c r="BF150" s="30"/>
    </row>
    <row r="151" spans="1:58" x14ac:dyDescent="0.2">
      <c r="A151" s="28">
        <v>2014</v>
      </c>
      <c r="B151" s="28">
        <v>4</v>
      </c>
      <c r="C151" s="31">
        <v>101.482928318932</v>
      </c>
      <c r="D151" s="30">
        <v>-1.25218851322132E-2</v>
      </c>
      <c r="E151" s="31">
        <v>97.464968929576898</v>
      </c>
      <c r="F151" s="30">
        <v>-8.3601818923929594E-3</v>
      </c>
      <c r="G151" s="31">
        <v>99.880792863276</v>
      </c>
      <c r="H151" s="30">
        <v>-2.6730185394543398E-3</v>
      </c>
      <c r="I151" s="31">
        <v>100.379323302074</v>
      </c>
      <c r="J151" s="30">
        <v>-3.1556571135331599E-3</v>
      </c>
      <c r="K151" s="31">
        <v>97.702912638654993</v>
      </c>
      <c r="L151" s="30">
        <v>-5.7604805657651703E-4</v>
      </c>
      <c r="M151" s="31">
        <v>92.407278142906407</v>
      </c>
      <c r="N151" s="30">
        <v>-1.9568782882768799E-2</v>
      </c>
      <c r="O151" s="31">
        <v>101.650235167434</v>
      </c>
      <c r="P151" s="30">
        <v>-3.1350378898050701E-3</v>
      </c>
      <c r="Q151" s="31">
        <v>100.26639632643401</v>
      </c>
      <c r="R151" s="30">
        <v>-3.9964583581315596E-3</v>
      </c>
      <c r="S151" s="31">
        <v>102.442538949607</v>
      </c>
      <c r="T151" s="30">
        <v>-2.56891418953753E-3</v>
      </c>
      <c r="U151" s="31"/>
      <c r="V151" s="30"/>
      <c r="W151" s="31"/>
      <c r="X151" s="30"/>
      <c r="Y151" s="31"/>
      <c r="Z151" s="30"/>
      <c r="AA151" s="31">
        <v>102.979625135402</v>
      </c>
      <c r="AB151" s="30">
        <v>-1.8442261235372698E-2</v>
      </c>
      <c r="AC151" s="31">
        <v>102.108505880683</v>
      </c>
      <c r="AD151" s="30">
        <v>-1.8025742807129201E-2</v>
      </c>
      <c r="AE151" s="31">
        <v>111.934042628852</v>
      </c>
      <c r="AF151" s="30">
        <v>-2.3512363378752E-2</v>
      </c>
      <c r="AG151" s="31">
        <v>111.323894097104</v>
      </c>
      <c r="AH151" s="30">
        <v>-1.25572569778334E-2</v>
      </c>
      <c r="AI151" s="31">
        <v>105.83157383832599</v>
      </c>
      <c r="AJ151" s="30">
        <v>-1.5237112968740101E-2</v>
      </c>
      <c r="AK151" s="31">
        <v>96.660312958612394</v>
      </c>
      <c r="AL151" s="30">
        <v>-1.49114573216006E-2</v>
      </c>
      <c r="AM151" s="31">
        <v>94.112846672910905</v>
      </c>
      <c r="AN151" s="30">
        <v>-1.8538743940973299E-2</v>
      </c>
      <c r="AO151" s="31">
        <v>105.270306521316</v>
      </c>
      <c r="AP151" s="30">
        <v>-1.9083674361499599E-2</v>
      </c>
      <c r="AQ151" s="31">
        <v>105.771960023106</v>
      </c>
      <c r="AR151" s="30">
        <v>-1.97971271994083E-2</v>
      </c>
      <c r="AS151" s="31">
        <v>101.654079875604</v>
      </c>
      <c r="AT151" s="30">
        <v>-6.3701630363297602E-3</v>
      </c>
      <c r="AU151" s="31">
        <v>104.160620179964</v>
      </c>
      <c r="AV151" s="30">
        <v>-9.4635514738660199E-3</v>
      </c>
      <c r="AW151" s="31">
        <v>100.401818507827</v>
      </c>
      <c r="AX151" s="30">
        <v>-2.8501258569589801E-3</v>
      </c>
      <c r="AY151" s="31">
        <v>110.763679113698</v>
      </c>
      <c r="AZ151" s="30">
        <v>-2.0459276808377801E-2</v>
      </c>
      <c r="BA151" s="31">
        <v>113.29244269843301</v>
      </c>
      <c r="BB151" s="30">
        <v>-2.3089537679862999E-2</v>
      </c>
      <c r="BC151" s="31">
        <v>104.055098876082</v>
      </c>
      <c r="BD151" s="30">
        <v>-1.37784378635416E-2</v>
      </c>
      <c r="BE151" s="31"/>
      <c r="BF151" s="30"/>
    </row>
    <row r="152" spans="1:58" x14ac:dyDescent="0.2">
      <c r="A152" s="28">
        <v>2015</v>
      </c>
      <c r="B152" s="28">
        <v>1</v>
      </c>
      <c r="C152" s="31">
        <v>101.78034138799801</v>
      </c>
      <c r="D152" s="30">
        <v>-1.30749245040828E-2</v>
      </c>
      <c r="E152" s="31">
        <v>96.108177117861203</v>
      </c>
      <c r="F152" s="30">
        <v>-1.9333760130023199E-2</v>
      </c>
      <c r="G152" s="31">
        <v>98.981056355846903</v>
      </c>
      <c r="H152" s="30">
        <v>-1.1149275525423699E-2</v>
      </c>
      <c r="I152" s="31">
        <v>99.323104777475194</v>
      </c>
      <c r="J152" s="30">
        <v>-1.2907681883634701E-2</v>
      </c>
      <c r="K152" s="31">
        <v>97.4829326364884</v>
      </c>
      <c r="L152" s="30">
        <v>-3.2546965058554101E-3</v>
      </c>
      <c r="M152" s="31">
        <v>90.038726433383005</v>
      </c>
      <c r="N152" s="30">
        <v>-3.8804842772463898E-2</v>
      </c>
      <c r="O152" s="31">
        <v>100.56758576774099</v>
      </c>
      <c r="P152" s="30">
        <v>-1.25864381612648E-2</v>
      </c>
      <c r="Q152" s="31">
        <v>99.751148092386202</v>
      </c>
      <c r="R152" s="30">
        <v>-7.1043971514156397E-3</v>
      </c>
      <c r="S152" s="31">
        <v>101.04967524196</v>
      </c>
      <c r="T152" s="30">
        <v>-1.55405683189292E-2</v>
      </c>
      <c r="U152" s="31"/>
      <c r="V152" s="30"/>
      <c r="W152" s="31"/>
      <c r="X152" s="30"/>
      <c r="Y152" s="31"/>
      <c r="Z152" s="30"/>
      <c r="AA152" s="31">
        <v>100.284830447235</v>
      </c>
      <c r="AB152" s="30">
        <v>-3.8671457493529397E-2</v>
      </c>
      <c r="AC152" s="31">
        <v>99.432722480076393</v>
      </c>
      <c r="AD152" s="30">
        <v>-4.1482918916906898E-2</v>
      </c>
      <c r="AE152" s="31">
        <v>107.424407778326</v>
      </c>
      <c r="AF152" s="30">
        <v>-5.8279810590052897E-2</v>
      </c>
      <c r="AG152" s="31">
        <v>109.000173088248</v>
      </c>
      <c r="AH152" s="30">
        <v>-3.2961446988524198E-2</v>
      </c>
      <c r="AI152" s="31">
        <v>102.990703476398</v>
      </c>
      <c r="AJ152" s="30">
        <v>-3.2234846481609902E-2</v>
      </c>
      <c r="AK152" s="31">
        <v>91.2301096071172</v>
      </c>
      <c r="AL152" s="30">
        <v>-5.2483559629454099E-2</v>
      </c>
      <c r="AM152" s="31">
        <v>90.479103794654606</v>
      </c>
      <c r="AN152" s="30">
        <v>-4.39407252960144E-2</v>
      </c>
      <c r="AO152" s="31">
        <v>99.203139634626098</v>
      </c>
      <c r="AP152" s="30">
        <v>-7.0002656522978199E-2</v>
      </c>
      <c r="AQ152" s="31">
        <v>99.611885697012198</v>
      </c>
      <c r="AR152" s="30">
        <v>-7.1471969901200499E-2</v>
      </c>
      <c r="AS152" s="31">
        <v>92.416501085487894</v>
      </c>
      <c r="AT152" s="30">
        <v>-7.3373051291661606E-2</v>
      </c>
      <c r="AU152" s="31">
        <v>102.128608922681</v>
      </c>
      <c r="AV152" s="30">
        <v>-2.6187197864494399E-2</v>
      </c>
      <c r="AW152" s="31">
        <v>99.448240794704503</v>
      </c>
      <c r="AX152" s="30">
        <v>-1.15540799167069E-2</v>
      </c>
      <c r="AY152" s="31">
        <v>106.75515854350201</v>
      </c>
      <c r="AZ152" s="30">
        <v>-5.0481866859244703E-2</v>
      </c>
      <c r="BA152" s="31">
        <v>108.691665280281</v>
      </c>
      <c r="BB152" s="30">
        <v>-5.9464287604207799E-2</v>
      </c>
      <c r="BC152" s="31">
        <v>96.556414724285602</v>
      </c>
      <c r="BD152" s="30">
        <v>-7.2487216567782606E-2</v>
      </c>
      <c r="BE152" s="31"/>
      <c r="BF152" s="30"/>
    </row>
    <row r="153" spans="1:58" x14ac:dyDescent="0.2">
      <c r="A153" s="28">
        <v>2015</v>
      </c>
      <c r="B153" s="28">
        <v>2</v>
      </c>
      <c r="C153" s="31">
        <v>101.27456802949401</v>
      </c>
      <c r="D153" s="30">
        <v>-1.4650174625799799E-2</v>
      </c>
      <c r="E153" s="31">
        <v>96.580114737849598</v>
      </c>
      <c r="F153" s="30">
        <v>-1.65185354869243E-2</v>
      </c>
      <c r="G153" s="31">
        <v>99.074191177912596</v>
      </c>
      <c r="H153" s="30">
        <v>-1.2703439971184101E-2</v>
      </c>
      <c r="I153" s="31">
        <v>99.440871016797999</v>
      </c>
      <c r="J153" s="30">
        <v>-1.4727649033829501E-2</v>
      </c>
      <c r="K153" s="31">
        <v>97.466570472977693</v>
      </c>
      <c r="L153" s="30">
        <v>-3.61211171391718E-3</v>
      </c>
      <c r="M153" s="31">
        <v>91.345569332252097</v>
      </c>
      <c r="N153" s="30">
        <v>-2.5562011041887701E-2</v>
      </c>
      <c r="O153" s="31">
        <v>99.776458008034695</v>
      </c>
      <c r="P153" s="30">
        <v>-1.9271326671932099E-2</v>
      </c>
      <c r="Q153" s="31">
        <v>99.722558723720198</v>
      </c>
      <c r="R153" s="30">
        <v>-6.7777375224172803E-3</v>
      </c>
      <c r="S153" s="31">
        <v>99.794466935814896</v>
      </c>
      <c r="T153" s="30">
        <v>-2.63963300115444E-2</v>
      </c>
      <c r="U153" s="31"/>
      <c r="V153" s="30"/>
      <c r="W153" s="31"/>
      <c r="X153" s="30"/>
      <c r="Y153" s="31"/>
      <c r="Z153" s="30"/>
      <c r="AA153" s="31">
        <v>97.788105587902095</v>
      </c>
      <c r="AB153" s="30">
        <v>-6.4212509759472597E-2</v>
      </c>
      <c r="AC153" s="31">
        <v>96.366393262943404</v>
      </c>
      <c r="AD153" s="30">
        <v>-7.3047549647433305E-2</v>
      </c>
      <c r="AE153" s="31">
        <v>104.522311104262</v>
      </c>
      <c r="AF153" s="30">
        <v>-7.6731414908643797E-2</v>
      </c>
      <c r="AG153" s="31">
        <v>105.967716902579</v>
      </c>
      <c r="AH153" s="30">
        <v>-5.1293349016675399E-2</v>
      </c>
      <c r="AI153" s="31">
        <v>101.974983674836</v>
      </c>
      <c r="AJ153" s="30">
        <v>-4.0963642049208097E-2</v>
      </c>
      <c r="AK153" s="31">
        <v>89.942664125614201</v>
      </c>
      <c r="AL153" s="30">
        <v>-7.6014419890830603E-2</v>
      </c>
      <c r="AM153" s="31">
        <v>87.706149237692799</v>
      </c>
      <c r="AN153" s="30">
        <v>-7.3315851252779798E-2</v>
      </c>
      <c r="AO153" s="31">
        <v>96.700783626784101</v>
      </c>
      <c r="AP153" s="30">
        <v>-8.02384877116636E-2</v>
      </c>
      <c r="AQ153" s="31">
        <v>97.111134927260693</v>
      </c>
      <c r="AR153" s="30">
        <v>-8.0260688868237007E-2</v>
      </c>
      <c r="AS153" s="31">
        <v>94.422405551439894</v>
      </c>
      <c r="AT153" s="30">
        <v>-8.2059128593076597E-2</v>
      </c>
      <c r="AU153" s="31">
        <v>101.206752188198</v>
      </c>
      <c r="AV153" s="30">
        <v>-3.3483424325937601E-2</v>
      </c>
      <c r="AW153" s="31">
        <v>99.280848796525504</v>
      </c>
      <c r="AX153" s="30">
        <v>-1.46589944628399E-2</v>
      </c>
      <c r="AY153" s="31">
        <v>104.42738071232</v>
      </c>
      <c r="AZ153" s="30">
        <v>-6.5105128237656004E-2</v>
      </c>
      <c r="BA153" s="31">
        <v>105.693110952482</v>
      </c>
      <c r="BB153" s="30">
        <v>-7.6897208551747406E-2</v>
      </c>
      <c r="BC153" s="31">
        <v>95.970451886033601</v>
      </c>
      <c r="BD153" s="30">
        <v>-7.9866489927872999E-2</v>
      </c>
      <c r="BE153" s="31"/>
      <c r="BF153" s="30"/>
    </row>
    <row r="154" spans="1:58" x14ac:dyDescent="0.2">
      <c r="A154" s="28">
        <v>2015</v>
      </c>
      <c r="B154" s="28">
        <v>3</v>
      </c>
      <c r="C154" s="31">
        <v>101.006770727457</v>
      </c>
      <c r="D154" s="30">
        <v>-1.3694805764087201E-2</v>
      </c>
      <c r="E154" s="31">
        <v>96.886302865673301</v>
      </c>
      <c r="F154" s="30">
        <v>-1.00625048740234E-2</v>
      </c>
      <c r="G154" s="31">
        <v>98.823843814286207</v>
      </c>
      <c r="H154" s="30">
        <v>-1.2741393506580699E-2</v>
      </c>
      <c r="I154" s="31">
        <v>99.089708293986007</v>
      </c>
      <c r="J154" s="30">
        <v>-1.5208101669602301E-2</v>
      </c>
      <c r="K154" s="31">
        <v>97.6681645450752</v>
      </c>
      <c r="L154" s="30">
        <v>-1.5522807096264299E-3</v>
      </c>
      <c r="M154" s="31">
        <v>92.967539841845294</v>
      </c>
      <c r="N154" s="30">
        <v>-2.8054071628791401E-3</v>
      </c>
      <c r="O154" s="31">
        <v>99.929308059700205</v>
      </c>
      <c r="P154" s="30">
        <v>-1.84714289088527E-2</v>
      </c>
      <c r="Q154" s="31">
        <v>100.180750811587</v>
      </c>
      <c r="R154" s="30">
        <v>-3.0156314270937102E-3</v>
      </c>
      <c r="S154" s="31">
        <v>99.742440579881006</v>
      </c>
      <c r="T154" s="30">
        <v>-2.75272343546559E-2</v>
      </c>
      <c r="U154" s="31"/>
      <c r="V154" s="30"/>
      <c r="W154" s="31"/>
      <c r="X154" s="30"/>
      <c r="Y154" s="31"/>
      <c r="Z154" s="30"/>
      <c r="AA154" s="31">
        <v>96.792919599351293</v>
      </c>
      <c r="AB154" s="30">
        <v>-7.2109952755319395E-2</v>
      </c>
      <c r="AC154" s="31">
        <v>94.554640388961701</v>
      </c>
      <c r="AD154" s="30">
        <v>-8.7385108622925506E-2</v>
      </c>
      <c r="AE154" s="31">
        <v>102.793072969115</v>
      </c>
      <c r="AF154" s="30">
        <v>-8.5696962521961698E-2</v>
      </c>
      <c r="AG154" s="31">
        <v>105.632197961172</v>
      </c>
      <c r="AH154" s="30">
        <v>-4.6068147721902597E-2</v>
      </c>
      <c r="AI154" s="31">
        <v>103.06541533881099</v>
      </c>
      <c r="AJ154" s="30">
        <v>-3.1702296730634398E-2</v>
      </c>
      <c r="AK154" s="31">
        <v>89.538690829269299</v>
      </c>
      <c r="AL154" s="30">
        <v>-7.9950453681384995E-2</v>
      </c>
      <c r="AM154" s="31">
        <v>87.724372354251898</v>
      </c>
      <c r="AN154" s="30">
        <v>-8.2303447726341503E-2</v>
      </c>
      <c r="AO154" s="31">
        <v>97.746093154745594</v>
      </c>
      <c r="AP154" s="30">
        <v>-7.9548546538364198E-2</v>
      </c>
      <c r="AQ154" s="31">
        <v>98.263259993270395</v>
      </c>
      <c r="AR154" s="30">
        <v>-7.8855868362913598E-2</v>
      </c>
      <c r="AS154" s="31">
        <v>93.162762015574003</v>
      </c>
      <c r="AT154" s="30">
        <v>-7.3220035980038803E-2</v>
      </c>
      <c r="AU154" s="31">
        <v>100.83833308276699</v>
      </c>
      <c r="AV154" s="30">
        <v>-3.4610485831561101E-2</v>
      </c>
      <c r="AW154" s="31">
        <v>99.150799950854605</v>
      </c>
      <c r="AX154" s="30">
        <v>-1.44252933016114E-2</v>
      </c>
      <c r="AY154" s="31">
        <v>103.751473130119</v>
      </c>
      <c r="AZ154" s="30">
        <v>-6.7362154655116302E-2</v>
      </c>
      <c r="BA154" s="31">
        <v>103.93061256705001</v>
      </c>
      <c r="BB154" s="30">
        <v>-8.5936225804407296E-2</v>
      </c>
      <c r="BC154" s="31">
        <v>96.082536567982203</v>
      </c>
      <c r="BD154" s="30">
        <v>-7.6796293134774804E-2</v>
      </c>
      <c r="BE154" s="31"/>
      <c r="BF154" s="30"/>
    </row>
    <row r="155" spans="1:58" x14ac:dyDescent="0.2">
      <c r="A155" s="28">
        <v>2015</v>
      </c>
      <c r="B155" s="28">
        <v>4</v>
      </c>
      <c r="C155" s="31">
        <v>100.222191113888</v>
      </c>
      <c r="D155" s="30">
        <v>-1.2423145704687199E-2</v>
      </c>
      <c r="E155" s="31">
        <v>96.064825809648596</v>
      </c>
      <c r="F155" s="30">
        <v>-1.4365603716962201E-2</v>
      </c>
      <c r="G155" s="31">
        <v>98.569507869101301</v>
      </c>
      <c r="H155" s="30">
        <v>-1.31285000507518E-2</v>
      </c>
      <c r="I155" s="31">
        <v>98.735048675475497</v>
      </c>
      <c r="J155" s="30">
        <v>-1.63806107922311E-2</v>
      </c>
      <c r="K155" s="31">
        <v>97.880385092848002</v>
      </c>
      <c r="L155" s="30">
        <v>1.81644998496E-3</v>
      </c>
      <c r="M155" s="31">
        <v>90.811704609764703</v>
      </c>
      <c r="N155" s="30">
        <v>-1.7266751766826301E-2</v>
      </c>
      <c r="O155" s="31">
        <v>99.860183048679005</v>
      </c>
      <c r="P155" s="30">
        <v>-1.7609916158148602E-2</v>
      </c>
      <c r="Q155" s="31">
        <v>100.19706921315399</v>
      </c>
      <c r="R155" s="30">
        <v>-6.9142919083819998E-4</v>
      </c>
      <c r="S155" s="31">
        <v>99.638898681887895</v>
      </c>
      <c r="T155" s="30">
        <v>-2.7367930319436101E-2</v>
      </c>
      <c r="U155" s="31"/>
      <c r="V155" s="30"/>
      <c r="W155" s="31"/>
      <c r="X155" s="30"/>
      <c r="Y155" s="31"/>
      <c r="Z155" s="30"/>
      <c r="AA155" s="31">
        <v>97.063358445606397</v>
      </c>
      <c r="AB155" s="30">
        <v>-5.7450847019659197E-2</v>
      </c>
      <c r="AC155" s="31">
        <v>95.026914425734802</v>
      </c>
      <c r="AD155" s="30">
        <v>-6.9353590025330605E-2</v>
      </c>
      <c r="AE155" s="31">
        <v>102.990033226188</v>
      </c>
      <c r="AF155" s="30">
        <v>-7.9904282849145705E-2</v>
      </c>
      <c r="AG155" s="31">
        <v>106.08345255135001</v>
      </c>
      <c r="AH155" s="30">
        <v>-4.7073825329744703E-2</v>
      </c>
      <c r="AI155" s="31">
        <v>102.795271797913</v>
      </c>
      <c r="AJ155" s="30">
        <v>-2.8689945073022E-2</v>
      </c>
      <c r="AK155" s="31">
        <v>90.115114056922494</v>
      </c>
      <c r="AL155" s="30">
        <v>-6.7713404823056406E-2</v>
      </c>
      <c r="AM155" s="31">
        <v>87.537941231976504</v>
      </c>
      <c r="AN155" s="30">
        <v>-6.9861933554995995E-2</v>
      </c>
      <c r="AO155" s="31">
        <v>96.878733337323297</v>
      </c>
      <c r="AP155" s="30">
        <v>-7.9714531678439601E-2</v>
      </c>
      <c r="AQ155" s="31">
        <v>97.397180260804603</v>
      </c>
      <c r="AR155" s="30">
        <v>-7.9177692844795894E-2</v>
      </c>
      <c r="AS155" s="31">
        <v>95.299777473866996</v>
      </c>
      <c r="AT155" s="30">
        <v>-6.2509074003843604E-2</v>
      </c>
      <c r="AU155" s="31">
        <v>100.716474003456</v>
      </c>
      <c r="AV155" s="30">
        <v>-3.30657226364219E-2</v>
      </c>
      <c r="AW155" s="31">
        <v>98.948287802624094</v>
      </c>
      <c r="AX155" s="30">
        <v>-1.44771352432138E-2</v>
      </c>
      <c r="AY155" s="31">
        <v>103.804800822378</v>
      </c>
      <c r="AZ155" s="30">
        <v>-6.2826355597820099E-2</v>
      </c>
      <c r="BA155" s="31">
        <v>104.126961390644</v>
      </c>
      <c r="BB155" s="30">
        <v>-8.0901082980319505E-2</v>
      </c>
      <c r="BC155" s="31">
        <v>96.534371796711099</v>
      </c>
      <c r="BD155" s="30">
        <v>-7.2276391648310095E-2</v>
      </c>
      <c r="BE155" s="31"/>
      <c r="BF155" s="30"/>
    </row>
    <row r="156" spans="1:58" x14ac:dyDescent="0.2">
      <c r="A156" s="28">
        <v>2016</v>
      </c>
      <c r="B156" s="28">
        <v>1</v>
      </c>
      <c r="C156" s="31">
        <v>100.497686033976</v>
      </c>
      <c r="D156" s="30">
        <v>-1.26021915089829E-2</v>
      </c>
      <c r="E156" s="31">
        <v>97.082462205406401</v>
      </c>
      <c r="F156" s="30">
        <v>1.0137379739815201E-2</v>
      </c>
      <c r="G156" s="31">
        <v>98.440527680895499</v>
      </c>
      <c r="H156" s="30">
        <v>-5.4609305543090701E-3</v>
      </c>
      <c r="I156" s="31">
        <v>98.525745624269604</v>
      </c>
      <c r="J156" s="30">
        <v>-8.0279322217318098E-3</v>
      </c>
      <c r="K156" s="31">
        <v>98.081774801057506</v>
      </c>
      <c r="L156" s="30">
        <v>6.1430462581810704E-3</v>
      </c>
      <c r="M156" s="31">
        <v>94.161332226664001</v>
      </c>
      <c r="N156" s="30">
        <v>4.57870291660687E-2</v>
      </c>
      <c r="O156" s="31">
        <v>99.361460839494001</v>
      </c>
      <c r="P156" s="30">
        <v>-1.1993177712676301E-2</v>
      </c>
      <c r="Q156" s="31">
        <v>99.770330188195302</v>
      </c>
      <c r="R156" s="30">
        <v>1.9229949906307599E-4</v>
      </c>
      <c r="S156" s="31">
        <v>99.146428253189299</v>
      </c>
      <c r="T156" s="30">
        <v>-1.8834766011998402E-2</v>
      </c>
      <c r="U156" s="31"/>
      <c r="V156" s="30"/>
      <c r="W156" s="31"/>
      <c r="X156" s="30"/>
      <c r="Y156" s="31"/>
      <c r="Z156" s="30"/>
      <c r="AA156" s="31">
        <v>96.645385953493005</v>
      </c>
      <c r="AB156" s="30">
        <v>-3.6291076900778999E-2</v>
      </c>
      <c r="AC156" s="31">
        <v>94.805023734407101</v>
      </c>
      <c r="AD156" s="30">
        <v>-4.6541004110558497E-2</v>
      </c>
      <c r="AE156" s="31">
        <v>101.041218718811</v>
      </c>
      <c r="AF156" s="30">
        <v>-5.9420286241523797E-2</v>
      </c>
      <c r="AG156" s="31">
        <v>105.18258006286599</v>
      </c>
      <c r="AH156" s="30">
        <v>-3.50237336072046E-2</v>
      </c>
      <c r="AI156" s="31">
        <v>101.951513968936</v>
      </c>
      <c r="AJ156" s="30">
        <v>-1.0090129229000801E-2</v>
      </c>
      <c r="AK156" s="31">
        <v>90.846971609069001</v>
      </c>
      <c r="AL156" s="30">
        <v>-4.1996880163603896E-3</v>
      </c>
      <c r="AM156" s="31">
        <v>89.702481920356306</v>
      </c>
      <c r="AN156" s="30">
        <v>-8.5834390674436305E-3</v>
      </c>
      <c r="AO156" s="31">
        <v>96.759156411752599</v>
      </c>
      <c r="AP156" s="30">
        <v>-2.4636147927121401E-2</v>
      </c>
      <c r="AQ156" s="31">
        <v>97.211810327702906</v>
      </c>
      <c r="AR156" s="30">
        <v>-2.4094266989479501E-2</v>
      </c>
      <c r="AS156" s="31">
        <v>92.991580570483094</v>
      </c>
      <c r="AT156" s="30">
        <v>6.2226926819399803E-3</v>
      </c>
      <c r="AU156" s="31">
        <v>99.955511616564607</v>
      </c>
      <c r="AV156" s="30">
        <v>-2.1278046661353401E-2</v>
      </c>
      <c r="AW156" s="31">
        <v>98.714844353987203</v>
      </c>
      <c r="AX156" s="30">
        <v>-7.3746547435794597E-3</v>
      </c>
      <c r="AY156" s="31">
        <v>102.035129231578</v>
      </c>
      <c r="AZ156" s="30">
        <v>-4.4213594699502201E-2</v>
      </c>
      <c r="BA156" s="31">
        <v>102.038604813061</v>
      </c>
      <c r="BB156" s="30">
        <v>-6.1210401460534497E-2</v>
      </c>
      <c r="BC156" s="31">
        <v>95.414717381730796</v>
      </c>
      <c r="BD156" s="30">
        <v>-1.18241480466622E-2</v>
      </c>
      <c r="BE156" s="31"/>
      <c r="BF156" s="30"/>
    </row>
    <row r="157" spans="1:58" x14ac:dyDescent="0.2">
      <c r="A157" s="28">
        <v>2016</v>
      </c>
      <c r="B157" s="28">
        <v>2</v>
      </c>
      <c r="C157" s="31">
        <v>100.699299494512</v>
      </c>
      <c r="D157" s="30">
        <v>-5.6802862374529797E-3</v>
      </c>
      <c r="E157" s="31">
        <v>97.900901691696504</v>
      </c>
      <c r="F157" s="30">
        <v>1.36755579285852E-2</v>
      </c>
      <c r="G157" s="31">
        <v>99.087199474199593</v>
      </c>
      <c r="H157" s="30">
        <v>1.3129853630200499E-4</v>
      </c>
      <c r="I157" s="31">
        <v>99.277557927001695</v>
      </c>
      <c r="J157" s="30">
        <v>-1.64231354901079E-3</v>
      </c>
      <c r="K157" s="31">
        <v>98.260835541560596</v>
      </c>
      <c r="L157" s="30">
        <v>8.1491024535753596E-3</v>
      </c>
      <c r="M157" s="31">
        <v>95.687854756232596</v>
      </c>
      <c r="N157" s="30">
        <v>4.7536902509044403E-2</v>
      </c>
      <c r="O157" s="31">
        <v>99.253381016282702</v>
      </c>
      <c r="P157" s="30">
        <v>-5.24248908204261E-3</v>
      </c>
      <c r="Q157" s="31">
        <v>99.479193891594093</v>
      </c>
      <c r="R157" s="30">
        <v>-2.4404190510233202E-3</v>
      </c>
      <c r="S157" s="31">
        <v>99.121376434709305</v>
      </c>
      <c r="T157" s="30">
        <v>-6.7447677388625697E-3</v>
      </c>
      <c r="U157" s="31"/>
      <c r="V157" s="30"/>
      <c r="W157" s="31"/>
      <c r="X157" s="30"/>
      <c r="Y157" s="31"/>
      <c r="Z157" s="30"/>
      <c r="AA157" s="31">
        <v>97.957549747499698</v>
      </c>
      <c r="AB157" s="30">
        <v>1.7327686079899899E-3</v>
      </c>
      <c r="AC157" s="31">
        <v>96.605554319736797</v>
      </c>
      <c r="AD157" s="30">
        <v>2.4817890210004898E-3</v>
      </c>
      <c r="AE157" s="31">
        <v>101.618444365614</v>
      </c>
      <c r="AF157" s="30">
        <v>-2.7782266847800101E-2</v>
      </c>
      <c r="AG157" s="31">
        <v>104.725415146223</v>
      </c>
      <c r="AH157" s="30">
        <v>-1.17233983393128E-2</v>
      </c>
      <c r="AI157" s="31">
        <v>101.887832048126</v>
      </c>
      <c r="AJ157" s="30">
        <v>-8.5463731955792699E-4</v>
      </c>
      <c r="AK157" s="31">
        <v>93.114400467257894</v>
      </c>
      <c r="AL157" s="30">
        <v>3.5263980364358197E-2</v>
      </c>
      <c r="AM157" s="31">
        <v>91.423019373554695</v>
      </c>
      <c r="AN157" s="30">
        <v>4.2378672056262702E-2</v>
      </c>
      <c r="AO157" s="31">
        <v>97.990138697588193</v>
      </c>
      <c r="AP157" s="30">
        <v>1.33334500760647E-2</v>
      </c>
      <c r="AQ157" s="31">
        <v>98.528829523547898</v>
      </c>
      <c r="AR157" s="30">
        <v>1.4598682193850399E-2</v>
      </c>
      <c r="AS157" s="31">
        <v>96.4412127604689</v>
      </c>
      <c r="AT157" s="30">
        <v>2.1380594968311201E-2</v>
      </c>
      <c r="AU157" s="31">
        <v>100.334024621213</v>
      </c>
      <c r="AV157" s="30">
        <v>-8.6232148361132799E-3</v>
      </c>
      <c r="AW157" s="31">
        <v>99.134224159837103</v>
      </c>
      <c r="AX157" s="30">
        <v>-1.4768672756707601E-3</v>
      </c>
      <c r="AY157" s="31">
        <v>102.384558400163</v>
      </c>
      <c r="AZ157" s="30">
        <v>-1.9562133017432801E-2</v>
      </c>
      <c r="BA157" s="31">
        <v>102.60293200698599</v>
      </c>
      <c r="BB157" s="30">
        <v>-2.9237278736982199E-2</v>
      </c>
      <c r="BC157" s="31">
        <v>97.618807285360504</v>
      </c>
      <c r="BD157" s="30">
        <v>1.7175655286945299E-2</v>
      </c>
      <c r="BE157" s="31"/>
      <c r="BF157" s="30"/>
    </row>
    <row r="158" spans="1:58" x14ac:dyDescent="0.2">
      <c r="A158" s="28">
        <v>2016</v>
      </c>
      <c r="B158" s="28">
        <v>3</v>
      </c>
      <c r="C158" s="31">
        <v>100.57085852305801</v>
      </c>
      <c r="D158" s="30">
        <v>-4.3156731104140303E-3</v>
      </c>
      <c r="E158" s="31">
        <v>97.066681440651493</v>
      </c>
      <c r="F158" s="30">
        <v>1.86175516706721E-3</v>
      </c>
      <c r="G158" s="31">
        <v>98.971668255652204</v>
      </c>
      <c r="H158" s="30">
        <v>1.4958378025016199E-3</v>
      </c>
      <c r="I158" s="31">
        <v>99.105486785933493</v>
      </c>
      <c r="J158" s="30">
        <v>1.59234417167475E-4</v>
      </c>
      <c r="K158" s="31">
        <v>98.396229746318298</v>
      </c>
      <c r="L158" s="30">
        <v>7.4544781775547396E-3</v>
      </c>
      <c r="M158" s="31">
        <v>93.209196703280696</v>
      </c>
      <c r="N158" s="30">
        <v>2.5993681434019998E-3</v>
      </c>
      <c r="O158" s="31">
        <v>99.191160508397999</v>
      </c>
      <c r="P158" s="30">
        <v>-7.3866973126766001E-3</v>
      </c>
      <c r="Q158" s="31">
        <v>99.322012067325701</v>
      </c>
      <c r="R158" s="30">
        <v>-8.5718936752295898E-3</v>
      </c>
      <c r="S158" s="31">
        <v>99.105698487874804</v>
      </c>
      <c r="T158" s="30">
        <v>-6.3838631610009201E-3</v>
      </c>
      <c r="U158" s="31"/>
      <c r="V158" s="30"/>
      <c r="W158" s="31"/>
      <c r="X158" s="30"/>
      <c r="Y158" s="31"/>
      <c r="Z158" s="30"/>
      <c r="AA158" s="31">
        <v>99.0335499845784</v>
      </c>
      <c r="AB158" s="30">
        <v>2.3148701315154299E-2</v>
      </c>
      <c r="AC158" s="31">
        <v>98.260389333671995</v>
      </c>
      <c r="AD158" s="30">
        <v>3.9191613753341202E-2</v>
      </c>
      <c r="AE158" s="31">
        <v>102.098433272316</v>
      </c>
      <c r="AF158" s="30">
        <v>-6.7576508487911004E-3</v>
      </c>
      <c r="AG158" s="31">
        <v>104.77967485167601</v>
      </c>
      <c r="AH158" s="30">
        <v>-8.0706747180371297E-3</v>
      </c>
      <c r="AI158" s="31">
        <v>101.502863230725</v>
      </c>
      <c r="AJ158" s="30">
        <v>-1.51607801991535E-2</v>
      </c>
      <c r="AK158" s="31">
        <v>93.298733630918306</v>
      </c>
      <c r="AL158" s="30">
        <v>4.1993497635771197E-2</v>
      </c>
      <c r="AM158" s="31">
        <v>92.709071967511704</v>
      </c>
      <c r="AN158" s="30">
        <v>5.6822288715049102E-2</v>
      </c>
      <c r="AO158" s="31">
        <v>98.134114504965495</v>
      </c>
      <c r="AP158" s="30">
        <v>3.9696865388325602E-3</v>
      </c>
      <c r="AQ158" s="31">
        <v>98.583620997361805</v>
      </c>
      <c r="AR158" s="30">
        <v>3.2602317907364201E-3</v>
      </c>
      <c r="AS158" s="31">
        <v>94.444566488969798</v>
      </c>
      <c r="AT158" s="30">
        <v>1.3758764185001901E-2</v>
      </c>
      <c r="AU158" s="31">
        <v>100.378563675038</v>
      </c>
      <c r="AV158" s="30">
        <v>-4.5594705274685197E-3</v>
      </c>
      <c r="AW158" s="31">
        <v>99.038434653676205</v>
      </c>
      <c r="AX158" s="30">
        <v>-1.1332767585748901E-3</v>
      </c>
      <c r="AY158" s="31">
        <v>102.64110393294099</v>
      </c>
      <c r="AZ158" s="30">
        <v>-1.0702201748849401E-2</v>
      </c>
      <c r="BA158" s="31">
        <v>103.13251449595001</v>
      </c>
      <c r="BB158" s="30">
        <v>-7.6791433379154199E-3</v>
      </c>
      <c r="BC158" s="31">
        <v>96.822480338617297</v>
      </c>
      <c r="BD158" s="30">
        <v>7.7011265216910801E-3</v>
      </c>
      <c r="BE158" s="31"/>
      <c r="BF158" s="30"/>
    </row>
    <row r="159" spans="1:58" x14ac:dyDescent="0.2">
      <c r="A159" s="28">
        <v>2016</v>
      </c>
      <c r="B159" s="28">
        <v>4</v>
      </c>
      <c r="C159" s="31">
        <v>100.01899420302701</v>
      </c>
      <c r="D159" s="30">
        <v>-2.0274642631779001E-3</v>
      </c>
      <c r="E159" s="31">
        <v>96.941777260273</v>
      </c>
      <c r="F159" s="30">
        <v>9.1287465857909905E-3</v>
      </c>
      <c r="G159" s="31">
        <v>98.797889539120504</v>
      </c>
      <c r="H159" s="30">
        <v>2.3169606398199E-3</v>
      </c>
      <c r="I159" s="31">
        <v>98.884240081015406</v>
      </c>
      <c r="J159" s="30">
        <v>1.51102782184598E-3</v>
      </c>
      <c r="K159" s="31">
        <v>98.449273667698506</v>
      </c>
      <c r="L159" s="30">
        <v>5.8120794509626296E-3</v>
      </c>
      <c r="M159" s="31">
        <v>93.232189950508001</v>
      </c>
      <c r="N159" s="30">
        <v>2.66538917108157E-2</v>
      </c>
      <c r="O159" s="31">
        <v>99.104236912281294</v>
      </c>
      <c r="P159" s="30">
        <v>-7.5700455709085696E-3</v>
      </c>
      <c r="Q159" s="31">
        <v>99.123893375960606</v>
      </c>
      <c r="R159" s="30">
        <v>-1.0710650976329899E-2</v>
      </c>
      <c r="S159" s="31">
        <v>99.085008572743206</v>
      </c>
      <c r="T159" s="30">
        <v>-5.5589746220804396E-3</v>
      </c>
      <c r="U159" s="31"/>
      <c r="V159" s="30"/>
      <c r="W159" s="31"/>
      <c r="X159" s="30"/>
      <c r="Y159" s="31"/>
      <c r="Z159" s="30"/>
      <c r="AA159" s="31">
        <v>98.756229391524201</v>
      </c>
      <c r="AB159" s="30">
        <v>1.74408857577961E-2</v>
      </c>
      <c r="AC159" s="31">
        <v>98.011698866402597</v>
      </c>
      <c r="AD159" s="30">
        <v>3.1409884859519899E-2</v>
      </c>
      <c r="AE159" s="31">
        <v>103.465540012974</v>
      </c>
      <c r="AF159" s="30">
        <v>4.6170175102437901E-3</v>
      </c>
      <c r="AG159" s="31">
        <v>104.72340375535801</v>
      </c>
      <c r="AH159" s="30">
        <v>-1.28205555464276E-2</v>
      </c>
      <c r="AI159" s="31">
        <v>101.184458311423</v>
      </c>
      <c r="AJ159" s="30">
        <v>-1.5670112625959499E-2</v>
      </c>
      <c r="AK159" s="31">
        <v>93.5072559554809</v>
      </c>
      <c r="AL159" s="30">
        <v>3.7642319316332697E-2</v>
      </c>
      <c r="AM159" s="31">
        <v>92.123445996157997</v>
      </c>
      <c r="AN159" s="30">
        <v>5.2383054703443802E-2</v>
      </c>
      <c r="AO159" s="31">
        <v>99.300616704167098</v>
      </c>
      <c r="AP159" s="30">
        <v>2.4999122959329202E-2</v>
      </c>
      <c r="AQ159" s="31">
        <v>99.755677132156293</v>
      </c>
      <c r="AR159" s="30">
        <v>2.4215247967510001E-2</v>
      </c>
      <c r="AS159" s="31">
        <v>96.252647540533204</v>
      </c>
      <c r="AT159" s="30">
        <v>9.9986599331514103E-3</v>
      </c>
      <c r="AU159" s="31">
        <v>100.538833950994</v>
      </c>
      <c r="AV159" s="30">
        <v>-1.7637636168243999E-3</v>
      </c>
      <c r="AW159" s="31">
        <v>98.884703968728999</v>
      </c>
      <c r="AX159" s="30">
        <v>-6.4259660583409995E-4</v>
      </c>
      <c r="AY159" s="31">
        <v>103.37059721891001</v>
      </c>
      <c r="AZ159" s="30">
        <v>-4.1828855701042701E-3</v>
      </c>
      <c r="BA159" s="31">
        <v>104.442991338111</v>
      </c>
      <c r="BB159" s="30">
        <v>3.0350443655178202E-3</v>
      </c>
      <c r="BC159" s="31">
        <v>98.287193021018496</v>
      </c>
      <c r="BD159" s="30">
        <v>1.8157483098337299E-2</v>
      </c>
      <c r="BE159" s="31"/>
      <c r="BF159" s="30"/>
    </row>
    <row r="160" spans="1:58" x14ac:dyDescent="0.2">
      <c r="A160" s="28">
        <v>2017</v>
      </c>
      <c r="B160" s="28">
        <v>1</v>
      </c>
      <c r="C160" s="31">
        <v>100.289792329519</v>
      </c>
      <c r="D160" s="30">
        <v>-2.0686417037171201E-3</v>
      </c>
      <c r="E160" s="31">
        <v>97.183623942222397</v>
      </c>
      <c r="F160" s="30">
        <v>1.04201865628428E-3</v>
      </c>
      <c r="G160" s="31">
        <v>99.039465649804598</v>
      </c>
      <c r="H160" s="30">
        <v>6.0842620719243597E-3</v>
      </c>
      <c r="I160" s="31">
        <v>99.180979154698903</v>
      </c>
      <c r="J160" s="30">
        <v>6.6503788048253298E-3</v>
      </c>
      <c r="K160" s="31">
        <v>98.432764261239797</v>
      </c>
      <c r="L160" s="30">
        <v>3.5785390394309502E-3</v>
      </c>
      <c r="M160" s="31">
        <v>93.427309016894995</v>
      </c>
      <c r="N160" s="30">
        <v>-7.7953783406767797E-3</v>
      </c>
      <c r="O160" s="31">
        <v>98.972003606561103</v>
      </c>
      <c r="P160" s="30">
        <v>-3.9196005135424504E-3</v>
      </c>
      <c r="Q160" s="31">
        <v>98.884443633889902</v>
      </c>
      <c r="R160" s="30">
        <v>-8.8792585193859797E-3</v>
      </c>
      <c r="S160" s="31">
        <v>98.996029627018601</v>
      </c>
      <c r="T160" s="30">
        <v>-1.51693438503575E-3</v>
      </c>
      <c r="U160" s="31"/>
      <c r="V160" s="30"/>
      <c r="W160" s="31"/>
      <c r="X160" s="30"/>
      <c r="Y160" s="31"/>
      <c r="Z160" s="30"/>
      <c r="AA160" s="31">
        <v>98.444155779303301</v>
      </c>
      <c r="AB160" s="30">
        <v>1.8612061073209198E-2</v>
      </c>
      <c r="AC160" s="31">
        <v>97.862841122072695</v>
      </c>
      <c r="AD160" s="30">
        <v>3.2253748453583898E-2</v>
      </c>
      <c r="AE160" s="31">
        <v>103.262803104303</v>
      </c>
      <c r="AF160" s="30">
        <v>2.1986912011368299E-2</v>
      </c>
      <c r="AG160" s="31">
        <v>103.793093816583</v>
      </c>
      <c r="AH160" s="30">
        <v>-1.3210231632010299E-2</v>
      </c>
      <c r="AI160" s="31">
        <v>100.342516782286</v>
      </c>
      <c r="AJ160" s="30">
        <v>-1.5781984239484799E-2</v>
      </c>
      <c r="AK160" s="31">
        <v>93.178714992762806</v>
      </c>
      <c r="AL160" s="30">
        <v>2.56667156031107E-2</v>
      </c>
      <c r="AM160" s="31">
        <v>92.687269331469807</v>
      </c>
      <c r="AN160" s="30">
        <v>3.3274301303765699E-2</v>
      </c>
      <c r="AO160" s="31">
        <v>99.906792802746097</v>
      </c>
      <c r="AP160" s="30">
        <v>3.2530630771509597E-2</v>
      </c>
      <c r="AQ160" s="31">
        <v>100.32058843948001</v>
      </c>
      <c r="AR160" s="30">
        <v>3.1979428233023202E-2</v>
      </c>
      <c r="AS160" s="31">
        <v>94.0308748967946</v>
      </c>
      <c r="AT160" s="30">
        <v>1.1176219609728699E-2</v>
      </c>
      <c r="AU160" s="31">
        <v>100.487637311207</v>
      </c>
      <c r="AV160" s="30">
        <v>5.3236253412811702E-3</v>
      </c>
      <c r="AW160" s="31">
        <v>99.023087140249103</v>
      </c>
      <c r="AX160" s="30">
        <v>3.1225575877580299E-3</v>
      </c>
      <c r="AY160" s="31">
        <v>102.984167709441</v>
      </c>
      <c r="AZ160" s="30">
        <v>9.3010954659382694E-3</v>
      </c>
      <c r="BA160" s="31">
        <v>104.2272726642</v>
      </c>
      <c r="BB160" s="30">
        <v>2.14494098106193E-2</v>
      </c>
      <c r="BC160" s="31">
        <v>97.616325931015794</v>
      </c>
      <c r="BD160" s="30">
        <v>2.3074098102465301E-2</v>
      </c>
      <c r="BE160" s="31"/>
      <c r="BF160" s="30"/>
    </row>
    <row r="161" spans="1:58" x14ac:dyDescent="0.2">
      <c r="A161" s="28">
        <v>2017</v>
      </c>
      <c r="B161" s="28">
        <v>2</v>
      </c>
      <c r="C161" s="31">
        <v>99.658006974065898</v>
      </c>
      <c r="D161" s="30">
        <v>-1.03406133475911E-2</v>
      </c>
      <c r="E161" s="31">
        <v>97.889302298777395</v>
      </c>
      <c r="F161" s="30">
        <v>-1.1848096103961301E-4</v>
      </c>
      <c r="G161" s="31">
        <v>99.479190326991301</v>
      </c>
      <c r="H161" s="30">
        <v>3.9560190909810897E-3</v>
      </c>
      <c r="I161" s="31">
        <v>99.717177565825196</v>
      </c>
      <c r="J161" s="30">
        <v>4.42818747764417E-3</v>
      </c>
      <c r="K161" s="31">
        <v>98.448569634561096</v>
      </c>
      <c r="L161" s="30">
        <v>1.91056886465302E-3</v>
      </c>
      <c r="M161" s="31">
        <v>94.704216024735402</v>
      </c>
      <c r="N161" s="30">
        <v>-1.02796612381265E-2</v>
      </c>
      <c r="O161" s="31">
        <v>98.923397869244099</v>
      </c>
      <c r="P161" s="30">
        <v>-3.3246539680545899E-3</v>
      </c>
      <c r="Q161" s="31">
        <v>98.761843189484907</v>
      </c>
      <c r="R161" s="30">
        <v>-7.2110626759886998E-3</v>
      </c>
      <c r="S161" s="31">
        <v>98.999758974877395</v>
      </c>
      <c r="T161" s="30">
        <v>-1.2269549133228099E-3</v>
      </c>
      <c r="U161" s="31"/>
      <c r="V161" s="30"/>
      <c r="W161" s="31"/>
      <c r="X161" s="30"/>
      <c r="Y161" s="31"/>
      <c r="Z161" s="30"/>
      <c r="AA161" s="31">
        <v>97.828895046268698</v>
      </c>
      <c r="AB161" s="30">
        <v>-1.3133719816658101E-3</v>
      </c>
      <c r="AC161" s="31">
        <v>96.440507563968396</v>
      </c>
      <c r="AD161" s="30">
        <v>-1.70846031504723E-3</v>
      </c>
      <c r="AE161" s="31">
        <v>101.49009404467201</v>
      </c>
      <c r="AF161" s="30">
        <v>-1.26306126553322E-3</v>
      </c>
      <c r="AG161" s="31">
        <v>102.821217539572</v>
      </c>
      <c r="AH161" s="30">
        <v>-1.8182764938116901E-2</v>
      </c>
      <c r="AI161" s="31">
        <v>101.965708287269</v>
      </c>
      <c r="AJ161" s="30">
        <v>7.6433306683698599E-4</v>
      </c>
      <c r="AK161" s="31">
        <v>94.681937223733797</v>
      </c>
      <c r="AL161" s="30">
        <v>1.6834525579392901E-2</v>
      </c>
      <c r="AM161" s="31">
        <v>92.999285786821801</v>
      </c>
      <c r="AN161" s="30">
        <v>1.7241460893197402E-2</v>
      </c>
      <c r="AO161" s="31">
        <v>100.347009754882</v>
      </c>
      <c r="AP161" s="30">
        <v>2.40521249242001E-2</v>
      </c>
      <c r="AQ161" s="31">
        <v>100.81161798357</v>
      </c>
      <c r="AR161" s="30">
        <v>2.3168736207070301E-2</v>
      </c>
      <c r="AS161" s="31">
        <v>97.977711056271602</v>
      </c>
      <c r="AT161" s="30">
        <v>1.5931967794919E-2</v>
      </c>
      <c r="AU161" s="31">
        <v>100.43953744055899</v>
      </c>
      <c r="AV161" s="30">
        <v>1.05161553863575E-3</v>
      </c>
      <c r="AW161" s="31">
        <v>99.310758030711298</v>
      </c>
      <c r="AX161" s="30">
        <v>1.7807560645215501E-3</v>
      </c>
      <c r="AY161" s="31">
        <v>102.344158956264</v>
      </c>
      <c r="AZ161" s="30">
        <v>-3.9458532156400099E-4</v>
      </c>
      <c r="BA161" s="31">
        <v>102.480222690792</v>
      </c>
      <c r="BB161" s="30">
        <v>-1.1959630567432999E-3</v>
      </c>
      <c r="BC161" s="31">
        <v>99.610761990597396</v>
      </c>
      <c r="BD161" s="30">
        <v>2.0405439900674099E-2</v>
      </c>
      <c r="BE161" s="31"/>
      <c r="BF161" s="30"/>
    </row>
    <row r="162" spans="1:58" x14ac:dyDescent="0.2">
      <c r="A162" s="28">
        <v>2017</v>
      </c>
      <c r="B162" s="28">
        <v>3</v>
      </c>
      <c r="C162" s="31">
        <v>100.245149863153</v>
      </c>
      <c r="D162" s="30">
        <v>-3.23859878187849E-3</v>
      </c>
      <c r="E162" s="31">
        <v>98.205728499444405</v>
      </c>
      <c r="F162" s="30">
        <v>1.17346863196239E-2</v>
      </c>
      <c r="G162" s="31">
        <v>99.524774779987297</v>
      </c>
      <c r="H162" s="30">
        <v>5.5885339116079598E-3</v>
      </c>
      <c r="I162" s="31">
        <v>99.7590362729551</v>
      </c>
      <c r="J162" s="30">
        <v>6.5944833955897701E-3</v>
      </c>
      <c r="K162" s="31">
        <v>98.509500381226502</v>
      </c>
      <c r="L162" s="30">
        <v>1.1511684461913401E-3</v>
      </c>
      <c r="M162" s="31">
        <v>95.626532113506897</v>
      </c>
      <c r="N162" s="30">
        <v>2.5934516074862701E-2</v>
      </c>
      <c r="O162" s="31">
        <v>99.134727756881105</v>
      </c>
      <c r="P162" s="30">
        <v>-5.6892923953744102E-4</v>
      </c>
      <c r="Q162" s="31">
        <v>98.756334164677099</v>
      </c>
      <c r="R162" s="30">
        <v>-5.6953931044533296E-3</v>
      </c>
      <c r="S162" s="31">
        <v>99.334636127099998</v>
      </c>
      <c r="T162" s="30">
        <v>2.3100350708207301E-3</v>
      </c>
      <c r="U162" s="31"/>
      <c r="V162" s="30"/>
      <c r="W162" s="31"/>
      <c r="X162" s="30"/>
      <c r="Y162" s="31"/>
      <c r="Z162" s="30"/>
      <c r="AA162" s="31">
        <v>99.046189054131403</v>
      </c>
      <c r="AB162" s="30">
        <v>1.2762411884637001E-4</v>
      </c>
      <c r="AC162" s="31">
        <v>98.077961174375702</v>
      </c>
      <c r="AD162" s="30">
        <v>-1.8565788364305301E-3</v>
      </c>
      <c r="AE162" s="31">
        <v>103.233266879743</v>
      </c>
      <c r="AF162" s="30">
        <v>1.1115093259078199E-2</v>
      </c>
      <c r="AG162" s="31">
        <v>103.643577238925</v>
      </c>
      <c r="AH162" s="30">
        <v>-1.0842728939165901E-2</v>
      </c>
      <c r="AI162" s="31">
        <v>102.020653147114</v>
      </c>
      <c r="AJ162" s="30">
        <v>5.1012345849956696E-3</v>
      </c>
      <c r="AK162" s="31">
        <v>95.507050252558898</v>
      </c>
      <c r="AL162" s="30">
        <v>2.3669309707637701E-2</v>
      </c>
      <c r="AM162" s="31">
        <v>94.205961401103295</v>
      </c>
      <c r="AN162" s="30">
        <v>1.61460944632923E-2</v>
      </c>
      <c r="AO162" s="31">
        <v>101.68464970212101</v>
      </c>
      <c r="AP162" s="30">
        <v>3.6180437507043098E-2</v>
      </c>
      <c r="AQ162" s="31">
        <v>102.186408876711</v>
      </c>
      <c r="AR162" s="30">
        <v>3.6545501604629702E-2</v>
      </c>
      <c r="AS162" s="31">
        <v>98.022018774165602</v>
      </c>
      <c r="AT162" s="30">
        <v>3.7878857600703399E-2</v>
      </c>
      <c r="AU162" s="31">
        <v>100.935350778412</v>
      </c>
      <c r="AV162" s="30">
        <v>5.54687258902353E-3</v>
      </c>
      <c r="AW162" s="31">
        <v>99.406690302600694</v>
      </c>
      <c r="AX162" s="30">
        <v>3.7183104742337702E-3</v>
      </c>
      <c r="AY162" s="31">
        <v>103.531113537952</v>
      </c>
      <c r="AZ162" s="30">
        <v>8.6710837170369502E-3</v>
      </c>
      <c r="BA162" s="31">
        <v>104.221538757072</v>
      </c>
      <c r="BB162" s="30">
        <v>1.0559465813909E-2</v>
      </c>
      <c r="BC162" s="31">
        <v>100.40896213829301</v>
      </c>
      <c r="BD162" s="30">
        <v>3.7041829409174602E-2</v>
      </c>
      <c r="BE162" s="31"/>
      <c r="BF162" s="30"/>
    </row>
    <row r="163" spans="1:58" x14ac:dyDescent="0.2">
      <c r="A163" s="28">
        <v>2017</v>
      </c>
      <c r="B163" s="28">
        <v>4</v>
      </c>
      <c r="C163" s="31">
        <v>100.23567615015401</v>
      </c>
      <c r="D163" s="30">
        <v>2.1664079793408701E-3</v>
      </c>
      <c r="E163" s="31">
        <v>97.979649684535403</v>
      </c>
      <c r="F163" s="30">
        <v>1.07061419090335E-2</v>
      </c>
      <c r="G163" s="31">
        <v>99.734824883960897</v>
      </c>
      <c r="H163" s="30">
        <v>9.4833538369201199E-3</v>
      </c>
      <c r="I163" s="31">
        <v>99.9911331668347</v>
      </c>
      <c r="J163" s="30">
        <v>1.11938270943113E-2</v>
      </c>
      <c r="K163" s="31">
        <v>98.618142529211894</v>
      </c>
      <c r="L163" s="30">
        <v>1.71528803842103E-3</v>
      </c>
      <c r="M163" s="31">
        <v>94.417729491406803</v>
      </c>
      <c r="N163" s="30">
        <v>1.27159894187632E-2</v>
      </c>
      <c r="O163" s="31">
        <v>99.5482598963698</v>
      </c>
      <c r="P163" s="30">
        <v>4.4803632813550402E-3</v>
      </c>
      <c r="Q163" s="31">
        <v>98.878666664539097</v>
      </c>
      <c r="R163" s="30">
        <v>-2.4739414793917302E-3</v>
      </c>
      <c r="S163" s="31">
        <v>99.901875819296194</v>
      </c>
      <c r="T163" s="30">
        <v>8.2441053224842093E-3</v>
      </c>
      <c r="U163" s="31"/>
      <c r="V163" s="30"/>
      <c r="W163" s="31"/>
      <c r="X163" s="30"/>
      <c r="Y163" s="31"/>
      <c r="Z163" s="30"/>
      <c r="AA163" s="31">
        <v>100.988742332892</v>
      </c>
      <c r="AB163" s="30">
        <v>2.2606299927842001E-2</v>
      </c>
      <c r="AC163" s="31">
        <v>100.54042608527899</v>
      </c>
      <c r="AD163" s="30">
        <v>2.5800259031558501E-2</v>
      </c>
      <c r="AE163" s="31">
        <v>106.00926359028099</v>
      </c>
      <c r="AF163" s="30">
        <v>2.4585224964637199E-2</v>
      </c>
      <c r="AG163" s="31">
        <v>106.155783745538</v>
      </c>
      <c r="AH163" s="30">
        <v>1.3677744790704801E-2</v>
      </c>
      <c r="AI163" s="31">
        <v>102.534145259048</v>
      </c>
      <c r="AJ163" s="30">
        <v>1.3338876050217999E-2</v>
      </c>
      <c r="AK163" s="31">
        <v>97.436273916535598</v>
      </c>
      <c r="AL163" s="30">
        <v>4.20183216896595E-2</v>
      </c>
      <c r="AM163" s="31">
        <v>95.532916422968199</v>
      </c>
      <c r="AN163" s="30">
        <v>3.7009801250296397E-2</v>
      </c>
      <c r="AO163" s="31">
        <v>102.759408674149</v>
      </c>
      <c r="AP163" s="30">
        <v>3.48315255713443E-2</v>
      </c>
      <c r="AQ163" s="31">
        <v>103.24879705846099</v>
      </c>
      <c r="AR163" s="30">
        <v>3.501675319869E-2</v>
      </c>
      <c r="AS163" s="31">
        <v>101.02881091893499</v>
      </c>
      <c r="AT163" s="30">
        <v>4.9621111735037603E-2</v>
      </c>
      <c r="AU163" s="31">
        <v>101.871376788704</v>
      </c>
      <c r="AV163" s="30">
        <v>1.3254011264541E-2</v>
      </c>
      <c r="AW163" s="31">
        <v>99.673337572633699</v>
      </c>
      <c r="AX163" s="30">
        <v>7.9752840657145701E-3</v>
      </c>
      <c r="AY163" s="31">
        <v>105.63178438329101</v>
      </c>
      <c r="AZ163" s="30">
        <v>2.1874568061090099E-2</v>
      </c>
      <c r="BA163" s="31">
        <v>107.140292517661</v>
      </c>
      <c r="BB163" s="30">
        <v>2.5825583363628501E-2</v>
      </c>
      <c r="BC163" s="31">
        <v>102.332515879336</v>
      </c>
      <c r="BD163" s="30">
        <v>4.1158188915335597E-2</v>
      </c>
      <c r="BE163" s="31"/>
      <c r="BF163" s="30"/>
    </row>
    <row r="164" spans="1:58" x14ac:dyDescent="0.2">
      <c r="A164" s="28">
        <v>2018</v>
      </c>
      <c r="B164" s="28">
        <v>1</v>
      </c>
      <c r="C164" s="31">
        <v>100.390945662877</v>
      </c>
      <c r="D164" s="30">
        <v>1.0086104578375099E-3</v>
      </c>
      <c r="E164" s="31">
        <v>97.877505033547806</v>
      </c>
      <c r="F164" s="30">
        <v>7.1398972705305503E-3</v>
      </c>
      <c r="G164" s="31">
        <v>100.06356012694999</v>
      </c>
      <c r="H164" s="30">
        <v>1.0340266583892499E-2</v>
      </c>
      <c r="I164" s="31">
        <v>100.35752884007999</v>
      </c>
      <c r="J164" s="30">
        <v>1.18626544666971E-2</v>
      </c>
      <c r="K164" s="31">
        <v>98.784157550983295</v>
      </c>
      <c r="L164" s="30">
        <v>3.5698813538438401E-3</v>
      </c>
      <c r="M164" s="31">
        <v>93.199513250145699</v>
      </c>
      <c r="N164" s="30">
        <v>-2.4382139349439199E-3</v>
      </c>
      <c r="O164" s="31">
        <v>99.787616271164197</v>
      </c>
      <c r="P164" s="30">
        <v>8.2408422067046204E-3</v>
      </c>
      <c r="Q164" s="31">
        <v>99.129015514359196</v>
      </c>
      <c r="R164" s="30">
        <v>2.4733099715348299E-3</v>
      </c>
      <c r="S164" s="31">
        <v>100.10294495282901</v>
      </c>
      <c r="T164" s="30">
        <v>1.11814113149915E-2</v>
      </c>
      <c r="U164" s="31"/>
      <c r="V164" s="30"/>
      <c r="W164" s="31"/>
      <c r="X164" s="30"/>
      <c r="Y164" s="31"/>
      <c r="Z164" s="30"/>
      <c r="AA164" s="31">
        <v>101.019625064781</v>
      </c>
      <c r="AB164" s="30">
        <v>2.6161728597188499E-2</v>
      </c>
      <c r="AC164" s="31">
        <v>100.433799750578</v>
      </c>
      <c r="AD164" s="30">
        <v>2.6271040151989201E-2</v>
      </c>
      <c r="AE164" s="31">
        <v>106.125576840042</v>
      </c>
      <c r="AF164" s="30">
        <v>2.7723184435033601E-2</v>
      </c>
      <c r="AG164" s="31">
        <v>105.000596902433</v>
      </c>
      <c r="AH164" s="30">
        <v>1.1633751740584E-2</v>
      </c>
      <c r="AI164" s="31">
        <v>102.925653338209</v>
      </c>
      <c r="AJ164" s="30">
        <v>2.5743190810409301E-2</v>
      </c>
      <c r="AK164" s="31">
        <v>97.069190357479002</v>
      </c>
      <c r="AL164" s="30">
        <v>4.1752833412849598E-2</v>
      </c>
      <c r="AM164" s="31">
        <v>95.643324857483705</v>
      </c>
      <c r="AN164" s="30">
        <v>3.1892789024158298E-2</v>
      </c>
      <c r="AO164" s="31">
        <v>103.35393506474701</v>
      </c>
      <c r="AP164" s="30">
        <v>3.4503582442153603E-2</v>
      </c>
      <c r="AQ164" s="31">
        <v>103.942608053226</v>
      </c>
      <c r="AR164" s="30">
        <v>3.6104449446401302E-2</v>
      </c>
      <c r="AS164" s="31">
        <v>99.828288220226099</v>
      </c>
      <c r="AT164" s="30">
        <v>6.1654359058070901E-2</v>
      </c>
      <c r="AU164" s="31">
        <v>102.184423555987</v>
      </c>
      <c r="AV164" s="30">
        <v>1.6885522340670801E-2</v>
      </c>
      <c r="AW164" s="31">
        <v>99.980006506312094</v>
      </c>
      <c r="AX164" s="30">
        <v>9.6635985980491092E-3</v>
      </c>
      <c r="AY164" s="31">
        <v>105.90076982334099</v>
      </c>
      <c r="AZ164" s="30">
        <v>2.8320878624077402E-2</v>
      </c>
      <c r="BA164" s="31">
        <v>107.308633361869</v>
      </c>
      <c r="BB164" s="30">
        <v>2.9563861923132002E-2</v>
      </c>
      <c r="BC164" s="31">
        <v>102.1970531969</v>
      </c>
      <c r="BD164" s="30">
        <v>4.6925831536839699E-2</v>
      </c>
      <c r="BE164" s="31"/>
      <c r="BF164" s="30"/>
    </row>
    <row r="165" spans="1:58" x14ac:dyDescent="0.2">
      <c r="A165" s="28">
        <v>2018</v>
      </c>
      <c r="B165" s="28">
        <v>2</v>
      </c>
      <c r="C165" s="31">
        <v>101.02647426209499</v>
      </c>
      <c r="D165" s="30">
        <v>1.37316341113012E-2</v>
      </c>
      <c r="E165" s="31">
        <v>98.6314297887116</v>
      </c>
      <c r="F165" s="30">
        <v>7.5812930780638802E-3</v>
      </c>
      <c r="G165" s="31">
        <v>100.675540097818</v>
      </c>
      <c r="H165" s="30">
        <v>1.2026130961606801E-2</v>
      </c>
      <c r="I165" s="31">
        <v>101.064366101056</v>
      </c>
      <c r="J165" s="30">
        <v>1.3510094931657999E-2</v>
      </c>
      <c r="K165" s="31">
        <v>98.985469123663094</v>
      </c>
      <c r="L165" s="30">
        <v>5.4536037556969204E-3</v>
      </c>
      <c r="M165" s="31">
        <v>94.481815728617406</v>
      </c>
      <c r="N165" s="30">
        <v>-2.34836742706268E-3</v>
      </c>
      <c r="O165" s="31">
        <v>99.946294649878993</v>
      </c>
      <c r="P165" s="30">
        <v>1.0340291606107501E-2</v>
      </c>
      <c r="Q165" s="31">
        <v>99.286270860868697</v>
      </c>
      <c r="R165" s="30">
        <v>5.3100231268223804E-3</v>
      </c>
      <c r="S165" s="31">
        <v>100.283019180693</v>
      </c>
      <c r="T165" s="30">
        <v>1.29622558590423E-2</v>
      </c>
      <c r="U165" s="31"/>
      <c r="V165" s="30"/>
      <c r="W165" s="31"/>
      <c r="X165" s="30"/>
      <c r="Y165" s="31"/>
      <c r="Z165" s="30"/>
      <c r="AA165" s="31">
        <v>102.35465785811699</v>
      </c>
      <c r="AB165" s="30">
        <v>4.6262025240171097E-2</v>
      </c>
      <c r="AC165" s="31">
        <v>101.733770852699</v>
      </c>
      <c r="AD165" s="30">
        <v>5.48863068272352E-2</v>
      </c>
      <c r="AE165" s="31">
        <v>107.324011061501</v>
      </c>
      <c r="AF165" s="30">
        <v>5.7482624996488998E-2</v>
      </c>
      <c r="AG165" s="31">
        <v>105.82247087917099</v>
      </c>
      <c r="AH165" s="30">
        <v>2.9189046885612399E-2</v>
      </c>
      <c r="AI165" s="31">
        <v>104.37518032367601</v>
      </c>
      <c r="AJ165" s="30">
        <v>2.3630219187205499E-2</v>
      </c>
      <c r="AK165" s="31">
        <v>98.634570098297402</v>
      </c>
      <c r="AL165" s="30">
        <v>4.17464301054968E-2</v>
      </c>
      <c r="AM165" s="31">
        <v>96.223880890910095</v>
      </c>
      <c r="AN165" s="30">
        <v>3.4673331916547298E-2</v>
      </c>
      <c r="AO165" s="31">
        <v>103.574655560835</v>
      </c>
      <c r="AP165" s="30">
        <v>3.2164842916961901E-2</v>
      </c>
      <c r="AQ165" s="31">
        <v>104.07583531157999</v>
      </c>
      <c r="AR165" s="30">
        <v>3.2379376437955E-2</v>
      </c>
      <c r="AS165" s="31">
        <v>103.460656762124</v>
      </c>
      <c r="AT165" s="30">
        <v>5.5961153273967203E-2</v>
      </c>
      <c r="AU165" s="31">
        <v>102.966701678752</v>
      </c>
      <c r="AV165" s="30">
        <v>2.5161050146104601E-2</v>
      </c>
      <c r="AW165" s="31">
        <v>100.453325506724</v>
      </c>
      <c r="AX165" s="30">
        <v>1.15049718547091E-2</v>
      </c>
      <c r="AY165" s="31">
        <v>107.20186539418</v>
      </c>
      <c r="AZ165" s="30">
        <v>4.7464422859658101E-2</v>
      </c>
      <c r="BA165" s="31">
        <v>108.54255327256401</v>
      </c>
      <c r="BB165" s="30">
        <v>5.9156102734705798E-2</v>
      </c>
      <c r="BC165" s="31">
        <v>103.74713826968799</v>
      </c>
      <c r="BD165" s="30">
        <v>4.152539541341E-2</v>
      </c>
      <c r="BE165" s="31"/>
      <c r="BF165" s="30"/>
    </row>
    <row r="166" spans="1:58" x14ac:dyDescent="0.2">
      <c r="A166" s="28">
        <v>2018</v>
      </c>
      <c r="B166" s="28">
        <v>3</v>
      </c>
      <c r="C166" s="31">
        <v>101.099602979964</v>
      </c>
      <c r="D166" s="30">
        <v>8.5236354873801101E-3</v>
      </c>
      <c r="E166" s="31">
        <v>98.738610347168404</v>
      </c>
      <c r="F166" s="30">
        <v>5.4261788580589601E-3</v>
      </c>
      <c r="G166" s="31">
        <v>100.637931572797</v>
      </c>
      <c r="H166" s="30">
        <v>1.1184720540892101E-2</v>
      </c>
      <c r="I166" s="31">
        <v>100.961576683356</v>
      </c>
      <c r="J166" s="30">
        <v>1.20544509583091E-2</v>
      </c>
      <c r="K166" s="31">
        <v>99.231719919762895</v>
      </c>
      <c r="L166" s="30">
        <v>7.3314709316507597E-3</v>
      </c>
      <c r="M166" s="31">
        <v>94.903819496479002</v>
      </c>
      <c r="N166" s="30">
        <v>-7.5576579120330001E-3</v>
      </c>
      <c r="O166" s="31">
        <v>99.9529369079481</v>
      </c>
      <c r="P166" s="30">
        <v>8.2535068142171007E-3</v>
      </c>
      <c r="Q166" s="31">
        <v>99.350727737757694</v>
      </c>
      <c r="R166" s="30">
        <v>6.0187893577483597E-3</v>
      </c>
      <c r="S166" s="31">
        <v>100.266135305848</v>
      </c>
      <c r="T166" s="30">
        <v>9.3773855229748494E-3</v>
      </c>
      <c r="U166" s="31"/>
      <c r="V166" s="30"/>
      <c r="W166" s="31"/>
      <c r="X166" s="30"/>
      <c r="Y166" s="31"/>
      <c r="Z166" s="30"/>
      <c r="AA166" s="31">
        <v>100.420842809018</v>
      </c>
      <c r="AB166" s="30">
        <v>1.38789161704722E-2</v>
      </c>
      <c r="AC166" s="31">
        <v>99.323597807282894</v>
      </c>
      <c r="AD166" s="30">
        <v>1.2700474377649301E-2</v>
      </c>
      <c r="AE166" s="31">
        <v>106.271411868101</v>
      </c>
      <c r="AF166" s="30">
        <v>2.9429902590383899E-2</v>
      </c>
      <c r="AG166" s="31">
        <v>105.198180625503</v>
      </c>
      <c r="AH166" s="30">
        <v>1.4999514953002399E-2</v>
      </c>
      <c r="AI166" s="31">
        <v>103.681707933056</v>
      </c>
      <c r="AJ166" s="30">
        <v>1.62815541236296E-2</v>
      </c>
      <c r="AK166" s="31">
        <v>96.457714950177902</v>
      </c>
      <c r="AL166" s="30">
        <v>9.9538693227887408E-3</v>
      </c>
      <c r="AM166" s="31">
        <v>94.150292918660696</v>
      </c>
      <c r="AN166" s="30">
        <v>-5.9092313920161598E-4</v>
      </c>
      <c r="AO166" s="31">
        <v>103.64516965086</v>
      </c>
      <c r="AP166" s="30">
        <v>1.9280392414019701E-2</v>
      </c>
      <c r="AQ166" s="31">
        <v>104.235856538148</v>
      </c>
      <c r="AR166" s="30">
        <v>2.00559710823132E-2</v>
      </c>
      <c r="AS166" s="31">
        <v>101.04557671588699</v>
      </c>
      <c r="AT166" s="30">
        <v>3.08457016039199E-2</v>
      </c>
      <c r="AU166" s="31">
        <v>102.581915248379</v>
      </c>
      <c r="AV166" s="30">
        <v>1.6313060362583402E-2</v>
      </c>
      <c r="AW166" s="31">
        <v>100.43179969747899</v>
      </c>
      <c r="AX166" s="30">
        <v>1.03122776923585E-2</v>
      </c>
      <c r="AY166" s="31">
        <v>106.24975197408</v>
      </c>
      <c r="AZ166" s="30">
        <v>2.62591441666538E-2</v>
      </c>
      <c r="BA166" s="31">
        <v>107.487065721205</v>
      </c>
      <c r="BB166" s="30">
        <v>3.1332553741547899E-2</v>
      </c>
      <c r="BC166" s="31">
        <v>102.884669810969</v>
      </c>
      <c r="BD166" s="30">
        <v>2.4656242032113501E-2</v>
      </c>
      <c r="BE166" s="31"/>
      <c r="BF166" s="30"/>
    </row>
    <row r="167" spans="1:58" x14ac:dyDescent="0.2">
      <c r="A167" s="28">
        <v>2018</v>
      </c>
      <c r="B167" s="28">
        <v>4</v>
      </c>
      <c r="C167" s="31">
        <v>100.904620367411</v>
      </c>
      <c r="D167" s="30">
        <v>6.6737138207677597E-3</v>
      </c>
      <c r="E167" s="31">
        <v>99.526586424803696</v>
      </c>
      <c r="F167" s="30">
        <v>1.57883473277249E-2</v>
      </c>
      <c r="G167" s="31">
        <v>100.553276211457</v>
      </c>
      <c r="H167" s="30">
        <v>8.2062742722846006E-3</v>
      </c>
      <c r="I167" s="31">
        <v>100.779371138054</v>
      </c>
      <c r="J167" s="30">
        <v>7.8830786916248598E-3</v>
      </c>
      <c r="K167" s="31">
        <v>99.572750452525298</v>
      </c>
      <c r="L167" s="30">
        <v>9.6798408368989897E-3</v>
      </c>
      <c r="M167" s="31">
        <v>97.488644469051707</v>
      </c>
      <c r="N167" s="30">
        <v>3.2524770444987999E-2</v>
      </c>
      <c r="O167" s="31">
        <v>99.955739531415901</v>
      </c>
      <c r="P167" s="30">
        <v>4.0932873710732799E-3</v>
      </c>
      <c r="Q167" s="31">
        <v>99.545025077176007</v>
      </c>
      <c r="R167" s="30">
        <v>6.7391524897646403E-3</v>
      </c>
      <c r="S167" s="31">
        <v>100.16261018309299</v>
      </c>
      <c r="T167" s="30">
        <v>2.6099045854597299E-3</v>
      </c>
      <c r="U167" s="31"/>
      <c r="V167" s="30"/>
      <c r="W167" s="31"/>
      <c r="X167" s="30"/>
      <c r="Y167" s="31"/>
      <c r="Z167" s="30"/>
      <c r="AA167" s="31">
        <v>100.668112059084</v>
      </c>
      <c r="AB167" s="30">
        <v>-3.1749110485064201E-3</v>
      </c>
      <c r="AC167" s="31">
        <v>99.805796054439796</v>
      </c>
      <c r="AD167" s="30">
        <v>-7.30681238824182E-3</v>
      </c>
      <c r="AE167" s="31">
        <v>105.546452370577</v>
      </c>
      <c r="AF167" s="30">
        <v>-4.3657620478560998E-3</v>
      </c>
      <c r="AG167" s="31">
        <v>104.623851337044</v>
      </c>
      <c r="AH167" s="30">
        <v>-1.44309839223288E-2</v>
      </c>
      <c r="AI167" s="31">
        <v>103.32682860614101</v>
      </c>
      <c r="AJ167" s="30">
        <v>7.7309207102662604E-3</v>
      </c>
      <c r="AK167" s="31">
        <v>98.348000197777196</v>
      </c>
      <c r="AL167" s="30">
        <v>9.35715462623876E-3</v>
      </c>
      <c r="AM167" s="31">
        <v>96.273483473724198</v>
      </c>
      <c r="AN167" s="30">
        <v>7.7519569011914599E-3</v>
      </c>
      <c r="AO167" s="31">
        <v>104.58562298893</v>
      </c>
      <c r="AP167" s="30">
        <v>1.7771747992168199E-2</v>
      </c>
      <c r="AQ167" s="31">
        <v>105.030519057801</v>
      </c>
      <c r="AR167" s="30">
        <v>1.7256588455274401E-2</v>
      </c>
      <c r="AS167" s="31">
        <v>102.268629993304</v>
      </c>
      <c r="AT167" s="30">
        <v>1.22719357289474E-2</v>
      </c>
      <c r="AU167" s="31">
        <v>102.282832953575</v>
      </c>
      <c r="AV167" s="30">
        <v>4.0389771674969E-3</v>
      </c>
      <c r="AW167" s="31">
        <v>100.37206383146101</v>
      </c>
      <c r="AX167" s="30">
        <v>7.0101621541314198E-3</v>
      </c>
      <c r="AY167" s="31">
        <v>105.522411111743</v>
      </c>
      <c r="AZ167" s="30">
        <v>-1.03542008862445E-3</v>
      </c>
      <c r="BA167" s="31">
        <v>106.547764209391</v>
      </c>
      <c r="BB167" s="30">
        <v>-5.5303965888637797E-3</v>
      </c>
      <c r="BC167" s="31">
        <v>103.87603932276301</v>
      </c>
      <c r="BD167" s="30">
        <v>1.50834114666654E-2</v>
      </c>
      <c r="BE167" s="31"/>
      <c r="BF167" s="30"/>
    </row>
    <row r="168" spans="1:58" x14ac:dyDescent="0.2">
      <c r="A168" s="28">
        <v>2019</v>
      </c>
      <c r="B168" s="28">
        <v>1</v>
      </c>
      <c r="C168" s="31">
        <v>101.281315042282</v>
      </c>
      <c r="D168" s="30">
        <v>8.8690207421158202E-3</v>
      </c>
      <c r="E168" s="31">
        <v>98.863326588392098</v>
      </c>
      <c r="F168" s="30">
        <v>1.0071993094904299E-2</v>
      </c>
      <c r="G168" s="31">
        <v>100.27527930952201</v>
      </c>
      <c r="H168" s="30">
        <v>2.11584699069012E-3</v>
      </c>
      <c r="I168" s="31">
        <v>100.347495796033</v>
      </c>
      <c r="J168" s="30">
        <v>-9.9973008132248103E-5</v>
      </c>
      <c r="K168" s="31">
        <v>99.974371473343894</v>
      </c>
      <c r="L168" s="30">
        <v>1.20486316011381E-2</v>
      </c>
      <c r="M168" s="31">
        <v>96.120322422053306</v>
      </c>
      <c r="N168" s="30">
        <v>3.1339317878926999E-2</v>
      </c>
      <c r="O168" s="31">
        <v>100.056016029614</v>
      </c>
      <c r="P168" s="30">
        <v>2.6897100910887599E-3</v>
      </c>
      <c r="Q168" s="31">
        <v>99.869579096120006</v>
      </c>
      <c r="R168" s="30">
        <v>7.4707044947253101E-3</v>
      </c>
      <c r="S168" s="31">
        <v>100.164150225461</v>
      </c>
      <c r="T168" s="30">
        <v>6.114232968919E-4</v>
      </c>
      <c r="U168" s="31"/>
      <c r="V168" s="30"/>
      <c r="W168" s="31"/>
      <c r="X168" s="30"/>
      <c r="Y168" s="31"/>
      <c r="Z168" s="30"/>
      <c r="AA168" s="31">
        <v>101.163713731261</v>
      </c>
      <c r="AB168" s="30">
        <v>1.4263433108952E-3</v>
      </c>
      <c r="AC168" s="31">
        <v>100.058558372615</v>
      </c>
      <c r="AD168" s="30">
        <v>-3.73620612677927E-3</v>
      </c>
      <c r="AE168" s="31">
        <v>105.336042235135</v>
      </c>
      <c r="AF168" s="30">
        <v>-7.4396260394134998E-3</v>
      </c>
      <c r="AG168" s="31">
        <v>104.416651012795</v>
      </c>
      <c r="AH168" s="30">
        <v>-5.5613578100009997E-3</v>
      </c>
      <c r="AI168" s="31">
        <v>104.432241391575</v>
      </c>
      <c r="AJ168" s="30">
        <v>1.46376341028869E-2</v>
      </c>
      <c r="AK168" s="31">
        <v>97.173983536767693</v>
      </c>
      <c r="AL168" s="30">
        <v>1.07957199295416E-3</v>
      </c>
      <c r="AM168" s="31">
        <v>95.704762234819</v>
      </c>
      <c r="AN168" s="30">
        <v>6.4235928044942302E-4</v>
      </c>
      <c r="AO168" s="31">
        <v>102.99879711256</v>
      </c>
      <c r="AP168" s="30">
        <v>-3.4361338246543501E-3</v>
      </c>
      <c r="AQ168" s="31">
        <v>103.434287859831</v>
      </c>
      <c r="AR168" s="30">
        <v>-4.89039290928228E-3</v>
      </c>
      <c r="AS168" s="31">
        <v>100.047584263225</v>
      </c>
      <c r="AT168" s="30">
        <v>2.1967324784282201E-3</v>
      </c>
      <c r="AU168" s="31">
        <v>102.216132919402</v>
      </c>
      <c r="AV168" s="30">
        <v>3.1031503933420801E-4</v>
      </c>
      <c r="AW168" s="31">
        <v>100.205881164646</v>
      </c>
      <c r="AX168" s="30">
        <v>2.25919827600385E-3</v>
      </c>
      <c r="AY168" s="31">
        <v>105.629051563015</v>
      </c>
      <c r="AZ168" s="30">
        <v>-2.5657817292539199E-3</v>
      </c>
      <c r="BA168" s="31">
        <v>106.17166803870499</v>
      </c>
      <c r="BB168" s="30">
        <v>-1.0595282854171301E-2</v>
      </c>
      <c r="BC168" s="31">
        <v>102.007922392919</v>
      </c>
      <c r="BD168" s="30">
        <v>-1.85064831191106E-3</v>
      </c>
      <c r="BE168" s="31"/>
      <c r="BF168" s="30"/>
    </row>
    <row r="169" spans="1:58" x14ac:dyDescent="0.2">
      <c r="A169" s="28">
        <v>2019</v>
      </c>
      <c r="B169" s="28">
        <v>2</v>
      </c>
      <c r="C169" s="31">
        <v>100.88439623776399</v>
      </c>
      <c r="D169" s="30">
        <v>-1.4063444791987401E-3</v>
      </c>
      <c r="E169" s="31">
        <v>98.824648481628998</v>
      </c>
      <c r="F169" s="30">
        <v>1.9589971810334301E-3</v>
      </c>
      <c r="G169" s="31">
        <v>100.728120295452</v>
      </c>
      <c r="H169" s="30">
        <v>5.2227380734515304E-4</v>
      </c>
      <c r="I169" s="31">
        <v>100.85307747525999</v>
      </c>
      <c r="J169" s="30">
        <v>-2.0906342556510399E-3</v>
      </c>
      <c r="K169" s="31">
        <v>100.19351563535</v>
      </c>
      <c r="L169" s="30">
        <v>1.2204281319081E-2</v>
      </c>
      <c r="M169" s="31">
        <v>94.9655480561498</v>
      </c>
      <c r="N169" s="30">
        <v>5.1198458010359698E-3</v>
      </c>
      <c r="O169" s="31">
        <v>100.190160105922</v>
      </c>
      <c r="P169" s="30">
        <v>2.4399649521495998E-3</v>
      </c>
      <c r="Q169" s="31">
        <v>99.982121408348107</v>
      </c>
      <c r="R169" s="30">
        <v>7.0085273769071596E-3</v>
      </c>
      <c r="S169" s="31">
        <v>100.289025993869</v>
      </c>
      <c r="T169" s="30">
        <v>5.9898607207342602E-5</v>
      </c>
      <c r="U169" s="31"/>
      <c r="V169" s="30"/>
      <c r="W169" s="31"/>
      <c r="X169" s="30"/>
      <c r="Y169" s="31"/>
      <c r="Z169" s="30"/>
      <c r="AA169" s="31">
        <v>102.035108616306</v>
      </c>
      <c r="AB169" s="30">
        <v>-3.1219804598808798E-3</v>
      </c>
      <c r="AC169" s="31">
        <v>100.642760186101</v>
      </c>
      <c r="AD169" s="30">
        <v>-1.0724174061899201E-2</v>
      </c>
      <c r="AE169" s="31">
        <v>105.588325304862</v>
      </c>
      <c r="AF169" s="30">
        <v>-1.6172389938387301E-2</v>
      </c>
      <c r="AG169" s="31">
        <v>104.34167233325999</v>
      </c>
      <c r="AH169" s="30">
        <v>-1.39932335127712E-2</v>
      </c>
      <c r="AI169" s="31">
        <v>106.190704189173</v>
      </c>
      <c r="AJ169" s="30">
        <v>1.7394210576373598E-2</v>
      </c>
      <c r="AK169" s="31">
        <v>98.793563923183598</v>
      </c>
      <c r="AL169" s="30">
        <v>1.61194827257582E-3</v>
      </c>
      <c r="AM169" s="31">
        <v>96.325597674130606</v>
      </c>
      <c r="AN169" s="30">
        <v>1.05708460601162E-3</v>
      </c>
      <c r="AO169" s="31">
        <v>102.96309269631</v>
      </c>
      <c r="AP169" s="30">
        <v>-5.9045609296336501E-3</v>
      </c>
      <c r="AQ169" s="31">
        <v>103.341041637354</v>
      </c>
      <c r="AR169" s="30">
        <v>-7.0601756116144302E-3</v>
      </c>
      <c r="AS169" s="31">
        <v>103.652925224653</v>
      </c>
      <c r="AT169" s="30">
        <v>1.85837272395406E-3</v>
      </c>
      <c r="AU169" s="31">
        <v>102.677527006189</v>
      </c>
      <c r="AV169" s="30">
        <v>-2.8084290148997501E-3</v>
      </c>
      <c r="AW169" s="31">
        <v>100.565396098153</v>
      </c>
      <c r="AX169" s="30">
        <v>1.11564839554279E-3</v>
      </c>
      <c r="AY169" s="31">
        <v>106.257712937722</v>
      </c>
      <c r="AZ169" s="30">
        <v>-8.8072390623624708E-3</v>
      </c>
      <c r="BA169" s="31">
        <v>106.325135778879</v>
      </c>
      <c r="BB169" s="30">
        <v>-2.04290154122025E-2</v>
      </c>
      <c r="BC169" s="31">
        <v>103.415786945847</v>
      </c>
      <c r="BD169" s="30">
        <v>-3.1938357950617199E-3</v>
      </c>
      <c r="BE169" s="31"/>
      <c r="BF169" s="30"/>
    </row>
    <row r="170" spans="1:58" x14ac:dyDescent="0.2">
      <c r="A170" s="28">
        <v>2019</v>
      </c>
      <c r="B170" s="28">
        <v>3</v>
      </c>
      <c r="C170" s="31">
        <v>100.655641483959</v>
      </c>
      <c r="D170" s="30">
        <v>-4.3913277888277804E-3</v>
      </c>
      <c r="E170" s="31">
        <v>98.118284790421399</v>
      </c>
      <c r="F170" s="30">
        <v>-6.2825024027169897E-3</v>
      </c>
      <c r="G170" s="31">
        <v>100.325493386445</v>
      </c>
      <c r="H170" s="30">
        <v>-3.1045767879842598E-3</v>
      </c>
      <c r="I170" s="31">
        <v>100.357616021452</v>
      </c>
      <c r="J170" s="30">
        <v>-5.9820842913128596E-3</v>
      </c>
      <c r="K170" s="31">
        <v>100.195883120033</v>
      </c>
      <c r="L170" s="30">
        <v>9.7162802483854397E-3</v>
      </c>
      <c r="M170" s="31">
        <v>93.606647727243299</v>
      </c>
      <c r="N170" s="30">
        <v>-1.3668277800809101E-2</v>
      </c>
      <c r="O170" s="31">
        <v>100.143840368835</v>
      </c>
      <c r="P170" s="30">
        <v>1.9099334826175899E-3</v>
      </c>
      <c r="Q170" s="31">
        <v>99.882440329542206</v>
      </c>
      <c r="R170" s="30">
        <v>5.35187415222582E-3</v>
      </c>
      <c r="S170" s="31">
        <v>100.267386554548</v>
      </c>
      <c r="T170" s="30">
        <v>1.24792752440595E-5</v>
      </c>
      <c r="U170" s="31"/>
      <c r="V170" s="30"/>
      <c r="W170" s="31"/>
      <c r="X170" s="30"/>
      <c r="Y170" s="31"/>
      <c r="Z170" s="30"/>
      <c r="AA170" s="31">
        <v>102.643591212126</v>
      </c>
      <c r="AB170" s="30">
        <v>2.2134333281134601E-2</v>
      </c>
      <c r="AC170" s="31">
        <v>101.965314531926</v>
      </c>
      <c r="AD170" s="30">
        <v>2.6597070413908901E-2</v>
      </c>
      <c r="AE170" s="31">
        <v>104.347636894527</v>
      </c>
      <c r="AF170" s="30">
        <v>-1.8102469326013001E-2</v>
      </c>
      <c r="AG170" s="31">
        <v>103.47336920264399</v>
      </c>
      <c r="AH170" s="30">
        <v>-1.6395829401266701E-2</v>
      </c>
      <c r="AI170" s="31">
        <v>104.80393354439499</v>
      </c>
      <c r="AJ170" s="30">
        <v>1.0823756993503001E-2</v>
      </c>
      <c r="AK170" s="31">
        <v>98.758220244057298</v>
      </c>
      <c r="AL170" s="30">
        <v>2.3849883807300701E-2</v>
      </c>
      <c r="AM170" s="31">
        <v>98.206739359451106</v>
      </c>
      <c r="AN170" s="30">
        <v>4.3084798942632799E-2</v>
      </c>
      <c r="AO170" s="31">
        <v>101.855087696442</v>
      </c>
      <c r="AP170" s="30">
        <v>-1.7271253068994699E-2</v>
      </c>
      <c r="AQ170" s="31">
        <v>102.218592048513</v>
      </c>
      <c r="AR170" s="30">
        <v>-1.9352884474035902E-2</v>
      </c>
      <c r="AS170" s="31">
        <v>99.792890968175797</v>
      </c>
      <c r="AT170" s="30">
        <v>-1.23972348758403E-2</v>
      </c>
      <c r="AU170" s="31">
        <v>101.956016088808</v>
      </c>
      <c r="AV170" s="30">
        <v>-6.1014571433504203E-3</v>
      </c>
      <c r="AW170" s="31">
        <v>100.269248687683</v>
      </c>
      <c r="AX170" s="30">
        <v>-1.61852132776352E-3</v>
      </c>
      <c r="AY170" s="31">
        <v>104.828679047066</v>
      </c>
      <c r="AZ170" s="30">
        <v>-1.33748352406562E-2</v>
      </c>
      <c r="BA170" s="31">
        <v>104.816914412432</v>
      </c>
      <c r="BB170" s="30">
        <v>-2.48416057397907E-2</v>
      </c>
      <c r="BC170" s="31">
        <v>101.18737472186599</v>
      </c>
      <c r="BD170" s="30">
        <v>-1.6497065036227401E-2</v>
      </c>
      <c r="BE170" s="31"/>
      <c r="BF170" s="30"/>
    </row>
    <row r="171" spans="1:58" x14ac:dyDescent="0.2">
      <c r="A171" s="28">
        <v>2019</v>
      </c>
      <c r="B171" s="28">
        <v>4</v>
      </c>
      <c r="C171" s="31">
        <v>100.267387141177</v>
      </c>
      <c r="D171" s="30">
        <v>-6.3152036439394496E-3</v>
      </c>
      <c r="E171" s="31">
        <v>98.925907916094403</v>
      </c>
      <c r="F171" s="30">
        <v>-6.0353572878051303E-3</v>
      </c>
      <c r="G171" s="31">
        <v>100.022431987261</v>
      </c>
      <c r="H171" s="30">
        <v>-5.2792334988611698E-3</v>
      </c>
      <c r="I171" s="31">
        <v>100.019354801327</v>
      </c>
      <c r="J171" s="30">
        <v>-7.5413879660487498E-3</v>
      </c>
      <c r="K171" s="31">
        <v>100.06232277932401</v>
      </c>
      <c r="L171" s="30">
        <v>4.9167299745545004E-3</v>
      </c>
      <c r="M171" s="31">
        <v>96.710632339984301</v>
      </c>
      <c r="N171" s="30">
        <v>-7.9805410497266697E-3</v>
      </c>
      <c r="O171" s="31">
        <v>100.152382959969</v>
      </c>
      <c r="P171" s="30">
        <v>1.9673050239486E-3</v>
      </c>
      <c r="Q171" s="31">
        <v>99.931539953921799</v>
      </c>
      <c r="R171" s="30">
        <v>3.88281460018836E-3</v>
      </c>
      <c r="S171" s="31">
        <v>100.264928323924</v>
      </c>
      <c r="T171" s="30">
        <v>1.0215203122623301E-3</v>
      </c>
      <c r="U171" s="31"/>
      <c r="V171" s="30"/>
      <c r="W171" s="31"/>
      <c r="X171" s="30"/>
      <c r="Y171" s="31"/>
      <c r="Z171" s="30"/>
      <c r="AA171" s="31">
        <v>101.254116985756</v>
      </c>
      <c r="AB171" s="30">
        <v>5.8211574120670103E-3</v>
      </c>
      <c r="AC171" s="31">
        <v>100.33079747271201</v>
      </c>
      <c r="AD171" s="30">
        <v>5.2602297564585702E-3</v>
      </c>
      <c r="AE171" s="31">
        <v>103.48676307987201</v>
      </c>
      <c r="AF171" s="30">
        <v>-1.9514528858567401E-2</v>
      </c>
      <c r="AG171" s="31">
        <v>102.485855677027</v>
      </c>
      <c r="AH171" s="30">
        <v>-2.0435069371796E-2</v>
      </c>
      <c r="AI171" s="31">
        <v>104.07905963042199</v>
      </c>
      <c r="AJ171" s="30">
        <v>7.2801133493474203E-3</v>
      </c>
      <c r="AK171" s="31">
        <v>99.147802363767696</v>
      </c>
      <c r="AL171" s="30">
        <v>8.1323683692813304E-3</v>
      </c>
      <c r="AM171" s="31">
        <v>97.678777265519003</v>
      </c>
      <c r="AN171" s="30">
        <v>1.45968935691247E-2</v>
      </c>
      <c r="AO171" s="31">
        <v>102.442433145904</v>
      </c>
      <c r="AP171" s="30">
        <v>-2.0492203247214801E-2</v>
      </c>
      <c r="AQ171" s="31">
        <v>102.43426144073101</v>
      </c>
      <c r="AR171" s="30">
        <v>-2.47190782294536E-2</v>
      </c>
      <c r="AS171" s="31">
        <v>102.14254182977599</v>
      </c>
      <c r="AT171" s="30">
        <v>-1.23291143663862E-3</v>
      </c>
      <c r="AU171" s="31">
        <v>101.418880853956</v>
      </c>
      <c r="AV171" s="30">
        <v>-8.4466970132826003E-3</v>
      </c>
      <c r="AW171" s="31">
        <v>100.067820763122</v>
      </c>
      <c r="AX171" s="30">
        <v>-3.03115285992184E-3</v>
      </c>
      <c r="AY171" s="31">
        <v>103.705495081471</v>
      </c>
      <c r="AZ171" s="30">
        <v>-1.72182952524443E-2</v>
      </c>
      <c r="BA171" s="31">
        <v>103.500288411677</v>
      </c>
      <c r="BB171" s="30">
        <v>-2.8601968519250801E-2</v>
      </c>
      <c r="BC171" s="31">
        <v>102.347653348284</v>
      </c>
      <c r="BD171" s="30">
        <v>-1.47135565087295E-2</v>
      </c>
      <c r="BE171" s="31"/>
      <c r="BF171" s="30"/>
    </row>
    <row r="172" spans="1:58" x14ac:dyDescent="0.2">
      <c r="A172" s="28">
        <v>2020</v>
      </c>
      <c r="B172" s="28">
        <v>1</v>
      </c>
      <c r="C172" s="31">
        <v>100.198054621894</v>
      </c>
      <c r="D172" s="30">
        <v>-1.0695560379872199E-2</v>
      </c>
      <c r="E172" s="31">
        <v>98.817177130145794</v>
      </c>
      <c r="F172" s="30">
        <v>-4.6680058054782099E-4</v>
      </c>
      <c r="G172" s="31">
        <v>100.01036109855799</v>
      </c>
      <c r="H172" s="30">
        <v>-2.6419094794706299E-3</v>
      </c>
      <c r="I172" s="31">
        <v>100.047922858909</v>
      </c>
      <c r="J172" s="30">
        <v>-2.9853553867720301E-3</v>
      </c>
      <c r="K172" s="31">
        <v>99.858503948093002</v>
      </c>
      <c r="L172" s="30">
        <v>-1.15897228002859E-3</v>
      </c>
      <c r="M172" s="31">
        <v>96.422045491138505</v>
      </c>
      <c r="N172" s="30">
        <v>3.1390143258194199E-3</v>
      </c>
      <c r="O172" s="31">
        <v>100.162976943131</v>
      </c>
      <c r="P172" s="30">
        <v>1.0690103180253101E-3</v>
      </c>
      <c r="Q172" s="31">
        <v>100.127391953792</v>
      </c>
      <c r="R172" s="30">
        <v>2.5814953863383398E-3</v>
      </c>
      <c r="S172" s="31">
        <v>100.188762454364</v>
      </c>
      <c r="T172" s="30">
        <v>2.4571894083602602E-4</v>
      </c>
      <c r="U172" s="31"/>
      <c r="V172" s="30"/>
      <c r="W172" s="31"/>
      <c r="X172" s="30"/>
      <c r="Y172" s="31"/>
      <c r="Z172" s="30"/>
      <c r="AA172" s="31">
        <v>99.968038813167496</v>
      </c>
      <c r="AB172" s="30">
        <v>-1.18192074410186E-2</v>
      </c>
      <c r="AC172" s="31">
        <v>99.188743499226405</v>
      </c>
      <c r="AD172" s="30">
        <v>-8.6930582204580702E-3</v>
      </c>
      <c r="AE172" s="31">
        <v>101.340837882199</v>
      </c>
      <c r="AF172" s="30">
        <v>-3.7928179834379801E-2</v>
      </c>
      <c r="AG172" s="31">
        <v>101.079411436519</v>
      </c>
      <c r="AH172" s="30">
        <v>-3.1960798818056503E-2</v>
      </c>
      <c r="AI172" s="31">
        <v>102.367640658068</v>
      </c>
      <c r="AJ172" s="30">
        <v>-1.9769763685957599E-2</v>
      </c>
      <c r="AK172" s="31">
        <v>97.704940974165794</v>
      </c>
      <c r="AL172" s="30">
        <v>5.4639875620334797E-3</v>
      </c>
      <c r="AM172" s="31">
        <v>97.432977820742806</v>
      </c>
      <c r="AN172" s="30">
        <v>1.80577804653392E-2</v>
      </c>
      <c r="AO172" s="31">
        <v>100.453943086856</v>
      </c>
      <c r="AP172" s="30">
        <v>-2.47076091861765E-2</v>
      </c>
      <c r="AQ172" s="31">
        <v>100.561717346724</v>
      </c>
      <c r="AR172" s="30">
        <v>-2.7771936874546599E-2</v>
      </c>
      <c r="AS172" s="31">
        <v>98.443072116479499</v>
      </c>
      <c r="AT172" s="30">
        <v>-1.6037490145932799E-2</v>
      </c>
      <c r="AU172" s="31">
        <v>100.613883134511</v>
      </c>
      <c r="AV172" s="30">
        <v>-1.5675116433474301E-2</v>
      </c>
      <c r="AW172" s="31">
        <v>100.0553383195</v>
      </c>
      <c r="AX172" s="30">
        <v>-1.50233542579337E-3</v>
      </c>
      <c r="AY172" s="31">
        <v>101.60828462584</v>
      </c>
      <c r="AZ172" s="30">
        <v>-3.8064972445354603E-2</v>
      </c>
      <c r="BA172" s="31">
        <v>101.279915613452</v>
      </c>
      <c r="BB172" s="30">
        <v>-4.6073990506300601E-2</v>
      </c>
      <c r="BC172" s="31">
        <v>99.650300840449503</v>
      </c>
      <c r="BD172" s="30">
        <v>-2.31121416568816E-2</v>
      </c>
      <c r="BE172" s="31"/>
      <c r="BF172" s="30"/>
    </row>
    <row r="173" spans="1:58" x14ac:dyDescent="0.2">
      <c r="A173" s="28">
        <v>2020</v>
      </c>
      <c r="B173" s="28">
        <v>2</v>
      </c>
      <c r="C173" s="31">
        <v>99.709401077631199</v>
      </c>
      <c r="D173" s="30">
        <v>-1.16469464451519E-2</v>
      </c>
      <c r="E173" s="31">
        <v>100.821318130519</v>
      </c>
      <c r="F173" s="30">
        <v>2.0204166466237801E-2</v>
      </c>
      <c r="G173" s="31">
        <v>100.158851157252</v>
      </c>
      <c r="H173" s="30">
        <v>-5.65154136232937E-3</v>
      </c>
      <c r="I173" s="31">
        <v>100.25157697904901</v>
      </c>
      <c r="J173" s="30">
        <v>-5.9641263436783802E-3</v>
      </c>
      <c r="K173" s="31">
        <v>99.787754376954595</v>
      </c>
      <c r="L173" s="30">
        <v>-4.0497756348986096E-3</v>
      </c>
      <c r="M173" s="31">
        <v>102.189078264416</v>
      </c>
      <c r="N173" s="30">
        <v>7.6064745122046903E-2</v>
      </c>
      <c r="O173" s="31">
        <v>100.007885085697</v>
      </c>
      <c r="P173" s="30">
        <v>-1.8192906372475101E-3</v>
      </c>
      <c r="Q173" s="31">
        <v>100.072275541506</v>
      </c>
      <c r="R173" s="30">
        <v>9.0170254329091605E-4</v>
      </c>
      <c r="S173" s="31">
        <v>99.963039666802203</v>
      </c>
      <c r="T173" s="30">
        <v>-3.2504685715709601E-3</v>
      </c>
      <c r="U173" s="31"/>
      <c r="V173" s="30"/>
      <c r="W173" s="31"/>
      <c r="X173" s="30"/>
      <c r="Y173" s="31"/>
      <c r="Z173" s="30"/>
      <c r="AA173" s="31">
        <v>99.104549476597199</v>
      </c>
      <c r="AB173" s="30">
        <v>-2.87210860991906E-2</v>
      </c>
      <c r="AC173" s="31">
        <v>98.918815060485898</v>
      </c>
      <c r="AD173" s="30">
        <v>-1.7129350610289602E-2</v>
      </c>
      <c r="AE173" s="31">
        <v>97.421535308197207</v>
      </c>
      <c r="AF173" s="30">
        <v>-7.7345577487714506E-2</v>
      </c>
      <c r="AG173" s="31">
        <v>99.338409087141102</v>
      </c>
      <c r="AH173" s="30">
        <v>-4.7950767265246802E-2</v>
      </c>
      <c r="AI173" s="31">
        <v>99.465336138779506</v>
      </c>
      <c r="AJ173" s="30">
        <v>-6.3332926377550294E-2</v>
      </c>
      <c r="AK173" s="31">
        <v>100.75809184008899</v>
      </c>
      <c r="AL173" s="30">
        <v>1.9885181168616001E-2</v>
      </c>
      <c r="AM173" s="31">
        <v>100.399003863044</v>
      </c>
      <c r="AN173" s="30">
        <v>4.2287889068631797E-2</v>
      </c>
      <c r="AO173" s="31">
        <v>98.668106277480703</v>
      </c>
      <c r="AP173" s="30">
        <v>-4.1713844314073899E-2</v>
      </c>
      <c r="AQ173" s="31">
        <v>98.916301612779804</v>
      </c>
      <c r="AR173" s="30">
        <v>-4.2816870765653499E-2</v>
      </c>
      <c r="AS173" s="31">
        <v>101.14657248361701</v>
      </c>
      <c r="AT173" s="30">
        <v>-2.4180241277363498E-2</v>
      </c>
      <c r="AU173" s="31">
        <v>99.356836457687393</v>
      </c>
      <c r="AV173" s="30">
        <v>-3.2340967350155202E-2</v>
      </c>
      <c r="AW173" s="31">
        <v>100.112656027854</v>
      </c>
      <c r="AX173" s="30">
        <v>-4.5019468710371102E-3</v>
      </c>
      <c r="AY173" s="31">
        <v>98.030680010954796</v>
      </c>
      <c r="AZ173" s="30">
        <v>-7.7425277651039306E-2</v>
      </c>
      <c r="BA173" s="31">
        <v>97.453607878086501</v>
      </c>
      <c r="BB173" s="30">
        <v>-8.3437729336573493E-2</v>
      </c>
      <c r="BC173" s="31">
        <v>99.833364703589694</v>
      </c>
      <c r="BD173" s="30">
        <v>-3.4640960998858897E-2</v>
      </c>
      <c r="BE173" s="31"/>
      <c r="BF173" s="30"/>
    </row>
    <row r="174" spans="1:58" x14ac:dyDescent="0.2">
      <c r="A174" s="28">
        <v>2020</v>
      </c>
      <c r="B174" s="28">
        <v>3</v>
      </c>
      <c r="C174" s="31">
        <v>99.978384189131901</v>
      </c>
      <c r="D174" s="30">
        <v>-6.7284583838752602E-3</v>
      </c>
      <c r="E174" s="31">
        <v>100.42584020149999</v>
      </c>
      <c r="F174" s="30">
        <v>2.35180977328306E-2</v>
      </c>
      <c r="G174" s="31">
        <v>100.05806341781501</v>
      </c>
      <c r="H174" s="30">
        <v>-2.6656232588889699E-3</v>
      </c>
      <c r="I174" s="31">
        <v>100.09322621117499</v>
      </c>
      <c r="J174" s="30">
        <v>-2.63447679167894E-3</v>
      </c>
      <c r="K174" s="31">
        <v>99.9155718139762</v>
      </c>
      <c r="L174" s="30">
        <v>-2.7976329698157199E-3</v>
      </c>
      <c r="M174" s="31">
        <v>101.230751556435</v>
      </c>
      <c r="N174" s="30">
        <v>8.1448316057711106E-2</v>
      </c>
      <c r="O174" s="31">
        <v>99.901871856590006</v>
      </c>
      <c r="P174" s="30">
        <v>-2.41620963759093E-3</v>
      </c>
      <c r="Q174" s="31">
        <v>99.765502632822901</v>
      </c>
      <c r="R174" s="30">
        <v>-1.17075330091509E-3</v>
      </c>
      <c r="S174" s="31">
        <v>99.969532059566802</v>
      </c>
      <c r="T174" s="30">
        <v>-2.9706019595864301E-3</v>
      </c>
      <c r="U174" s="31"/>
      <c r="V174" s="30"/>
      <c r="W174" s="31"/>
      <c r="X174" s="30"/>
      <c r="Y174" s="31"/>
      <c r="Z174" s="30"/>
      <c r="AA174" s="31">
        <v>100.823117580708</v>
      </c>
      <c r="AB174" s="30">
        <v>-1.7735872351303601E-2</v>
      </c>
      <c r="AC174" s="31">
        <v>101.316163369929</v>
      </c>
      <c r="AD174" s="30">
        <v>-6.3663919929712902E-3</v>
      </c>
      <c r="AE174" s="31">
        <v>99.857370674410404</v>
      </c>
      <c r="AF174" s="30">
        <v>-4.3031795963477601E-2</v>
      </c>
      <c r="AG174" s="31">
        <v>99.859658173481407</v>
      </c>
      <c r="AH174" s="30">
        <v>-3.4924068453642397E-2</v>
      </c>
      <c r="AI174" s="31">
        <v>98.913098331474799</v>
      </c>
      <c r="AJ174" s="30">
        <v>-5.6208149958655799E-2</v>
      </c>
      <c r="AK174" s="31">
        <v>101.654039819535</v>
      </c>
      <c r="AL174" s="30">
        <v>2.9322314317950401E-2</v>
      </c>
      <c r="AM174" s="31">
        <v>102.522620736842</v>
      </c>
      <c r="AN174" s="30">
        <v>4.3946896165588202E-2</v>
      </c>
      <c r="AO174" s="31">
        <v>100.394091060839</v>
      </c>
      <c r="AP174" s="30">
        <v>-1.43438748976036E-2</v>
      </c>
      <c r="AQ174" s="31">
        <v>100.056374756672</v>
      </c>
      <c r="AR174" s="30">
        <v>-2.1152876874053601E-2</v>
      </c>
      <c r="AS174" s="31">
        <v>99.577824573762101</v>
      </c>
      <c r="AT174" s="30">
        <v>-2.15512740764534E-3</v>
      </c>
      <c r="AU174" s="31">
        <v>99.900589298486594</v>
      </c>
      <c r="AV174" s="30">
        <v>-2.0159936305584401E-2</v>
      </c>
      <c r="AW174" s="31">
        <v>100.01045317142</v>
      </c>
      <c r="AX174" s="30">
        <v>-2.5810058382875799E-3</v>
      </c>
      <c r="AY174" s="31">
        <v>99.637417899501699</v>
      </c>
      <c r="AZ174" s="30">
        <v>-4.95213828386908E-2</v>
      </c>
      <c r="BA174" s="31">
        <v>99.925817959081101</v>
      </c>
      <c r="BB174" s="30">
        <v>-4.6663236375242202E-2</v>
      </c>
      <c r="BC174" s="31">
        <v>99.842412965514796</v>
      </c>
      <c r="BD174" s="30">
        <v>-1.32917941595809E-2</v>
      </c>
      <c r="BE174" s="31"/>
      <c r="BF174" s="30"/>
    </row>
    <row r="175" spans="1:58" x14ac:dyDescent="0.2">
      <c r="A175" s="28">
        <v>2020</v>
      </c>
      <c r="B175" s="28">
        <v>4</v>
      </c>
      <c r="C175" s="31">
        <v>100.095055664722</v>
      </c>
      <c r="D175" s="30">
        <v>-1.7187191306038401E-3</v>
      </c>
      <c r="E175" s="31">
        <v>99.987847106531106</v>
      </c>
      <c r="F175" s="30">
        <v>1.07346923855118E-2</v>
      </c>
      <c r="G175" s="31">
        <v>99.785536602095704</v>
      </c>
      <c r="H175" s="30">
        <v>-2.3684225674062099E-3</v>
      </c>
      <c r="I175" s="31">
        <v>99.631110991417799</v>
      </c>
      <c r="J175" s="30">
        <v>-3.8816868063234998E-3</v>
      </c>
      <c r="K175" s="31">
        <v>100.42915525307799</v>
      </c>
      <c r="L175" s="30">
        <v>3.6660399595422901E-3</v>
      </c>
      <c r="M175" s="31">
        <v>100.288352917616</v>
      </c>
      <c r="N175" s="30">
        <v>3.6994076980644101E-2</v>
      </c>
      <c r="O175" s="31">
        <v>99.934756296154006</v>
      </c>
      <c r="P175" s="30">
        <v>-2.17295542435081E-3</v>
      </c>
      <c r="Q175" s="31">
        <v>100.04906291338</v>
      </c>
      <c r="R175" s="30">
        <v>1.1760347084857101E-3</v>
      </c>
      <c r="S175" s="31">
        <v>99.879705779548203</v>
      </c>
      <c r="T175" s="30">
        <v>-3.84204677363853E-3</v>
      </c>
      <c r="U175" s="31"/>
      <c r="V175" s="30"/>
      <c r="W175" s="31"/>
      <c r="X175" s="30"/>
      <c r="Y175" s="31"/>
      <c r="Z175" s="30"/>
      <c r="AA175" s="31">
        <v>100.072145567562</v>
      </c>
      <c r="AB175" s="30">
        <v>-1.1673317129022901E-2</v>
      </c>
      <c r="AC175" s="31">
        <v>100.521668865104</v>
      </c>
      <c r="AD175" s="30">
        <v>1.90242076410541E-3</v>
      </c>
      <c r="AE175" s="31">
        <v>101.156711295786</v>
      </c>
      <c r="AF175" s="30">
        <v>-2.2515457192217599E-2</v>
      </c>
      <c r="AG175" s="31">
        <v>99.599615288947305</v>
      </c>
      <c r="AH175" s="30">
        <v>-2.81623290259219E-2</v>
      </c>
      <c r="AI175" s="31">
        <v>99.126928849496693</v>
      </c>
      <c r="AJ175" s="30">
        <v>-4.7580471984566101E-2</v>
      </c>
      <c r="AK175" s="31">
        <v>99.934573576489697</v>
      </c>
      <c r="AL175" s="30">
        <v>7.9353368805432593E-3</v>
      </c>
      <c r="AM175" s="31">
        <v>99.505938084583306</v>
      </c>
      <c r="AN175" s="30">
        <v>1.87058117455496E-2</v>
      </c>
      <c r="AO175" s="31">
        <v>100.3432997133</v>
      </c>
      <c r="AP175" s="30">
        <v>-2.0490858798854501E-2</v>
      </c>
      <c r="AQ175" s="31">
        <v>100.34216734683</v>
      </c>
      <c r="AR175" s="30">
        <v>-2.0423772910310899E-2</v>
      </c>
      <c r="AS175" s="31">
        <v>100.977273728605</v>
      </c>
      <c r="AT175" s="30">
        <v>-1.1408254389375001E-2</v>
      </c>
      <c r="AU175" s="31">
        <v>100.078710457265</v>
      </c>
      <c r="AV175" s="30">
        <v>-1.32142100702211E-2</v>
      </c>
      <c r="AW175" s="31">
        <v>99.833616289875195</v>
      </c>
      <c r="AX175" s="30">
        <v>-2.3404574163915499E-3</v>
      </c>
      <c r="AY175" s="31">
        <v>100.521460797137</v>
      </c>
      <c r="AZ175" s="30">
        <v>-3.0702657384090899E-2</v>
      </c>
      <c r="BA175" s="31">
        <v>101.148460313589</v>
      </c>
      <c r="BB175" s="30">
        <v>-2.2722913473764501E-2</v>
      </c>
      <c r="BC175" s="31">
        <v>100.644780437992</v>
      </c>
      <c r="BD175" s="30">
        <v>-1.66381236362797E-2</v>
      </c>
      <c r="BE175" s="31"/>
      <c r="BF175" s="30"/>
    </row>
    <row r="176" spans="1:58" x14ac:dyDescent="0.2">
      <c r="A176" s="28">
        <v>2021</v>
      </c>
      <c r="B176" s="28">
        <v>1</v>
      </c>
      <c r="C176" s="31">
        <v>100.88935379745099</v>
      </c>
      <c r="D176" s="30">
        <v>6.8993273189330599E-3</v>
      </c>
      <c r="E176" s="31">
        <v>99.570420113082307</v>
      </c>
      <c r="F176" s="30">
        <v>7.62259158591871E-3</v>
      </c>
      <c r="G176" s="31">
        <v>100.038897414389</v>
      </c>
      <c r="H176" s="30">
        <v>2.85333594613579E-4</v>
      </c>
      <c r="I176" s="31">
        <v>99.731351058257005</v>
      </c>
      <c r="J176" s="30">
        <v>-3.1642016306376898E-3</v>
      </c>
      <c r="K176" s="31">
        <v>101.24176450329</v>
      </c>
      <c r="L176" s="30">
        <v>1.38522058763824E-2</v>
      </c>
      <c r="M176" s="31">
        <v>98.580012340269306</v>
      </c>
      <c r="N176" s="30">
        <v>2.2380430099143301E-2</v>
      </c>
      <c r="O176" s="31">
        <v>100.31667067826299</v>
      </c>
      <c r="P176" s="30">
        <v>1.53443657350394E-3</v>
      </c>
      <c r="Q176" s="31">
        <v>100.927982234174</v>
      </c>
      <c r="R176" s="30">
        <v>7.9957169038369393E-3</v>
      </c>
      <c r="S176" s="31">
        <v>100.043615503613</v>
      </c>
      <c r="T176" s="30">
        <v>-1.4487348400713501E-3</v>
      </c>
      <c r="U176" s="31"/>
      <c r="V176" s="30"/>
      <c r="W176" s="31"/>
      <c r="X176" s="30"/>
      <c r="Y176" s="31"/>
      <c r="Z176" s="30"/>
      <c r="AA176" s="31">
        <v>102.112976120852</v>
      </c>
      <c r="AB176" s="30">
        <v>2.1456230742836799E-2</v>
      </c>
      <c r="AC176" s="31">
        <v>102.981777470615</v>
      </c>
      <c r="AD176" s="30">
        <v>3.8240568814326102E-2</v>
      </c>
      <c r="AE176" s="31">
        <v>104.427573853072</v>
      </c>
      <c r="AF176" s="30">
        <v>3.0458954508159702E-2</v>
      </c>
      <c r="AG176" s="31">
        <v>100.256394751114</v>
      </c>
      <c r="AH176" s="30">
        <v>-8.1422781722718697E-3</v>
      </c>
      <c r="AI176" s="31">
        <v>99.2082963887907</v>
      </c>
      <c r="AJ176" s="30">
        <v>-3.08627242844303E-2</v>
      </c>
      <c r="AK176" s="31">
        <v>100.27470204499301</v>
      </c>
      <c r="AL176" s="30">
        <v>2.6301239683534702E-2</v>
      </c>
      <c r="AM176" s="31">
        <v>100.683291089432</v>
      </c>
      <c r="AN176" s="30">
        <v>3.3359477883034797E-2</v>
      </c>
      <c r="AO176" s="31">
        <v>102.484987416178</v>
      </c>
      <c r="AP176" s="30">
        <v>2.0218662074478599E-2</v>
      </c>
      <c r="AQ176" s="31">
        <v>102.174177000112</v>
      </c>
      <c r="AR176" s="30">
        <v>1.60345278097116E-2</v>
      </c>
      <c r="AS176" s="31">
        <v>99.403284945834301</v>
      </c>
      <c r="AT176" s="30">
        <v>9.7539908975885492E-3</v>
      </c>
      <c r="AU176" s="31">
        <v>101.25141604461101</v>
      </c>
      <c r="AV176" s="30">
        <v>6.3364308208591104E-3</v>
      </c>
      <c r="AW176" s="31">
        <v>100.123118957329</v>
      </c>
      <c r="AX176" s="30">
        <v>6.7743149908872102E-4</v>
      </c>
      <c r="AY176" s="31">
        <v>103.02261840694</v>
      </c>
      <c r="AZ176" s="30">
        <v>1.3919473065696001E-2</v>
      </c>
      <c r="BA176" s="31">
        <v>104.498402725459</v>
      </c>
      <c r="BB176" s="30">
        <v>3.1778137773049303E-2</v>
      </c>
      <c r="BC176" s="31">
        <v>101.023396344669</v>
      </c>
      <c r="BD176" s="30">
        <v>1.3779140580998999E-2</v>
      </c>
      <c r="BE176" s="31"/>
      <c r="BF176" s="30"/>
    </row>
    <row r="177" spans="1:58" x14ac:dyDescent="0.2">
      <c r="A177" s="28">
        <v>2021</v>
      </c>
      <c r="B177" s="28">
        <v>2</v>
      </c>
      <c r="C177" s="31">
        <v>101.75668444406</v>
      </c>
      <c r="D177" s="30">
        <v>2.05325008906121E-2</v>
      </c>
      <c r="E177" s="31">
        <v>100.528881108782</v>
      </c>
      <c r="F177" s="30">
        <v>-2.9005474949109801E-3</v>
      </c>
      <c r="G177" s="31">
        <v>100.59734531527199</v>
      </c>
      <c r="H177" s="30">
        <v>4.3779870970313004E-3</v>
      </c>
      <c r="I177" s="31">
        <v>100.269077374367</v>
      </c>
      <c r="J177" s="30">
        <v>1.74564788359532E-4</v>
      </c>
      <c r="K177" s="31">
        <v>101.919744614237</v>
      </c>
      <c r="L177" s="30">
        <v>2.1365249179058101E-2</v>
      </c>
      <c r="M177" s="31">
        <v>100.38378313289201</v>
      </c>
      <c r="N177" s="30">
        <v>-1.76662238488292E-2</v>
      </c>
      <c r="O177" s="31">
        <v>100.926989657642</v>
      </c>
      <c r="P177" s="30">
        <v>9.1903210547630305E-3</v>
      </c>
      <c r="Q177" s="31">
        <v>101.941914658323</v>
      </c>
      <c r="R177" s="30">
        <v>1.86828880096979E-2</v>
      </c>
      <c r="S177" s="31">
        <v>100.454899266693</v>
      </c>
      <c r="T177" s="30">
        <v>4.9204146005437099E-3</v>
      </c>
      <c r="U177" s="31"/>
      <c r="V177" s="30"/>
      <c r="W177" s="31"/>
      <c r="X177" s="30"/>
      <c r="Y177" s="31"/>
      <c r="Z177" s="30"/>
      <c r="AA177" s="31">
        <v>104.92926630685</v>
      </c>
      <c r="AB177" s="30">
        <v>5.8773455517586497E-2</v>
      </c>
      <c r="AC177" s="31">
        <v>106.36396906503499</v>
      </c>
      <c r="AD177" s="30">
        <v>7.5265297102440606E-2</v>
      </c>
      <c r="AE177" s="31">
        <v>108.063284095051</v>
      </c>
      <c r="AF177" s="30">
        <v>0.109234049260135</v>
      </c>
      <c r="AG177" s="31">
        <v>101.921631797348</v>
      </c>
      <c r="AH177" s="30">
        <v>2.6004268982609401E-2</v>
      </c>
      <c r="AI177" s="31">
        <v>100.36059845043199</v>
      </c>
      <c r="AJ177" s="30">
        <v>9.0007468572070905E-3</v>
      </c>
      <c r="AK177" s="31">
        <v>103.59656579654801</v>
      </c>
      <c r="AL177" s="30">
        <v>2.8171176176734699E-2</v>
      </c>
      <c r="AM177" s="31">
        <v>103.480375952269</v>
      </c>
      <c r="AN177" s="30">
        <v>3.0691261572959101E-2</v>
      </c>
      <c r="AO177" s="31">
        <v>105.09333279531</v>
      </c>
      <c r="AP177" s="30">
        <v>6.5119588894919006E-2</v>
      </c>
      <c r="AQ177" s="31">
        <v>104.80475394093</v>
      </c>
      <c r="AR177" s="30">
        <v>5.95296450852092E-2</v>
      </c>
      <c r="AS177" s="31">
        <v>103.82845119</v>
      </c>
      <c r="AT177" s="30">
        <v>2.65147759388242E-2</v>
      </c>
      <c r="AU177" s="31">
        <v>102.71738107935199</v>
      </c>
      <c r="AV177" s="30">
        <v>3.3822983314242001E-2</v>
      </c>
      <c r="AW177" s="31">
        <v>100.699644360196</v>
      </c>
      <c r="AX177" s="30">
        <v>5.8632779873384298E-3</v>
      </c>
      <c r="AY177" s="31">
        <v>105.91548687312</v>
      </c>
      <c r="AZ177" s="30">
        <v>8.0432032719590901E-2</v>
      </c>
      <c r="BA177" s="31">
        <v>108.175176478726</v>
      </c>
      <c r="BB177" s="30">
        <v>0.110017154152486</v>
      </c>
      <c r="BC177" s="31">
        <v>104.394102139526</v>
      </c>
      <c r="BD177" s="30">
        <v>4.5683499193659202E-2</v>
      </c>
      <c r="BE177" s="31"/>
      <c r="BF177" s="30"/>
    </row>
    <row r="178" spans="1:58" x14ac:dyDescent="0.2">
      <c r="A178" s="28">
        <v>2021</v>
      </c>
      <c r="B178" s="28">
        <v>3</v>
      </c>
      <c r="C178" s="31">
        <v>102.161977610747</v>
      </c>
      <c r="D178" s="30">
        <v>2.1840655250882302E-2</v>
      </c>
      <c r="E178" s="31">
        <v>99.5223096102537</v>
      </c>
      <c r="F178" s="30">
        <v>-8.9969930989242108E-3</v>
      </c>
      <c r="G178" s="31">
        <v>100.808922855486</v>
      </c>
      <c r="H178" s="30">
        <v>7.5042371601343697E-3</v>
      </c>
      <c r="I178" s="31">
        <v>100.427673899293</v>
      </c>
      <c r="J178" s="30">
        <v>3.3413618561124502E-3</v>
      </c>
      <c r="K178" s="31">
        <v>102.376344263527</v>
      </c>
      <c r="L178" s="30">
        <v>2.4628517906417201E-2</v>
      </c>
      <c r="M178" s="31">
        <v>96.530595828234993</v>
      </c>
      <c r="N178" s="30">
        <v>-4.6430117883490801E-2</v>
      </c>
      <c r="O178" s="31">
        <v>101.464430884967</v>
      </c>
      <c r="P178" s="30">
        <v>1.5640938446279701E-2</v>
      </c>
      <c r="Q178" s="31">
        <v>103.095919897231</v>
      </c>
      <c r="R178" s="30">
        <v>3.3382453618912497E-2</v>
      </c>
      <c r="S178" s="31">
        <v>100.69431000877699</v>
      </c>
      <c r="T178" s="30">
        <v>7.2499884142576097E-3</v>
      </c>
      <c r="U178" s="31"/>
      <c r="V178" s="30"/>
      <c r="W178" s="31"/>
      <c r="X178" s="30"/>
      <c r="Y178" s="31"/>
      <c r="Z178" s="30"/>
      <c r="AA178" s="31">
        <v>106.478557171766</v>
      </c>
      <c r="AB178" s="30">
        <v>5.6092687141231098E-2</v>
      </c>
      <c r="AC178" s="31">
        <v>108.447294414282</v>
      </c>
      <c r="AD178" s="30">
        <v>7.0384929779811603E-2</v>
      </c>
      <c r="AE178" s="31">
        <v>110.55475362688399</v>
      </c>
      <c r="AF178" s="30">
        <v>0.107126623505371</v>
      </c>
      <c r="AG178" s="31">
        <v>102.959319497454</v>
      </c>
      <c r="AH178" s="30">
        <v>3.1040175589105899E-2</v>
      </c>
      <c r="AI178" s="31">
        <v>100.551923588731</v>
      </c>
      <c r="AJ178" s="30">
        <v>1.65683340720424E-2</v>
      </c>
      <c r="AK178" s="31">
        <v>103.28802481187699</v>
      </c>
      <c r="AL178" s="30">
        <v>1.60739798953684E-2</v>
      </c>
      <c r="AM178" s="31">
        <v>103.742494573751</v>
      </c>
      <c r="AN178" s="30">
        <v>1.189858226547E-2</v>
      </c>
      <c r="AO178" s="31">
        <v>105.23076310493001</v>
      </c>
      <c r="AP178" s="30">
        <v>4.8176859743261698E-2</v>
      </c>
      <c r="AQ178" s="31">
        <v>105.206438861979</v>
      </c>
      <c r="AR178" s="30">
        <v>5.1471624050259998E-2</v>
      </c>
      <c r="AS178" s="31">
        <v>102.483852981018</v>
      </c>
      <c r="AT178" s="30">
        <v>2.9183489594140102E-2</v>
      </c>
      <c r="AU178" s="31">
        <v>103.648817107376</v>
      </c>
      <c r="AV178" s="30">
        <v>3.75195765631611E-2</v>
      </c>
      <c r="AW178" s="31">
        <v>101.008121644952</v>
      </c>
      <c r="AX178" s="30">
        <v>9.9756419643717304E-3</v>
      </c>
      <c r="AY178" s="31">
        <v>107.73838459026599</v>
      </c>
      <c r="AZ178" s="30">
        <v>8.13044623349784E-2</v>
      </c>
      <c r="BA178" s="31">
        <v>110.780857865584</v>
      </c>
      <c r="BB178" s="30">
        <v>0.108630983745838</v>
      </c>
      <c r="BC178" s="31">
        <v>104.012323466724</v>
      </c>
      <c r="BD178" s="30">
        <v>4.1764921112730002E-2</v>
      </c>
      <c r="BE178" s="31"/>
      <c r="BF178" s="30"/>
    </row>
    <row r="179" spans="1:58" x14ac:dyDescent="0.2">
      <c r="A179" s="28">
        <v>2021</v>
      </c>
      <c r="B179" s="28">
        <v>4</v>
      </c>
      <c r="C179" s="31">
        <v>102.84305045078401</v>
      </c>
      <c r="D179" s="30">
        <v>2.7453851419667601E-2</v>
      </c>
      <c r="E179" s="31">
        <v>102.69269849504001</v>
      </c>
      <c r="F179" s="30">
        <v>2.70518014616992E-2</v>
      </c>
      <c r="G179" s="31">
        <v>101.165862475739</v>
      </c>
      <c r="H179" s="30">
        <v>1.3832925298057601E-2</v>
      </c>
      <c r="I179" s="31">
        <v>100.785631212575</v>
      </c>
      <c r="J179" s="30">
        <v>1.15879488813138E-2</v>
      </c>
      <c r="K179" s="31">
        <v>102.765457529198</v>
      </c>
      <c r="L179" s="30">
        <v>2.3263187569712199E-2</v>
      </c>
      <c r="M179" s="31">
        <v>105.716598518034</v>
      </c>
      <c r="N179" s="30">
        <v>5.4126381005347397E-2</v>
      </c>
      <c r="O179" s="31">
        <v>102.242850822699</v>
      </c>
      <c r="P179" s="30">
        <v>2.3096013960400199E-2</v>
      </c>
      <c r="Q179" s="31">
        <v>105.081273153197</v>
      </c>
      <c r="R179" s="30">
        <v>5.0297425016106297E-2</v>
      </c>
      <c r="S179" s="31">
        <v>100.987591967952</v>
      </c>
      <c r="T179" s="30">
        <v>1.1092205165776199E-2</v>
      </c>
      <c r="U179" s="31"/>
      <c r="V179" s="30"/>
      <c r="W179" s="31"/>
      <c r="X179" s="30"/>
      <c r="Y179" s="31"/>
      <c r="Z179" s="30"/>
      <c r="AA179" s="31">
        <v>105.514710535232</v>
      </c>
      <c r="AB179" s="30">
        <v>5.4386412290872398E-2</v>
      </c>
      <c r="AC179" s="31">
        <v>107.268591682275</v>
      </c>
      <c r="AD179" s="30">
        <v>6.7119088782993302E-2</v>
      </c>
      <c r="AE179" s="31">
        <v>109.159947954922</v>
      </c>
      <c r="AF179" s="30">
        <v>7.9117208899108796E-2</v>
      </c>
      <c r="AG179" s="31">
        <v>102.63174446165399</v>
      </c>
      <c r="AH179" s="30">
        <v>3.04431815716424E-2</v>
      </c>
      <c r="AI179" s="31">
        <v>100.76416320266701</v>
      </c>
      <c r="AJ179" s="30">
        <v>1.6516544718704299E-2</v>
      </c>
      <c r="AK179" s="31">
        <v>105.705938453654</v>
      </c>
      <c r="AL179" s="30">
        <v>5.7751433469092298E-2</v>
      </c>
      <c r="AM179" s="31">
        <v>106.503275049812</v>
      </c>
      <c r="AN179" s="30">
        <v>7.0320797933488305E-2</v>
      </c>
      <c r="AO179" s="31">
        <v>109.81801492106599</v>
      </c>
      <c r="AP179" s="30">
        <v>9.4422998195564406E-2</v>
      </c>
      <c r="AQ179" s="31">
        <v>109.772047806633</v>
      </c>
      <c r="AR179" s="30">
        <v>9.3977245151670996E-2</v>
      </c>
      <c r="AS179" s="31">
        <v>104.245488915495</v>
      </c>
      <c r="AT179" s="30">
        <v>3.2365848930270898E-2</v>
      </c>
      <c r="AU179" s="31">
        <v>103.556702600401</v>
      </c>
      <c r="AV179" s="30">
        <v>3.4752567526545403E-2</v>
      </c>
      <c r="AW179" s="31">
        <v>101.501798983681</v>
      </c>
      <c r="AX179" s="30">
        <v>1.6709629038798701E-2</v>
      </c>
      <c r="AY179" s="31">
        <v>106.675830120255</v>
      </c>
      <c r="AZ179" s="30">
        <v>6.12244318209587E-2</v>
      </c>
      <c r="BA179" s="31">
        <v>109.538990277609</v>
      </c>
      <c r="BB179" s="30">
        <v>8.2952621700881801E-2</v>
      </c>
      <c r="BC179" s="31">
        <v>107.249606155211</v>
      </c>
      <c r="BD179" s="30">
        <v>6.5625119240909899E-2</v>
      </c>
      <c r="BE179" s="31"/>
      <c r="BF179" s="30"/>
    </row>
    <row r="180" spans="1:58" x14ac:dyDescent="0.2">
      <c r="A180" s="28">
        <v>2022</v>
      </c>
      <c r="B180" s="28">
        <v>1</v>
      </c>
      <c r="C180" s="31">
        <v>104.390068039613</v>
      </c>
      <c r="D180" s="30">
        <v>3.46985495535048E-2</v>
      </c>
      <c r="E180" s="31">
        <v>101.861420305305</v>
      </c>
      <c r="F180" s="30">
        <v>2.3008843285193401E-2</v>
      </c>
      <c r="G180" s="31">
        <v>101.92588052662801</v>
      </c>
      <c r="H180" s="30">
        <v>1.8862494099902899E-2</v>
      </c>
      <c r="I180" s="31">
        <v>101.613953526695</v>
      </c>
      <c r="J180" s="30">
        <v>1.8876736838129699E-2</v>
      </c>
      <c r="K180" s="31">
        <v>103.186941339977</v>
      </c>
      <c r="L180" s="30">
        <v>1.9213185845100102E-2</v>
      </c>
      <c r="M180" s="31">
        <v>101.716993619097</v>
      </c>
      <c r="N180" s="30">
        <v>3.18216766701074E-2</v>
      </c>
      <c r="O180" s="31">
        <v>103.36781759965</v>
      </c>
      <c r="P180" s="30">
        <v>3.0415153341483599E-2</v>
      </c>
      <c r="Q180" s="31">
        <v>107.895314114854</v>
      </c>
      <c r="R180" s="30">
        <v>6.9032707545006303E-2</v>
      </c>
      <c r="S180" s="31">
        <v>101.48471359689501</v>
      </c>
      <c r="T180" s="30">
        <v>1.4404698251130599E-2</v>
      </c>
      <c r="U180" s="31"/>
      <c r="V180" s="30"/>
      <c r="W180" s="31"/>
      <c r="X180" s="30"/>
      <c r="Y180" s="31"/>
      <c r="Z180" s="30"/>
      <c r="AA180" s="31">
        <v>111.5687175046</v>
      </c>
      <c r="AB180" s="30">
        <v>9.2600781437979701E-2</v>
      </c>
      <c r="AC180" s="31">
        <v>114.32592843506301</v>
      </c>
      <c r="AD180" s="30">
        <v>0.11015687671233799</v>
      </c>
      <c r="AE180" s="31">
        <v>116.54096724025599</v>
      </c>
      <c r="AF180" s="30">
        <v>0.115998035195448</v>
      </c>
      <c r="AG180" s="31">
        <v>103.705616446124</v>
      </c>
      <c r="AH180" s="30">
        <v>3.4404006882280201E-2</v>
      </c>
      <c r="AI180" s="31">
        <v>102.821768242423</v>
      </c>
      <c r="AJ180" s="30">
        <v>3.6423081386980402E-2</v>
      </c>
      <c r="AK180" s="31">
        <v>109.23622380622299</v>
      </c>
      <c r="AL180" s="30">
        <v>8.9369717171627894E-2</v>
      </c>
      <c r="AM180" s="31">
        <v>112.383706868091</v>
      </c>
      <c r="AN180" s="30">
        <v>0.11621010449753701</v>
      </c>
      <c r="AO180" s="31">
        <v>115.490061525587</v>
      </c>
      <c r="AP180" s="30">
        <v>0.12689735772320401</v>
      </c>
      <c r="AQ180" s="31">
        <v>115.771710140881</v>
      </c>
      <c r="AR180" s="30">
        <v>0.13308189544559301</v>
      </c>
      <c r="AS180" s="31">
        <v>102.699057613322</v>
      </c>
      <c r="AT180" s="30">
        <v>3.31555709580778E-2</v>
      </c>
      <c r="AU180" s="31">
        <v>106.55855831927801</v>
      </c>
      <c r="AV180" s="30">
        <v>5.2415486933326198E-2</v>
      </c>
      <c r="AW180" s="31">
        <v>102.358282301389</v>
      </c>
      <c r="AX180" s="30">
        <v>2.2324148182120401E-2</v>
      </c>
      <c r="AY180" s="31">
        <v>112.891221696004</v>
      </c>
      <c r="AZ180" s="30">
        <v>9.57906471575245E-2</v>
      </c>
      <c r="BA180" s="31">
        <v>117.025465784744</v>
      </c>
      <c r="BB180" s="30">
        <v>0.11987803385087099</v>
      </c>
      <c r="BC180" s="31">
        <v>110.294427970032</v>
      </c>
      <c r="BD180" s="30">
        <v>9.1771133824609705E-2</v>
      </c>
      <c r="BE180" s="31"/>
      <c r="BF180" s="30"/>
    </row>
    <row r="181" spans="1:58" x14ac:dyDescent="0.2">
      <c r="A181" s="28">
        <v>2022</v>
      </c>
      <c r="B181" s="28">
        <v>2</v>
      </c>
      <c r="C181" s="31">
        <v>104.868628805702</v>
      </c>
      <c r="D181" s="30">
        <v>3.0582210678780801E-2</v>
      </c>
      <c r="E181" s="31">
        <v>103.12283394960799</v>
      </c>
      <c r="F181" s="30">
        <v>2.5803060893706299E-2</v>
      </c>
      <c r="G181" s="31">
        <v>102.885204972081</v>
      </c>
      <c r="H181" s="30">
        <v>2.2742743853119599E-2</v>
      </c>
      <c r="I181" s="31">
        <v>102.678122858745</v>
      </c>
      <c r="J181" s="30">
        <v>2.4025806833579699E-2</v>
      </c>
      <c r="K181" s="31">
        <v>103.696681149504</v>
      </c>
      <c r="L181" s="30">
        <v>1.7434664323310999E-2</v>
      </c>
      <c r="M181" s="31">
        <v>103.570387607304</v>
      </c>
      <c r="N181" s="30">
        <v>3.1744215798218803E-2</v>
      </c>
      <c r="O181" s="31">
        <v>104.700244578211</v>
      </c>
      <c r="P181" s="30">
        <v>3.7385984991407301E-2</v>
      </c>
      <c r="Q181" s="31">
        <v>110.194566207264</v>
      </c>
      <c r="R181" s="30">
        <v>8.0954449174322096E-2</v>
      </c>
      <c r="S181" s="31">
        <v>102.33013897790801</v>
      </c>
      <c r="T181" s="30">
        <v>1.8667478887572302E-2</v>
      </c>
      <c r="U181" s="31"/>
      <c r="V181" s="30"/>
      <c r="W181" s="31"/>
      <c r="X181" s="30"/>
      <c r="Y181" s="31"/>
      <c r="Z181" s="30"/>
      <c r="AA181" s="31">
        <v>112.694215076508</v>
      </c>
      <c r="AB181" s="30">
        <v>7.4001744631950098E-2</v>
      </c>
      <c r="AC181" s="31">
        <v>114.51250364529</v>
      </c>
      <c r="AD181" s="30">
        <v>7.6609914540448895E-2</v>
      </c>
      <c r="AE181" s="31">
        <v>116.041219300641</v>
      </c>
      <c r="AF181" s="30">
        <v>7.3826510756169098E-2</v>
      </c>
      <c r="AG181" s="31">
        <v>104.40498919397101</v>
      </c>
      <c r="AH181" s="30">
        <v>2.43653614333912E-2</v>
      </c>
      <c r="AI181" s="31">
        <v>107.261759943179</v>
      </c>
      <c r="AJ181" s="30">
        <v>6.8763654255770995E-2</v>
      </c>
      <c r="AK181" s="31">
        <v>111.208742752246</v>
      </c>
      <c r="AL181" s="30">
        <v>7.3479047275057094E-2</v>
      </c>
      <c r="AM181" s="31">
        <v>112.479388844412</v>
      </c>
      <c r="AN181" s="30">
        <v>8.6963473115844903E-2</v>
      </c>
      <c r="AO181" s="31">
        <v>114.376443511929</v>
      </c>
      <c r="AP181" s="30">
        <v>8.8332061318290994E-2</v>
      </c>
      <c r="AQ181" s="31">
        <v>114.33851124891299</v>
      </c>
      <c r="AR181" s="30">
        <v>9.0966840238527094E-2</v>
      </c>
      <c r="AS181" s="31">
        <v>108.79622203657399</v>
      </c>
      <c r="AT181" s="30">
        <v>4.78459496374848E-2</v>
      </c>
      <c r="AU181" s="31">
        <v>107.38643125023999</v>
      </c>
      <c r="AV181" s="30">
        <v>4.5455307775824197E-2</v>
      </c>
      <c r="AW181" s="31">
        <v>103.43849792742699</v>
      </c>
      <c r="AX181" s="30">
        <v>2.719824468728E-2</v>
      </c>
      <c r="AY181" s="31">
        <v>113.626494464892</v>
      </c>
      <c r="AZ181" s="30">
        <v>7.2803400328125503E-2</v>
      </c>
      <c r="BA181" s="31">
        <v>116.356418529766</v>
      </c>
      <c r="BB181" s="30">
        <v>7.5629569716013603E-2</v>
      </c>
      <c r="BC181" s="31">
        <v>111.97515157507</v>
      </c>
      <c r="BD181" s="30">
        <v>7.2619518537655706E-2</v>
      </c>
      <c r="BE181" s="31"/>
      <c r="BF181" s="30"/>
    </row>
    <row r="182" spans="1:58" x14ac:dyDescent="0.2">
      <c r="A182" s="28">
        <v>2022</v>
      </c>
      <c r="B182" s="28">
        <v>3</v>
      </c>
      <c r="C182" s="31">
        <v>105.26667613894</v>
      </c>
      <c r="D182" s="30">
        <v>3.0389961126461099E-2</v>
      </c>
      <c r="E182" s="31">
        <v>101.227998722832</v>
      </c>
      <c r="F182" s="30">
        <v>1.7138761341630102E-2</v>
      </c>
      <c r="G182" s="31">
        <v>103.282835641875</v>
      </c>
      <c r="H182" s="30">
        <v>2.4540613234563101E-2</v>
      </c>
      <c r="I182" s="31">
        <v>103.00485683982799</v>
      </c>
      <c r="J182" s="30">
        <v>2.5662079389793702E-2</v>
      </c>
      <c r="K182" s="31">
        <v>104.394379552193</v>
      </c>
      <c r="L182" s="30">
        <v>1.9711929578884301E-2</v>
      </c>
      <c r="M182" s="31">
        <v>96.267477699013298</v>
      </c>
      <c r="N182" s="30">
        <v>-2.7257485252644201E-3</v>
      </c>
      <c r="O182" s="31">
        <v>105.416912463454</v>
      </c>
      <c r="P182" s="30">
        <v>3.8954356162195003E-2</v>
      </c>
      <c r="Q182" s="31">
        <v>111.975525670233</v>
      </c>
      <c r="R182" s="30">
        <v>8.6129555678380501E-2</v>
      </c>
      <c r="S182" s="31">
        <v>102.693691597659</v>
      </c>
      <c r="T182" s="30">
        <v>1.9855954012766099E-2</v>
      </c>
      <c r="U182" s="31"/>
      <c r="V182" s="30"/>
      <c r="W182" s="31"/>
      <c r="X182" s="30"/>
      <c r="Y182" s="31"/>
      <c r="Z182" s="30"/>
      <c r="AA182" s="31">
        <v>112.885679400347</v>
      </c>
      <c r="AB182" s="30">
        <v>6.0172887375293402E-2</v>
      </c>
      <c r="AC182" s="31">
        <v>114.347974453506</v>
      </c>
      <c r="AD182" s="30">
        <v>5.44105786234153E-2</v>
      </c>
      <c r="AE182" s="31">
        <v>118.082173620898</v>
      </c>
      <c r="AF182" s="30">
        <v>6.8087709909049804E-2</v>
      </c>
      <c r="AG182" s="31">
        <v>106.42966488227199</v>
      </c>
      <c r="AH182" s="30">
        <v>3.3705986031733498E-2</v>
      </c>
      <c r="AI182" s="31">
        <v>108.43697032231201</v>
      </c>
      <c r="AJ182" s="30">
        <v>7.84176617628074E-2</v>
      </c>
      <c r="AK182" s="31">
        <v>108.511887333979</v>
      </c>
      <c r="AL182" s="30">
        <v>5.0575684176517699E-2</v>
      </c>
      <c r="AM182" s="31">
        <v>110.572954373562</v>
      </c>
      <c r="AN182" s="30">
        <v>6.5840520105825598E-2</v>
      </c>
      <c r="AO182" s="31">
        <v>114.944293566094</v>
      </c>
      <c r="AP182" s="30">
        <v>9.2306946890415201E-2</v>
      </c>
      <c r="AQ182" s="31">
        <v>114.756759812925</v>
      </c>
      <c r="AR182" s="30">
        <v>9.0776962458309907E-2</v>
      </c>
      <c r="AS182" s="31">
        <v>104.385952439588</v>
      </c>
      <c r="AT182" s="30">
        <v>1.8559991679103299E-2</v>
      </c>
      <c r="AU182" s="31">
        <v>108.490450735298</v>
      </c>
      <c r="AV182" s="30">
        <v>4.67119043230926E-2</v>
      </c>
      <c r="AW182" s="31">
        <v>103.931068534879</v>
      </c>
      <c r="AX182" s="30">
        <v>2.8937741266003701E-2</v>
      </c>
      <c r="AY182" s="31">
        <v>115.455537897754</v>
      </c>
      <c r="AZ182" s="30">
        <v>7.1628633906447997E-2</v>
      </c>
      <c r="BA182" s="31">
        <v>118.47490588428199</v>
      </c>
      <c r="BB182" s="30">
        <v>6.9452865476399894E-2</v>
      </c>
      <c r="BC182" s="31">
        <v>110.318866292297</v>
      </c>
      <c r="BD182" s="30">
        <v>6.0632650203127601E-2</v>
      </c>
      <c r="BE182" s="31"/>
      <c r="BF182" s="30"/>
    </row>
    <row r="183" spans="1:58" x14ac:dyDescent="0.2">
      <c r="A183" s="28">
        <v>2022</v>
      </c>
      <c r="B183" s="28">
        <v>4</v>
      </c>
      <c r="C183" s="31">
        <v>105.628941862121</v>
      </c>
      <c r="D183" s="30">
        <v>2.7088766806563601E-2</v>
      </c>
      <c r="E183" s="31">
        <v>103.961160282623</v>
      </c>
      <c r="F183" s="30">
        <v>1.2352015344539599E-2</v>
      </c>
      <c r="G183" s="31">
        <v>103.631827183585</v>
      </c>
      <c r="H183" s="30">
        <v>2.43754627054871E-2</v>
      </c>
      <c r="I183" s="31">
        <v>103.23834455567</v>
      </c>
      <c r="J183" s="30">
        <v>2.4335942669465802E-2</v>
      </c>
      <c r="K183" s="31">
        <v>105.24121477260999</v>
      </c>
      <c r="L183" s="30">
        <v>2.4091336748134101E-2</v>
      </c>
      <c r="M183" s="31">
        <v>104.666533202004</v>
      </c>
      <c r="N183" s="30">
        <v>-9.9328329775136802E-3</v>
      </c>
      <c r="O183" s="31">
        <v>106.01812869057601</v>
      </c>
      <c r="P183" s="30">
        <v>3.6924614655193803E-2</v>
      </c>
      <c r="Q183" s="31">
        <v>113.065115223215</v>
      </c>
      <c r="R183" s="30">
        <v>7.5977782058061397E-2</v>
      </c>
      <c r="S183" s="31">
        <v>103.071424911796</v>
      </c>
      <c r="T183" s="30">
        <v>2.0634544335947001E-2</v>
      </c>
      <c r="U183" s="31"/>
      <c r="V183" s="30"/>
      <c r="W183" s="31"/>
      <c r="X183" s="30"/>
      <c r="Y183" s="31"/>
      <c r="Z183" s="30"/>
      <c r="AA183" s="31">
        <v>110.818306164581</v>
      </c>
      <c r="AB183" s="30">
        <v>5.0264039985008301E-2</v>
      </c>
      <c r="AC183" s="31">
        <v>111.000893612326</v>
      </c>
      <c r="AD183" s="30">
        <v>3.4793986492386103E-2</v>
      </c>
      <c r="AE183" s="31">
        <v>113.635199958992</v>
      </c>
      <c r="AF183" s="30">
        <v>4.0997198037496602E-2</v>
      </c>
      <c r="AG183" s="31">
        <v>102.71700041998901</v>
      </c>
      <c r="AH183" s="30">
        <v>8.3069774154043196E-4</v>
      </c>
      <c r="AI183" s="31">
        <v>110.058616440552</v>
      </c>
      <c r="AJ183" s="30">
        <v>9.2239670756661493E-2</v>
      </c>
      <c r="AK183" s="31">
        <v>109.211880868763</v>
      </c>
      <c r="AL183" s="30">
        <v>3.3166939023443899E-2</v>
      </c>
      <c r="AM183" s="31">
        <v>109.403563727093</v>
      </c>
      <c r="AN183" s="30">
        <v>2.7231920106914199E-2</v>
      </c>
      <c r="AO183" s="31">
        <v>113.374218877275</v>
      </c>
      <c r="AP183" s="30">
        <v>3.2382701133006002E-2</v>
      </c>
      <c r="AQ183" s="31">
        <v>113.184236115844</v>
      </c>
      <c r="AR183" s="30">
        <v>3.1084309506746299E-2</v>
      </c>
      <c r="AS183" s="31">
        <v>108.85170687326701</v>
      </c>
      <c r="AT183" s="30">
        <v>4.4186256937271497E-2</v>
      </c>
      <c r="AU183" s="31">
        <v>107.73541434345</v>
      </c>
      <c r="AV183" s="30">
        <v>4.03519196548177E-2</v>
      </c>
      <c r="AW183" s="31">
        <v>104.363303344111</v>
      </c>
      <c r="AX183" s="30">
        <v>2.8191661518143001E-2</v>
      </c>
      <c r="AY183" s="31">
        <v>112.893699115117</v>
      </c>
      <c r="AZ183" s="30">
        <v>5.8287514499330499E-2</v>
      </c>
      <c r="BA183" s="31">
        <v>113.98131670626699</v>
      </c>
      <c r="BB183" s="30">
        <v>4.0554750572371297E-2</v>
      </c>
      <c r="BC183" s="31">
        <v>111.30348710641201</v>
      </c>
      <c r="BD183" s="30">
        <v>3.77985625917725E-2</v>
      </c>
      <c r="BE183" s="31"/>
      <c r="BF183" s="30"/>
    </row>
    <row r="184" spans="1:58" x14ac:dyDescent="0.2">
      <c r="A184" s="28">
        <v>2023</v>
      </c>
      <c r="B184" s="28">
        <v>1</v>
      </c>
      <c r="C184" s="31">
        <v>106.518144715182</v>
      </c>
      <c r="D184" s="30">
        <v>2.0385815581239999E-2</v>
      </c>
      <c r="E184" s="31">
        <v>103.30650861969799</v>
      </c>
      <c r="F184" s="30">
        <v>1.4186807037069401E-2</v>
      </c>
      <c r="G184" s="31">
        <v>104.333900647924</v>
      </c>
      <c r="H184" s="30">
        <v>2.3625207933985599E-2</v>
      </c>
      <c r="I184" s="31">
        <v>103.890640411753</v>
      </c>
      <c r="J184" s="30">
        <v>2.2405258392588001E-2</v>
      </c>
      <c r="K184" s="31">
        <v>106.154441894961</v>
      </c>
      <c r="L184" s="30">
        <v>2.8758489363562002E-2</v>
      </c>
      <c r="M184" s="31">
        <v>101.118906458504</v>
      </c>
      <c r="N184" s="30">
        <v>-5.8799138601364201E-3</v>
      </c>
      <c r="O184" s="31">
        <v>106.562812316237</v>
      </c>
      <c r="P184" s="30">
        <v>3.0908988801149801E-2</v>
      </c>
      <c r="Q184" s="31">
        <v>113.46294142795</v>
      </c>
      <c r="R184" s="30">
        <v>5.1602123398706297E-2</v>
      </c>
      <c r="S184" s="31">
        <v>103.717031546092</v>
      </c>
      <c r="T184" s="30">
        <v>2.1996593083605499E-2</v>
      </c>
      <c r="U184" s="31"/>
      <c r="V184" s="30"/>
      <c r="W184" s="31"/>
      <c r="X184" s="30"/>
      <c r="Y184" s="31"/>
      <c r="Z184" s="30"/>
      <c r="AA184" s="31">
        <v>111.847293614893</v>
      </c>
      <c r="AB184" s="30">
        <v>2.4969016093701101E-3</v>
      </c>
      <c r="AC184" s="31">
        <v>112.009091555124</v>
      </c>
      <c r="AD184" s="30">
        <v>-2.0265191909245001E-2</v>
      </c>
      <c r="AE184" s="31">
        <v>113.259104105719</v>
      </c>
      <c r="AF184" s="30">
        <v>-2.8160596331511599E-2</v>
      </c>
      <c r="AG184" s="31">
        <v>103.53063046558501</v>
      </c>
      <c r="AH184" s="30">
        <v>-1.6873336906434401E-3</v>
      </c>
      <c r="AI184" s="31">
        <v>111.44848228671501</v>
      </c>
      <c r="AJ184" s="30">
        <v>8.3899685754798697E-2</v>
      </c>
      <c r="AK184" s="31">
        <v>108.086858441168</v>
      </c>
      <c r="AL184" s="30">
        <v>-1.05218335549007E-2</v>
      </c>
      <c r="AM184" s="31">
        <v>109.27956294033299</v>
      </c>
      <c r="AN184" s="30">
        <v>-2.7620942699470599E-2</v>
      </c>
      <c r="AO184" s="31">
        <v>110.620052397617</v>
      </c>
      <c r="AP184" s="30">
        <v>-4.2168209659247703E-2</v>
      </c>
      <c r="AQ184" s="31">
        <v>110.96861470388301</v>
      </c>
      <c r="AR184" s="30">
        <v>-4.1487643493846399E-2</v>
      </c>
      <c r="AS184" s="31">
        <v>105.84799877564799</v>
      </c>
      <c r="AT184" s="30">
        <v>3.0661831135614801E-2</v>
      </c>
      <c r="AU184" s="31">
        <v>108.163434374288</v>
      </c>
      <c r="AV184" s="30">
        <v>1.50609775537858E-2</v>
      </c>
      <c r="AW184" s="31">
        <v>105.009484464509</v>
      </c>
      <c r="AX184" s="30">
        <v>2.5901198256868201E-2</v>
      </c>
      <c r="AY184" s="31">
        <v>113.00580100779599</v>
      </c>
      <c r="AZ184" s="30">
        <v>1.0149532450007799E-3</v>
      </c>
      <c r="BA184" s="31">
        <v>113.62496301568299</v>
      </c>
      <c r="BB184" s="30">
        <v>-2.9057801618283901E-2</v>
      </c>
      <c r="BC184" s="31">
        <v>108.708382111577</v>
      </c>
      <c r="BD184" s="30">
        <v>-1.43801086568544E-2</v>
      </c>
      <c r="BE184" s="31"/>
      <c r="BF184" s="30"/>
    </row>
    <row r="185" spans="1:58" x14ac:dyDescent="0.2">
      <c r="A185" s="28">
        <v>2023</v>
      </c>
      <c r="B185" s="28">
        <v>2</v>
      </c>
      <c r="C185" s="31">
        <v>106.096186758527</v>
      </c>
      <c r="D185" s="30">
        <v>1.17056737253558E-2</v>
      </c>
      <c r="E185" s="31">
        <v>104.732711408239</v>
      </c>
      <c r="F185" s="30">
        <v>1.56112608330474E-2</v>
      </c>
      <c r="G185" s="31">
        <v>104.926629433841</v>
      </c>
      <c r="H185" s="30">
        <v>1.98417689143335E-2</v>
      </c>
      <c r="I185" s="31">
        <v>104.40339466489699</v>
      </c>
      <c r="J185" s="30">
        <v>1.6802720561277299E-2</v>
      </c>
      <c r="K185" s="31">
        <v>107.084675564444</v>
      </c>
      <c r="L185" s="30">
        <v>3.2672158620541403E-2</v>
      </c>
      <c r="M185" s="31">
        <v>104.29329444091</v>
      </c>
      <c r="N185" s="30">
        <v>6.9798602699715504E-3</v>
      </c>
      <c r="O185" s="31">
        <v>107.07348300758299</v>
      </c>
      <c r="P185" s="30">
        <v>2.26669807595281E-2</v>
      </c>
      <c r="Q185" s="31">
        <v>113.86143082491</v>
      </c>
      <c r="R185" s="30">
        <v>3.32762743559398E-2</v>
      </c>
      <c r="S185" s="31">
        <v>104.243697422003</v>
      </c>
      <c r="T185" s="30">
        <v>1.8699851902954201E-2</v>
      </c>
      <c r="U185" s="31"/>
      <c r="V185" s="30"/>
      <c r="W185" s="31"/>
      <c r="X185" s="30"/>
      <c r="Y185" s="31"/>
      <c r="Z185" s="30"/>
      <c r="AA185" s="31">
        <v>110.096011884435</v>
      </c>
      <c r="AB185" s="30">
        <v>-2.3055337758991001E-2</v>
      </c>
      <c r="AC185" s="31">
        <v>108.969406284887</v>
      </c>
      <c r="AD185" s="30">
        <v>-4.8406044614768197E-2</v>
      </c>
      <c r="AE185" s="31">
        <v>109.62779048597901</v>
      </c>
      <c r="AF185" s="30">
        <v>-5.5268540380001001E-2</v>
      </c>
      <c r="AG185" s="31">
        <v>102.232627516096</v>
      </c>
      <c r="AH185" s="30">
        <v>-2.0807067695198099E-2</v>
      </c>
      <c r="AI185" s="31">
        <v>113.32069609377299</v>
      </c>
      <c r="AJ185" s="30">
        <v>5.6487383330305903E-2</v>
      </c>
      <c r="AK185" s="31">
        <v>108.814087667235</v>
      </c>
      <c r="AL185" s="30">
        <v>-2.1532975067854301E-2</v>
      </c>
      <c r="AM185" s="31">
        <v>107.87956990057</v>
      </c>
      <c r="AN185" s="30">
        <v>-4.0894771843088797E-2</v>
      </c>
      <c r="AO185" s="31">
        <v>108.92049190222799</v>
      </c>
      <c r="AP185" s="30">
        <v>-4.7701707118845499E-2</v>
      </c>
      <c r="AQ185" s="31">
        <v>109.02533995048</v>
      </c>
      <c r="AR185" s="30">
        <v>-4.6468781518996798E-2</v>
      </c>
      <c r="AS185" s="31">
        <v>110.713318264745</v>
      </c>
      <c r="AT185" s="30">
        <v>1.7620981613917199E-2</v>
      </c>
      <c r="AU185" s="31">
        <v>107.747514092578</v>
      </c>
      <c r="AV185" s="30">
        <v>3.3624624464530001E-3</v>
      </c>
      <c r="AW185" s="31">
        <v>105.57835128526401</v>
      </c>
      <c r="AX185" s="30">
        <v>2.06872044810451E-2</v>
      </c>
      <c r="AY185" s="31">
        <v>111.00842023717701</v>
      </c>
      <c r="AZ185" s="30">
        <v>-2.30410542897037E-2</v>
      </c>
      <c r="BA185" s="31">
        <v>109.831530445867</v>
      </c>
      <c r="BB185" s="30">
        <v>-5.6076735313315501E-2</v>
      </c>
      <c r="BC185" s="31">
        <v>109.698477262374</v>
      </c>
      <c r="BD185" s="30">
        <v>-2.0331960088211799E-2</v>
      </c>
      <c r="BE185" s="31"/>
      <c r="BF185" s="30"/>
    </row>
    <row r="186" spans="1:58" x14ac:dyDescent="0.2">
      <c r="A186" s="28">
        <v>2023</v>
      </c>
      <c r="B186" s="28">
        <v>3</v>
      </c>
      <c r="C186" s="31">
        <v>106.040058208779</v>
      </c>
      <c r="D186" s="30">
        <v>7.34688410621298E-3</v>
      </c>
      <c r="E186" s="31">
        <v>105.15317529173301</v>
      </c>
      <c r="F186" s="30">
        <v>3.8775601794215402E-2</v>
      </c>
      <c r="G186" s="31">
        <v>105.104605976032</v>
      </c>
      <c r="H186" s="30">
        <v>1.7638655279317499E-2</v>
      </c>
      <c r="I186" s="31">
        <v>104.419528453685</v>
      </c>
      <c r="J186" s="30">
        <v>1.37340282512728E-2</v>
      </c>
      <c r="K186" s="31">
        <v>107.94932476530801</v>
      </c>
      <c r="L186" s="30">
        <v>3.4053032628427002E-2</v>
      </c>
      <c r="M186" s="31">
        <v>105.261188530563</v>
      </c>
      <c r="N186" s="30">
        <v>9.3424186927063099E-2</v>
      </c>
      <c r="O186" s="31">
        <v>107.176896148213</v>
      </c>
      <c r="P186" s="30">
        <v>1.66954584765409E-2</v>
      </c>
      <c r="Q186" s="31">
        <v>114.26139460637501</v>
      </c>
      <c r="R186" s="30">
        <v>2.0414004957422599E-2</v>
      </c>
      <c r="S186" s="31">
        <v>104.232100912427</v>
      </c>
      <c r="T186" s="30">
        <v>1.4980562981366199E-2</v>
      </c>
      <c r="U186" s="31"/>
      <c r="V186" s="30"/>
      <c r="W186" s="31"/>
      <c r="X186" s="30"/>
      <c r="Y186" s="31"/>
      <c r="Z186" s="30"/>
      <c r="AA186" s="31">
        <v>108.152159345749</v>
      </c>
      <c r="AB186" s="30">
        <v>-4.1931980032739999E-2</v>
      </c>
      <c r="AC186" s="31">
        <v>106.579178634355</v>
      </c>
      <c r="AD186" s="30">
        <v>-6.7939951330840007E-2</v>
      </c>
      <c r="AE186" s="31">
        <v>107.563995898805</v>
      </c>
      <c r="AF186" s="30">
        <v>-8.9075068653985998E-2</v>
      </c>
      <c r="AG186" s="31">
        <v>100.143355943492</v>
      </c>
      <c r="AH186" s="30">
        <v>-5.90653831874225E-2</v>
      </c>
      <c r="AI186" s="31">
        <v>111.857287489889</v>
      </c>
      <c r="AJ186" s="30">
        <v>3.1541983858555098E-2</v>
      </c>
      <c r="AK186" s="31">
        <v>107.305395119761</v>
      </c>
      <c r="AL186" s="30">
        <v>-1.11185257565816E-2</v>
      </c>
      <c r="AM186" s="31">
        <v>106.58249469792599</v>
      </c>
      <c r="AN186" s="30">
        <v>-3.6088930591068102E-2</v>
      </c>
      <c r="AO186" s="31">
        <v>108.596968820755</v>
      </c>
      <c r="AP186" s="30">
        <v>-5.5220877421717697E-2</v>
      </c>
      <c r="AQ186" s="31">
        <v>108.85438874215799</v>
      </c>
      <c r="AR186" s="30">
        <v>-5.1433755017041498E-2</v>
      </c>
      <c r="AS186" s="31">
        <v>108.233216489725</v>
      </c>
      <c r="AT186" s="30">
        <v>3.6856147405120603E-2</v>
      </c>
      <c r="AU186" s="31">
        <v>107.211541689048</v>
      </c>
      <c r="AV186" s="30">
        <v>-1.1788217650323E-2</v>
      </c>
      <c r="AW186" s="31">
        <v>105.733423107186</v>
      </c>
      <c r="AX186" s="30">
        <v>1.73418266329242E-2</v>
      </c>
      <c r="AY186" s="31">
        <v>109.31963721163601</v>
      </c>
      <c r="AZ186" s="30">
        <v>-5.3145139660193103E-2</v>
      </c>
      <c r="BA186" s="31">
        <v>107.76726281539101</v>
      </c>
      <c r="BB186" s="30">
        <v>-9.0378996201522593E-2</v>
      </c>
      <c r="BC186" s="31">
        <v>108.679769158691</v>
      </c>
      <c r="BD186" s="30">
        <v>-1.48578134338548E-2</v>
      </c>
      <c r="BE186" s="31"/>
      <c r="BF186" s="30"/>
    </row>
    <row r="187" spans="1:58" x14ac:dyDescent="0.2">
      <c r="A187" s="28">
        <v>2023</v>
      </c>
      <c r="B187" s="28">
        <v>4</v>
      </c>
      <c r="C187" s="31">
        <v>105.467423335882</v>
      </c>
      <c r="D187" s="30">
        <v>-1.52911241362641E-3</v>
      </c>
      <c r="E187" s="31">
        <v>104.186955423516</v>
      </c>
      <c r="F187" s="30">
        <v>2.17191824600205E-3</v>
      </c>
      <c r="G187" s="31">
        <v>105.06049033794299</v>
      </c>
      <c r="H187" s="30">
        <v>1.3785949675738899E-2</v>
      </c>
      <c r="I187" s="31">
        <v>104.19207632364601</v>
      </c>
      <c r="J187" s="30">
        <v>9.2381544094000106E-3</v>
      </c>
      <c r="K187" s="31">
        <v>108.72754432535299</v>
      </c>
      <c r="L187" s="30">
        <v>3.3127036401809501E-2</v>
      </c>
      <c r="M187" s="31">
        <v>102.39362099180001</v>
      </c>
      <c r="N187" s="30">
        <v>-2.1715749444160999E-2</v>
      </c>
      <c r="O187" s="31">
        <v>107.062440852528</v>
      </c>
      <c r="P187" s="30">
        <v>9.8503168736350198E-3</v>
      </c>
      <c r="Q187" s="31">
        <v>114.572821305937</v>
      </c>
      <c r="R187" s="30">
        <v>1.33348476207349E-2</v>
      </c>
      <c r="S187" s="31">
        <v>103.94869899263099</v>
      </c>
      <c r="T187" s="30">
        <v>8.5113219457857402E-3</v>
      </c>
      <c r="U187" s="31"/>
      <c r="V187" s="30"/>
      <c r="W187" s="31"/>
      <c r="X187" s="30"/>
      <c r="Y187" s="31"/>
      <c r="Z187" s="30"/>
      <c r="AA187" s="31">
        <v>108.917463257728</v>
      </c>
      <c r="AB187" s="30">
        <v>-1.71527879521064E-2</v>
      </c>
      <c r="AC187" s="31">
        <v>108.064412627848</v>
      </c>
      <c r="AD187" s="30">
        <v>-2.64545706697954E-2</v>
      </c>
      <c r="AE187" s="31">
        <v>108.27262444909201</v>
      </c>
      <c r="AF187" s="30">
        <v>-4.7191147741507997E-2</v>
      </c>
      <c r="AG187" s="31">
        <v>101.17053144454999</v>
      </c>
      <c r="AH187" s="30">
        <v>-1.5055628271038001E-2</v>
      </c>
      <c r="AI187" s="31">
        <v>110.96227089611401</v>
      </c>
      <c r="AJ187" s="30">
        <v>8.2106652326487898E-3</v>
      </c>
      <c r="AK187" s="31">
        <v>107.90270926996</v>
      </c>
      <c r="AL187" s="30">
        <v>-1.1987446680600601E-2</v>
      </c>
      <c r="AM187" s="31">
        <v>106.75918573260201</v>
      </c>
      <c r="AN187" s="30">
        <v>-2.4170857917269799E-2</v>
      </c>
      <c r="AO187" s="31">
        <v>107.376068835187</v>
      </c>
      <c r="AP187" s="30">
        <v>-5.2905767303069701E-2</v>
      </c>
      <c r="AQ187" s="31">
        <v>107.745626396384</v>
      </c>
      <c r="AR187" s="30">
        <v>-4.8050946899473999E-2</v>
      </c>
      <c r="AS187" s="31">
        <v>109.80572676009299</v>
      </c>
      <c r="AT187" s="30">
        <v>8.7643998815445396E-3</v>
      </c>
      <c r="AU187" s="31">
        <v>107.196562886119</v>
      </c>
      <c r="AV187" s="30">
        <v>-5.0016186470788204E-3</v>
      </c>
      <c r="AW187" s="31">
        <v>105.667981796593</v>
      </c>
      <c r="AX187" s="30">
        <v>1.2501314261582901E-2</v>
      </c>
      <c r="AY187" s="31">
        <v>109.33578591435599</v>
      </c>
      <c r="AZ187" s="30">
        <v>-3.1515604756058399E-2</v>
      </c>
      <c r="BA187" s="31">
        <v>108.347964091861</v>
      </c>
      <c r="BB187" s="30">
        <v>-4.9423473751612303E-2</v>
      </c>
      <c r="BC187" s="31">
        <v>108.688200960744</v>
      </c>
      <c r="BD187" s="30">
        <v>-2.3496893167125402E-2</v>
      </c>
      <c r="BE187" s="31"/>
      <c r="BF187" s="30"/>
    </row>
    <row r="188" spans="1:58" x14ac:dyDescent="0.2">
      <c r="A188" s="28">
        <v>2024</v>
      </c>
      <c r="B188" s="28">
        <v>1</v>
      </c>
      <c r="C188" s="31">
        <v>107.048324213736</v>
      </c>
      <c r="D188" s="30">
        <v>4.9773632461531702E-3</v>
      </c>
      <c r="E188" s="31">
        <v>104.77559638790299</v>
      </c>
      <c r="F188" s="30">
        <v>1.42206700026362E-2</v>
      </c>
      <c r="G188" s="31">
        <v>105.572253309952</v>
      </c>
      <c r="H188" s="30">
        <v>1.18691303050837E-2</v>
      </c>
      <c r="I188" s="31">
        <v>104.65472374329801</v>
      </c>
      <c r="J188" s="30">
        <v>7.3546888200623998E-3</v>
      </c>
      <c r="K188" s="31">
        <v>109.433679348827</v>
      </c>
      <c r="L188" s="30">
        <v>3.0891193955972E-2</v>
      </c>
      <c r="M188" s="31">
        <v>103.021967198645</v>
      </c>
      <c r="N188" s="30">
        <v>1.88200288827511E-2</v>
      </c>
      <c r="O188" s="31">
        <v>106.997032896071</v>
      </c>
      <c r="P188" s="30">
        <v>4.0747852876257297E-3</v>
      </c>
      <c r="Q188" s="31">
        <v>114.797321784894</v>
      </c>
      <c r="R188" s="30">
        <v>1.1760495014056E-2</v>
      </c>
      <c r="S188" s="31">
        <v>103.806812158166</v>
      </c>
      <c r="T188" s="30">
        <v>8.6563036693343399E-4</v>
      </c>
      <c r="U188" s="31"/>
      <c r="V188" s="30"/>
      <c r="W188" s="31"/>
      <c r="X188" s="30"/>
      <c r="Y188" s="31"/>
      <c r="Z188" s="30"/>
      <c r="AA188" s="31">
        <v>109.006442537935</v>
      </c>
      <c r="AB188" s="30">
        <v>-2.53993725296493E-2</v>
      </c>
      <c r="AC188" s="31">
        <v>107.82929785474001</v>
      </c>
      <c r="AD188" s="30">
        <v>-3.7316557453972103E-2</v>
      </c>
      <c r="AE188" s="31">
        <v>105.979611314295</v>
      </c>
      <c r="AF188" s="30">
        <v>-6.4272915178890999E-2</v>
      </c>
      <c r="AG188" s="31">
        <v>98.147035240363806</v>
      </c>
      <c r="AH188" s="30">
        <v>-5.2000023577669002E-2</v>
      </c>
      <c r="AI188" s="31">
        <v>112.234537129638</v>
      </c>
      <c r="AJ188" s="30">
        <v>7.0530780392406003E-3</v>
      </c>
      <c r="AK188" s="31">
        <v>106.123786084855</v>
      </c>
      <c r="AL188" s="30">
        <v>-1.8161989205946499E-2</v>
      </c>
      <c r="AM188" s="31">
        <v>105.763942621143</v>
      </c>
      <c r="AN188" s="30">
        <v>-3.2170885612982598E-2</v>
      </c>
      <c r="AO188" s="31">
        <v>103.487974915729</v>
      </c>
      <c r="AP188" s="30">
        <v>-6.4473640423277107E-2</v>
      </c>
      <c r="AQ188" s="31">
        <v>103.568126454132</v>
      </c>
      <c r="AR188" s="30">
        <v>-6.6689921916196396E-2</v>
      </c>
      <c r="AS188" s="31">
        <v>106.80530544381099</v>
      </c>
      <c r="AT188" s="30">
        <v>9.0441640771301603E-3</v>
      </c>
      <c r="AU188" s="31">
        <v>106.823824133019</v>
      </c>
      <c r="AV188" s="30">
        <v>-1.23850564566331E-2</v>
      </c>
      <c r="AW188" s="31">
        <v>106.010360769741</v>
      </c>
      <c r="AX188" s="30">
        <v>9.5312943429388692E-3</v>
      </c>
      <c r="AY188" s="31">
        <v>107.961791155608</v>
      </c>
      <c r="AZ188" s="30">
        <v>-4.4634963932869802E-2</v>
      </c>
      <c r="BA188" s="31">
        <v>105.835541342792</v>
      </c>
      <c r="BB188" s="30">
        <v>-6.8553788411934602E-2</v>
      </c>
      <c r="BC188" s="31">
        <v>104.89538374719599</v>
      </c>
      <c r="BD188" s="30">
        <v>-3.5075477072851101E-2</v>
      </c>
      <c r="BE188" s="31"/>
      <c r="BF188" s="30"/>
    </row>
    <row r="189" spans="1:58" x14ac:dyDescent="0.2">
      <c r="A189" s="28">
        <v>2024</v>
      </c>
      <c r="B189" s="28">
        <v>2</v>
      </c>
      <c r="C189" s="31">
        <v>106.844402494081</v>
      </c>
      <c r="D189" s="30">
        <v>7.05223965547375E-3</v>
      </c>
      <c r="E189" s="31">
        <v>104.360737352303</v>
      </c>
      <c r="F189" s="30">
        <v>-3.5516511597368798E-3</v>
      </c>
      <c r="G189" s="31">
        <v>106.476927094258</v>
      </c>
      <c r="H189" s="30">
        <v>1.4775063954515199E-2</v>
      </c>
      <c r="I189" s="31">
        <v>105.63310998879101</v>
      </c>
      <c r="J189" s="30">
        <v>1.1778499423717999E-2</v>
      </c>
      <c r="K189" s="31">
        <v>110.015677698769</v>
      </c>
      <c r="L189" s="30">
        <v>2.7370883078049701E-2</v>
      </c>
      <c r="M189" s="31">
        <v>99.625365213512595</v>
      </c>
      <c r="N189" s="30">
        <v>-4.4757711916385598E-2</v>
      </c>
      <c r="O189" s="31">
        <v>107.29599598515</v>
      </c>
      <c r="P189" s="30">
        <v>2.0781333652095699E-3</v>
      </c>
      <c r="Q189" s="31">
        <v>114.906736944184</v>
      </c>
      <c r="R189" s="30">
        <v>9.1805110097489297E-3</v>
      </c>
      <c r="S189" s="31">
        <v>104.15887036675301</v>
      </c>
      <c r="T189" s="30">
        <v>-8.1373797503858604E-4</v>
      </c>
      <c r="U189" s="31"/>
      <c r="V189" s="30"/>
      <c r="W189" s="31"/>
      <c r="X189" s="30"/>
      <c r="Y189" s="31"/>
      <c r="Z189" s="30"/>
      <c r="AA189" s="31">
        <v>112.77624961916899</v>
      </c>
      <c r="AB189" s="30">
        <v>2.4344548806621E-2</v>
      </c>
      <c r="AC189" s="31">
        <v>112.033643135172</v>
      </c>
      <c r="AD189" s="30">
        <v>2.8120157342820501E-2</v>
      </c>
      <c r="AE189" s="31">
        <v>109.174603768156</v>
      </c>
      <c r="AF189" s="30">
        <v>-4.1338671135686704E-3</v>
      </c>
      <c r="AG189" s="31">
        <v>100.417307939732</v>
      </c>
      <c r="AH189" s="30">
        <v>-1.7756753596866199E-2</v>
      </c>
      <c r="AI189" s="31">
        <v>114.704606311085</v>
      </c>
      <c r="AJ189" s="30">
        <v>1.22123342426956E-2</v>
      </c>
      <c r="AK189" s="31">
        <v>110.243321200989</v>
      </c>
      <c r="AL189" s="30">
        <v>1.31346369242671E-2</v>
      </c>
      <c r="AM189" s="31">
        <v>108.543658357007</v>
      </c>
      <c r="AN189" s="30">
        <v>6.1558315170324703E-3</v>
      </c>
      <c r="AO189" s="31">
        <v>104.738046924778</v>
      </c>
      <c r="AP189" s="30">
        <v>-3.8399064348736398E-2</v>
      </c>
      <c r="AQ189" s="31">
        <v>104.54233032996</v>
      </c>
      <c r="AR189" s="30">
        <v>-4.1118969430003698E-2</v>
      </c>
      <c r="AS189" s="31">
        <v>113.390940293969</v>
      </c>
      <c r="AT189" s="30">
        <v>2.4185184503469299E-2</v>
      </c>
      <c r="AU189" s="31">
        <v>108.352310287127</v>
      </c>
      <c r="AV189" s="30">
        <v>5.6130872219457596E-3</v>
      </c>
      <c r="AW189" s="31">
        <v>106.725552593592</v>
      </c>
      <c r="AX189" s="30">
        <v>1.0865876331301901E-2</v>
      </c>
      <c r="AY189" s="31">
        <v>110.785963544689</v>
      </c>
      <c r="AZ189" s="30">
        <v>-2.0039623301796299E-3</v>
      </c>
      <c r="BA189" s="31">
        <v>108.812837097973</v>
      </c>
      <c r="BB189" s="30">
        <v>-9.2750537460276599E-3</v>
      </c>
      <c r="BC189" s="31">
        <v>108.169877526685</v>
      </c>
      <c r="BD189" s="30">
        <v>-1.3934557469130301E-2</v>
      </c>
      <c r="BE189" s="31"/>
      <c r="BF189" s="30"/>
    </row>
    <row r="190" spans="1:58" x14ac:dyDescent="0.2">
      <c r="A190" s="28">
        <v>2024</v>
      </c>
      <c r="B190" s="28">
        <v>3</v>
      </c>
      <c r="C190" s="31">
        <v>107.34422616431399</v>
      </c>
      <c r="D190" s="30">
        <v>1.2298823459403901E-2</v>
      </c>
      <c r="E190" s="31">
        <v>105.39156879540801</v>
      </c>
      <c r="F190" s="30">
        <v>2.2671070370694499E-3</v>
      </c>
      <c r="G190" s="31">
        <v>106.635572292406</v>
      </c>
      <c r="H190" s="30">
        <v>1.4566120125342599E-2</v>
      </c>
      <c r="I190" s="31">
        <v>105.719686770892</v>
      </c>
      <c r="J190" s="30">
        <v>1.2451294661647299E-2</v>
      </c>
      <c r="K190" s="31">
        <v>110.48816570797599</v>
      </c>
      <c r="L190" s="30">
        <v>2.35188218933986E-2</v>
      </c>
      <c r="M190" s="31">
        <v>102.735759780652</v>
      </c>
      <c r="N190" s="30">
        <v>-2.3992021989923899E-2</v>
      </c>
      <c r="O190" s="31">
        <v>107.296947985984</v>
      </c>
      <c r="P190" s="30">
        <v>1.12012795747729E-3</v>
      </c>
      <c r="Q190" s="31">
        <v>114.902378141657</v>
      </c>
      <c r="R190" s="30">
        <v>5.6097996833479602E-3</v>
      </c>
      <c r="S190" s="31">
        <v>104.15640865555299</v>
      </c>
      <c r="T190" s="30">
        <v>-7.2618949643155095E-4</v>
      </c>
      <c r="U190" s="31"/>
      <c r="V190" s="30"/>
      <c r="W190" s="31"/>
      <c r="X190" s="30"/>
      <c r="Y190" s="31"/>
      <c r="Z190" s="30"/>
      <c r="AA190" s="31">
        <v>111.583009414937</v>
      </c>
      <c r="AB190" s="30">
        <v>3.1722437073304501E-2</v>
      </c>
      <c r="AC190" s="31">
        <v>111.097091603655</v>
      </c>
      <c r="AD190" s="30">
        <v>4.2390202544151399E-2</v>
      </c>
      <c r="AE190" s="31">
        <v>107.183826449766</v>
      </c>
      <c r="AF190" s="30">
        <v>-3.5343559511940002E-3</v>
      </c>
      <c r="AG190" s="31">
        <v>99.136818659652306</v>
      </c>
      <c r="AH190" s="30">
        <v>-1.0050964183861101E-2</v>
      </c>
      <c r="AI190" s="31">
        <v>112.885779235464</v>
      </c>
      <c r="AJ190" s="30">
        <v>9.1946780460536708E-3</v>
      </c>
      <c r="AK190" s="31">
        <v>109.475536498068</v>
      </c>
      <c r="AL190" s="30">
        <v>2.0223972670569999E-2</v>
      </c>
      <c r="AM190" s="31">
        <v>109.06763619316401</v>
      </c>
      <c r="AN190" s="30">
        <v>2.3316600932280499E-2</v>
      </c>
      <c r="AO190" s="31">
        <v>103.864489475772</v>
      </c>
      <c r="AP190" s="30">
        <v>-4.3578374206686497E-2</v>
      </c>
      <c r="AQ190" s="31">
        <v>103.872844711513</v>
      </c>
      <c r="AR190" s="30">
        <v>-4.5763373330265499E-2</v>
      </c>
      <c r="AS190" s="31">
        <v>110.231288220029</v>
      </c>
      <c r="AT190" s="30">
        <v>1.8460799698153601E-2</v>
      </c>
      <c r="AU190" s="31">
        <v>107.700622440137</v>
      </c>
      <c r="AV190" s="30">
        <v>4.5618292898630397E-3</v>
      </c>
      <c r="AW190" s="31">
        <v>106.84327468546201</v>
      </c>
      <c r="AX190" s="30">
        <v>1.04966958002626E-2</v>
      </c>
      <c r="AY190" s="31">
        <v>108.870096631053</v>
      </c>
      <c r="AZ190" s="30">
        <v>-4.1121667803554196E-3</v>
      </c>
      <c r="BA190" s="31">
        <v>106.737394920228</v>
      </c>
      <c r="BB190" s="30">
        <v>-9.5564076534708792E-3</v>
      </c>
      <c r="BC190" s="31">
        <v>106.633244158099</v>
      </c>
      <c r="BD190" s="30">
        <v>-1.8830781629684299E-2</v>
      </c>
      <c r="BE190" s="31"/>
      <c r="BF190" s="30"/>
    </row>
    <row r="191" spans="1:58" x14ac:dyDescent="0.2">
      <c r="A191" s="28">
        <v>2024</v>
      </c>
      <c r="B191" s="28">
        <v>4</v>
      </c>
      <c r="C191" s="31">
        <v>106.96611744806501</v>
      </c>
      <c r="D191" s="30">
        <v>1.42100192152235E-2</v>
      </c>
      <c r="E191" s="31">
        <v>104.627082251291</v>
      </c>
      <c r="F191" s="30">
        <v>4.2243947525459902E-3</v>
      </c>
      <c r="G191" s="31">
        <v>106.25507402944</v>
      </c>
      <c r="H191" s="30">
        <v>1.1370437046835E-2</v>
      </c>
      <c r="I191" s="31">
        <v>105.15682949765301</v>
      </c>
      <c r="J191" s="30">
        <v>9.2593718068378905E-3</v>
      </c>
      <c r="K191" s="31">
        <v>110.927707509835</v>
      </c>
      <c r="L191" s="30">
        <v>2.0235564025054002E-2</v>
      </c>
      <c r="M191" s="31">
        <v>101.12350896398399</v>
      </c>
      <c r="N191" s="30">
        <v>-1.24042104919606E-2</v>
      </c>
      <c r="O191" s="31">
        <v>107.23954197220699</v>
      </c>
      <c r="P191" s="30">
        <v>1.65418533585693E-3</v>
      </c>
      <c r="Q191" s="31">
        <v>115.126544708278</v>
      </c>
      <c r="R191" s="30">
        <v>4.83293852791111E-3</v>
      </c>
      <c r="S191" s="31">
        <v>103.993935212759</v>
      </c>
      <c r="T191" s="30">
        <v>4.3517831936479301E-4</v>
      </c>
      <c r="U191" s="31"/>
      <c r="V191" s="30"/>
      <c r="W191" s="31"/>
      <c r="X191" s="30"/>
      <c r="Y191" s="31"/>
      <c r="Z191" s="30"/>
      <c r="AA191" s="31">
        <v>114.263905818762</v>
      </c>
      <c r="AB191" s="30">
        <v>4.9087101380451498E-2</v>
      </c>
      <c r="AC191" s="31">
        <v>115.30165241683299</v>
      </c>
      <c r="AD191" s="30">
        <v>6.6971536817658897E-2</v>
      </c>
      <c r="AE191" s="31">
        <v>108.878477992565</v>
      </c>
      <c r="AF191" s="30">
        <v>5.5956299808515002E-3</v>
      </c>
      <c r="AG191" s="31">
        <v>100.432224286181</v>
      </c>
      <c r="AH191" s="30">
        <v>-7.2976502923071101E-3</v>
      </c>
      <c r="AI191" s="31">
        <v>111.620998270718</v>
      </c>
      <c r="AJ191" s="30">
        <v>5.9364986790937397E-3</v>
      </c>
      <c r="AK191" s="31">
        <v>112.088965861803</v>
      </c>
      <c r="AL191" s="30">
        <v>3.8796584628556702E-2</v>
      </c>
      <c r="AM191" s="31">
        <v>112.001310463115</v>
      </c>
      <c r="AN191" s="30">
        <v>4.9102329645363402E-2</v>
      </c>
      <c r="AO191" s="31">
        <v>103.38273398023701</v>
      </c>
      <c r="AP191" s="30">
        <v>-3.7190175597497502E-2</v>
      </c>
      <c r="AQ191" s="31">
        <v>103.177431893822</v>
      </c>
      <c r="AR191" s="30">
        <v>-4.2397957628056399E-2</v>
      </c>
      <c r="AS191" s="31">
        <v>112.267394949671</v>
      </c>
      <c r="AT191" s="30">
        <v>2.2418395307889801E-2</v>
      </c>
      <c r="AU191" s="31">
        <v>107.763707766823</v>
      </c>
      <c r="AV191" s="30">
        <v>5.2907002373416799E-3</v>
      </c>
      <c r="AW191" s="31">
        <v>106.55583262752</v>
      </c>
      <c r="AX191" s="30">
        <v>8.4022692194092308E-3</v>
      </c>
      <c r="AY191" s="31">
        <v>109.517152299504</v>
      </c>
      <c r="AZ191" s="30">
        <v>1.65880167807497E-3</v>
      </c>
      <c r="BA191" s="31">
        <v>108.329175843786</v>
      </c>
      <c r="BB191" s="30">
        <v>-1.73406563127365E-4</v>
      </c>
      <c r="BC191" s="31">
        <v>107.038226101086</v>
      </c>
      <c r="BD191" s="30">
        <v>-1.51808093709591E-2</v>
      </c>
      <c r="BE191" s="31"/>
      <c r="BF191" s="30"/>
    </row>
    <row r="192" spans="1:58" x14ac:dyDescent="0.2">
      <c r="A192" s="28">
        <v>2025</v>
      </c>
      <c r="B192" s="28">
        <v>1</v>
      </c>
      <c r="C192" s="31">
        <v>107.96331460285499</v>
      </c>
      <c r="D192" s="30">
        <v>8.5474517778769705E-3</v>
      </c>
      <c r="E192" s="31">
        <v>103.87960502268599</v>
      </c>
      <c r="F192" s="30">
        <v>-8.5515272268219499E-3</v>
      </c>
      <c r="G192" s="31">
        <v>106.66515799454</v>
      </c>
      <c r="H192" s="30">
        <v>1.0352196247808801E-2</v>
      </c>
      <c r="I192" s="31">
        <v>105.519761668353</v>
      </c>
      <c r="J192" s="30">
        <v>8.2656366966873396E-3</v>
      </c>
      <c r="K192" s="31">
        <v>111.518873223103</v>
      </c>
      <c r="L192" s="30">
        <v>1.90544070772765E-2</v>
      </c>
      <c r="M192" s="31">
        <v>97.433882341395602</v>
      </c>
      <c r="N192" s="30">
        <v>-5.4241682712920798E-2</v>
      </c>
      <c r="O192" s="31">
        <v>107.448506941613</v>
      </c>
      <c r="P192" s="30">
        <v>4.2195006097149896E-3</v>
      </c>
      <c r="Q192" s="31">
        <v>115.546474645629</v>
      </c>
      <c r="R192" s="30">
        <v>6.5258740281315397E-3</v>
      </c>
      <c r="S192" s="31">
        <v>104.138963784879</v>
      </c>
      <c r="T192" s="30">
        <v>3.1997093428384202E-3</v>
      </c>
      <c r="U192" s="31"/>
      <c r="V192" s="30"/>
      <c r="W192" s="31"/>
      <c r="X192" s="30"/>
      <c r="Y192" s="31"/>
      <c r="Z192" s="30"/>
      <c r="AA192" s="31">
        <v>119.631518172401</v>
      </c>
      <c r="AB192" s="30">
        <v>9.7471996948876899E-2</v>
      </c>
      <c r="AC192" s="31">
        <v>121.69688575789</v>
      </c>
      <c r="AD192" s="30">
        <v>0.128606864544663</v>
      </c>
      <c r="AE192" s="31">
        <v>110.42500049957999</v>
      </c>
      <c r="AF192" s="30">
        <v>4.1945701915258898E-2</v>
      </c>
      <c r="AG192" s="31">
        <v>101.754059565172</v>
      </c>
      <c r="AH192" s="30">
        <v>3.6751230599829897E-2</v>
      </c>
      <c r="AI192" s="31">
        <v>112.148805952263</v>
      </c>
      <c r="AJ192" s="30">
        <v>-7.6385736126849402E-4</v>
      </c>
      <c r="AK192" s="31">
        <v>116.024399019035</v>
      </c>
      <c r="AL192" s="30">
        <v>9.3293061804861993E-2</v>
      </c>
      <c r="AM192" s="31">
        <v>118.194512302474</v>
      </c>
      <c r="AN192" s="30">
        <v>0.11753126229284799</v>
      </c>
      <c r="AO192" s="31">
        <v>104.02796806258</v>
      </c>
      <c r="AP192" s="30">
        <v>5.2179313325175797E-3</v>
      </c>
      <c r="AQ192" s="31">
        <v>103.554888767549</v>
      </c>
      <c r="AR192" s="30">
        <v>-1.27816221428767E-4</v>
      </c>
      <c r="AS192" s="31">
        <v>110.494667923855</v>
      </c>
      <c r="AT192" s="30">
        <v>3.4542876542634798E-2</v>
      </c>
      <c r="AU192" s="31">
        <v>108.592537589843</v>
      </c>
      <c r="AV192" s="30">
        <v>1.6557293948037E-2</v>
      </c>
      <c r="AW192" s="31">
        <v>106.909301820355</v>
      </c>
      <c r="AX192" s="30">
        <v>8.4797471123283508E-3</v>
      </c>
      <c r="AY192" s="31">
        <v>111.03939478897399</v>
      </c>
      <c r="AZ192" s="30">
        <v>2.85064150976315E-2</v>
      </c>
      <c r="BA192" s="31">
        <v>110.186721124638</v>
      </c>
      <c r="BB192" s="30">
        <v>4.11126520131175E-2</v>
      </c>
      <c r="BC192" s="31">
        <v>106.47007206303201</v>
      </c>
      <c r="BD192" s="30">
        <v>1.5011988703247801E-2</v>
      </c>
      <c r="BE192" s="31"/>
      <c r="BF192" s="30"/>
    </row>
    <row r="193" spans="1:58" x14ac:dyDescent="0.2">
      <c r="A193" s="28">
        <v>2025</v>
      </c>
      <c r="B193" s="28">
        <v>2</v>
      </c>
      <c r="C193" s="31">
        <v>107.526673288067</v>
      </c>
      <c r="D193" s="30">
        <v>6.3856484575677301E-3</v>
      </c>
      <c r="E193" s="31">
        <v>107.00118979796299</v>
      </c>
      <c r="F193" s="30">
        <v>2.53012053445523E-2</v>
      </c>
      <c r="G193" s="31">
        <v>107.201191998171</v>
      </c>
      <c r="H193" s="30">
        <v>6.8020830773238804E-3</v>
      </c>
      <c r="I193" s="31">
        <v>106.076035780635</v>
      </c>
      <c r="J193" s="30">
        <v>4.19305833077388E-3</v>
      </c>
      <c r="K193" s="31">
        <v>111.95871260223601</v>
      </c>
      <c r="L193" s="30">
        <v>1.7661436479867301E-2</v>
      </c>
      <c r="M193" s="31">
        <v>106.205941503858</v>
      </c>
      <c r="N193" s="30">
        <v>6.6053221247842603E-2</v>
      </c>
      <c r="O193" s="31">
        <v>107.69511280603299</v>
      </c>
      <c r="P193" s="30">
        <v>3.7197736711205298E-3</v>
      </c>
      <c r="Q193" s="31">
        <v>115.84586942974499</v>
      </c>
      <c r="R193" s="30">
        <v>8.1729976025453101E-3</v>
      </c>
      <c r="S193" s="31">
        <v>104.353057634107</v>
      </c>
      <c r="T193" s="30">
        <v>1.8643373019566799E-3</v>
      </c>
      <c r="U193" s="31"/>
      <c r="V193" s="30"/>
      <c r="W193" s="31"/>
      <c r="X193" s="30"/>
      <c r="Y193" s="31"/>
      <c r="Z193" s="30"/>
      <c r="AA193" s="31">
        <v>116.4319969428</v>
      </c>
      <c r="AB193" s="30">
        <v>3.2415932751580501E-2</v>
      </c>
      <c r="AC193" s="31">
        <v>117.642220272385</v>
      </c>
      <c r="AD193" s="30">
        <v>5.00615438386307E-2</v>
      </c>
      <c r="AE193" s="31">
        <v>107.54858365289</v>
      </c>
      <c r="AF193" s="30">
        <v>-1.4893757880896299E-2</v>
      </c>
      <c r="AG193" s="31">
        <v>100.10473373220999</v>
      </c>
      <c r="AH193" s="30">
        <v>-3.1127523126796E-3</v>
      </c>
      <c r="AI193" s="31">
        <v>112.924136507405</v>
      </c>
      <c r="AJ193" s="30">
        <v>-1.55222171187408E-2</v>
      </c>
      <c r="AK193" s="31">
        <v>117.137123864175</v>
      </c>
      <c r="AL193" s="30">
        <v>6.2532610484561796E-2</v>
      </c>
      <c r="AM193" s="31">
        <v>118.187610588002</v>
      </c>
      <c r="AN193" s="30">
        <v>8.8848601355179496E-2</v>
      </c>
      <c r="AO193" s="31">
        <v>103.147241909814</v>
      </c>
      <c r="AP193" s="30">
        <v>-1.5188415878208799E-2</v>
      </c>
      <c r="AQ193" s="31">
        <v>102.139002025206</v>
      </c>
      <c r="AR193" s="30">
        <v>-2.29890446976754E-2</v>
      </c>
      <c r="AS193" s="31">
        <v>114.36131612254999</v>
      </c>
      <c r="AT193" s="30">
        <v>8.5577897675579405E-3</v>
      </c>
      <c r="AU193" s="31">
        <v>108.16268871526</v>
      </c>
      <c r="AV193" s="30">
        <v>-1.75004641215726E-3</v>
      </c>
      <c r="AW193" s="31">
        <v>107.359093726506</v>
      </c>
      <c r="AX193" s="30">
        <v>5.9361710248155798E-3</v>
      </c>
      <c r="AY193" s="31">
        <v>109.30423305017</v>
      </c>
      <c r="AZ193" s="30">
        <v>-1.3374713249856601E-2</v>
      </c>
      <c r="BA193" s="31">
        <v>107.419522036046</v>
      </c>
      <c r="BB193" s="30">
        <v>-1.2804693812665901E-2</v>
      </c>
      <c r="BC193" s="31">
        <v>107.10958026789901</v>
      </c>
      <c r="BD193" s="30">
        <v>-9.8021490180984997E-3</v>
      </c>
      <c r="BE193" s="31"/>
      <c r="BF193" s="30"/>
    </row>
    <row r="194" spans="1:58" x14ac:dyDescent="0.2">
      <c r="A194" s="28">
        <v>2025</v>
      </c>
      <c r="B194" s="28">
        <v>3</v>
      </c>
      <c r="C194" s="31">
        <v>107.290626069627</v>
      </c>
      <c r="D194" s="30">
        <v>-4.9932908924921204E-4</v>
      </c>
      <c r="E194" s="31">
        <v>105.589873732656</v>
      </c>
      <c r="F194" s="30">
        <v>1.8816015314608899E-3</v>
      </c>
      <c r="G194" s="31">
        <v>107.338770510806</v>
      </c>
      <c r="H194" s="30">
        <v>6.5944056310895897E-3</v>
      </c>
      <c r="I194" s="31">
        <v>106.162240975418</v>
      </c>
      <c r="J194" s="30">
        <v>4.1861096834781E-3</v>
      </c>
      <c r="K194" s="31">
        <v>112.32536633066699</v>
      </c>
      <c r="L194" s="30">
        <v>1.6628030802380098E-2</v>
      </c>
      <c r="M194" s="31">
        <v>101.82479012965101</v>
      </c>
      <c r="N194" s="30">
        <v>-8.8671135829068194E-3</v>
      </c>
      <c r="O194" s="31">
        <v>107.6819944283</v>
      </c>
      <c r="P194" s="30">
        <v>3.5886057296390401E-3</v>
      </c>
      <c r="Q194" s="31">
        <v>116.023517964291</v>
      </c>
      <c r="R194" s="30">
        <v>9.7573247896702905E-3</v>
      </c>
      <c r="S194" s="31">
        <v>104.26505826056101</v>
      </c>
      <c r="T194" s="30">
        <v>1.04313893317398E-3</v>
      </c>
      <c r="U194" s="31"/>
      <c r="V194" s="30"/>
      <c r="W194" s="31"/>
      <c r="X194" s="30"/>
      <c r="Y194" s="31"/>
      <c r="Z194" s="30"/>
      <c r="AA194" s="31">
        <v>117.27319527173</v>
      </c>
      <c r="AB194" s="30">
        <v>5.0995092233383103E-2</v>
      </c>
      <c r="AC194" s="31">
        <v>119.33156792807701</v>
      </c>
      <c r="AD194" s="30">
        <v>7.4119639007282898E-2</v>
      </c>
      <c r="AE194" s="31">
        <v>106.49795151120701</v>
      </c>
      <c r="AF194" s="30">
        <v>-6.3990525555646096E-3</v>
      </c>
      <c r="AG194" s="31">
        <v>99.151980054338395</v>
      </c>
      <c r="AH194" s="30">
        <v>1.5293404500105201E-4</v>
      </c>
      <c r="AI194" s="31">
        <v>111.73581700866001</v>
      </c>
      <c r="AJ194" s="30">
        <v>-1.01869538802096E-2</v>
      </c>
      <c r="AK194" s="31">
        <v>116.296115674806</v>
      </c>
      <c r="AL194" s="30">
        <v>6.2302313328776802E-2</v>
      </c>
      <c r="AM194" s="31">
        <v>119.123284418533</v>
      </c>
      <c r="AN194" s="30">
        <v>9.2196444118031406E-2</v>
      </c>
      <c r="AO194" s="31">
        <v>101.593661850545</v>
      </c>
      <c r="AP194" s="30">
        <v>-2.1863368670936301E-2</v>
      </c>
      <c r="AQ194" s="31">
        <v>100.35540818489601</v>
      </c>
      <c r="AR194" s="30">
        <v>-3.38629074459759E-2</v>
      </c>
      <c r="AS194" s="31">
        <v>110.302844424963</v>
      </c>
      <c r="AT194" s="30">
        <v>6.4914604636556695E-4</v>
      </c>
      <c r="AU194" s="31">
        <v>107.739258532047</v>
      </c>
      <c r="AV194" s="30">
        <v>3.5873601317071302E-4</v>
      </c>
      <c r="AW194" s="31">
        <v>107.45328960266301</v>
      </c>
      <c r="AX194" s="30">
        <v>5.7094367333507803E-3</v>
      </c>
      <c r="AY194" s="31">
        <v>108.06735657693601</v>
      </c>
      <c r="AZ194" s="30">
        <v>-7.3733750493309999E-3</v>
      </c>
      <c r="BA194" s="31">
        <v>106.156873631118</v>
      </c>
      <c r="BB194" s="30">
        <v>-5.4387807529366903E-3</v>
      </c>
      <c r="BC194" s="31">
        <v>104.52633953516001</v>
      </c>
      <c r="BD194" s="30">
        <v>-1.9758421865285002E-2</v>
      </c>
      <c r="BE194" s="31"/>
      <c r="BF194" s="30"/>
    </row>
    <row r="195" spans="1:58" x14ac:dyDescent="0.2">
      <c r="A195" s="28">
        <v>2025</v>
      </c>
      <c r="B195" s="28">
        <v>4</v>
      </c>
      <c r="C195" s="31">
        <v>106.666710833211</v>
      </c>
      <c r="D195" s="30">
        <v>-2.7990790167601301E-3</v>
      </c>
      <c r="E195" s="31">
        <v>106.811484742982</v>
      </c>
      <c r="F195" s="30">
        <v>2.08779834502608E-2</v>
      </c>
      <c r="G195" s="31">
        <v>106.812517684032</v>
      </c>
      <c r="H195" s="30">
        <v>5.2462779748112497E-3</v>
      </c>
      <c r="I195" s="31">
        <v>105.45542523306101</v>
      </c>
      <c r="J195" s="30">
        <v>2.83952774949792E-3</v>
      </c>
      <c r="K195" s="31">
        <v>112.6259440975</v>
      </c>
      <c r="L195" s="30">
        <v>1.53093994799602E-2</v>
      </c>
      <c r="M195" s="31">
        <v>106.274306559557</v>
      </c>
      <c r="N195" s="30">
        <v>5.0935708702587901E-2</v>
      </c>
      <c r="O195" s="31">
        <v>107.665644832737</v>
      </c>
      <c r="P195" s="30">
        <v>3.9733744912866503E-3</v>
      </c>
      <c r="Q195" s="31">
        <v>116.109987688293</v>
      </c>
      <c r="R195" s="30">
        <v>8.5422782600348395E-3</v>
      </c>
      <c r="S195" s="31">
        <v>104.206134206233</v>
      </c>
      <c r="T195" s="30">
        <v>2.04049392918937E-3</v>
      </c>
      <c r="U195" s="31"/>
      <c r="V195" s="30"/>
      <c r="W195" s="31"/>
      <c r="X195" s="30"/>
      <c r="Y195" s="31"/>
      <c r="Z195" s="30"/>
      <c r="AA195" s="31">
        <v>122.11662692733</v>
      </c>
      <c r="AB195" s="30">
        <v>6.8724423975352597E-2</v>
      </c>
      <c r="AC195" s="31">
        <v>125.943084682812</v>
      </c>
      <c r="AD195" s="30">
        <v>9.2292105472251404E-2</v>
      </c>
      <c r="AE195" s="31">
        <v>107.01701988613</v>
      </c>
      <c r="AF195" s="30">
        <v>-1.7096658042569299E-2</v>
      </c>
      <c r="AG195" s="31">
        <v>99.127950700008299</v>
      </c>
      <c r="AH195" s="30">
        <v>-1.2986604602678999E-2</v>
      </c>
      <c r="AI195" s="31">
        <v>111.252423282151</v>
      </c>
      <c r="AJ195" s="30">
        <v>-3.3020219696731101E-3</v>
      </c>
      <c r="AK195" s="31">
        <v>124.065262335421</v>
      </c>
      <c r="AL195" s="30">
        <v>0.106846346395811</v>
      </c>
      <c r="AM195" s="31">
        <v>128.43601344525601</v>
      </c>
      <c r="AN195" s="30">
        <v>0.14673670258128799</v>
      </c>
      <c r="AO195" s="31">
        <v>102.273204112568</v>
      </c>
      <c r="AP195" s="30">
        <v>-1.07322550386513E-2</v>
      </c>
      <c r="AQ195" s="31">
        <v>100.69313578863699</v>
      </c>
      <c r="AR195" s="30">
        <v>-2.4077902110815699E-2</v>
      </c>
      <c r="AS195" s="31">
        <v>114.190529869334</v>
      </c>
      <c r="AT195" s="30">
        <v>1.71299505125737E-2</v>
      </c>
      <c r="AU195" s="31">
        <v>107.45864142934499</v>
      </c>
      <c r="AV195" s="30">
        <v>-2.8308819713062099E-3</v>
      </c>
      <c r="AW195" s="31">
        <v>107.076073096519</v>
      </c>
      <c r="AX195" s="30">
        <v>4.8823274725626796E-3</v>
      </c>
      <c r="AY195" s="31">
        <v>107.894611687018</v>
      </c>
      <c r="AZ195" s="30">
        <v>-1.48154017742269E-2</v>
      </c>
      <c r="BA195" s="31">
        <v>106.135779795678</v>
      </c>
      <c r="BB195" s="30">
        <v>-2.0247509786930101E-2</v>
      </c>
      <c r="BC195" s="31">
        <v>106.208152049536</v>
      </c>
      <c r="BD195" s="30">
        <v>-7.7549309418332201E-3</v>
      </c>
      <c r="BE195" s="31"/>
      <c r="BF195" s="30"/>
    </row>
    <row r="196" spans="1:58" x14ac:dyDescent="0.2">
      <c r="A196" s="28"/>
      <c r="B196" s="28"/>
      <c r="C196" s="31"/>
      <c r="D196" s="30"/>
      <c r="E196" s="31"/>
      <c r="F196" s="30"/>
      <c r="G196" s="31"/>
      <c r="H196" s="30"/>
      <c r="I196" s="31"/>
      <c r="J196" s="30"/>
      <c r="K196" s="31"/>
      <c r="L196" s="30"/>
      <c r="M196" s="31"/>
      <c r="N196" s="30"/>
      <c r="O196" s="31"/>
      <c r="P196" s="30"/>
      <c r="Q196" s="31"/>
      <c r="R196" s="30"/>
      <c r="S196" s="31"/>
      <c r="T196" s="30"/>
      <c r="U196" s="31"/>
      <c r="V196" s="30"/>
      <c r="W196" s="31"/>
      <c r="X196" s="30"/>
      <c r="Y196" s="31"/>
      <c r="Z196" s="30"/>
      <c r="AA196" s="31"/>
      <c r="AB196" s="30"/>
      <c r="AC196" s="31"/>
      <c r="AD196" s="30"/>
      <c r="AE196" s="31"/>
      <c r="AF196" s="30"/>
      <c r="AG196" s="31"/>
      <c r="AH196" s="30"/>
      <c r="AI196" s="31"/>
      <c r="AJ196" s="30"/>
      <c r="AK196" s="31"/>
      <c r="AL196" s="30"/>
      <c r="AM196" s="31"/>
      <c r="AN196" s="30"/>
      <c r="AO196" s="31"/>
      <c r="AP196" s="30"/>
      <c r="AQ196" s="31"/>
      <c r="AR196" s="30"/>
      <c r="AS196" s="31"/>
      <c r="AT196" s="30"/>
      <c r="AU196" s="31"/>
      <c r="AV196" s="30"/>
      <c r="AW196" s="31"/>
      <c r="AX196" s="30"/>
      <c r="AY196" s="31"/>
      <c r="AZ196" s="30"/>
      <c r="BA196" s="31"/>
      <c r="BB196" s="30"/>
      <c r="BC196" s="31"/>
      <c r="BD196" s="30"/>
      <c r="BE196" s="31"/>
      <c r="BF196" s="30"/>
    </row>
  </sheetData>
  <sheetProtection password="DD0B" sheet="1"/>
  <mergeCells count="65">
    <mergeCell ref="BC6:BD10"/>
    <mergeCell ref="BA7:BB10"/>
    <mergeCell ref="AU6:AV10"/>
    <mergeCell ref="AS11:AT11"/>
    <mergeCell ref="AS7:AT10"/>
    <mergeCell ref="AU11:AV11"/>
    <mergeCell ref="AW11:AX11"/>
    <mergeCell ref="AY11:AZ11"/>
    <mergeCell ref="BA11:BB11"/>
    <mergeCell ref="BC11:BD11"/>
    <mergeCell ref="AM11:AN11"/>
    <mergeCell ref="AO11:AP11"/>
    <mergeCell ref="AM8:AN10"/>
    <mergeCell ref="AO8:AP10"/>
    <mergeCell ref="AQ8:AR10"/>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C11:D11"/>
    <mergeCell ref="E11:F11"/>
    <mergeCell ref="G11:H11"/>
    <mergeCell ref="I11:J11"/>
    <mergeCell ref="K11:L11"/>
    <mergeCell ref="M11:N11"/>
    <mergeCell ref="G7:H10"/>
    <mergeCell ref="I7:J10"/>
    <mergeCell ref="K7:L10"/>
    <mergeCell ref="M7:N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Q8:R10"/>
    <mergeCell ref="S8:T10"/>
    <mergeCell ref="AC8:AD10"/>
    <mergeCell ref="AG8:AH10"/>
    <mergeCell ref="O7:T7"/>
    <mergeCell ref="AE8:AF10"/>
    <mergeCell ref="W7:X10"/>
    <mergeCell ref="AA7:AB10"/>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le06"/>
  <dimension ref="A1:BJ196"/>
  <sheetViews>
    <sheetView showGridLines="0" workbookViewId="0">
      <pane xSplit="2" ySplit="11" topLeftCell="C12" activePane="bottomRight" state="frozen"/>
      <selection pane="topRight"/>
      <selection pane="bottomLeft"/>
      <selection pane="bottomRight"/>
    </sheetView>
  </sheetViews>
  <sheetFormatPr baseColWidth="10" defaultRowHeight="10" x14ac:dyDescent="0.2"/>
  <cols>
    <col min="1" max="1" width="9.77734375" customWidth="1"/>
    <col min="2" max="2" width="2.6640625" customWidth="1"/>
    <col min="3" max="58" width="9.77734375" customWidth="1"/>
    <col min="59" max="256" width="10.33203125" customWidth="1"/>
  </cols>
  <sheetData>
    <row r="1" spans="1:62" ht="11.25" customHeight="1" x14ac:dyDescent="0.25">
      <c r="A1" s="6" t="str">
        <f ca="1">IF(INDIRECT("beschriftung!"&amp;ADDRESS(beschriftung!$C$1*12+ROW(beschriftung!$A1)-1,COLUMN(beschriftung!A$1)))="","",INDIRECT("beschriftung!"&amp;ADDRESS(beschriftung!$C$1*12+ROW(beschriftung!$A1)-1,COLUMN(beschriftung!A$1))))</f>
        <v>ESA 2010, Quarterly aggregates of Gross Domestic Product, expenditure approach, raw data</v>
      </c>
      <c r="AU1" s="21"/>
      <c r="AW1" s="21"/>
      <c r="BA1" s="21"/>
    </row>
    <row r="2" spans="1:62" ht="11.25" customHeight="1" x14ac:dyDescent="0.2">
      <c r="A2" s="4" t="str">
        <f ca="1">IF(INDIRECT("beschriftung!"&amp;ADDRESS(beschriftung!$C$1*12+ROW(beschriftung!$A6)-1,COLUMN(beschriftung!A$1)))="","",INDIRECT("beschriftung!"&amp;ADDRESS(beschriftung!$C$1*12+ROW(beschriftung!$A6)-1,COLUMN(beschriftung!A$1))))</f>
        <v>Contributions to real GDP-growth</v>
      </c>
      <c r="AU2" s="21"/>
      <c r="AW2" s="21"/>
      <c r="BA2" s="21"/>
    </row>
    <row r="3" spans="1:62" ht="11.25" customHeight="1" x14ac:dyDescent="0.2">
      <c r="A3" s="4" t="str">
        <f ca="1">IF(INDIRECT("beschriftung!"&amp;ADDRESS(beschriftung!$C$1*12+ROW(beschriftung!$A5)-1,COLUMN(beschriftung!A$1)))="","",INDIRECT("beschriftung!"&amp;ADDRESS(beschriftung!$C$1*12+ROW(beschriftung!$A5)-1,COLUMN(beschriftung!A$1))))</f>
        <v/>
      </c>
      <c r="AU3" s="21"/>
      <c r="AW3" s="21"/>
      <c r="BA3" s="21"/>
    </row>
    <row r="4" spans="1:62" ht="11.25" customHeight="1" x14ac:dyDescent="0.2">
      <c r="A4" s="9"/>
      <c r="C4" s="43" t="str">
        <f ca="1">IF(INDIRECT("beschriftung!"&amp;ADDRESS(beschriftung!$C$1*12+ROW(beschriftung!$A5)-1,COLUMN(beschriftung!C$1)))="","",INDIRECT("beschriftung!"&amp;ADDRESS(beschriftung!$C$1*12+ROW(beschriftung!$A5)-1,COLUMN(beschriftung!C$1))))</f>
        <v>Gross domestic product</v>
      </c>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4"/>
      <c r="AU4" s="12"/>
      <c r="AV4" s="12"/>
      <c r="AW4" s="12"/>
      <c r="AX4" s="12"/>
      <c r="AY4" s="12"/>
      <c r="AZ4" s="12"/>
      <c r="BA4" s="12"/>
      <c r="BB4" s="12"/>
      <c r="BC4" s="5"/>
      <c r="BD4" s="5"/>
      <c r="BE4" s="5"/>
      <c r="BF4" s="5"/>
      <c r="BG4" s="5"/>
      <c r="BH4" s="5"/>
      <c r="BI4" s="5"/>
      <c r="BJ4" s="5"/>
    </row>
    <row r="5" spans="1:62" ht="11.25" customHeight="1" x14ac:dyDescent="0.2">
      <c r="A5" s="9"/>
      <c r="C5" s="45"/>
      <c r="D5" s="46"/>
      <c r="E5" s="43" t="str">
        <f ca="1">IF(INDIRECT("beschriftung!"&amp;ADDRESS(beschriftung!$C$1*12+ROW(beschriftung!$A6)-1,COLUMN(beschriftung!E$1)))="","",INDIRECT("beschriftung!"&amp;ADDRESS(beschriftung!$C$1*12+ROW(beschriftung!$A6)-1,COLUMN(beschriftung!E$1))))</f>
        <v>Internal demand</v>
      </c>
      <c r="F5" s="47"/>
      <c r="G5" s="47"/>
      <c r="H5" s="47"/>
      <c r="I5" s="47"/>
      <c r="J5" s="47"/>
      <c r="K5" s="47"/>
      <c r="L5" s="47"/>
      <c r="M5" s="47"/>
      <c r="N5" s="47"/>
      <c r="O5" s="47"/>
      <c r="P5" s="47"/>
      <c r="Q5" s="47"/>
      <c r="R5" s="47"/>
      <c r="S5" s="47"/>
      <c r="T5" s="47"/>
      <c r="U5" s="47"/>
      <c r="V5" s="47"/>
      <c r="W5" s="47"/>
      <c r="X5" s="44"/>
      <c r="Y5" s="43" t="str">
        <f ca="1">IF(INDIRECT("beschriftung!"&amp;ADDRESS(beschriftung!$C$1*12+ROW(beschriftung!$A6)-1,COLUMN(beschriftung!Y$1)))="","",INDIRECT("beschriftung!"&amp;ADDRESS(beschriftung!$C$1*12+ROW(beschriftung!$A6)-1,COLUMN(beschriftung!Y$1))))</f>
        <v>Trade balance (goods and services)</v>
      </c>
      <c r="Z5" s="47"/>
      <c r="AA5" s="47"/>
      <c r="AB5" s="47"/>
      <c r="AC5" s="47"/>
      <c r="AD5" s="47"/>
      <c r="AE5" s="47"/>
      <c r="AF5" s="47"/>
      <c r="AG5" s="47"/>
      <c r="AH5" s="47"/>
      <c r="AI5" s="47"/>
      <c r="AJ5" s="47"/>
      <c r="AK5" s="47"/>
      <c r="AL5" s="47"/>
      <c r="AM5" s="47"/>
      <c r="AN5" s="47"/>
      <c r="AO5" s="47"/>
      <c r="AP5" s="47"/>
      <c r="AQ5" s="47"/>
      <c r="AR5" s="47"/>
      <c r="AS5" s="47"/>
      <c r="AT5" s="47"/>
      <c r="AU5" s="50" t="str">
        <f ca="1">IF(INDIRECT("beschriftung!"&amp;ADDRESS(beschriftung!$C$1*12+ROW(beschriftung!$A6)-1,COLUMN(beschriftung!AU$1)))="","",INDIRECT("beschriftung!"&amp;ADDRESS(beschriftung!$C$1*12+ROW(beschriftung!$A6)-1,COLUMN(beschriftung!AU$1))))</f>
        <v>Global demand excluding inventories change, stat. discrepancies and valuables</v>
      </c>
      <c r="AV5" s="51"/>
      <c r="AW5" s="51"/>
      <c r="AX5" s="51"/>
      <c r="AY5" s="51"/>
      <c r="AZ5" s="51"/>
      <c r="BA5" s="51"/>
      <c r="BB5" s="51"/>
      <c r="BC5" s="22"/>
      <c r="BD5" s="13"/>
      <c r="BE5" s="14"/>
      <c r="BF5" s="14"/>
      <c r="BG5" s="14"/>
      <c r="BH5" s="14"/>
      <c r="BI5" s="14"/>
      <c r="BJ5" s="14"/>
    </row>
    <row r="6" spans="1:62" ht="11.25" customHeight="1" x14ac:dyDescent="0.2">
      <c r="A6" s="9"/>
      <c r="C6" s="45"/>
      <c r="D6" s="46"/>
      <c r="E6" s="45"/>
      <c r="F6" s="46"/>
      <c r="G6" s="43" t="str">
        <f ca="1">IF(INDIRECT("beschriftung!"&amp;ADDRESS(beschriftung!$C$1*12+ROW(beschriftung!$A7)-1,COLUMN(beschriftung!G$1)))="","",INDIRECT("beschriftung!"&amp;ADDRESS(beschriftung!$C$1*12+ROW(beschriftung!$A7)-1,COLUMN(beschriftung!G$1))))</f>
        <v>Final consumption expenditure</v>
      </c>
      <c r="H6" s="47"/>
      <c r="I6" s="47"/>
      <c r="J6" s="47"/>
      <c r="K6" s="47"/>
      <c r="L6" s="44"/>
      <c r="M6" s="43" t="str">
        <f ca="1">IF(INDIRECT("beschriftung!"&amp;ADDRESS(beschriftung!$C$1*12+ROW(beschriftung!$A7)-1,COLUMN(beschriftung!M$1)))="","",INDIRECT("beschriftung!"&amp;ADDRESS(beschriftung!$C$1*12+ROW(beschriftung!$A7)-1,COLUMN(beschriftung!M$1))))</f>
        <v xml:space="preserve">Gross capital formation </v>
      </c>
      <c r="N6" s="47"/>
      <c r="O6" s="47"/>
      <c r="P6" s="47"/>
      <c r="Q6" s="47"/>
      <c r="R6" s="47"/>
      <c r="S6" s="47"/>
      <c r="T6" s="47"/>
      <c r="U6" s="47"/>
      <c r="V6" s="47"/>
      <c r="W6" s="47"/>
      <c r="X6" s="44"/>
      <c r="Y6" s="45"/>
      <c r="Z6" s="46"/>
      <c r="AA6" s="43" t="str">
        <f ca="1">IF(INDIRECT("beschriftung!"&amp;ADDRESS(beschriftung!$C$1*12+ROW(beschriftung!$A7)-1,COLUMN(beschriftung!AA$1)))="","",INDIRECT("beschriftung!"&amp;ADDRESS(beschriftung!$C$1*12+ROW(beschriftung!$A7)-1,COLUMN(beschriftung!AA$1))))</f>
        <v>Exports of goods and services</v>
      </c>
      <c r="AB6" s="47"/>
      <c r="AC6" s="47"/>
      <c r="AD6" s="47"/>
      <c r="AE6" s="47"/>
      <c r="AF6" s="47"/>
      <c r="AG6" s="47"/>
      <c r="AH6" s="47"/>
      <c r="AI6" s="47"/>
      <c r="AJ6" s="44"/>
      <c r="AK6" s="43" t="str">
        <f ca="1">IF(INDIRECT("beschriftung!"&amp;ADDRESS(beschriftung!$C$1*12+ROW(beschriftung!$A7)-1,COLUMN(beschriftung!AK$1)))="","",INDIRECT("beschriftung!"&amp;ADDRESS(beschriftung!$C$1*12+ROW(beschriftung!$A7)-1,COLUMN(beschriftung!AK$1))))</f>
        <v>Imports of goods and services</v>
      </c>
      <c r="AL6" s="47"/>
      <c r="AM6" s="47"/>
      <c r="AN6" s="47"/>
      <c r="AO6" s="47"/>
      <c r="AP6" s="47"/>
      <c r="AQ6" s="47"/>
      <c r="AR6" s="47"/>
      <c r="AS6" s="47"/>
      <c r="AT6" s="47"/>
      <c r="AU6" s="58"/>
      <c r="AV6" s="59"/>
      <c r="AW6" s="52" t="str">
        <f ca="1">IF(INDIRECT("beschriftung!"&amp;ADDRESS(beschriftung!$C$1*12+ROW(beschriftung!$A7)-1,COLUMN(beschriftung!AW$1)))="","",INDIRECT("beschriftung!"&amp;ADDRESS(beschriftung!$C$1*12+ROW(beschriftung!$A7)-1,COLUMN(beschriftung!AW$1))))</f>
        <v>Final domestic demand</v>
      </c>
      <c r="AX6" s="53"/>
      <c r="AY6" s="52" t="str">
        <f ca="1">IF(INDIRECT("beschriftung!"&amp;ADDRESS(beschriftung!$C$1*12+ROW(beschriftung!$A7)-1,COLUMN(beschriftung!AY$1)))="","",INDIRECT("beschriftung!"&amp;ADDRESS(beschriftung!$C$1*12+ROW(beschriftung!$A7)-1,COLUMN(beschriftung!AY$1))))</f>
        <v>Exports of goods and services (excluding valuables)</v>
      </c>
      <c r="AZ6" s="56"/>
      <c r="BA6" s="23"/>
      <c r="BB6" s="15"/>
      <c r="BC6" s="52" t="str">
        <f ca="1">IF(INDIRECT("beschriftung!"&amp;ADDRESS(beschriftung!$C$1*12+ROW(beschriftung!$A7)-1,COLUMN(beschriftung!BC$1)))="","",INDIRECT("beschriftung!"&amp;ADDRESS(beschriftung!$C$1*12+ROW(beschriftung!$A7)-1,COLUMN(beschriftung!BC$1))))</f>
        <v>Imports of goods and services (excluding valuables)</v>
      </c>
      <c r="BD6" s="53"/>
    </row>
    <row r="7" spans="1:62" ht="11.25" customHeight="1" x14ac:dyDescent="0.2">
      <c r="A7" s="10"/>
      <c r="B7" s="10"/>
      <c r="C7" s="45"/>
      <c r="D7" s="46"/>
      <c r="E7" s="45"/>
      <c r="F7" s="46"/>
      <c r="G7" s="45"/>
      <c r="H7" s="46"/>
      <c r="I7" s="43" t="str">
        <f ca="1">IF(INDIRECT("beschriftung!"&amp;ADDRESS(beschriftung!$C$1*12+ROW(beschriftung!$A8)-1,COLUMN(beschriftung!I$1)))="","",INDIRECT("beschriftung!"&amp;ADDRESS(beschriftung!$C$1*12+ROW(beschriftung!$A8)-1,COLUMN(beschriftung!I$1))))</f>
        <v>Households and NPISH</v>
      </c>
      <c r="J7" s="44"/>
      <c r="K7" s="43" t="str">
        <f ca="1">IF(INDIRECT("beschriftung!"&amp;ADDRESS(beschriftung!$C$1*12+ROW(beschriftung!$A8)-1,COLUMN(beschriftung!K$1)))="","",INDIRECT("beschriftung!"&amp;ADDRESS(beschriftung!$C$1*12+ROW(beschriftung!$A8)-1,COLUMN(beschriftung!K$1))))</f>
        <v>General government</v>
      </c>
      <c r="L7" s="44"/>
      <c r="M7" s="45"/>
      <c r="N7" s="46"/>
      <c r="O7" s="43" t="str">
        <f ca="1">IF(INDIRECT("beschriftung!"&amp;ADDRESS(beschriftung!$C$1*12+ROW(beschriftung!$A8)-1,COLUMN(beschriftung!O$1)))="","",INDIRECT("beschriftung!"&amp;ADDRESS(beschriftung!$C$1*12+ROW(beschriftung!$A8)-1,COLUMN(beschriftung!O$1))))</f>
        <v>Gross fixed capital formation</v>
      </c>
      <c r="P7" s="47"/>
      <c r="Q7" s="47"/>
      <c r="R7" s="47"/>
      <c r="S7" s="47"/>
      <c r="T7" s="44"/>
      <c r="U7" s="43" t="str">
        <f ca="1">IF(INDIRECT("beschriftung!"&amp;ADDRESS(beschriftung!$C$1*12+ROW(beschriftung!$A8)-1,COLUMN(beschriftung!U$1)))="","",INDIRECT("beschriftung!"&amp;ADDRESS(beschriftung!$C$1*12+ROW(beschriftung!$A8)-1,COLUMN(beschriftung!U$1))))</f>
        <v>Changes in inventories and statistical discrepancies</v>
      </c>
      <c r="V7" s="44"/>
      <c r="W7" s="43" t="str">
        <f ca="1">IF(INDIRECT("beschriftung!"&amp;ADDRESS(beschriftung!$C$1*12+ROW(beschriftung!$A8)-1,COLUMN(beschriftung!W$1)))="","",INDIRECT("beschriftung!"&amp;ADDRESS(beschriftung!$C$1*12+ROW(beschriftung!$A8)-1,COLUMN(beschriftung!W$1))))</f>
        <v>Acquisitions less disposals of valuables (including non-monetary gold)</v>
      </c>
      <c r="X7" s="44"/>
      <c r="Y7" s="45"/>
      <c r="Z7" s="46"/>
      <c r="AA7" s="45"/>
      <c r="AB7" s="46"/>
      <c r="AC7" s="43" t="str">
        <f ca="1">IF(INDIRECT("beschriftung!"&amp;ADDRESS(beschriftung!$C$1*12+ROW(beschriftung!$A8)-1,COLUMN(beschriftung!AC$1)))="","",INDIRECT("beschriftung!"&amp;ADDRESS(beschriftung!$C$1*12+ROW(beschriftung!$A8)-1,COLUMN(beschriftung!AC$1))))</f>
        <v>Exports (exp.) of goods</v>
      </c>
      <c r="AD7" s="47"/>
      <c r="AE7" s="47"/>
      <c r="AF7" s="47"/>
      <c r="AG7" s="47"/>
      <c r="AH7" s="44"/>
      <c r="AI7" s="43" t="str">
        <f ca="1">IF(INDIRECT("beschriftung!"&amp;ADDRESS(beschriftung!$C$1*12+ROW(beschriftung!$A8)-1,COLUMN(beschriftung!AI$1)))="","",INDIRECT("beschriftung!"&amp;ADDRESS(beschriftung!$C$1*12+ROW(beschriftung!$A8)-1,COLUMN(beschriftung!AI$1))))</f>
        <v>Exports of services</v>
      </c>
      <c r="AJ7" s="44"/>
      <c r="AK7" s="45"/>
      <c r="AL7" s="46"/>
      <c r="AM7" s="43" t="str">
        <f ca="1">IF(INDIRECT("beschriftung!"&amp;ADDRESS(beschriftung!$C$1*12+ROW(beschriftung!$A8)-1,COLUMN(beschriftung!AM$1)))="","",INDIRECT("beschriftung!"&amp;ADDRESS(beschriftung!$C$1*12+ROW(beschriftung!$A8)-1,COLUMN(beschriftung!AM$1))))</f>
        <v>Imports (imp.) of goods</v>
      </c>
      <c r="AN7" s="47"/>
      <c r="AO7" s="47"/>
      <c r="AP7" s="47"/>
      <c r="AQ7" s="47"/>
      <c r="AR7" s="44"/>
      <c r="AS7" s="43" t="str">
        <f ca="1">IF(INDIRECT("beschriftung!"&amp;ADDRESS(beschriftung!$C$1*12+ROW(beschriftung!$A8)-1,COLUMN(beschriftung!AS$1)))="","",INDIRECT("beschriftung!"&amp;ADDRESS(beschriftung!$C$1*12+ROW(beschriftung!$A8)-1,COLUMN(beschriftung!AS$1))))</f>
        <v>Imports of services</v>
      </c>
      <c r="AT7" s="47"/>
      <c r="AU7" s="58"/>
      <c r="AV7" s="59"/>
      <c r="AW7" s="54"/>
      <c r="AX7" s="55"/>
      <c r="AY7" s="54"/>
      <c r="AZ7" s="57"/>
      <c r="BA7" s="52" t="str">
        <f ca="1">IF(INDIRECT("beschriftung!"&amp;ADDRESS(beschriftung!$C$1*12+ROW(beschriftung!$A8)-1,COLUMN(beschriftung!BA$1)))="","",INDIRECT("beschriftung!"&amp;ADDRESS(beschriftung!$C$1*12+ROW(beschriftung!$A8)-1,COLUMN(beschriftung!BA$1))))</f>
        <v>thereof exports of goods excluding valuables</v>
      </c>
      <c r="BB7" s="53"/>
      <c r="BC7" s="54"/>
      <c r="BD7" s="55"/>
    </row>
    <row r="8" spans="1:62" ht="11.25" customHeight="1" x14ac:dyDescent="0.2">
      <c r="A8" s="11"/>
      <c r="B8" s="11"/>
      <c r="C8" s="45"/>
      <c r="D8" s="46"/>
      <c r="E8" s="45"/>
      <c r="F8" s="46"/>
      <c r="G8" s="45"/>
      <c r="H8" s="46"/>
      <c r="I8" s="45"/>
      <c r="J8" s="46"/>
      <c r="K8" s="45"/>
      <c r="L8" s="46"/>
      <c r="M8" s="45"/>
      <c r="N8" s="46"/>
      <c r="O8" s="45"/>
      <c r="P8" s="46"/>
      <c r="Q8" s="43" t="str">
        <f ca="1">IF(INDIRECT("beschriftung!"&amp;ADDRESS(beschriftung!$C$1*12+ROW(beschriftung!$A9)-1,COLUMN(beschriftung!Q$1)))="","",INDIRECT("beschriftung!"&amp;ADDRESS(beschriftung!$C$1*12+ROW(beschriftung!$A9)-1,COLUMN(beschriftung!Q$1))))</f>
        <v>Construction</v>
      </c>
      <c r="R8" s="44"/>
      <c r="S8" s="43" t="str">
        <f ca="1">IF(INDIRECT("beschriftung!"&amp;ADDRESS(beschriftung!$C$1*12+ROW(beschriftung!$A9)-1,COLUMN(beschriftung!S$1)))="","",INDIRECT("beschriftung!"&amp;ADDRESS(beschriftung!$C$1*12+ROW(beschriftung!$A9)-1,COLUMN(beschriftung!S$1))))</f>
        <v>Fixed assets and software</v>
      </c>
      <c r="T8" s="44"/>
      <c r="U8" s="45"/>
      <c r="V8" s="46"/>
      <c r="W8" s="45"/>
      <c r="X8" s="46"/>
      <c r="Y8" s="45"/>
      <c r="Z8" s="46"/>
      <c r="AA8" s="45"/>
      <c r="AB8" s="46"/>
      <c r="AC8" s="45"/>
      <c r="AD8" s="46"/>
      <c r="AE8" s="43" t="str">
        <f ca="1">IF(INDIRECT("beschriftung!"&amp;ADDRESS(beschriftung!$C$1*12+ROW(beschriftung!$A9)-1,COLUMN(beschriftung!AE$1)))="","",INDIRECT("beschriftung!"&amp;ADDRESS(beschriftung!$C$1*12+ROW(beschriftung!$A9)-1,COLUMN(beschriftung!AE$1))))</f>
        <v xml:space="preserve">thereof exp. of goods excluding non-monetary gold </v>
      </c>
      <c r="AF8" s="44"/>
      <c r="AG8" s="43" t="str">
        <f ca="1">IF(INDIRECT("beschriftung!"&amp;ADDRESS(beschriftung!$C$1*12+ROW(beschriftung!$A9)-1,COLUMN(beschriftung!AG$1)))="","",INDIRECT("beschriftung!"&amp;ADDRESS(beschriftung!$C$1*12+ROW(beschriftung!$A9)-1,COLUMN(beschriftung!AG$1))))</f>
        <v>thereof exp. of goods excluding valuables and merchanting</v>
      </c>
      <c r="AH8" s="44"/>
      <c r="AI8" s="45"/>
      <c r="AJ8" s="46"/>
      <c r="AK8" s="45"/>
      <c r="AL8" s="46"/>
      <c r="AM8" s="45"/>
      <c r="AN8" s="46"/>
      <c r="AO8" s="43" t="str">
        <f ca="1">IF(INDIRECT("beschriftung!"&amp;ADDRESS(beschriftung!$C$1*12+ROW(beschriftung!$A9)-1,COLUMN(beschriftung!AO$1)))="","",INDIRECT("beschriftung!"&amp;ADDRESS(beschriftung!$C$1*12+ROW(beschriftung!$A9)-1,COLUMN(beschriftung!AO$1))))</f>
        <v>thereof imp. of goods excluding non-monetary gold</v>
      </c>
      <c r="AP8" s="44"/>
      <c r="AQ8" s="43" t="str">
        <f ca="1">IF(INDIRECT("beschriftung!"&amp;ADDRESS(beschriftung!$C$1*12+ROW(beschriftung!$A9)-1,COLUMN(beschriftung!AQ$1)))="","",INDIRECT("beschriftung!"&amp;ADDRESS(beschriftung!$C$1*12+ROW(beschriftung!$A9)-1,COLUMN(beschriftung!AQ$1))))</f>
        <v>thereof imp. of goods excluding valuables</v>
      </c>
      <c r="AR8" s="44"/>
      <c r="AS8" s="45"/>
      <c r="AT8" s="61"/>
      <c r="AU8" s="58"/>
      <c r="AV8" s="59"/>
      <c r="AW8" s="54"/>
      <c r="AX8" s="55"/>
      <c r="AY8" s="54"/>
      <c r="AZ8" s="57"/>
      <c r="BA8" s="54"/>
      <c r="BB8" s="55"/>
      <c r="BC8" s="54"/>
      <c r="BD8" s="55"/>
    </row>
    <row r="9" spans="1:62" ht="11.25" customHeight="1" x14ac:dyDescent="0.2">
      <c r="A9" s="11"/>
      <c r="B9" s="11"/>
      <c r="C9" s="45"/>
      <c r="D9" s="46"/>
      <c r="E9" s="45"/>
      <c r="F9" s="46"/>
      <c r="G9" s="45"/>
      <c r="H9" s="46"/>
      <c r="I9" s="45"/>
      <c r="J9" s="46"/>
      <c r="K9" s="45"/>
      <c r="L9" s="46"/>
      <c r="M9" s="45"/>
      <c r="N9" s="46"/>
      <c r="O9" s="45"/>
      <c r="P9" s="46"/>
      <c r="Q9" s="45"/>
      <c r="R9" s="46"/>
      <c r="S9" s="45"/>
      <c r="T9" s="46"/>
      <c r="U9" s="45"/>
      <c r="V9" s="46"/>
      <c r="W9" s="45"/>
      <c r="X9" s="46"/>
      <c r="Y9" s="45"/>
      <c r="Z9" s="46"/>
      <c r="AA9" s="45"/>
      <c r="AB9" s="46"/>
      <c r="AC9" s="45"/>
      <c r="AD9" s="46"/>
      <c r="AE9" s="45"/>
      <c r="AF9" s="46"/>
      <c r="AG9" s="45"/>
      <c r="AH9" s="46"/>
      <c r="AI9" s="45"/>
      <c r="AJ9" s="46"/>
      <c r="AK9" s="45"/>
      <c r="AL9" s="46"/>
      <c r="AM9" s="45"/>
      <c r="AN9" s="46"/>
      <c r="AO9" s="45"/>
      <c r="AP9" s="46"/>
      <c r="AQ9" s="45"/>
      <c r="AR9" s="46"/>
      <c r="AS9" s="45"/>
      <c r="AT9" s="61"/>
      <c r="AU9" s="58"/>
      <c r="AV9" s="59"/>
      <c r="AW9" s="54"/>
      <c r="AX9" s="55"/>
      <c r="AY9" s="54"/>
      <c r="AZ9" s="57"/>
      <c r="BA9" s="54"/>
      <c r="BB9" s="55"/>
      <c r="BC9" s="54"/>
      <c r="BD9" s="55"/>
    </row>
    <row r="10" spans="1:62" ht="11.25" customHeight="1" x14ac:dyDescent="0.2">
      <c r="A10" s="11"/>
      <c r="B10" s="10"/>
      <c r="C10" s="45"/>
      <c r="D10" s="46"/>
      <c r="E10" s="45"/>
      <c r="F10" s="46"/>
      <c r="G10" s="45"/>
      <c r="H10" s="46"/>
      <c r="I10" s="45"/>
      <c r="J10" s="46"/>
      <c r="K10" s="45"/>
      <c r="L10" s="46"/>
      <c r="M10" s="45"/>
      <c r="N10" s="46"/>
      <c r="O10" s="45"/>
      <c r="P10" s="46"/>
      <c r="Q10" s="45"/>
      <c r="R10" s="46"/>
      <c r="S10" s="45"/>
      <c r="T10" s="46"/>
      <c r="U10" s="45"/>
      <c r="V10" s="46"/>
      <c r="W10" s="45"/>
      <c r="X10" s="46"/>
      <c r="Y10" s="45"/>
      <c r="Z10" s="46"/>
      <c r="AA10" s="45"/>
      <c r="AB10" s="46"/>
      <c r="AC10" s="45"/>
      <c r="AD10" s="46"/>
      <c r="AE10" s="45"/>
      <c r="AF10" s="46"/>
      <c r="AG10" s="45"/>
      <c r="AH10" s="46"/>
      <c r="AI10" s="45"/>
      <c r="AJ10" s="46"/>
      <c r="AK10" s="45"/>
      <c r="AL10" s="46"/>
      <c r="AM10" s="45"/>
      <c r="AN10" s="46"/>
      <c r="AO10" s="45"/>
      <c r="AP10" s="46"/>
      <c r="AQ10" s="45"/>
      <c r="AR10" s="46"/>
      <c r="AS10" s="45"/>
      <c r="AT10" s="61"/>
      <c r="AU10" s="58"/>
      <c r="AV10" s="59"/>
      <c r="AW10" s="54"/>
      <c r="AX10" s="55"/>
      <c r="AY10" s="54"/>
      <c r="AZ10" s="57"/>
      <c r="BA10" s="54"/>
      <c r="BB10" s="55"/>
      <c r="BC10" s="54"/>
      <c r="BD10" s="55"/>
    </row>
    <row r="11" spans="1:62" ht="11.25" customHeight="1" x14ac:dyDescent="0.2">
      <c r="A11" s="3"/>
      <c r="B11" s="8"/>
      <c r="C11" s="48" t="s">
        <v>167</v>
      </c>
      <c r="D11" s="49"/>
      <c r="E11" s="48" t="s">
        <v>182</v>
      </c>
      <c r="F11" s="49"/>
      <c r="G11" s="48" t="s">
        <v>168</v>
      </c>
      <c r="H11" s="49"/>
      <c r="I11" s="48" t="s">
        <v>184</v>
      </c>
      <c r="J11" s="49"/>
      <c r="K11" s="48" t="s">
        <v>185</v>
      </c>
      <c r="L11" s="49"/>
      <c r="M11" s="48" t="s">
        <v>169</v>
      </c>
      <c r="N11" s="49"/>
      <c r="O11" s="48" t="s">
        <v>170</v>
      </c>
      <c r="P11" s="49"/>
      <c r="Q11" s="48" t="s">
        <v>171</v>
      </c>
      <c r="R11" s="49"/>
      <c r="S11" s="48" t="s">
        <v>172</v>
      </c>
      <c r="T11" s="49"/>
      <c r="U11" s="48" t="s">
        <v>186</v>
      </c>
      <c r="V11" s="49"/>
      <c r="W11" s="48" t="s">
        <v>173</v>
      </c>
      <c r="X11" s="49"/>
      <c r="Y11" s="48" t="s">
        <v>187</v>
      </c>
      <c r="Z11" s="49"/>
      <c r="AA11" s="48" t="s">
        <v>174</v>
      </c>
      <c r="AB11" s="49"/>
      <c r="AC11" s="48" t="s">
        <v>175</v>
      </c>
      <c r="AD11" s="49"/>
      <c r="AE11" s="48" t="s">
        <v>176</v>
      </c>
      <c r="AF11" s="49"/>
      <c r="AG11" s="48"/>
      <c r="AH11" s="49"/>
      <c r="AI11" s="48" t="s">
        <v>177</v>
      </c>
      <c r="AJ11" s="49"/>
      <c r="AK11" s="48" t="s">
        <v>178</v>
      </c>
      <c r="AL11" s="49"/>
      <c r="AM11" s="48" t="s">
        <v>179</v>
      </c>
      <c r="AN11" s="49"/>
      <c r="AO11" s="48" t="s">
        <v>180</v>
      </c>
      <c r="AP11" s="49"/>
      <c r="AQ11" s="48"/>
      <c r="AR11" s="49"/>
      <c r="AS11" s="48" t="s">
        <v>181</v>
      </c>
      <c r="AT11" s="60"/>
      <c r="AU11" s="62" t="s">
        <v>188</v>
      </c>
      <c r="AV11" s="63"/>
      <c r="AW11" s="62" t="s">
        <v>183</v>
      </c>
      <c r="AX11" s="63"/>
      <c r="AY11" s="62"/>
      <c r="AZ11" s="63"/>
      <c r="BA11" s="62"/>
      <c r="BB11" s="63"/>
      <c r="BC11" s="62"/>
      <c r="BD11" s="63"/>
    </row>
    <row r="12" spans="1:62" x14ac:dyDescent="0.2">
      <c r="A12" s="28">
        <v>1980</v>
      </c>
      <c r="B12" s="28">
        <v>1</v>
      </c>
      <c r="C12" s="32"/>
      <c r="D12" s="30"/>
      <c r="E12" s="32"/>
      <c r="F12" s="30"/>
      <c r="G12" s="32"/>
      <c r="H12" s="30"/>
      <c r="I12" s="32"/>
      <c r="J12" s="30"/>
      <c r="K12" s="32"/>
      <c r="L12" s="30"/>
      <c r="M12" s="32"/>
      <c r="N12" s="30"/>
      <c r="O12" s="32"/>
      <c r="P12" s="30"/>
      <c r="Q12" s="32"/>
      <c r="R12" s="30"/>
      <c r="S12" s="32"/>
      <c r="T12" s="30"/>
      <c r="U12" s="32"/>
      <c r="V12" s="30"/>
      <c r="W12" s="32"/>
      <c r="X12" s="30"/>
      <c r="Y12" s="32"/>
      <c r="Z12" s="30"/>
      <c r="AA12" s="32"/>
      <c r="AB12" s="30"/>
      <c r="AC12" s="32"/>
      <c r="AD12" s="30"/>
      <c r="AE12" s="32"/>
      <c r="AF12" s="30"/>
      <c r="AG12" s="32"/>
      <c r="AH12" s="30"/>
      <c r="AI12" s="32"/>
      <c r="AJ12" s="30"/>
      <c r="AK12" s="32"/>
      <c r="AL12" s="30"/>
      <c r="AM12" s="32"/>
      <c r="AN12" s="30"/>
      <c r="AO12" s="32"/>
      <c r="AP12" s="30"/>
      <c r="AQ12" s="32"/>
      <c r="AR12" s="30"/>
      <c r="AS12" s="32"/>
      <c r="AT12" s="30"/>
      <c r="AU12" s="32"/>
      <c r="AV12" s="30"/>
      <c r="AW12" s="32"/>
      <c r="AX12" s="30"/>
      <c r="AY12" s="32"/>
      <c r="AZ12" s="30"/>
      <c r="BA12" s="32"/>
      <c r="BB12" s="30"/>
      <c r="BC12" s="32"/>
      <c r="BD12" s="30"/>
      <c r="BE12" s="32"/>
      <c r="BF12" s="30"/>
    </row>
    <row r="13" spans="1:62" x14ac:dyDescent="0.2">
      <c r="A13" s="28">
        <v>1980</v>
      </c>
      <c r="B13" s="28">
        <v>2</v>
      </c>
      <c r="C13" s="32"/>
      <c r="D13" s="30"/>
      <c r="E13" s="32"/>
      <c r="F13" s="30"/>
      <c r="G13" s="32"/>
      <c r="H13" s="30"/>
      <c r="I13" s="32"/>
      <c r="J13" s="30"/>
      <c r="K13" s="32"/>
      <c r="L13" s="30"/>
      <c r="M13" s="32"/>
      <c r="N13" s="30"/>
      <c r="O13" s="32"/>
      <c r="P13" s="30"/>
      <c r="Q13" s="32"/>
      <c r="R13" s="30"/>
      <c r="S13" s="32"/>
      <c r="T13" s="30"/>
      <c r="U13" s="32"/>
      <c r="V13" s="30"/>
      <c r="W13" s="32"/>
      <c r="X13" s="30"/>
      <c r="Y13" s="32"/>
      <c r="Z13" s="30"/>
      <c r="AA13" s="32"/>
      <c r="AB13" s="30"/>
      <c r="AC13" s="32"/>
      <c r="AD13" s="30"/>
      <c r="AE13" s="32"/>
      <c r="AF13" s="30"/>
      <c r="AG13" s="32"/>
      <c r="AH13" s="30"/>
      <c r="AI13" s="32"/>
      <c r="AJ13" s="30"/>
      <c r="AK13" s="32"/>
      <c r="AL13" s="30"/>
      <c r="AM13" s="32"/>
      <c r="AN13" s="30"/>
      <c r="AO13" s="32"/>
      <c r="AP13" s="30"/>
      <c r="AQ13" s="32"/>
      <c r="AR13" s="30"/>
      <c r="AS13" s="32"/>
      <c r="AT13" s="30"/>
      <c r="AU13" s="32"/>
      <c r="AV13" s="30"/>
      <c r="AW13" s="32"/>
      <c r="AX13" s="30"/>
      <c r="AY13" s="32"/>
      <c r="AZ13" s="30"/>
      <c r="BA13" s="32"/>
      <c r="BB13" s="30"/>
      <c r="BC13" s="32"/>
      <c r="BD13" s="30"/>
      <c r="BE13" s="32"/>
      <c r="BF13" s="30"/>
    </row>
    <row r="14" spans="1:62" x14ac:dyDescent="0.2">
      <c r="A14" s="28">
        <v>1980</v>
      </c>
      <c r="B14" s="28">
        <v>3</v>
      </c>
      <c r="C14" s="32"/>
      <c r="D14" s="30"/>
      <c r="E14" s="32"/>
      <c r="F14" s="30"/>
      <c r="G14" s="32"/>
      <c r="H14" s="30"/>
      <c r="I14" s="32"/>
      <c r="J14" s="30"/>
      <c r="K14" s="32"/>
      <c r="L14" s="30"/>
      <c r="M14" s="32"/>
      <c r="N14" s="30"/>
      <c r="O14" s="32"/>
      <c r="P14" s="30"/>
      <c r="Q14" s="32"/>
      <c r="R14" s="30"/>
      <c r="S14" s="32"/>
      <c r="T14" s="30"/>
      <c r="U14" s="32"/>
      <c r="V14" s="30"/>
      <c r="W14" s="32"/>
      <c r="X14" s="30"/>
      <c r="Y14" s="32"/>
      <c r="Z14" s="30"/>
      <c r="AA14" s="32"/>
      <c r="AB14" s="30"/>
      <c r="AC14" s="32"/>
      <c r="AD14" s="30"/>
      <c r="AE14" s="32"/>
      <c r="AF14" s="30"/>
      <c r="AG14" s="32"/>
      <c r="AH14" s="30"/>
      <c r="AI14" s="32"/>
      <c r="AJ14" s="30"/>
      <c r="AK14" s="32"/>
      <c r="AL14" s="30"/>
      <c r="AM14" s="32"/>
      <c r="AN14" s="30"/>
      <c r="AO14" s="32"/>
      <c r="AP14" s="30"/>
      <c r="AQ14" s="32"/>
      <c r="AR14" s="30"/>
      <c r="AS14" s="32"/>
      <c r="AT14" s="30"/>
      <c r="AU14" s="32"/>
      <c r="AV14" s="30"/>
      <c r="AW14" s="32"/>
      <c r="AX14" s="30"/>
      <c r="AY14" s="32"/>
      <c r="AZ14" s="30"/>
      <c r="BA14" s="32"/>
      <c r="BB14" s="30"/>
      <c r="BC14" s="32"/>
      <c r="BD14" s="30"/>
      <c r="BE14" s="32"/>
      <c r="BF14" s="30"/>
    </row>
    <row r="15" spans="1:62" x14ac:dyDescent="0.2">
      <c r="A15" s="28">
        <v>1980</v>
      </c>
      <c r="B15" s="28">
        <v>4</v>
      </c>
      <c r="C15" s="32"/>
      <c r="D15" s="30"/>
      <c r="E15" s="32"/>
      <c r="F15" s="30"/>
      <c r="G15" s="32"/>
      <c r="H15" s="30"/>
      <c r="I15" s="32"/>
      <c r="J15" s="30"/>
      <c r="K15" s="32"/>
      <c r="L15" s="30"/>
      <c r="M15" s="32"/>
      <c r="N15" s="30"/>
      <c r="O15" s="32"/>
      <c r="P15" s="30"/>
      <c r="Q15" s="32"/>
      <c r="R15" s="30"/>
      <c r="S15" s="32"/>
      <c r="T15" s="30"/>
      <c r="U15" s="32"/>
      <c r="V15" s="30"/>
      <c r="W15" s="32"/>
      <c r="X15" s="30"/>
      <c r="Y15" s="32"/>
      <c r="Z15" s="30"/>
      <c r="AA15" s="32"/>
      <c r="AB15" s="30"/>
      <c r="AC15" s="32"/>
      <c r="AD15" s="30"/>
      <c r="AE15" s="32"/>
      <c r="AF15" s="30"/>
      <c r="AG15" s="32"/>
      <c r="AH15" s="30"/>
      <c r="AI15" s="32"/>
      <c r="AJ15" s="30"/>
      <c r="AK15" s="32"/>
      <c r="AL15" s="30"/>
      <c r="AM15" s="32"/>
      <c r="AN15" s="30"/>
      <c r="AO15" s="32"/>
      <c r="AP15" s="30"/>
      <c r="AQ15" s="32"/>
      <c r="AR15" s="30"/>
      <c r="AS15" s="32"/>
      <c r="AT15" s="30"/>
      <c r="AU15" s="32"/>
      <c r="AV15" s="30"/>
      <c r="AW15" s="32"/>
      <c r="AX15" s="30"/>
      <c r="AY15" s="32"/>
      <c r="AZ15" s="30"/>
      <c r="BA15" s="32"/>
      <c r="BB15" s="30"/>
      <c r="BC15" s="32"/>
      <c r="BD15" s="30"/>
      <c r="BE15" s="32"/>
      <c r="BF15" s="30"/>
    </row>
    <row r="16" spans="1:62" x14ac:dyDescent="0.2">
      <c r="A16" s="28">
        <v>1981</v>
      </c>
      <c r="B16" s="28">
        <v>1</v>
      </c>
      <c r="C16" s="32"/>
      <c r="D16" s="30"/>
      <c r="E16" s="32">
        <v>-7.2914901257058601E-2</v>
      </c>
      <c r="F16" s="30"/>
      <c r="G16" s="32">
        <v>6.8194992633635E-3</v>
      </c>
      <c r="H16" s="30"/>
      <c r="I16" s="32">
        <v>3.1150945729831901E-3</v>
      </c>
      <c r="J16" s="30"/>
      <c r="K16" s="32">
        <v>3.7044046903803099E-3</v>
      </c>
      <c r="L16" s="30"/>
      <c r="M16" s="32">
        <v>-7.9734400520422105E-2</v>
      </c>
      <c r="N16" s="30"/>
      <c r="O16" s="32">
        <v>9.5995053095819793E-3</v>
      </c>
      <c r="P16" s="30"/>
      <c r="Q16" s="32">
        <v>1.29946741486054E-2</v>
      </c>
      <c r="R16" s="30"/>
      <c r="S16" s="32">
        <v>-3.3951688390234098E-3</v>
      </c>
      <c r="T16" s="30"/>
      <c r="U16" s="32">
        <v>-2.6422210829317599E-2</v>
      </c>
      <c r="V16" s="30"/>
      <c r="W16" s="32">
        <v>-6.2911695000686496E-2</v>
      </c>
      <c r="X16" s="30"/>
      <c r="Y16" s="32">
        <v>8.3914624350607606E-2</v>
      </c>
      <c r="Z16" s="30"/>
      <c r="AA16" s="32">
        <v>4.5160163785963499E-2</v>
      </c>
      <c r="AB16" s="30"/>
      <c r="AC16" s="32">
        <v>3.4316906944441603E-2</v>
      </c>
      <c r="AD16" s="30"/>
      <c r="AE16" s="32">
        <v>7.9474240909051096E-3</v>
      </c>
      <c r="AF16" s="30"/>
      <c r="AG16" s="32">
        <v>2.6915583119868302E-3</v>
      </c>
      <c r="AH16" s="30"/>
      <c r="AI16" s="32">
        <v>1.08432568415219E-2</v>
      </c>
      <c r="AJ16" s="30"/>
      <c r="AK16" s="32">
        <v>3.87544605646441E-2</v>
      </c>
      <c r="AL16" s="30"/>
      <c r="AM16" s="32">
        <v>4.1856723935267098E-2</v>
      </c>
      <c r="AN16" s="30"/>
      <c r="AO16" s="32">
        <v>2.25065757870739E-2</v>
      </c>
      <c r="AP16" s="30"/>
      <c r="AQ16" s="32">
        <v>9.8493079414880506E-3</v>
      </c>
      <c r="AR16" s="30"/>
      <c r="AS16" s="32">
        <v>-3.1022633706229898E-3</v>
      </c>
      <c r="AT16" s="30"/>
      <c r="AU16" s="32">
        <v>3.0674889352001501E-2</v>
      </c>
      <c r="AV16" s="30"/>
      <c r="AW16" s="32">
        <v>1.6419004572945501E-2</v>
      </c>
      <c r="AX16" s="30"/>
      <c r="AY16" s="32">
        <v>1.4255884779056101E-2</v>
      </c>
      <c r="AZ16" s="30"/>
      <c r="BA16" s="32">
        <v>3.4126279375341299E-3</v>
      </c>
      <c r="BB16" s="30"/>
      <c r="BC16" s="32">
        <v>6.7470445708650599E-3</v>
      </c>
      <c r="BD16" s="30"/>
      <c r="BE16" s="32"/>
      <c r="BF16" s="30"/>
    </row>
    <row r="17" spans="1:58" x14ac:dyDescent="0.2">
      <c r="A17" s="28">
        <v>1981</v>
      </c>
      <c r="B17" s="28">
        <v>2</v>
      </c>
      <c r="C17" s="32"/>
      <c r="D17" s="30"/>
      <c r="E17" s="32">
        <v>-2.9025374616712198E-2</v>
      </c>
      <c r="F17" s="30"/>
      <c r="G17" s="32">
        <v>1.0989456931183901E-2</v>
      </c>
      <c r="H17" s="30"/>
      <c r="I17" s="32">
        <v>8.4430223302141907E-3</v>
      </c>
      <c r="J17" s="30"/>
      <c r="K17" s="32">
        <v>2.54643460096971E-3</v>
      </c>
      <c r="L17" s="30"/>
      <c r="M17" s="32">
        <v>-4.0014831547896097E-2</v>
      </c>
      <c r="N17" s="30"/>
      <c r="O17" s="32">
        <v>4.0818849778771499E-3</v>
      </c>
      <c r="P17" s="30"/>
      <c r="Q17" s="32">
        <v>4.9348312061995503E-3</v>
      </c>
      <c r="R17" s="30"/>
      <c r="S17" s="32">
        <v>-8.5294622832239597E-4</v>
      </c>
      <c r="T17" s="30"/>
      <c r="U17" s="32">
        <v>-1.52896115083594E-2</v>
      </c>
      <c r="V17" s="30"/>
      <c r="W17" s="32">
        <v>-2.8807105017413799E-2</v>
      </c>
      <c r="X17" s="30"/>
      <c r="Y17" s="32">
        <v>4.94605852290919E-2</v>
      </c>
      <c r="Z17" s="30"/>
      <c r="AA17" s="32">
        <v>5.3547968762121499E-2</v>
      </c>
      <c r="AB17" s="30"/>
      <c r="AC17" s="32">
        <v>4.4348559431662701E-2</v>
      </c>
      <c r="AD17" s="30"/>
      <c r="AE17" s="32">
        <v>2.3937302183091199E-2</v>
      </c>
      <c r="AF17" s="30"/>
      <c r="AG17" s="32">
        <v>9.6664867578961904E-3</v>
      </c>
      <c r="AH17" s="30"/>
      <c r="AI17" s="32">
        <v>9.1994093304587805E-3</v>
      </c>
      <c r="AJ17" s="30"/>
      <c r="AK17" s="32">
        <v>-4.0873835330295901E-3</v>
      </c>
      <c r="AL17" s="30"/>
      <c r="AM17" s="32">
        <v>-1.0250505421866901E-3</v>
      </c>
      <c r="AN17" s="30"/>
      <c r="AO17" s="32">
        <v>6.6901169943110305E-4</v>
      </c>
      <c r="AP17" s="30"/>
      <c r="AQ17" s="32">
        <v>4.0648945117910803E-3</v>
      </c>
      <c r="AR17" s="30"/>
      <c r="AS17" s="32">
        <v>-3.06233299084289E-3</v>
      </c>
      <c r="AT17" s="30"/>
      <c r="AU17" s="32">
        <v>3.4722260599790999E-2</v>
      </c>
      <c r="AV17" s="30"/>
      <c r="AW17" s="32">
        <v>1.5071341909061E-2</v>
      </c>
      <c r="AX17" s="30"/>
      <c r="AY17" s="32">
        <v>1.96509186907299E-2</v>
      </c>
      <c r="AZ17" s="30"/>
      <c r="BA17" s="32">
        <v>1.0451509360271101E-2</v>
      </c>
      <c r="BB17" s="30"/>
      <c r="BC17" s="32">
        <v>1.0025615209481901E-3</v>
      </c>
      <c r="BD17" s="30"/>
      <c r="BE17" s="32"/>
      <c r="BF17" s="30"/>
    </row>
    <row r="18" spans="1:58" x14ac:dyDescent="0.2">
      <c r="A18" s="28">
        <v>1981</v>
      </c>
      <c r="B18" s="28">
        <v>3</v>
      </c>
      <c r="C18" s="32"/>
      <c r="D18" s="30"/>
      <c r="E18" s="32">
        <v>1.7038246887387101E-2</v>
      </c>
      <c r="F18" s="30"/>
      <c r="G18" s="32">
        <v>7.9321407319705908E-3</v>
      </c>
      <c r="H18" s="30"/>
      <c r="I18" s="32">
        <v>6.4314632491594597E-3</v>
      </c>
      <c r="J18" s="30"/>
      <c r="K18" s="32">
        <v>1.50067748281113E-3</v>
      </c>
      <c r="L18" s="30"/>
      <c r="M18" s="32">
        <v>9.1061061554165192E-3</v>
      </c>
      <c r="N18" s="30"/>
      <c r="O18" s="32">
        <v>5.8302521586478103E-3</v>
      </c>
      <c r="P18" s="30"/>
      <c r="Q18" s="32">
        <v>2.0747795244069099E-3</v>
      </c>
      <c r="R18" s="30"/>
      <c r="S18" s="32">
        <v>3.7554726342409E-3</v>
      </c>
      <c r="T18" s="30"/>
      <c r="U18" s="32">
        <v>-1.1934735474863799E-2</v>
      </c>
      <c r="V18" s="30"/>
      <c r="W18" s="32">
        <v>1.52105894716325E-2</v>
      </c>
      <c r="X18" s="30"/>
      <c r="Y18" s="32">
        <v>3.5349818288661098E-3</v>
      </c>
      <c r="Z18" s="30"/>
      <c r="AA18" s="32">
        <v>9.4401382827499394E-2</v>
      </c>
      <c r="AB18" s="30"/>
      <c r="AC18" s="32">
        <v>8.7591638564259694E-2</v>
      </c>
      <c r="AD18" s="30"/>
      <c r="AE18" s="32">
        <v>3.6231316731079301E-2</v>
      </c>
      <c r="AF18" s="30"/>
      <c r="AG18" s="32">
        <v>1.4326105397816299E-2</v>
      </c>
      <c r="AH18" s="30"/>
      <c r="AI18" s="32">
        <v>6.8097442632397299E-3</v>
      </c>
      <c r="AJ18" s="30"/>
      <c r="AK18" s="32">
        <v>-9.0866400998633301E-2</v>
      </c>
      <c r="AL18" s="30"/>
      <c r="AM18" s="32">
        <v>-8.6642004338167503E-2</v>
      </c>
      <c r="AN18" s="30"/>
      <c r="AO18" s="32">
        <v>-7.3858063952037803E-3</v>
      </c>
      <c r="AP18" s="30"/>
      <c r="AQ18" s="32">
        <v>1.2308239263583299E-3</v>
      </c>
      <c r="AR18" s="30"/>
      <c r="AS18" s="32">
        <v>-4.2243966604657802E-3</v>
      </c>
      <c r="AT18" s="30"/>
      <c r="AU18" s="32">
        <v>3.5501536925224501E-2</v>
      </c>
      <c r="AV18" s="30"/>
      <c r="AW18" s="32">
        <v>1.37623928906184E-2</v>
      </c>
      <c r="AX18" s="30"/>
      <c r="AY18" s="32">
        <v>2.1739144034606101E-2</v>
      </c>
      <c r="AZ18" s="30"/>
      <c r="BA18" s="32">
        <v>1.49293997713663E-2</v>
      </c>
      <c r="BB18" s="30"/>
      <c r="BC18" s="32">
        <v>-2.9935727341074501E-3</v>
      </c>
      <c r="BD18" s="30"/>
      <c r="BE18" s="32"/>
      <c r="BF18" s="30"/>
    </row>
    <row r="19" spans="1:58" x14ac:dyDescent="0.2">
      <c r="A19" s="28">
        <v>1981</v>
      </c>
      <c r="B19" s="28">
        <v>4</v>
      </c>
      <c r="C19" s="32"/>
      <c r="D19" s="30"/>
      <c r="E19" s="32">
        <v>1.3452646097324999E-2</v>
      </c>
      <c r="F19" s="30"/>
      <c r="G19" s="32">
        <v>5.2034270817072903E-3</v>
      </c>
      <c r="H19" s="30"/>
      <c r="I19" s="32">
        <v>4.2063628087871396E-3</v>
      </c>
      <c r="J19" s="30"/>
      <c r="K19" s="32">
        <v>9.9706427292014805E-4</v>
      </c>
      <c r="L19" s="30"/>
      <c r="M19" s="32">
        <v>8.2492190156176898E-3</v>
      </c>
      <c r="N19" s="30"/>
      <c r="O19" s="32">
        <v>-3.083608333232E-3</v>
      </c>
      <c r="P19" s="30"/>
      <c r="Q19" s="32">
        <v>1.18780072556704E-3</v>
      </c>
      <c r="R19" s="30"/>
      <c r="S19" s="32">
        <v>-4.2714090587990397E-3</v>
      </c>
      <c r="T19" s="30"/>
      <c r="U19" s="32">
        <v>1.14954649618982E-2</v>
      </c>
      <c r="V19" s="30"/>
      <c r="W19" s="32">
        <v>-1.6263761304850601E-4</v>
      </c>
      <c r="X19" s="30"/>
      <c r="Y19" s="32">
        <v>-1.3531134818227401E-3</v>
      </c>
      <c r="Z19" s="30"/>
      <c r="AA19" s="32">
        <v>8.2107805943895301E-2</v>
      </c>
      <c r="AB19" s="30"/>
      <c r="AC19" s="32">
        <v>7.5283231772976703E-2</v>
      </c>
      <c r="AD19" s="30"/>
      <c r="AE19" s="32">
        <v>2.0366647963854501E-2</v>
      </c>
      <c r="AF19" s="30"/>
      <c r="AG19" s="32">
        <v>8.4490943321318904E-3</v>
      </c>
      <c r="AH19" s="30"/>
      <c r="AI19" s="32">
        <v>6.8245741709186299E-3</v>
      </c>
      <c r="AJ19" s="30"/>
      <c r="AK19" s="32">
        <v>-8.3460919425717997E-2</v>
      </c>
      <c r="AL19" s="30"/>
      <c r="AM19" s="32">
        <v>-7.5013861276162094E-2</v>
      </c>
      <c r="AN19" s="30"/>
      <c r="AO19" s="32">
        <v>-9.7381097132524796E-3</v>
      </c>
      <c r="AP19" s="30"/>
      <c r="AQ19" s="32">
        <v>-8.4961842443194904E-3</v>
      </c>
      <c r="AR19" s="30"/>
      <c r="AS19" s="32">
        <v>-8.4470581495559496E-3</v>
      </c>
      <c r="AT19" s="30"/>
      <c r="AU19" s="32">
        <v>1.7547310047479499E-2</v>
      </c>
      <c r="AV19" s="30"/>
      <c r="AW19" s="32">
        <v>2.1198187484752899E-3</v>
      </c>
      <c r="AX19" s="30"/>
      <c r="AY19" s="32">
        <v>1.54274912990042E-2</v>
      </c>
      <c r="AZ19" s="30"/>
      <c r="BA19" s="32">
        <v>8.6029171280855403E-3</v>
      </c>
      <c r="BB19" s="30"/>
      <c r="BC19" s="32">
        <v>-1.6943242393875398E-2</v>
      </c>
      <c r="BD19" s="30"/>
      <c r="BE19" s="32"/>
      <c r="BF19" s="30"/>
    </row>
    <row r="20" spans="1:58" x14ac:dyDescent="0.2">
      <c r="A20" s="28">
        <v>1982</v>
      </c>
      <c r="B20" s="28">
        <v>1</v>
      </c>
      <c r="C20" s="32"/>
      <c r="D20" s="30"/>
      <c r="E20" s="32">
        <v>3.1492130927397499E-2</v>
      </c>
      <c r="F20" s="30"/>
      <c r="G20" s="32">
        <v>3.59149691398129E-3</v>
      </c>
      <c r="H20" s="30"/>
      <c r="I20" s="32">
        <v>2.9891287247141001E-3</v>
      </c>
      <c r="J20" s="30"/>
      <c r="K20" s="32">
        <v>6.0236818926718996E-4</v>
      </c>
      <c r="L20" s="30"/>
      <c r="M20" s="32">
        <v>2.7900634013416199E-2</v>
      </c>
      <c r="N20" s="30"/>
      <c r="O20" s="32">
        <v>-1.23925928391818E-2</v>
      </c>
      <c r="P20" s="30"/>
      <c r="Q20" s="32">
        <v>-3.6153337301449802E-3</v>
      </c>
      <c r="R20" s="30"/>
      <c r="S20" s="32">
        <v>-8.7772591090367804E-3</v>
      </c>
      <c r="T20" s="30"/>
      <c r="U20" s="32">
        <v>2.1146774537079801E-2</v>
      </c>
      <c r="V20" s="30"/>
      <c r="W20" s="32">
        <v>1.91464523155182E-2</v>
      </c>
      <c r="X20" s="30"/>
      <c r="Y20" s="32">
        <v>-2.5826609715799798E-2</v>
      </c>
      <c r="Z20" s="30"/>
      <c r="AA20" s="32">
        <v>4.00167945013752E-2</v>
      </c>
      <c r="AB20" s="30"/>
      <c r="AC20" s="32">
        <v>3.5170404333747997E-2</v>
      </c>
      <c r="AD20" s="30"/>
      <c r="AE20" s="32">
        <v>1.42362958932979E-2</v>
      </c>
      <c r="AF20" s="30"/>
      <c r="AG20" s="32">
        <v>6.2586637010725798E-5</v>
      </c>
      <c r="AH20" s="30"/>
      <c r="AI20" s="32">
        <v>4.8463901676272002E-3</v>
      </c>
      <c r="AJ20" s="30"/>
      <c r="AK20" s="32">
        <v>-6.5843404217174994E-2</v>
      </c>
      <c r="AL20" s="30"/>
      <c r="AM20" s="32">
        <v>-5.6345956079831901E-2</v>
      </c>
      <c r="AN20" s="30"/>
      <c r="AO20" s="32">
        <v>-1.3440244593482399E-2</v>
      </c>
      <c r="AP20" s="30"/>
      <c r="AQ20" s="32">
        <v>-1.60147134631897E-3</v>
      </c>
      <c r="AR20" s="30"/>
      <c r="AS20" s="32">
        <v>-9.4974481373430505E-3</v>
      </c>
      <c r="AT20" s="30"/>
      <c r="AU20" s="32">
        <v>-4.3823338418201001E-3</v>
      </c>
      <c r="AV20" s="30"/>
      <c r="AW20" s="32">
        <v>-8.8010959252004597E-3</v>
      </c>
      <c r="AX20" s="30"/>
      <c r="AY20" s="32">
        <v>4.4187620833803596E-3</v>
      </c>
      <c r="AZ20" s="30"/>
      <c r="BA20" s="32">
        <v>-4.27628084246841E-4</v>
      </c>
      <c r="BB20" s="30"/>
      <c r="BC20" s="32">
        <v>-1.1098919483662E-2</v>
      </c>
      <c r="BD20" s="30"/>
      <c r="BE20" s="32"/>
      <c r="BF20" s="30"/>
    </row>
    <row r="21" spans="1:58" x14ac:dyDescent="0.2">
      <c r="A21" s="28">
        <v>1982</v>
      </c>
      <c r="B21" s="28">
        <v>2</v>
      </c>
      <c r="C21" s="32"/>
      <c r="D21" s="30"/>
      <c r="E21" s="32">
        <v>3.9040505742511902E-2</v>
      </c>
      <c r="F21" s="30"/>
      <c r="G21" s="32">
        <v>8.9321990769987197E-4</v>
      </c>
      <c r="H21" s="30"/>
      <c r="I21" s="32">
        <v>8.6226705361061302E-4</v>
      </c>
      <c r="J21" s="30"/>
      <c r="K21" s="32">
        <v>3.0952854089259397E-5</v>
      </c>
      <c r="L21" s="30"/>
      <c r="M21" s="32">
        <v>3.8147285834812E-2</v>
      </c>
      <c r="N21" s="30"/>
      <c r="O21" s="32">
        <v>-1.4989576940582301E-2</v>
      </c>
      <c r="P21" s="30"/>
      <c r="Q21" s="32">
        <v>-9.5607865620269197E-3</v>
      </c>
      <c r="R21" s="30"/>
      <c r="S21" s="32">
        <v>-5.42879037855534E-3</v>
      </c>
      <c r="T21" s="30"/>
      <c r="U21" s="32">
        <v>1.4561561065824499E-2</v>
      </c>
      <c r="V21" s="30"/>
      <c r="W21" s="32">
        <v>3.8575301709569798E-2</v>
      </c>
      <c r="X21" s="30"/>
      <c r="Y21" s="32">
        <v>-5.1697851648696898E-2</v>
      </c>
      <c r="Z21" s="30"/>
      <c r="AA21" s="32">
        <v>6.7104399102001404E-3</v>
      </c>
      <c r="AB21" s="30"/>
      <c r="AC21" s="32">
        <v>5.9925674575813199E-3</v>
      </c>
      <c r="AD21" s="30"/>
      <c r="AE21" s="32">
        <v>3.8408370474885402E-3</v>
      </c>
      <c r="AF21" s="30"/>
      <c r="AG21" s="32">
        <v>-6.3878046381022997E-3</v>
      </c>
      <c r="AH21" s="30"/>
      <c r="AI21" s="32">
        <v>7.1787245261881899E-4</v>
      </c>
      <c r="AJ21" s="30"/>
      <c r="AK21" s="32">
        <v>-5.8408291558896999E-2</v>
      </c>
      <c r="AL21" s="30"/>
      <c r="AM21" s="32">
        <v>-5.2421129813913898E-2</v>
      </c>
      <c r="AN21" s="30"/>
      <c r="AO21" s="32">
        <v>-4.6090038584474004E-3</v>
      </c>
      <c r="AP21" s="30"/>
      <c r="AQ21" s="32">
        <v>-6.0344881791478096E-4</v>
      </c>
      <c r="AR21" s="30"/>
      <c r="AS21" s="32">
        <v>-5.9871617449830999E-3</v>
      </c>
      <c r="AT21" s="30"/>
      <c r="AU21" s="32">
        <v>-2.06282964091117E-2</v>
      </c>
      <c r="AV21" s="30"/>
      <c r="AW21" s="32">
        <v>-1.40963570328824E-2</v>
      </c>
      <c r="AX21" s="30"/>
      <c r="AY21" s="32">
        <v>-6.5319393762292696E-3</v>
      </c>
      <c r="AZ21" s="30"/>
      <c r="BA21" s="32">
        <v>-7.2498118288480901E-3</v>
      </c>
      <c r="BB21" s="30"/>
      <c r="BC21" s="32">
        <v>-6.5906105628978796E-3</v>
      </c>
      <c r="BD21" s="30"/>
      <c r="BE21" s="32"/>
      <c r="BF21" s="30"/>
    </row>
    <row r="22" spans="1:58" x14ac:dyDescent="0.2">
      <c r="A22" s="28">
        <v>1982</v>
      </c>
      <c r="B22" s="28">
        <v>3</v>
      </c>
      <c r="C22" s="32"/>
      <c r="D22" s="30"/>
      <c r="E22" s="32">
        <v>-8.4274694018856202E-3</v>
      </c>
      <c r="F22" s="30"/>
      <c r="G22" s="32">
        <v>1.70412885567445E-3</v>
      </c>
      <c r="H22" s="30"/>
      <c r="I22" s="32">
        <v>1.53871443732862E-3</v>
      </c>
      <c r="J22" s="30"/>
      <c r="K22" s="32">
        <v>1.65414418345832E-4</v>
      </c>
      <c r="L22" s="30"/>
      <c r="M22" s="32">
        <v>-1.01315982575601E-2</v>
      </c>
      <c r="N22" s="30"/>
      <c r="O22" s="32">
        <v>-2.17664369982567E-2</v>
      </c>
      <c r="P22" s="30"/>
      <c r="Q22" s="32">
        <v>-9.2270029401851604E-3</v>
      </c>
      <c r="R22" s="30"/>
      <c r="S22" s="32">
        <v>-1.25394340580716E-2</v>
      </c>
      <c r="T22" s="30"/>
      <c r="U22" s="32">
        <v>-7.96043255439085E-4</v>
      </c>
      <c r="V22" s="30"/>
      <c r="W22" s="32">
        <v>1.2430881996135699E-2</v>
      </c>
      <c r="X22" s="30"/>
      <c r="Y22" s="32">
        <v>-1.3384142035339301E-2</v>
      </c>
      <c r="Z22" s="30"/>
      <c r="AA22" s="32">
        <v>-4.7267715727023298E-2</v>
      </c>
      <c r="AB22" s="30"/>
      <c r="AC22" s="32">
        <v>-4.7161603301610198E-2</v>
      </c>
      <c r="AD22" s="30"/>
      <c r="AE22" s="32">
        <v>-2.32425672175386E-2</v>
      </c>
      <c r="AF22" s="30"/>
      <c r="AG22" s="32">
        <v>-1.69960238721726E-2</v>
      </c>
      <c r="AH22" s="30"/>
      <c r="AI22" s="32">
        <v>-1.0611242541311E-4</v>
      </c>
      <c r="AJ22" s="30"/>
      <c r="AK22" s="32">
        <v>3.3883573691684002E-2</v>
      </c>
      <c r="AL22" s="30"/>
      <c r="AM22" s="32">
        <v>3.8289718272693597E-2</v>
      </c>
      <c r="AN22" s="30"/>
      <c r="AO22" s="32">
        <v>2.07138667350742E-2</v>
      </c>
      <c r="AP22" s="30"/>
      <c r="AQ22" s="32">
        <v>2.1473589676508701E-2</v>
      </c>
      <c r="AR22" s="30"/>
      <c r="AS22" s="32">
        <v>-4.4061445810095997E-3</v>
      </c>
      <c r="AT22" s="30"/>
      <c r="AU22" s="32">
        <v>-3.8083013277284902E-2</v>
      </c>
      <c r="AV22" s="30"/>
      <c r="AW22" s="32">
        <v>-2.0062308142582301E-2</v>
      </c>
      <c r="AX22" s="30"/>
      <c r="AY22" s="32">
        <v>-1.8020705134702601E-2</v>
      </c>
      <c r="AZ22" s="30"/>
      <c r="BA22" s="32">
        <v>-1.7914592709289499E-2</v>
      </c>
      <c r="BB22" s="30"/>
      <c r="BC22" s="32">
        <v>1.7067445095499099E-2</v>
      </c>
      <c r="BD22" s="30"/>
      <c r="BE22" s="32"/>
      <c r="BF22" s="30"/>
    </row>
    <row r="23" spans="1:58" x14ac:dyDescent="0.2">
      <c r="A23" s="28">
        <v>1982</v>
      </c>
      <c r="B23" s="28">
        <v>4</v>
      </c>
      <c r="C23" s="32"/>
      <c r="D23" s="30"/>
      <c r="E23" s="32">
        <v>-2.8511303921702601E-2</v>
      </c>
      <c r="F23" s="30"/>
      <c r="G23" s="32">
        <v>2.11054130844743E-3</v>
      </c>
      <c r="H23" s="30"/>
      <c r="I23" s="32">
        <v>4.8564708870465101E-4</v>
      </c>
      <c r="J23" s="30"/>
      <c r="K23" s="32">
        <v>1.62489421974278E-3</v>
      </c>
      <c r="L23" s="30"/>
      <c r="M23" s="32">
        <v>-3.0621845230150099E-2</v>
      </c>
      <c r="N23" s="30"/>
      <c r="O23" s="32">
        <v>-2.3588845555635898E-3</v>
      </c>
      <c r="P23" s="30"/>
      <c r="Q23" s="32">
        <v>4.7589256566692396E-3</v>
      </c>
      <c r="R23" s="30"/>
      <c r="S23" s="32">
        <v>-7.1178102122328299E-3</v>
      </c>
      <c r="T23" s="30"/>
      <c r="U23" s="32">
        <v>-2.9737423719623301E-2</v>
      </c>
      <c r="V23" s="30"/>
      <c r="W23" s="32">
        <v>1.47446304503684E-3</v>
      </c>
      <c r="X23" s="30"/>
      <c r="Y23" s="32">
        <v>5.8837543212518504E-3</v>
      </c>
      <c r="Z23" s="30"/>
      <c r="AA23" s="32">
        <v>-2.8917812419217401E-2</v>
      </c>
      <c r="AB23" s="30"/>
      <c r="AC23" s="32">
        <v>-3.0532180168523E-2</v>
      </c>
      <c r="AD23" s="30"/>
      <c r="AE23" s="32">
        <v>1.89473237037212E-3</v>
      </c>
      <c r="AF23" s="30"/>
      <c r="AG23" s="32">
        <v>-6.1581396469037502E-3</v>
      </c>
      <c r="AH23" s="30"/>
      <c r="AI23" s="32">
        <v>1.6143677493055601E-3</v>
      </c>
      <c r="AJ23" s="30"/>
      <c r="AK23" s="32">
        <v>3.4801566740469199E-2</v>
      </c>
      <c r="AL23" s="30"/>
      <c r="AM23" s="32">
        <v>3.6392355921654303E-2</v>
      </c>
      <c r="AN23" s="30"/>
      <c r="AO23" s="32">
        <v>5.8321297903988897E-3</v>
      </c>
      <c r="AP23" s="30"/>
      <c r="AQ23" s="32">
        <v>1.42256738170059E-2</v>
      </c>
      <c r="AR23" s="30"/>
      <c r="AS23" s="32">
        <v>-1.5907891811850999E-3</v>
      </c>
      <c r="AT23" s="30"/>
      <c r="AU23" s="32">
        <v>-5.5250105166482696E-3</v>
      </c>
      <c r="AV23" s="30"/>
      <c r="AW23" s="32">
        <v>-2.4834324711615999E-4</v>
      </c>
      <c r="AX23" s="30"/>
      <c r="AY23" s="32">
        <v>-5.2766672695321098E-3</v>
      </c>
      <c r="AZ23" s="30"/>
      <c r="BA23" s="32">
        <v>-6.8910350188376704E-3</v>
      </c>
      <c r="BB23" s="30"/>
      <c r="BC23" s="32">
        <v>1.26348846358208E-2</v>
      </c>
      <c r="BD23" s="30"/>
      <c r="BE23" s="32"/>
      <c r="BF23" s="30"/>
    </row>
    <row r="24" spans="1:58" x14ac:dyDescent="0.2">
      <c r="A24" s="28">
        <v>1983</v>
      </c>
      <c r="B24" s="28">
        <v>1</v>
      </c>
      <c r="C24" s="32"/>
      <c r="D24" s="30"/>
      <c r="E24" s="32">
        <v>1.06484292954217E-2</v>
      </c>
      <c r="F24" s="30"/>
      <c r="G24" s="32">
        <v>1.4784943787991301E-2</v>
      </c>
      <c r="H24" s="30"/>
      <c r="I24" s="32">
        <v>1.2284260362280801E-2</v>
      </c>
      <c r="J24" s="30"/>
      <c r="K24" s="32">
        <v>2.5006834257105099E-3</v>
      </c>
      <c r="L24" s="30"/>
      <c r="M24" s="32">
        <v>-4.1365144925696803E-3</v>
      </c>
      <c r="N24" s="30"/>
      <c r="O24" s="32">
        <v>1.44926932324423E-3</v>
      </c>
      <c r="P24" s="30"/>
      <c r="Q24" s="32">
        <v>-1.1291960591623899E-3</v>
      </c>
      <c r="R24" s="30"/>
      <c r="S24" s="32">
        <v>2.5784653824066201E-3</v>
      </c>
      <c r="T24" s="30"/>
      <c r="U24" s="32">
        <v>-2.05415834135712E-2</v>
      </c>
      <c r="V24" s="30"/>
      <c r="W24" s="32">
        <v>1.49557995977572E-2</v>
      </c>
      <c r="X24" s="30"/>
      <c r="Y24" s="32">
        <v>-1.4048975024331599E-2</v>
      </c>
      <c r="Z24" s="30"/>
      <c r="AA24" s="32">
        <v>-2.2217830952950102E-2</v>
      </c>
      <c r="AB24" s="30"/>
      <c r="AC24" s="32">
        <v>-2.8094894670736802E-2</v>
      </c>
      <c r="AD24" s="30"/>
      <c r="AE24" s="32">
        <v>2.9905665862044002E-3</v>
      </c>
      <c r="AF24" s="30"/>
      <c r="AG24" s="32">
        <v>4.9182722086503197E-3</v>
      </c>
      <c r="AH24" s="30"/>
      <c r="AI24" s="32">
        <v>5.8770637177867598E-3</v>
      </c>
      <c r="AJ24" s="30"/>
      <c r="AK24" s="32">
        <v>8.1688559286184799E-3</v>
      </c>
      <c r="AL24" s="30"/>
      <c r="AM24" s="32">
        <v>1.2189741334040299E-2</v>
      </c>
      <c r="AN24" s="30"/>
      <c r="AO24" s="32">
        <v>-9.0211119241529695E-3</v>
      </c>
      <c r="AP24" s="30"/>
      <c r="AQ24" s="32">
        <v>-5.3499174079051698E-3</v>
      </c>
      <c r="AR24" s="30"/>
      <c r="AS24" s="32">
        <v>-4.0208854054218403E-3</v>
      </c>
      <c r="AT24" s="30"/>
      <c r="AU24" s="32">
        <v>2.6511840497988302E-2</v>
      </c>
      <c r="AV24" s="30"/>
      <c r="AW24" s="32">
        <v>1.6234213111235601E-2</v>
      </c>
      <c r="AX24" s="30"/>
      <c r="AY24" s="32">
        <v>1.02776273867527E-2</v>
      </c>
      <c r="AZ24" s="30"/>
      <c r="BA24" s="32">
        <v>4.4005636689659101E-3</v>
      </c>
      <c r="BB24" s="30"/>
      <c r="BC24" s="32">
        <v>-9.3708028133270092E-3</v>
      </c>
      <c r="BD24" s="30"/>
      <c r="BE24" s="32"/>
      <c r="BF24" s="30"/>
    </row>
    <row r="25" spans="1:58" x14ac:dyDescent="0.2">
      <c r="A25" s="28">
        <v>1983</v>
      </c>
      <c r="B25" s="28">
        <v>2</v>
      </c>
      <c r="C25" s="32"/>
      <c r="D25" s="30"/>
      <c r="E25" s="32">
        <v>4.6359149125035897E-3</v>
      </c>
      <c r="F25" s="30"/>
      <c r="G25" s="32">
        <v>5.7647506047643297E-3</v>
      </c>
      <c r="H25" s="30"/>
      <c r="I25" s="32">
        <v>2.4453599647415898E-3</v>
      </c>
      <c r="J25" s="30"/>
      <c r="K25" s="32">
        <v>3.3193906400227399E-3</v>
      </c>
      <c r="L25" s="30"/>
      <c r="M25" s="32">
        <v>-1.12883569226074E-3</v>
      </c>
      <c r="N25" s="30"/>
      <c r="O25" s="32">
        <v>1.1109999084536699E-2</v>
      </c>
      <c r="P25" s="30"/>
      <c r="Q25" s="32">
        <v>5.9475919399208897E-3</v>
      </c>
      <c r="R25" s="30"/>
      <c r="S25" s="32">
        <v>5.1624071446158401E-3</v>
      </c>
      <c r="T25" s="30"/>
      <c r="U25" s="32">
        <v>-1.1429059031311299E-2</v>
      </c>
      <c r="V25" s="30"/>
      <c r="W25" s="32">
        <v>-8.0977574548616801E-4</v>
      </c>
      <c r="X25" s="30"/>
      <c r="Y25" s="32">
        <v>-5.2156126857476597E-3</v>
      </c>
      <c r="Z25" s="30"/>
      <c r="AA25" s="32">
        <v>-1.6043970702030199E-2</v>
      </c>
      <c r="AB25" s="30"/>
      <c r="AC25" s="32">
        <v>-2.33056287338591E-2</v>
      </c>
      <c r="AD25" s="30"/>
      <c r="AE25" s="32">
        <v>-3.7556792569211298E-3</v>
      </c>
      <c r="AF25" s="30"/>
      <c r="AG25" s="32">
        <v>-2.8398933804939098E-3</v>
      </c>
      <c r="AH25" s="30"/>
      <c r="AI25" s="32">
        <v>7.2616580318289499E-3</v>
      </c>
      <c r="AJ25" s="30"/>
      <c r="AK25" s="32">
        <v>1.0828358016282499E-2</v>
      </c>
      <c r="AL25" s="30"/>
      <c r="AM25" s="32">
        <v>1.19175400615624E-2</v>
      </c>
      <c r="AN25" s="30"/>
      <c r="AO25" s="32">
        <v>-1.3680909599580401E-2</v>
      </c>
      <c r="AP25" s="30"/>
      <c r="AQ25" s="32">
        <v>-9.1065539204779698E-3</v>
      </c>
      <c r="AR25" s="30"/>
      <c r="AS25" s="32">
        <v>-1.0891820452799299E-3</v>
      </c>
      <c r="AT25" s="30"/>
      <c r="AU25" s="32">
        <v>2.10450972238251E-2</v>
      </c>
      <c r="AV25" s="30"/>
      <c r="AW25" s="32">
        <v>1.68747496893011E-2</v>
      </c>
      <c r="AX25" s="30"/>
      <c r="AY25" s="32">
        <v>4.1703475345240696E-3</v>
      </c>
      <c r="AZ25" s="30"/>
      <c r="BA25" s="32">
        <v>-3.0913104973048899E-3</v>
      </c>
      <c r="BB25" s="30"/>
      <c r="BC25" s="32">
        <v>-1.01957359657579E-2</v>
      </c>
      <c r="BD25" s="30"/>
      <c r="BE25" s="32"/>
      <c r="BF25" s="30"/>
    </row>
    <row r="26" spans="1:58" x14ac:dyDescent="0.2">
      <c r="A26" s="28">
        <v>1983</v>
      </c>
      <c r="B26" s="28">
        <v>3</v>
      </c>
      <c r="C26" s="32"/>
      <c r="D26" s="30"/>
      <c r="E26" s="32">
        <v>2.5696196931075398E-2</v>
      </c>
      <c r="F26" s="30"/>
      <c r="G26" s="32">
        <v>9.6100015524825996E-3</v>
      </c>
      <c r="H26" s="30"/>
      <c r="I26" s="32">
        <v>6.4333461183402997E-3</v>
      </c>
      <c r="J26" s="30"/>
      <c r="K26" s="32">
        <v>3.1766554341422998E-3</v>
      </c>
      <c r="L26" s="30"/>
      <c r="M26" s="32">
        <v>1.6086195378592801E-2</v>
      </c>
      <c r="N26" s="30"/>
      <c r="O26" s="32">
        <v>1.0706921264119301E-2</v>
      </c>
      <c r="P26" s="30"/>
      <c r="Q26" s="32">
        <v>9.1901478840921598E-3</v>
      </c>
      <c r="R26" s="30"/>
      <c r="S26" s="32">
        <v>1.5167733800271E-3</v>
      </c>
      <c r="T26" s="30"/>
      <c r="U26" s="32">
        <v>-1.94845997520769E-3</v>
      </c>
      <c r="V26" s="30"/>
      <c r="W26" s="32">
        <v>7.3277340896811902E-3</v>
      </c>
      <c r="X26" s="30"/>
      <c r="Y26" s="32">
        <v>-1.3691630930640301E-2</v>
      </c>
      <c r="Z26" s="30"/>
      <c r="AA26" s="32">
        <v>-8.82179885272261E-3</v>
      </c>
      <c r="AB26" s="30"/>
      <c r="AC26" s="32">
        <v>-1.3090536063857201E-2</v>
      </c>
      <c r="AD26" s="30"/>
      <c r="AE26" s="32">
        <v>1.01143140915979E-2</v>
      </c>
      <c r="AF26" s="30"/>
      <c r="AG26" s="32">
        <v>6.1580344241279799E-3</v>
      </c>
      <c r="AH26" s="30"/>
      <c r="AI26" s="32">
        <v>4.26873721113464E-3</v>
      </c>
      <c r="AJ26" s="30"/>
      <c r="AK26" s="32">
        <v>-4.8698320779176699E-3</v>
      </c>
      <c r="AL26" s="30"/>
      <c r="AM26" s="32">
        <v>-4.1368131249385504E-3</v>
      </c>
      <c r="AN26" s="30"/>
      <c r="AO26" s="32">
        <v>-2.00735367898696E-2</v>
      </c>
      <c r="AP26" s="30"/>
      <c r="AQ26" s="32">
        <v>-1.6007811564789799E-2</v>
      </c>
      <c r="AR26" s="30"/>
      <c r="AS26" s="32">
        <v>-7.3301895297911998E-4</v>
      </c>
      <c r="AT26" s="30"/>
      <c r="AU26" s="32">
        <v>3.0693856493411699E-2</v>
      </c>
      <c r="AV26" s="30"/>
      <c r="AW26" s="32">
        <v>2.0316922816601898E-2</v>
      </c>
      <c r="AX26" s="30"/>
      <c r="AY26" s="32">
        <v>1.0376933676809899E-2</v>
      </c>
      <c r="AZ26" s="30"/>
      <c r="BA26" s="32">
        <v>6.1081964656752403E-3</v>
      </c>
      <c r="BB26" s="30"/>
      <c r="BC26" s="32">
        <v>-1.6740830517768999E-2</v>
      </c>
      <c r="BD26" s="30"/>
      <c r="BE26" s="32"/>
      <c r="BF26" s="30"/>
    </row>
    <row r="27" spans="1:58" x14ac:dyDescent="0.2">
      <c r="A27" s="28">
        <v>1983</v>
      </c>
      <c r="B27" s="28">
        <v>4</v>
      </c>
      <c r="C27" s="32"/>
      <c r="D27" s="30"/>
      <c r="E27" s="32">
        <v>5.16302066604628E-2</v>
      </c>
      <c r="F27" s="30"/>
      <c r="G27" s="32">
        <v>9.2343881412655007E-3</v>
      </c>
      <c r="H27" s="30"/>
      <c r="I27" s="32">
        <v>7.8615250755498002E-3</v>
      </c>
      <c r="J27" s="30"/>
      <c r="K27" s="32">
        <v>1.3728630657157E-3</v>
      </c>
      <c r="L27" s="30"/>
      <c r="M27" s="32">
        <v>4.2395818519197298E-2</v>
      </c>
      <c r="N27" s="30"/>
      <c r="O27" s="32">
        <v>1.6937692449459699E-2</v>
      </c>
      <c r="P27" s="30"/>
      <c r="Q27" s="32">
        <v>1.19399733144239E-2</v>
      </c>
      <c r="R27" s="30"/>
      <c r="S27" s="32">
        <v>4.99771913503583E-3</v>
      </c>
      <c r="T27" s="30"/>
      <c r="U27" s="32">
        <v>3.3750171348522801E-3</v>
      </c>
      <c r="V27" s="30"/>
      <c r="W27" s="32">
        <v>2.2083108934885302E-2</v>
      </c>
      <c r="X27" s="30"/>
      <c r="Y27" s="32">
        <v>-3.4426651096913799E-2</v>
      </c>
      <c r="Z27" s="30"/>
      <c r="AA27" s="32">
        <v>-9.1806805222234902E-4</v>
      </c>
      <c r="AB27" s="30"/>
      <c r="AC27" s="32">
        <v>-7.2180231349724998E-3</v>
      </c>
      <c r="AD27" s="30"/>
      <c r="AE27" s="32">
        <v>4.3123260106862199E-4</v>
      </c>
      <c r="AF27" s="30"/>
      <c r="AG27" s="32">
        <v>3.1274448244419601E-3</v>
      </c>
      <c r="AH27" s="30"/>
      <c r="AI27" s="32">
        <v>6.2999550827501499E-3</v>
      </c>
      <c r="AJ27" s="30"/>
      <c r="AK27" s="32">
        <v>-3.3508583044691502E-2</v>
      </c>
      <c r="AL27" s="30"/>
      <c r="AM27" s="32">
        <v>-2.8959420907080698E-2</v>
      </c>
      <c r="AN27" s="30"/>
      <c r="AO27" s="32">
        <v>-1.6985413464218699E-2</v>
      </c>
      <c r="AP27" s="30"/>
      <c r="AQ27" s="32">
        <v>-1.7348065353038299E-2</v>
      </c>
      <c r="AR27" s="30"/>
      <c r="AS27" s="32">
        <v>-4.5491621376107802E-3</v>
      </c>
      <c r="AT27" s="30"/>
      <c r="AU27" s="32">
        <v>3.57257659193458E-2</v>
      </c>
      <c r="AV27" s="30"/>
      <c r="AW27" s="32">
        <v>2.6172080590725198E-2</v>
      </c>
      <c r="AX27" s="30"/>
      <c r="AY27" s="32">
        <v>9.55368532862063E-3</v>
      </c>
      <c r="AZ27" s="30"/>
      <c r="BA27" s="32">
        <v>3.25373024587048E-3</v>
      </c>
      <c r="BB27" s="30"/>
      <c r="BC27" s="32">
        <v>-2.1897227490649099E-2</v>
      </c>
      <c r="BD27" s="30"/>
      <c r="BE27" s="32"/>
      <c r="BF27" s="30"/>
    </row>
    <row r="28" spans="1:58" x14ac:dyDescent="0.2">
      <c r="A28" s="28">
        <v>1984</v>
      </c>
      <c r="B28" s="28">
        <v>1</v>
      </c>
      <c r="C28" s="32"/>
      <c r="D28" s="30"/>
      <c r="E28" s="32">
        <v>6.9291242265534601E-3</v>
      </c>
      <c r="F28" s="30"/>
      <c r="G28" s="32">
        <v>6.2915437604401502E-3</v>
      </c>
      <c r="H28" s="30"/>
      <c r="I28" s="32">
        <v>5.4862153592412999E-3</v>
      </c>
      <c r="J28" s="30"/>
      <c r="K28" s="32">
        <v>8.0532840119884998E-4</v>
      </c>
      <c r="L28" s="30"/>
      <c r="M28" s="32">
        <v>6.37580466113308E-4</v>
      </c>
      <c r="N28" s="30"/>
      <c r="O28" s="32">
        <v>1.75732674316849E-2</v>
      </c>
      <c r="P28" s="30"/>
      <c r="Q28" s="32">
        <v>8.0994772917363095E-3</v>
      </c>
      <c r="R28" s="30"/>
      <c r="S28" s="32">
        <v>9.4737901399485399E-3</v>
      </c>
      <c r="T28" s="30"/>
      <c r="U28" s="32">
        <v>7.7995144559566999E-3</v>
      </c>
      <c r="V28" s="30"/>
      <c r="W28" s="32">
        <v>-2.47352014215282E-2</v>
      </c>
      <c r="X28" s="30"/>
      <c r="Y28" s="32">
        <v>1.5822919625892499E-2</v>
      </c>
      <c r="Z28" s="30"/>
      <c r="AA28" s="32">
        <v>4.0478148596501999E-2</v>
      </c>
      <c r="AB28" s="30"/>
      <c r="AC28" s="32">
        <v>3.2556413856517002E-2</v>
      </c>
      <c r="AD28" s="30"/>
      <c r="AE28" s="32">
        <v>1.7333845917790199E-2</v>
      </c>
      <c r="AF28" s="30"/>
      <c r="AG28" s="32">
        <v>1.13415061429064E-2</v>
      </c>
      <c r="AH28" s="30"/>
      <c r="AI28" s="32">
        <v>7.92173473998504E-3</v>
      </c>
      <c r="AJ28" s="30"/>
      <c r="AK28" s="32">
        <v>-2.46552289706095E-2</v>
      </c>
      <c r="AL28" s="30"/>
      <c r="AM28" s="32">
        <v>-1.7320413027270099E-2</v>
      </c>
      <c r="AN28" s="30"/>
      <c r="AO28" s="32">
        <v>-3.6164247090107897E-2</v>
      </c>
      <c r="AP28" s="30"/>
      <c r="AQ28" s="32">
        <v>-2.1280428846310699E-2</v>
      </c>
      <c r="AR28" s="30"/>
      <c r="AS28" s="32">
        <v>-7.3348159433393898E-3</v>
      </c>
      <c r="AT28" s="30"/>
      <c r="AU28" s="32">
        <v>4.3567774186139399E-2</v>
      </c>
      <c r="AV28" s="30"/>
      <c r="AW28" s="32">
        <v>2.3864811192125E-2</v>
      </c>
      <c r="AX28" s="30"/>
      <c r="AY28" s="32">
        <v>1.97029629940144E-2</v>
      </c>
      <c r="AZ28" s="30"/>
      <c r="BA28" s="32">
        <v>1.1781228254029301E-2</v>
      </c>
      <c r="BB28" s="30"/>
      <c r="BC28" s="32">
        <v>-2.86152447896501E-2</v>
      </c>
      <c r="BD28" s="30"/>
      <c r="BE28" s="32"/>
      <c r="BF28" s="30"/>
    </row>
    <row r="29" spans="1:58" x14ac:dyDescent="0.2">
      <c r="A29" s="28">
        <v>1984</v>
      </c>
      <c r="B29" s="28">
        <v>2</v>
      </c>
      <c r="C29" s="32"/>
      <c r="D29" s="30"/>
      <c r="E29" s="32">
        <v>-2.27047356401242E-2</v>
      </c>
      <c r="F29" s="30"/>
      <c r="G29" s="32">
        <v>1.31913189007818E-2</v>
      </c>
      <c r="H29" s="30"/>
      <c r="I29" s="32">
        <v>1.2457827133530899E-2</v>
      </c>
      <c r="J29" s="30"/>
      <c r="K29" s="32">
        <v>7.3349176725091305E-4</v>
      </c>
      <c r="L29" s="30"/>
      <c r="M29" s="32">
        <v>-3.5896054540905997E-2</v>
      </c>
      <c r="N29" s="30"/>
      <c r="O29" s="32">
        <v>7.6325873319369499E-3</v>
      </c>
      <c r="P29" s="30"/>
      <c r="Q29" s="32">
        <v>6.7125568236699696E-3</v>
      </c>
      <c r="R29" s="30"/>
      <c r="S29" s="32">
        <v>9.2003050826698E-4</v>
      </c>
      <c r="T29" s="30"/>
      <c r="U29" s="32">
        <v>9.3593103794201897E-4</v>
      </c>
      <c r="V29" s="30"/>
      <c r="W29" s="32">
        <v>-4.4464572910784997E-2</v>
      </c>
      <c r="X29" s="30"/>
      <c r="Y29" s="32">
        <v>4.8784843429867199E-2</v>
      </c>
      <c r="Z29" s="30"/>
      <c r="AA29" s="32">
        <v>7.6127330534096205E-2</v>
      </c>
      <c r="AB29" s="30"/>
      <c r="AC29" s="32">
        <v>6.7442050321149499E-2</v>
      </c>
      <c r="AD29" s="30"/>
      <c r="AE29" s="32">
        <v>2.4193198049085599E-2</v>
      </c>
      <c r="AF29" s="30"/>
      <c r="AG29" s="32">
        <v>1.1598523761585201E-2</v>
      </c>
      <c r="AH29" s="30"/>
      <c r="AI29" s="32">
        <v>8.6852802129466604E-3</v>
      </c>
      <c r="AJ29" s="30"/>
      <c r="AK29" s="32">
        <v>-2.7342487104228999E-2</v>
      </c>
      <c r="AL29" s="30"/>
      <c r="AM29" s="32">
        <v>-2.3723271801014401E-2</v>
      </c>
      <c r="AN29" s="30"/>
      <c r="AO29" s="32">
        <v>-2.4145052590357801E-2</v>
      </c>
      <c r="AP29" s="30"/>
      <c r="AQ29" s="32">
        <v>-1.2983777798047699E-2</v>
      </c>
      <c r="AR29" s="30"/>
      <c r="AS29" s="32">
        <v>-3.6192153032145601E-3</v>
      </c>
      <c r="AT29" s="30"/>
      <c r="AU29" s="32">
        <v>4.1747169853063197E-2</v>
      </c>
      <c r="AV29" s="30"/>
      <c r="AW29" s="32">
        <v>2.0823906232718799E-2</v>
      </c>
      <c r="AX29" s="30"/>
      <c r="AY29" s="32">
        <v>2.0923263620344398E-2</v>
      </c>
      <c r="AZ29" s="30"/>
      <c r="BA29" s="32">
        <v>1.22379834073978E-2</v>
      </c>
      <c r="BB29" s="30"/>
      <c r="BC29" s="32">
        <v>-1.66029931012622E-2</v>
      </c>
      <c r="BD29" s="30"/>
      <c r="BE29" s="32"/>
      <c r="BF29" s="30"/>
    </row>
    <row r="30" spans="1:58" x14ac:dyDescent="0.2">
      <c r="A30" s="28">
        <v>1984</v>
      </c>
      <c r="B30" s="28">
        <v>3</v>
      </c>
      <c r="C30" s="32"/>
      <c r="D30" s="30"/>
      <c r="E30" s="32">
        <v>-6.2921429504729301E-3</v>
      </c>
      <c r="F30" s="30"/>
      <c r="G30" s="32">
        <v>1.2892735319433499E-2</v>
      </c>
      <c r="H30" s="30"/>
      <c r="I30" s="32">
        <v>1.09555222357347E-2</v>
      </c>
      <c r="J30" s="30"/>
      <c r="K30" s="32">
        <v>1.9372130836988501E-3</v>
      </c>
      <c r="L30" s="30"/>
      <c r="M30" s="32">
        <v>-1.9184878269906398E-2</v>
      </c>
      <c r="N30" s="30"/>
      <c r="O30" s="32">
        <v>1.2613903109497801E-2</v>
      </c>
      <c r="P30" s="30"/>
      <c r="Q30" s="32">
        <v>5.9395787377725696E-3</v>
      </c>
      <c r="R30" s="30"/>
      <c r="S30" s="32">
        <v>6.6743243717252102E-3</v>
      </c>
      <c r="T30" s="30"/>
      <c r="U30" s="32">
        <v>9.9330222249223894E-3</v>
      </c>
      <c r="V30" s="30"/>
      <c r="W30" s="32">
        <v>-4.1731803604326601E-2</v>
      </c>
      <c r="X30" s="30"/>
      <c r="Y30" s="32">
        <v>4.19802830507474E-2</v>
      </c>
      <c r="Z30" s="30"/>
      <c r="AA30" s="32">
        <v>8.3182655914263506E-2</v>
      </c>
      <c r="AB30" s="30"/>
      <c r="AC30" s="32">
        <v>7.3303231036665598E-2</v>
      </c>
      <c r="AD30" s="30"/>
      <c r="AE30" s="32">
        <v>1.7693483799026001E-2</v>
      </c>
      <c r="AF30" s="30"/>
      <c r="AG30" s="32">
        <v>1.0657468767080999E-2</v>
      </c>
      <c r="AH30" s="30"/>
      <c r="AI30" s="32">
        <v>9.87942487759794E-3</v>
      </c>
      <c r="AJ30" s="30"/>
      <c r="AK30" s="32">
        <v>-4.1202372863516197E-2</v>
      </c>
      <c r="AL30" s="30"/>
      <c r="AM30" s="32">
        <v>-3.9126231992574201E-2</v>
      </c>
      <c r="AN30" s="30"/>
      <c r="AO30" s="32">
        <v>-2.4946123419937499E-2</v>
      </c>
      <c r="AP30" s="30"/>
      <c r="AQ30" s="32">
        <v>-1.9050792107040901E-2</v>
      </c>
      <c r="AR30" s="30"/>
      <c r="AS30" s="32">
        <v>-2.0761408709419902E-3</v>
      </c>
      <c r="AT30" s="30"/>
      <c r="AU30" s="32">
        <v>4.6882050853334897E-2</v>
      </c>
      <c r="AV30" s="30"/>
      <c r="AW30" s="32">
        <v>2.5506638428931298E-2</v>
      </c>
      <c r="AX30" s="30"/>
      <c r="AY30" s="32">
        <v>2.1375412424403599E-2</v>
      </c>
      <c r="AZ30" s="30"/>
      <c r="BA30" s="32">
        <v>1.1495987546805701E-2</v>
      </c>
      <c r="BB30" s="30"/>
      <c r="BC30" s="32">
        <v>-2.1126932977982901E-2</v>
      </c>
      <c r="BD30" s="30"/>
      <c r="BE30" s="32"/>
      <c r="BF30" s="30"/>
    </row>
    <row r="31" spans="1:58" x14ac:dyDescent="0.2">
      <c r="A31" s="28">
        <v>1984</v>
      </c>
      <c r="B31" s="28">
        <v>4</v>
      </c>
      <c r="C31" s="32"/>
      <c r="D31" s="30"/>
      <c r="E31" s="32">
        <v>-1.9832458701475202E-2</v>
      </c>
      <c r="F31" s="30"/>
      <c r="G31" s="32">
        <v>1.1740726216230299E-2</v>
      </c>
      <c r="H31" s="30"/>
      <c r="I31" s="32">
        <v>8.8752022601356392E-3</v>
      </c>
      <c r="J31" s="30"/>
      <c r="K31" s="32">
        <v>2.86552395609467E-3</v>
      </c>
      <c r="L31" s="30"/>
      <c r="M31" s="32">
        <v>-3.1573184917705499E-2</v>
      </c>
      <c r="N31" s="30"/>
      <c r="O31" s="32">
        <v>1.31449829442013E-2</v>
      </c>
      <c r="P31" s="30"/>
      <c r="Q31" s="32">
        <v>7.2177883765567304E-3</v>
      </c>
      <c r="R31" s="30"/>
      <c r="S31" s="32">
        <v>5.9271945676445297E-3</v>
      </c>
      <c r="T31" s="30"/>
      <c r="U31" s="32">
        <v>2.7225287635538799E-3</v>
      </c>
      <c r="V31" s="30"/>
      <c r="W31" s="32">
        <v>-4.7440696625460702E-2</v>
      </c>
      <c r="X31" s="30"/>
      <c r="Y31" s="32">
        <v>5.5296128146771303E-2</v>
      </c>
      <c r="Z31" s="30"/>
      <c r="AA31" s="32">
        <v>6.5822159240079794E-2</v>
      </c>
      <c r="AB31" s="30"/>
      <c r="AC31" s="32">
        <v>5.5355671745794401E-2</v>
      </c>
      <c r="AD31" s="30"/>
      <c r="AE31" s="32">
        <v>1.80981769870894E-2</v>
      </c>
      <c r="AF31" s="30"/>
      <c r="AG31" s="32">
        <v>1.71162204688616E-2</v>
      </c>
      <c r="AH31" s="30"/>
      <c r="AI31" s="32">
        <v>1.0466487494285401E-2</v>
      </c>
      <c r="AJ31" s="30"/>
      <c r="AK31" s="32">
        <v>-1.05260310933085E-2</v>
      </c>
      <c r="AL31" s="30"/>
      <c r="AM31" s="32">
        <v>-8.3910254373853101E-3</v>
      </c>
      <c r="AN31" s="30"/>
      <c r="AO31" s="32">
        <v>-1.9725274605617502E-2</v>
      </c>
      <c r="AP31" s="30"/>
      <c r="AQ31" s="32">
        <v>-1.8662279616202902E-2</v>
      </c>
      <c r="AR31" s="30"/>
      <c r="AS31" s="32">
        <v>-2.1350056559232E-3</v>
      </c>
      <c r="AT31" s="30"/>
      <c r="AU31" s="32">
        <v>5.3538425953868297E-2</v>
      </c>
      <c r="AV31" s="30"/>
      <c r="AW31" s="32">
        <v>2.4885709160431601E-2</v>
      </c>
      <c r="AX31" s="30"/>
      <c r="AY31" s="32">
        <v>2.86527167934367E-2</v>
      </c>
      <c r="AZ31" s="30"/>
      <c r="BA31" s="32">
        <v>1.8186229299151299E-2</v>
      </c>
      <c r="BB31" s="30"/>
      <c r="BC31" s="32">
        <v>-2.0797285272126102E-2</v>
      </c>
      <c r="BD31" s="30"/>
      <c r="BE31" s="32"/>
      <c r="BF31" s="30"/>
    </row>
    <row r="32" spans="1:58" x14ac:dyDescent="0.2">
      <c r="A32" s="28">
        <v>1985</v>
      </c>
      <c r="B32" s="28">
        <v>1</v>
      </c>
      <c r="C32" s="32"/>
      <c r="D32" s="30"/>
      <c r="E32" s="32">
        <v>-4.7518243121867096E-3</v>
      </c>
      <c r="F32" s="30"/>
      <c r="G32" s="32">
        <v>1.31015337399245E-2</v>
      </c>
      <c r="H32" s="30"/>
      <c r="I32" s="32">
        <v>8.6223154923229794E-3</v>
      </c>
      <c r="J32" s="30"/>
      <c r="K32" s="32">
        <v>4.4792182476015002E-3</v>
      </c>
      <c r="L32" s="30"/>
      <c r="M32" s="32">
        <v>-1.78533580521112E-2</v>
      </c>
      <c r="N32" s="30"/>
      <c r="O32" s="32">
        <v>6.0291066525301699E-3</v>
      </c>
      <c r="P32" s="30"/>
      <c r="Q32" s="32">
        <v>2.3732404057735502E-3</v>
      </c>
      <c r="R32" s="30"/>
      <c r="S32" s="32">
        <v>3.6558662467566201E-3</v>
      </c>
      <c r="T32" s="30"/>
      <c r="U32" s="32">
        <v>1.84815321027019E-4</v>
      </c>
      <c r="V32" s="30"/>
      <c r="W32" s="32">
        <v>-2.4067280025668401E-2</v>
      </c>
      <c r="X32" s="30"/>
      <c r="Y32" s="32">
        <v>4.2312784754856801E-2</v>
      </c>
      <c r="Z32" s="30"/>
      <c r="AA32" s="32">
        <v>6.1565943043187202E-2</v>
      </c>
      <c r="AB32" s="30"/>
      <c r="AC32" s="32">
        <v>4.7329486945528999E-2</v>
      </c>
      <c r="AD32" s="30"/>
      <c r="AE32" s="32">
        <v>1.26157082131244E-2</v>
      </c>
      <c r="AF32" s="30"/>
      <c r="AG32" s="32">
        <v>9.7337306410874205E-3</v>
      </c>
      <c r="AH32" s="30"/>
      <c r="AI32" s="32">
        <v>1.42364560976581E-2</v>
      </c>
      <c r="AJ32" s="30"/>
      <c r="AK32" s="32">
        <v>-1.92531582883303E-2</v>
      </c>
      <c r="AL32" s="30"/>
      <c r="AM32" s="32">
        <v>-1.6712274050552499E-2</v>
      </c>
      <c r="AN32" s="30"/>
      <c r="AO32" s="32">
        <v>3.0060336731931102E-3</v>
      </c>
      <c r="AP32" s="30"/>
      <c r="AQ32" s="32">
        <v>-4.5091519369034596E-3</v>
      </c>
      <c r="AR32" s="30"/>
      <c r="AS32" s="32">
        <v>-2.5408842377778098E-3</v>
      </c>
      <c r="AT32" s="30"/>
      <c r="AU32" s="32">
        <v>4.4426181296324301E-2</v>
      </c>
      <c r="AV32" s="30"/>
      <c r="AW32" s="32">
        <v>1.9130640392454702E-2</v>
      </c>
      <c r="AX32" s="30"/>
      <c r="AY32" s="32">
        <v>2.52955409038697E-2</v>
      </c>
      <c r="AZ32" s="30"/>
      <c r="BA32" s="32">
        <v>1.1059084806211599E-2</v>
      </c>
      <c r="BB32" s="30"/>
      <c r="BC32" s="32">
        <v>-7.0500361746812703E-3</v>
      </c>
      <c r="BD32" s="30"/>
      <c r="BE32" s="32"/>
      <c r="BF32" s="30"/>
    </row>
    <row r="33" spans="1:58" x14ac:dyDescent="0.2">
      <c r="A33" s="28">
        <v>1985</v>
      </c>
      <c r="B33" s="28">
        <v>2</v>
      </c>
      <c r="C33" s="32"/>
      <c r="D33" s="30"/>
      <c r="E33" s="32">
        <v>3.5271427739941102E-2</v>
      </c>
      <c r="F33" s="30"/>
      <c r="G33" s="32">
        <v>1.8639639278641401E-2</v>
      </c>
      <c r="H33" s="30"/>
      <c r="I33" s="32">
        <v>1.2944215948485299E-2</v>
      </c>
      <c r="J33" s="30"/>
      <c r="K33" s="32">
        <v>5.6954233301561201E-3</v>
      </c>
      <c r="L33" s="30"/>
      <c r="M33" s="32">
        <v>1.6631788461299701E-2</v>
      </c>
      <c r="N33" s="30"/>
      <c r="O33" s="32">
        <v>1.1661228567216299E-2</v>
      </c>
      <c r="P33" s="30"/>
      <c r="Q33" s="32">
        <v>1.2139026041126299E-3</v>
      </c>
      <c r="R33" s="30"/>
      <c r="S33" s="32">
        <v>1.04473259631037E-2</v>
      </c>
      <c r="T33" s="30"/>
      <c r="U33" s="32">
        <v>-6.0303256232036801E-3</v>
      </c>
      <c r="V33" s="30"/>
      <c r="W33" s="32">
        <v>1.1000885517287E-2</v>
      </c>
      <c r="X33" s="30"/>
      <c r="Y33" s="32">
        <v>5.8780034896434696E-3</v>
      </c>
      <c r="Z33" s="30"/>
      <c r="AA33" s="32">
        <v>2.6579704742329398E-2</v>
      </c>
      <c r="AB33" s="30"/>
      <c r="AC33" s="32">
        <v>1.6354300128261601E-2</v>
      </c>
      <c r="AD33" s="30"/>
      <c r="AE33" s="32">
        <v>2.4400461202459301E-2</v>
      </c>
      <c r="AF33" s="30"/>
      <c r="AG33" s="32">
        <v>2.84387608357561E-2</v>
      </c>
      <c r="AH33" s="30"/>
      <c r="AI33" s="32">
        <v>1.0225404614067801E-2</v>
      </c>
      <c r="AJ33" s="30"/>
      <c r="AK33" s="32">
        <v>-2.0701701252685899E-2</v>
      </c>
      <c r="AL33" s="30"/>
      <c r="AM33" s="32">
        <v>-1.4481689373617299E-2</v>
      </c>
      <c r="AN33" s="30"/>
      <c r="AO33" s="32">
        <v>-1.5842655010350998E-2</v>
      </c>
      <c r="AP33" s="30"/>
      <c r="AQ33" s="32">
        <v>-1.68153216917242E-2</v>
      </c>
      <c r="AR33" s="30"/>
      <c r="AS33" s="32">
        <v>-6.2200118790686704E-3</v>
      </c>
      <c r="AT33" s="30"/>
      <c r="AU33" s="32">
        <v>7.0215090423581206E-2</v>
      </c>
      <c r="AV33" s="30"/>
      <c r="AW33" s="32">
        <v>3.0300867845857799E-2</v>
      </c>
      <c r="AX33" s="30"/>
      <c r="AY33" s="32">
        <v>3.9914222577723403E-2</v>
      </c>
      <c r="AZ33" s="30"/>
      <c r="BA33" s="32">
        <v>2.9688817963655599E-2</v>
      </c>
      <c r="BB33" s="30"/>
      <c r="BC33" s="32">
        <v>-2.3035333570792901E-2</v>
      </c>
      <c r="BD33" s="30"/>
      <c r="BE33" s="32"/>
      <c r="BF33" s="30"/>
    </row>
    <row r="34" spans="1:58" x14ac:dyDescent="0.2">
      <c r="A34" s="28">
        <v>1985</v>
      </c>
      <c r="B34" s="28">
        <v>3</v>
      </c>
      <c r="C34" s="32"/>
      <c r="D34" s="30"/>
      <c r="E34" s="32">
        <v>2.68008523100914E-2</v>
      </c>
      <c r="F34" s="30"/>
      <c r="G34" s="32">
        <v>1.7281092185207601E-2</v>
      </c>
      <c r="H34" s="30"/>
      <c r="I34" s="32">
        <v>1.18018497180012E-2</v>
      </c>
      <c r="J34" s="30"/>
      <c r="K34" s="32">
        <v>5.4792424672063904E-3</v>
      </c>
      <c r="L34" s="30"/>
      <c r="M34" s="32">
        <v>9.5197601248838398E-3</v>
      </c>
      <c r="N34" s="30"/>
      <c r="O34" s="32">
        <v>9.37783935121193E-3</v>
      </c>
      <c r="P34" s="30"/>
      <c r="Q34" s="32">
        <v>1.0379643696976899E-3</v>
      </c>
      <c r="R34" s="30"/>
      <c r="S34" s="32">
        <v>8.3398749815142403E-3</v>
      </c>
      <c r="T34" s="30"/>
      <c r="U34" s="32">
        <v>-4.9428591010462104E-3</v>
      </c>
      <c r="V34" s="30"/>
      <c r="W34" s="32">
        <v>5.0847798747181202E-3</v>
      </c>
      <c r="X34" s="30"/>
      <c r="Y34" s="32">
        <v>3.73778149042483E-3</v>
      </c>
      <c r="Z34" s="30"/>
      <c r="AA34" s="32">
        <v>1.21068023070723E-2</v>
      </c>
      <c r="AB34" s="30"/>
      <c r="AC34" s="32">
        <v>3.9612218797501998E-3</v>
      </c>
      <c r="AD34" s="30"/>
      <c r="AE34" s="32">
        <v>2.1223602726416199E-2</v>
      </c>
      <c r="AF34" s="30"/>
      <c r="AG34" s="32">
        <v>1.9855383044406601E-2</v>
      </c>
      <c r="AH34" s="30"/>
      <c r="AI34" s="32">
        <v>8.1455804273221008E-3</v>
      </c>
      <c r="AJ34" s="30"/>
      <c r="AK34" s="32">
        <v>-8.3690208166474697E-3</v>
      </c>
      <c r="AL34" s="30"/>
      <c r="AM34" s="32">
        <v>-1.0032545764568201E-3</v>
      </c>
      <c r="AN34" s="30"/>
      <c r="AO34" s="32">
        <v>-1.14959469742633E-2</v>
      </c>
      <c r="AP34" s="30"/>
      <c r="AQ34" s="32">
        <v>-1.26202494984398E-2</v>
      </c>
      <c r="AR34" s="30"/>
      <c r="AS34" s="32">
        <v>-7.36576624019066E-3</v>
      </c>
      <c r="AT34" s="30"/>
      <c r="AU34" s="32">
        <v>5.5467508640192897E-2</v>
      </c>
      <c r="AV34" s="30"/>
      <c r="AW34" s="32">
        <v>2.6658931536419499E-2</v>
      </c>
      <c r="AX34" s="30"/>
      <c r="AY34" s="32">
        <v>2.8808577103773401E-2</v>
      </c>
      <c r="AZ34" s="30"/>
      <c r="BA34" s="32">
        <v>2.0662996676451301E-2</v>
      </c>
      <c r="BB34" s="30"/>
      <c r="BC34" s="32">
        <v>-1.9986015738630399E-2</v>
      </c>
      <c r="BD34" s="30"/>
      <c r="BE34" s="32"/>
      <c r="BF34" s="30"/>
    </row>
    <row r="35" spans="1:58" x14ac:dyDescent="0.2">
      <c r="A35" s="28">
        <v>1985</v>
      </c>
      <c r="B35" s="28">
        <v>4</v>
      </c>
      <c r="C35" s="32"/>
      <c r="D35" s="30"/>
      <c r="E35" s="32">
        <v>4.6868039584148202E-2</v>
      </c>
      <c r="F35" s="30"/>
      <c r="G35" s="32">
        <v>2.0078490959306802E-2</v>
      </c>
      <c r="H35" s="30"/>
      <c r="I35" s="32">
        <v>1.5268499845941899E-2</v>
      </c>
      <c r="J35" s="30"/>
      <c r="K35" s="32">
        <v>4.8099911133649403E-3</v>
      </c>
      <c r="L35" s="30"/>
      <c r="M35" s="32">
        <v>2.6789548624841401E-2</v>
      </c>
      <c r="N35" s="30"/>
      <c r="O35" s="32">
        <v>1.53235245164621E-2</v>
      </c>
      <c r="P35" s="30"/>
      <c r="Q35" s="32">
        <v>8.8643458009680205E-4</v>
      </c>
      <c r="R35" s="30"/>
      <c r="S35" s="32">
        <v>1.44370899363653E-2</v>
      </c>
      <c r="T35" s="30"/>
      <c r="U35" s="32">
        <v>-1.90956514344115E-3</v>
      </c>
      <c r="V35" s="30"/>
      <c r="W35" s="32">
        <v>1.33755892518204E-2</v>
      </c>
      <c r="X35" s="30"/>
      <c r="Y35" s="32">
        <v>-9.1728346660385502E-3</v>
      </c>
      <c r="Z35" s="30"/>
      <c r="AA35" s="32">
        <v>4.8258305526424197E-2</v>
      </c>
      <c r="AB35" s="30"/>
      <c r="AC35" s="32">
        <v>3.6686844568215499E-2</v>
      </c>
      <c r="AD35" s="30"/>
      <c r="AE35" s="32">
        <v>1.6698802837447301E-2</v>
      </c>
      <c r="AF35" s="30"/>
      <c r="AG35" s="32">
        <v>1.1536127688819901E-2</v>
      </c>
      <c r="AH35" s="30"/>
      <c r="AI35" s="32">
        <v>1.15714609582087E-2</v>
      </c>
      <c r="AJ35" s="30"/>
      <c r="AK35" s="32">
        <v>-5.7431140192462697E-2</v>
      </c>
      <c r="AL35" s="30"/>
      <c r="AM35" s="32">
        <v>-5.0965020792378697E-2</v>
      </c>
      <c r="AN35" s="30"/>
      <c r="AO35" s="32">
        <v>-1.39333674113246E-2</v>
      </c>
      <c r="AP35" s="30"/>
      <c r="AQ35" s="32">
        <v>-1.2491756803229099E-2</v>
      </c>
      <c r="AR35" s="30"/>
      <c r="AS35" s="32">
        <v>-6.4661194000840598E-3</v>
      </c>
      <c r="AT35" s="30"/>
      <c r="AU35" s="32">
        <v>5.8562646264864002E-2</v>
      </c>
      <c r="AV35" s="30"/>
      <c r="AW35" s="32">
        <v>3.5402015475768898E-2</v>
      </c>
      <c r="AX35" s="30"/>
      <c r="AY35" s="32">
        <v>2.3160630789094999E-2</v>
      </c>
      <c r="AZ35" s="30"/>
      <c r="BA35" s="32">
        <v>1.1589169830886301E-2</v>
      </c>
      <c r="BB35" s="30"/>
      <c r="BC35" s="32">
        <v>-1.8957876203313202E-2</v>
      </c>
      <c r="BD35" s="30"/>
      <c r="BE35" s="32"/>
      <c r="BF35" s="30"/>
    </row>
    <row r="36" spans="1:58" x14ac:dyDescent="0.2">
      <c r="A36" s="28">
        <v>1986</v>
      </c>
      <c r="B36" s="28">
        <v>1</v>
      </c>
      <c r="C36" s="32"/>
      <c r="D36" s="30"/>
      <c r="E36" s="32">
        <v>3.2207140658313697E-2</v>
      </c>
      <c r="F36" s="30"/>
      <c r="G36" s="32">
        <v>1.86223459455899E-2</v>
      </c>
      <c r="H36" s="30"/>
      <c r="I36" s="32">
        <v>1.41686920468692E-2</v>
      </c>
      <c r="J36" s="30"/>
      <c r="K36" s="32">
        <v>4.4536538987206596E-3</v>
      </c>
      <c r="L36" s="30"/>
      <c r="M36" s="32">
        <v>1.3584794712723801E-2</v>
      </c>
      <c r="N36" s="30"/>
      <c r="O36" s="32">
        <v>1.3687280025653E-2</v>
      </c>
      <c r="P36" s="30"/>
      <c r="Q36" s="32">
        <v>-1.6171409109456999E-3</v>
      </c>
      <c r="R36" s="30"/>
      <c r="S36" s="32">
        <v>1.5304420936598701E-2</v>
      </c>
      <c r="T36" s="30"/>
      <c r="U36" s="32">
        <v>-2.9086185329675299E-3</v>
      </c>
      <c r="V36" s="30"/>
      <c r="W36" s="32">
        <v>2.8061332200383701E-3</v>
      </c>
      <c r="X36" s="30"/>
      <c r="Y36" s="32">
        <v>-1.0998854748001901E-2</v>
      </c>
      <c r="Z36" s="30"/>
      <c r="AA36" s="32">
        <v>2.8229721325230901E-2</v>
      </c>
      <c r="AB36" s="30"/>
      <c r="AC36" s="32">
        <v>2.4577121948857798E-2</v>
      </c>
      <c r="AD36" s="30"/>
      <c r="AE36" s="32">
        <v>1.04733882836314E-2</v>
      </c>
      <c r="AF36" s="30"/>
      <c r="AG36" s="32">
        <v>1.04032350817897E-2</v>
      </c>
      <c r="AH36" s="30"/>
      <c r="AI36" s="32">
        <v>3.6525993763731001E-3</v>
      </c>
      <c r="AJ36" s="30"/>
      <c r="AK36" s="32">
        <v>-3.9228576073232803E-2</v>
      </c>
      <c r="AL36" s="30"/>
      <c r="AM36" s="32">
        <v>-3.7198256265990597E-2</v>
      </c>
      <c r="AN36" s="30"/>
      <c r="AO36" s="32">
        <v>-2.2126742492103599E-2</v>
      </c>
      <c r="AP36" s="30"/>
      <c r="AQ36" s="32">
        <v>-1.9209274299608999E-2</v>
      </c>
      <c r="AR36" s="30"/>
      <c r="AS36" s="32">
        <v>-2.0303198072422002E-3</v>
      </c>
      <c r="AT36" s="30"/>
      <c r="AU36" s="32">
        <v>4.5356498550130499E-2</v>
      </c>
      <c r="AV36" s="30"/>
      <c r="AW36" s="32">
        <v>3.23096259712429E-2</v>
      </c>
      <c r="AX36" s="30"/>
      <c r="AY36" s="32">
        <v>1.3046872578887699E-2</v>
      </c>
      <c r="AZ36" s="30"/>
      <c r="BA36" s="32">
        <v>9.3942732025145796E-3</v>
      </c>
      <c r="BB36" s="30"/>
      <c r="BC36" s="32">
        <v>-2.1239594106851199E-2</v>
      </c>
      <c r="BD36" s="30"/>
      <c r="BE36" s="32"/>
      <c r="BF36" s="30"/>
    </row>
    <row r="37" spans="1:58" x14ac:dyDescent="0.2">
      <c r="A37" s="28">
        <v>1986</v>
      </c>
      <c r="B37" s="28">
        <v>2</v>
      </c>
      <c r="C37" s="32"/>
      <c r="D37" s="30"/>
      <c r="E37" s="32">
        <v>5.8226157964407797E-2</v>
      </c>
      <c r="F37" s="30"/>
      <c r="G37" s="32">
        <v>2.0018765968111699E-2</v>
      </c>
      <c r="H37" s="30"/>
      <c r="I37" s="32">
        <v>1.6995909815734098E-2</v>
      </c>
      <c r="J37" s="30"/>
      <c r="K37" s="32">
        <v>3.0228561523775901E-3</v>
      </c>
      <c r="L37" s="30"/>
      <c r="M37" s="32">
        <v>3.8207391996296101E-2</v>
      </c>
      <c r="N37" s="30"/>
      <c r="O37" s="32">
        <v>2.09093983172161E-2</v>
      </c>
      <c r="P37" s="30"/>
      <c r="Q37" s="32">
        <v>2.7375771110324299E-3</v>
      </c>
      <c r="R37" s="30"/>
      <c r="S37" s="32">
        <v>1.81718212061837E-2</v>
      </c>
      <c r="T37" s="30"/>
      <c r="U37" s="32">
        <v>5.7082887203758698E-3</v>
      </c>
      <c r="V37" s="30"/>
      <c r="W37" s="32">
        <v>1.15897049587041E-2</v>
      </c>
      <c r="X37" s="30"/>
      <c r="Y37" s="32">
        <v>-3.1069080406730901E-2</v>
      </c>
      <c r="Z37" s="30"/>
      <c r="AA37" s="32">
        <v>5.4869041190641503E-2</v>
      </c>
      <c r="AB37" s="30"/>
      <c r="AC37" s="32">
        <v>5.4859664138716499E-2</v>
      </c>
      <c r="AD37" s="30"/>
      <c r="AE37" s="32">
        <v>1.1256387864609901E-2</v>
      </c>
      <c r="AF37" s="30"/>
      <c r="AG37" s="32">
        <v>1.13321387344165E-2</v>
      </c>
      <c r="AH37" s="30"/>
      <c r="AI37" s="32">
        <v>9.3770519249638202E-6</v>
      </c>
      <c r="AJ37" s="30"/>
      <c r="AK37" s="32">
        <v>-8.5938121597372394E-2</v>
      </c>
      <c r="AL37" s="30"/>
      <c r="AM37" s="32">
        <v>-8.4450019768371298E-2</v>
      </c>
      <c r="AN37" s="30"/>
      <c r="AO37" s="32">
        <v>-2.9460452095469099E-2</v>
      </c>
      <c r="AP37" s="30"/>
      <c r="AQ37" s="32">
        <v>-2.7948057422264201E-2</v>
      </c>
      <c r="AR37" s="30"/>
      <c r="AS37" s="32">
        <v>-1.4881018290011699E-3</v>
      </c>
      <c r="AT37" s="30"/>
      <c r="AU37" s="32">
        <v>5.0884948088566299E-2</v>
      </c>
      <c r="AV37" s="30"/>
      <c r="AW37" s="32">
        <v>4.0928164285327799E-2</v>
      </c>
      <c r="AX37" s="30"/>
      <c r="AY37" s="32">
        <v>9.9567838032385107E-3</v>
      </c>
      <c r="AZ37" s="30"/>
      <c r="BA37" s="32">
        <v>9.9474067513135398E-3</v>
      </c>
      <c r="BB37" s="30"/>
      <c r="BC37" s="32">
        <v>-2.94361592512653E-2</v>
      </c>
      <c r="BD37" s="30"/>
      <c r="BE37" s="32"/>
      <c r="BF37" s="30"/>
    </row>
    <row r="38" spans="1:58" x14ac:dyDescent="0.2">
      <c r="A38" s="28">
        <v>1986</v>
      </c>
      <c r="B38" s="28">
        <v>3</v>
      </c>
      <c r="C38" s="32"/>
      <c r="D38" s="30"/>
      <c r="E38" s="32">
        <v>7.0606494231707603E-2</v>
      </c>
      <c r="F38" s="30"/>
      <c r="G38" s="32">
        <v>2.0815134815646501E-2</v>
      </c>
      <c r="H38" s="30"/>
      <c r="I38" s="32">
        <v>1.7925585660822401E-2</v>
      </c>
      <c r="J38" s="30"/>
      <c r="K38" s="32">
        <v>2.8895491548241101E-3</v>
      </c>
      <c r="L38" s="30"/>
      <c r="M38" s="32">
        <v>4.9791359416061103E-2</v>
      </c>
      <c r="N38" s="30"/>
      <c r="O38" s="32">
        <v>2.96831411138565E-2</v>
      </c>
      <c r="P38" s="30"/>
      <c r="Q38" s="32">
        <v>3.2447278699544399E-3</v>
      </c>
      <c r="R38" s="30"/>
      <c r="S38" s="32">
        <v>2.6438413243902101E-2</v>
      </c>
      <c r="T38" s="30"/>
      <c r="U38" s="32">
        <v>4.4582830227519804E-3</v>
      </c>
      <c r="V38" s="30"/>
      <c r="W38" s="32">
        <v>1.56499352794526E-2</v>
      </c>
      <c r="X38" s="30"/>
      <c r="Y38" s="32">
        <v>-5.06820911416953E-2</v>
      </c>
      <c r="Z38" s="30"/>
      <c r="AA38" s="32">
        <v>-3.14004085454896E-3</v>
      </c>
      <c r="AB38" s="30"/>
      <c r="AC38" s="32">
        <v>2.2272655643612999E-3</v>
      </c>
      <c r="AD38" s="30"/>
      <c r="AE38" s="32">
        <v>6.3860236145829698E-3</v>
      </c>
      <c r="AF38" s="30"/>
      <c r="AG38" s="32">
        <v>2.2401794236545898E-3</v>
      </c>
      <c r="AH38" s="30"/>
      <c r="AI38" s="32">
        <v>-5.3673064189102603E-3</v>
      </c>
      <c r="AJ38" s="30"/>
      <c r="AK38" s="32">
        <v>-4.7542050287146302E-2</v>
      </c>
      <c r="AL38" s="30"/>
      <c r="AM38" s="32">
        <v>-4.6268641687159599E-2</v>
      </c>
      <c r="AN38" s="30"/>
      <c r="AO38" s="32">
        <v>-3.4082613846437702E-2</v>
      </c>
      <c r="AP38" s="30"/>
      <c r="AQ38" s="32">
        <v>-2.9462470800936599E-2</v>
      </c>
      <c r="AR38" s="30"/>
      <c r="AS38" s="32">
        <v>-1.2734085999867499E-3</v>
      </c>
      <c r="AT38" s="30"/>
      <c r="AU38" s="32">
        <v>4.6201999468183701E-2</v>
      </c>
      <c r="AV38" s="30"/>
      <c r="AW38" s="32">
        <v>5.0498275929502998E-2</v>
      </c>
      <c r="AX38" s="30"/>
      <c r="AY38" s="32">
        <v>-4.2962764613193004E-3</v>
      </c>
      <c r="AZ38" s="30"/>
      <c r="BA38" s="32">
        <v>1.0710299575909599E-3</v>
      </c>
      <c r="BB38" s="30"/>
      <c r="BC38" s="32">
        <v>-3.0735879400923399E-2</v>
      </c>
      <c r="BD38" s="30"/>
      <c r="BE38" s="32"/>
      <c r="BF38" s="30"/>
    </row>
    <row r="39" spans="1:58" x14ac:dyDescent="0.2">
      <c r="A39" s="28">
        <v>1986</v>
      </c>
      <c r="B39" s="28">
        <v>4</v>
      </c>
      <c r="C39" s="32"/>
      <c r="D39" s="30"/>
      <c r="E39" s="32">
        <v>8.3946343034577695E-2</v>
      </c>
      <c r="F39" s="30"/>
      <c r="G39" s="32">
        <v>1.6988718854902999E-2</v>
      </c>
      <c r="H39" s="30"/>
      <c r="I39" s="32">
        <v>1.43267077389495E-2</v>
      </c>
      <c r="J39" s="30"/>
      <c r="K39" s="32">
        <v>2.66201111595349E-3</v>
      </c>
      <c r="L39" s="30"/>
      <c r="M39" s="32">
        <v>6.6957624179674699E-2</v>
      </c>
      <c r="N39" s="30"/>
      <c r="O39" s="32">
        <v>1.9186498569832299E-2</v>
      </c>
      <c r="P39" s="30"/>
      <c r="Q39" s="32">
        <v>3.0141990367954698E-3</v>
      </c>
      <c r="R39" s="30"/>
      <c r="S39" s="32">
        <v>1.61722995330369E-2</v>
      </c>
      <c r="T39" s="30"/>
      <c r="U39" s="32">
        <v>-6.5024786458611501E-3</v>
      </c>
      <c r="V39" s="30"/>
      <c r="W39" s="32">
        <v>5.4273604255703503E-2</v>
      </c>
      <c r="X39" s="30"/>
      <c r="Y39" s="32">
        <v>-7.7256057492008395E-2</v>
      </c>
      <c r="Z39" s="30"/>
      <c r="AA39" s="32">
        <v>-4.4232696366952602E-2</v>
      </c>
      <c r="AB39" s="30"/>
      <c r="AC39" s="32">
        <v>-3.7177216350905803E-2</v>
      </c>
      <c r="AD39" s="30"/>
      <c r="AE39" s="32">
        <v>-1.54912508597768E-3</v>
      </c>
      <c r="AF39" s="30"/>
      <c r="AG39" s="32">
        <v>-3.5929261805128501E-3</v>
      </c>
      <c r="AH39" s="30"/>
      <c r="AI39" s="32">
        <v>-7.05548001604679E-3</v>
      </c>
      <c r="AJ39" s="30"/>
      <c r="AK39" s="32">
        <v>-3.3023361125055897E-2</v>
      </c>
      <c r="AL39" s="30"/>
      <c r="AM39" s="32">
        <v>-3.1443882694629499E-2</v>
      </c>
      <c r="AN39" s="30"/>
      <c r="AO39" s="32">
        <v>-1.78857853616445E-2</v>
      </c>
      <c r="AP39" s="30"/>
      <c r="AQ39" s="32">
        <v>-1.0347604150817299E-2</v>
      </c>
      <c r="AR39" s="30"/>
      <c r="AS39" s="32">
        <v>-1.57947843042644E-3</v>
      </c>
      <c r="AT39" s="30"/>
      <c r="AU39" s="32">
        <v>2.5119846769674201E-2</v>
      </c>
      <c r="AV39" s="30"/>
      <c r="AW39" s="32">
        <v>3.6175217424735298E-2</v>
      </c>
      <c r="AX39" s="30"/>
      <c r="AY39" s="32">
        <v>-1.1055370655061099E-2</v>
      </c>
      <c r="AZ39" s="30"/>
      <c r="BA39" s="32">
        <v>-3.9998906390143396E-3</v>
      </c>
      <c r="BB39" s="30"/>
      <c r="BC39" s="32">
        <v>-1.19270825812438E-2</v>
      </c>
      <c r="BD39" s="30"/>
      <c r="BE39" s="32"/>
      <c r="BF39" s="30"/>
    </row>
    <row r="40" spans="1:58" x14ac:dyDescent="0.2">
      <c r="A40" s="28">
        <v>1987</v>
      </c>
      <c r="B40" s="28">
        <v>1</v>
      </c>
      <c r="C40" s="32"/>
      <c r="D40" s="30"/>
      <c r="E40" s="32">
        <v>4.5853839585334601E-2</v>
      </c>
      <c r="F40" s="30"/>
      <c r="G40" s="32">
        <v>2.0169278754965402E-2</v>
      </c>
      <c r="H40" s="30"/>
      <c r="I40" s="32">
        <v>1.7565309974677899E-2</v>
      </c>
      <c r="J40" s="30"/>
      <c r="K40" s="32">
        <v>2.6039687802874999E-3</v>
      </c>
      <c r="L40" s="30"/>
      <c r="M40" s="32">
        <v>2.5684560830369199E-2</v>
      </c>
      <c r="N40" s="30"/>
      <c r="O40" s="32">
        <v>1.7023061225193099E-2</v>
      </c>
      <c r="P40" s="30"/>
      <c r="Q40" s="32">
        <v>7.2846538735060603E-3</v>
      </c>
      <c r="R40" s="30"/>
      <c r="S40" s="32">
        <v>9.7384073516869896E-3</v>
      </c>
      <c r="T40" s="30"/>
      <c r="U40" s="32">
        <v>-1.438009602891E-3</v>
      </c>
      <c r="V40" s="30"/>
      <c r="W40" s="32">
        <v>1.00995092080672E-2</v>
      </c>
      <c r="X40" s="30"/>
      <c r="Y40" s="32">
        <v>-3.8167009042824503E-2</v>
      </c>
      <c r="Z40" s="30"/>
      <c r="AA40" s="32">
        <v>-3.5810887726416399E-2</v>
      </c>
      <c r="AB40" s="30"/>
      <c r="AC40" s="32">
        <v>-3.2753352390806803E-2</v>
      </c>
      <c r="AD40" s="30"/>
      <c r="AE40" s="32">
        <v>-5.2372854176135396E-3</v>
      </c>
      <c r="AF40" s="30"/>
      <c r="AG40" s="32">
        <v>-9.3346889272460896E-3</v>
      </c>
      <c r="AH40" s="30"/>
      <c r="AI40" s="32">
        <v>-3.0575353356096001E-3</v>
      </c>
      <c r="AJ40" s="30"/>
      <c r="AK40" s="32">
        <v>-2.3561213164080301E-3</v>
      </c>
      <c r="AL40" s="30"/>
      <c r="AM40" s="32">
        <v>7.4017205421992205E-4</v>
      </c>
      <c r="AN40" s="30"/>
      <c r="AO40" s="32">
        <v>-1.5312266645825299E-2</v>
      </c>
      <c r="AP40" s="30"/>
      <c r="AQ40" s="32">
        <v>-1.35529668720051E-2</v>
      </c>
      <c r="AR40" s="30"/>
      <c r="AS40" s="32">
        <v>-3.0962933706279502E-3</v>
      </c>
      <c r="AT40" s="30"/>
      <c r="AU40" s="32">
        <v>2.57741003880342E-2</v>
      </c>
      <c r="AV40" s="30"/>
      <c r="AW40" s="32">
        <v>3.7192339980158501E-2</v>
      </c>
      <c r="AX40" s="30"/>
      <c r="AY40" s="32">
        <v>-1.1418239592124201E-2</v>
      </c>
      <c r="AZ40" s="30"/>
      <c r="BA40" s="32">
        <v>-8.3607042565146308E-3</v>
      </c>
      <c r="BB40" s="30"/>
      <c r="BC40" s="32">
        <v>-1.6649260242633E-2</v>
      </c>
      <c r="BD40" s="30"/>
      <c r="BE40" s="32"/>
      <c r="BF40" s="30"/>
    </row>
    <row r="41" spans="1:58" x14ac:dyDescent="0.2">
      <c r="A41" s="28">
        <v>1987</v>
      </c>
      <c r="B41" s="28">
        <v>2</v>
      </c>
      <c r="C41" s="32"/>
      <c r="D41" s="30"/>
      <c r="E41" s="32">
        <v>3.9747307803895897E-2</v>
      </c>
      <c r="F41" s="30"/>
      <c r="G41" s="32">
        <v>1.8144702214559098E-2</v>
      </c>
      <c r="H41" s="30"/>
      <c r="I41" s="32">
        <v>1.5898500028900101E-2</v>
      </c>
      <c r="J41" s="30"/>
      <c r="K41" s="32">
        <v>2.2462021856590399E-3</v>
      </c>
      <c r="L41" s="30"/>
      <c r="M41" s="32">
        <v>2.1602605589336799E-2</v>
      </c>
      <c r="N41" s="30"/>
      <c r="O41" s="32">
        <v>1.3000621378661099E-2</v>
      </c>
      <c r="P41" s="30"/>
      <c r="Q41" s="32">
        <v>3.44117015929255E-3</v>
      </c>
      <c r="R41" s="30"/>
      <c r="S41" s="32">
        <v>9.5594512193685893E-3</v>
      </c>
      <c r="T41" s="30"/>
      <c r="U41" s="32">
        <v>-2.3412912581475698E-3</v>
      </c>
      <c r="V41" s="30"/>
      <c r="W41" s="32">
        <v>1.09432754688232E-2</v>
      </c>
      <c r="X41" s="30"/>
      <c r="Y41" s="32">
        <v>-3.6096395834700701E-2</v>
      </c>
      <c r="Z41" s="30"/>
      <c r="AA41" s="32">
        <v>-5.3543777394857599E-2</v>
      </c>
      <c r="AB41" s="30"/>
      <c r="AC41" s="32">
        <v>-5.3860639617373203E-2</v>
      </c>
      <c r="AD41" s="30"/>
      <c r="AE41" s="32">
        <v>-1.1069554830518099E-2</v>
      </c>
      <c r="AF41" s="30"/>
      <c r="AG41" s="32">
        <v>-1.3584754990351401E-2</v>
      </c>
      <c r="AH41" s="30"/>
      <c r="AI41" s="32">
        <v>3.1686222251567299E-4</v>
      </c>
      <c r="AJ41" s="30"/>
      <c r="AK41" s="32">
        <v>1.7447381560156801E-2</v>
      </c>
      <c r="AL41" s="30"/>
      <c r="AM41" s="32">
        <v>2.2311475023749701E-2</v>
      </c>
      <c r="AN41" s="30"/>
      <c r="AO41" s="32">
        <v>-9.0779397594603402E-3</v>
      </c>
      <c r="AP41" s="30"/>
      <c r="AQ41" s="32">
        <v>-8.6595239843047806E-3</v>
      </c>
      <c r="AR41" s="30"/>
      <c r="AS41" s="32">
        <v>-4.8640934635928498E-3</v>
      </c>
      <c r="AT41" s="30"/>
      <c r="AU41" s="32">
        <v>1.9515820675240401E-2</v>
      </c>
      <c r="AV41" s="30"/>
      <c r="AW41" s="32">
        <v>3.1145323593220298E-2</v>
      </c>
      <c r="AX41" s="30"/>
      <c r="AY41" s="32">
        <v>-1.16295029179799E-2</v>
      </c>
      <c r="AZ41" s="30"/>
      <c r="BA41" s="32">
        <v>-1.1946365140495499E-2</v>
      </c>
      <c r="BB41" s="30"/>
      <c r="BC41" s="32">
        <v>-1.3523617447897599E-2</v>
      </c>
      <c r="BD41" s="30"/>
      <c r="BE41" s="32"/>
      <c r="BF41" s="30"/>
    </row>
    <row r="42" spans="1:58" x14ac:dyDescent="0.2">
      <c r="A42" s="28">
        <v>1987</v>
      </c>
      <c r="B42" s="28">
        <v>3</v>
      </c>
      <c r="C42" s="32"/>
      <c r="D42" s="30"/>
      <c r="E42" s="32">
        <v>2.9303630016201902E-3</v>
      </c>
      <c r="F42" s="30"/>
      <c r="G42" s="32">
        <v>1.83882743489329E-2</v>
      </c>
      <c r="H42" s="30"/>
      <c r="I42" s="32">
        <v>1.6383759824567402E-2</v>
      </c>
      <c r="J42" s="30"/>
      <c r="K42" s="32">
        <v>2.0045145243655399E-3</v>
      </c>
      <c r="L42" s="30"/>
      <c r="M42" s="32">
        <v>-1.5457911347312701E-2</v>
      </c>
      <c r="N42" s="30"/>
      <c r="O42" s="32">
        <v>5.6883631966143603E-3</v>
      </c>
      <c r="P42" s="30"/>
      <c r="Q42" s="32">
        <v>4.4421297449795203E-3</v>
      </c>
      <c r="R42" s="30"/>
      <c r="S42" s="32">
        <v>1.24623345163485E-3</v>
      </c>
      <c r="T42" s="30"/>
      <c r="U42" s="32">
        <v>-2.9405967768696899E-3</v>
      </c>
      <c r="V42" s="30"/>
      <c r="W42" s="32">
        <v>-1.82056777670574E-2</v>
      </c>
      <c r="X42" s="30"/>
      <c r="Y42" s="32">
        <v>2.0317621665372401E-2</v>
      </c>
      <c r="Z42" s="30"/>
      <c r="AA42" s="32">
        <v>2.0891539864700799E-3</v>
      </c>
      <c r="AB42" s="30"/>
      <c r="AC42" s="32">
        <v>-8.5695709598201403E-3</v>
      </c>
      <c r="AD42" s="30"/>
      <c r="AE42" s="32">
        <v>8.8246984744626397E-4</v>
      </c>
      <c r="AF42" s="30"/>
      <c r="AG42" s="32">
        <v>-3.92871881782616E-5</v>
      </c>
      <c r="AH42" s="30"/>
      <c r="AI42" s="32">
        <v>1.06587249462902E-2</v>
      </c>
      <c r="AJ42" s="30"/>
      <c r="AK42" s="32">
        <v>1.8228467678902401E-2</v>
      </c>
      <c r="AL42" s="30"/>
      <c r="AM42" s="32">
        <v>2.24146108435406E-2</v>
      </c>
      <c r="AN42" s="30"/>
      <c r="AO42" s="32">
        <v>-6.9013551215807503E-3</v>
      </c>
      <c r="AP42" s="30"/>
      <c r="AQ42" s="32">
        <v>-6.11317627111396E-3</v>
      </c>
      <c r="AR42" s="30"/>
      <c r="AS42" s="32">
        <v>-4.1861431646382802E-3</v>
      </c>
      <c r="AT42" s="30"/>
      <c r="AU42" s="32">
        <v>3.64879008796146E-2</v>
      </c>
      <c r="AV42" s="30"/>
      <c r="AW42" s="32">
        <v>2.40766375455473E-2</v>
      </c>
      <c r="AX42" s="30"/>
      <c r="AY42" s="32">
        <v>1.24112633340673E-2</v>
      </c>
      <c r="AZ42" s="30"/>
      <c r="BA42" s="32">
        <v>1.75253838777703E-3</v>
      </c>
      <c r="BB42" s="30"/>
      <c r="BC42" s="32">
        <v>-1.0299319435752199E-2</v>
      </c>
      <c r="BD42" s="30"/>
      <c r="BE42" s="32"/>
      <c r="BF42" s="30"/>
    </row>
    <row r="43" spans="1:58" x14ac:dyDescent="0.2">
      <c r="A43" s="28">
        <v>1987</v>
      </c>
      <c r="B43" s="28">
        <v>4</v>
      </c>
      <c r="C43" s="32"/>
      <c r="D43" s="30"/>
      <c r="E43" s="32">
        <v>-5.1921420136034199E-3</v>
      </c>
      <c r="F43" s="30"/>
      <c r="G43" s="32">
        <v>1.99499263824774E-2</v>
      </c>
      <c r="H43" s="30"/>
      <c r="I43" s="32">
        <v>1.7352284991475401E-2</v>
      </c>
      <c r="J43" s="30"/>
      <c r="K43" s="32">
        <v>2.5976413910020302E-3</v>
      </c>
      <c r="L43" s="30"/>
      <c r="M43" s="32">
        <v>-2.51420683960808E-2</v>
      </c>
      <c r="N43" s="30"/>
      <c r="O43" s="32">
        <v>1.47707987333076E-2</v>
      </c>
      <c r="P43" s="30"/>
      <c r="Q43" s="32">
        <v>2.4954224404149998E-3</v>
      </c>
      <c r="R43" s="30"/>
      <c r="S43" s="32">
        <v>1.22753762928926E-2</v>
      </c>
      <c r="T43" s="30"/>
      <c r="U43" s="32">
        <v>-2.5836881046022799E-4</v>
      </c>
      <c r="V43" s="30"/>
      <c r="W43" s="32">
        <v>-3.96544983189282E-2</v>
      </c>
      <c r="X43" s="30"/>
      <c r="Y43" s="32">
        <v>3.3519920403228598E-2</v>
      </c>
      <c r="Z43" s="30"/>
      <c r="AA43" s="32">
        <v>4.42823552218451E-2</v>
      </c>
      <c r="AB43" s="30"/>
      <c r="AC43" s="32">
        <v>3.9315299525571799E-2</v>
      </c>
      <c r="AD43" s="30"/>
      <c r="AE43" s="32">
        <v>2.55372374250546E-2</v>
      </c>
      <c r="AF43" s="30"/>
      <c r="AG43" s="32">
        <v>2.0739283149365101E-2</v>
      </c>
      <c r="AH43" s="30"/>
      <c r="AI43" s="32">
        <v>4.9670556962734102E-3</v>
      </c>
      <c r="AJ43" s="30"/>
      <c r="AK43" s="32">
        <v>-1.0762434818616501E-2</v>
      </c>
      <c r="AL43" s="30"/>
      <c r="AM43" s="32">
        <v>-4.3004590317050201E-3</v>
      </c>
      <c r="AN43" s="30"/>
      <c r="AO43" s="32">
        <v>-3.04925868653762E-2</v>
      </c>
      <c r="AP43" s="30"/>
      <c r="AQ43" s="32">
        <v>-2.67679408398394E-2</v>
      </c>
      <c r="AR43" s="30"/>
      <c r="AS43" s="32">
        <v>-6.4619757869115203E-3</v>
      </c>
      <c r="AT43" s="30"/>
      <c r="AU43" s="32">
        <v>6.1816063826836298E-2</v>
      </c>
      <c r="AV43" s="30"/>
      <c r="AW43" s="32">
        <v>3.4720725115785001E-2</v>
      </c>
      <c r="AX43" s="30"/>
      <c r="AY43" s="32">
        <v>2.7095338711051301E-2</v>
      </c>
      <c r="AZ43" s="30"/>
      <c r="BA43" s="32">
        <v>2.21282830147779E-2</v>
      </c>
      <c r="BB43" s="30"/>
      <c r="BC43" s="32">
        <v>-3.3229916626750899E-2</v>
      </c>
      <c r="BD43" s="30"/>
      <c r="BE43" s="32"/>
      <c r="BF43" s="30"/>
    </row>
    <row r="44" spans="1:58" x14ac:dyDescent="0.2">
      <c r="A44" s="28">
        <v>1988</v>
      </c>
      <c r="B44" s="28">
        <v>1</v>
      </c>
      <c r="C44" s="32"/>
      <c r="D44" s="30"/>
      <c r="E44" s="32">
        <v>2.4267109202826001E-2</v>
      </c>
      <c r="F44" s="30"/>
      <c r="G44" s="32">
        <v>1.9105854443290399E-2</v>
      </c>
      <c r="H44" s="30"/>
      <c r="I44" s="32">
        <v>1.6383233992491902E-2</v>
      </c>
      <c r="J44" s="30"/>
      <c r="K44" s="32">
        <v>2.7226204507984301E-3</v>
      </c>
      <c r="L44" s="30"/>
      <c r="M44" s="32">
        <v>5.1612547595356103E-3</v>
      </c>
      <c r="N44" s="30"/>
      <c r="O44" s="32">
        <v>2.3293641900073599E-2</v>
      </c>
      <c r="P44" s="30"/>
      <c r="Q44" s="32">
        <v>6.7935716455734298E-3</v>
      </c>
      <c r="R44" s="30"/>
      <c r="S44" s="32">
        <v>1.6500070254500201E-2</v>
      </c>
      <c r="T44" s="30"/>
      <c r="U44" s="32">
        <v>1.1957287055092899E-3</v>
      </c>
      <c r="V44" s="30"/>
      <c r="W44" s="32">
        <v>-1.9328115846047302E-2</v>
      </c>
      <c r="X44" s="30"/>
      <c r="Y44" s="32">
        <v>1.4840250984535499E-2</v>
      </c>
      <c r="Z44" s="30"/>
      <c r="AA44" s="32">
        <v>3.89740156918707E-2</v>
      </c>
      <c r="AB44" s="30"/>
      <c r="AC44" s="32">
        <v>3.5076383818346497E-2</v>
      </c>
      <c r="AD44" s="30"/>
      <c r="AE44" s="32">
        <v>1.76156092859426E-2</v>
      </c>
      <c r="AF44" s="30"/>
      <c r="AG44" s="32">
        <v>1.37514508971293E-2</v>
      </c>
      <c r="AH44" s="30"/>
      <c r="AI44" s="32">
        <v>3.8976318735241401E-3</v>
      </c>
      <c r="AJ44" s="30"/>
      <c r="AK44" s="32">
        <v>-2.4133764707335199E-2</v>
      </c>
      <c r="AL44" s="30"/>
      <c r="AM44" s="32">
        <v>-1.52307083957964E-2</v>
      </c>
      <c r="AN44" s="30"/>
      <c r="AO44" s="32">
        <v>-1.7020093894861001E-2</v>
      </c>
      <c r="AP44" s="30"/>
      <c r="AQ44" s="32">
        <v>-1.35393583472041E-2</v>
      </c>
      <c r="AR44" s="30"/>
      <c r="AS44" s="32">
        <v>-8.9030563115387595E-3</v>
      </c>
      <c r="AT44" s="30"/>
      <c r="AU44" s="32">
        <v>6.0354046140595002E-2</v>
      </c>
      <c r="AV44" s="30"/>
      <c r="AW44" s="32">
        <v>4.2399496343363999E-2</v>
      </c>
      <c r="AX44" s="30"/>
      <c r="AY44" s="32">
        <v>1.7954549797231101E-2</v>
      </c>
      <c r="AZ44" s="30"/>
      <c r="BA44" s="32">
        <v>1.40569179237069E-2</v>
      </c>
      <c r="BB44" s="30"/>
      <c r="BC44" s="32">
        <v>-2.2442414658742801E-2</v>
      </c>
      <c r="BD44" s="30"/>
      <c r="BE44" s="32"/>
      <c r="BF44" s="30"/>
    </row>
    <row r="45" spans="1:58" x14ac:dyDescent="0.2">
      <c r="A45" s="28">
        <v>1988</v>
      </c>
      <c r="B45" s="28">
        <v>2</v>
      </c>
      <c r="C45" s="32"/>
      <c r="D45" s="30"/>
      <c r="E45" s="32">
        <v>2.8896299102422101E-3</v>
      </c>
      <c r="F45" s="30"/>
      <c r="G45" s="32">
        <v>1.2763898759671001E-2</v>
      </c>
      <c r="H45" s="30"/>
      <c r="I45" s="32">
        <v>8.7842210721776892E-3</v>
      </c>
      <c r="J45" s="30"/>
      <c r="K45" s="32">
        <v>3.9796776874933201E-3</v>
      </c>
      <c r="L45" s="30"/>
      <c r="M45" s="32">
        <v>-9.8742688494287897E-3</v>
      </c>
      <c r="N45" s="30"/>
      <c r="O45" s="32">
        <v>2.74853032781897E-2</v>
      </c>
      <c r="P45" s="30"/>
      <c r="Q45" s="32">
        <v>8.8608873721466794E-3</v>
      </c>
      <c r="R45" s="30"/>
      <c r="S45" s="32">
        <v>1.8624415906042999E-2</v>
      </c>
      <c r="T45" s="30"/>
      <c r="U45" s="32">
        <v>-1.0720112059102799E-2</v>
      </c>
      <c r="V45" s="30"/>
      <c r="W45" s="32">
        <v>-2.66394600685156E-2</v>
      </c>
      <c r="X45" s="30"/>
      <c r="Y45" s="32">
        <v>2.5552655973596902E-2</v>
      </c>
      <c r="Z45" s="30"/>
      <c r="AA45" s="32">
        <v>2.4213627026460301E-2</v>
      </c>
      <c r="AB45" s="30"/>
      <c r="AC45" s="32">
        <v>2.3604238870051801E-2</v>
      </c>
      <c r="AD45" s="30"/>
      <c r="AE45" s="32">
        <v>1.8685290241649499E-2</v>
      </c>
      <c r="AF45" s="30"/>
      <c r="AG45" s="32">
        <v>1.82538936101845E-2</v>
      </c>
      <c r="AH45" s="30"/>
      <c r="AI45" s="32">
        <v>6.0938815640851005E-4</v>
      </c>
      <c r="AJ45" s="30"/>
      <c r="AK45" s="32">
        <v>1.3390289471366299E-3</v>
      </c>
      <c r="AL45" s="30"/>
      <c r="AM45" s="32">
        <v>7.0869794294938504E-3</v>
      </c>
      <c r="AN45" s="30"/>
      <c r="AO45" s="32">
        <v>-1.6366307484129899E-2</v>
      </c>
      <c r="AP45" s="30"/>
      <c r="AQ45" s="32">
        <v>-1.39282676172327E-2</v>
      </c>
      <c r="AR45" s="30"/>
      <c r="AS45" s="32">
        <v>-5.7479504823572201E-3</v>
      </c>
      <c r="AT45" s="30"/>
      <c r="AU45" s="32">
        <v>5.8838616042531898E-2</v>
      </c>
      <c r="AV45" s="30"/>
      <c r="AW45" s="32">
        <v>4.0249202037860698E-2</v>
      </c>
      <c r="AX45" s="30"/>
      <c r="AY45" s="32">
        <v>1.8589414004671199E-2</v>
      </c>
      <c r="AZ45" s="30"/>
      <c r="BA45" s="32">
        <v>1.79800258482627E-2</v>
      </c>
      <c r="BB45" s="30"/>
      <c r="BC45" s="32">
        <v>-1.9676218099589901E-2</v>
      </c>
      <c r="BD45" s="30"/>
      <c r="BE45" s="32"/>
      <c r="BF45" s="30"/>
    </row>
    <row r="46" spans="1:58" x14ac:dyDescent="0.2">
      <c r="A46" s="28">
        <v>1988</v>
      </c>
      <c r="B46" s="28">
        <v>3</v>
      </c>
      <c r="C46" s="32"/>
      <c r="D46" s="30"/>
      <c r="E46" s="32">
        <v>4.1117874816177999E-2</v>
      </c>
      <c r="F46" s="30"/>
      <c r="G46" s="32">
        <v>1.7096644485673301E-2</v>
      </c>
      <c r="H46" s="30"/>
      <c r="I46" s="32">
        <v>1.18318746354861E-2</v>
      </c>
      <c r="J46" s="30"/>
      <c r="K46" s="32">
        <v>5.2647698501872703E-3</v>
      </c>
      <c r="L46" s="30"/>
      <c r="M46" s="32">
        <v>2.4021230330504701E-2</v>
      </c>
      <c r="N46" s="30"/>
      <c r="O46" s="32">
        <v>3.0419506404288001E-2</v>
      </c>
      <c r="P46" s="30"/>
      <c r="Q46" s="32">
        <v>1.05296426478065E-2</v>
      </c>
      <c r="R46" s="30"/>
      <c r="S46" s="32">
        <v>1.98898637564815E-2</v>
      </c>
      <c r="T46" s="30"/>
      <c r="U46" s="32">
        <v>-9.7294476910798795E-3</v>
      </c>
      <c r="V46" s="30"/>
      <c r="W46" s="32">
        <v>3.3311716172965198E-3</v>
      </c>
      <c r="X46" s="30"/>
      <c r="Y46" s="32">
        <v>-1.3548959844182499E-2</v>
      </c>
      <c r="Z46" s="30"/>
      <c r="AA46" s="32">
        <v>3.2299389601404598E-2</v>
      </c>
      <c r="AB46" s="30"/>
      <c r="AC46" s="32">
        <v>3.5736227041042297E-2</v>
      </c>
      <c r="AD46" s="30"/>
      <c r="AE46" s="32">
        <v>1.7236876812954799E-2</v>
      </c>
      <c r="AF46" s="30"/>
      <c r="AG46" s="32">
        <v>1.2272892830269101E-2</v>
      </c>
      <c r="AH46" s="30"/>
      <c r="AI46" s="32">
        <v>-3.4368374396377402E-3</v>
      </c>
      <c r="AJ46" s="30"/>
      <c r="AK46" s="32">
        <v>-4.5848349445587001E-2</v>
      </c>
      <c r="AL46" s="30"/>
      <c r="AM46" s="32">
        <v>-3.9419659859723101E-2</v>
      </c>
      <c r="AN46" s="30"/>
      <c r="AO46" s="32">
        <v>-1.0893596312062499E-2</v>
      </c>
      <c r="AP46" s="30"/>
      <c r="AQ46" s="32">
        <v>-1.2235259549748899E-2</v>
      </c>
      <c r="AR46" s="30"/>
      <c r="AS46" s="32">
        <v>-6.4286895858639403E-3</v>
      </c>
      <c r="AT46" s="30"/>
      <c r="AU46" s="32">
        <v>5.59623117986882E-2</v>
      </c>
      <c r="AV46" s="30"/>
      <c r="AW46" s="32">
        <v>4.7516150889961299E-2</v>
      </c>
      <c r="AX46" s="30"/>
      <c r="AY46" s="32">
        <v>8.4461609087269005E-3</v>
      </c>
      <c r="AZ46" s="30"/>
      <c r="BA46" s="32">
        <v>1.18829983483646E-2</v>
      </c>
      <c r="BB46" s="30"/>
      <c r="BC46" s="32">
        <v>-1.8663949135612801E-2</v>
      </c>
      <c r="BD46" s="30"/>
      <c r="BE46" s="32"/>
      <c r="BF46" s="30"/>
    </row>
    <row r="47" spans="1:58" x14ac:dyDescent="0.2">
      <c r="A47" s="28">
        <v>1988</v>
      </c>
      <c r="B47" s="28">
        <v>4</v>
      </c>
      <c r="C47" s="32"/>
      <c r="D47" s="30"/>
      <c r="E47" s="32">
        <v>2.8697377750332698E-2</v>
      </c>
      <c r="F47" s="30"/>
      <c r="G47" s="32">
        <v>1.75819696752301E-2</v>
      </c>
      <c r="H47" s="30"/>
      <c r="I47" s="32">
        <v>1.10795488831787E-2</v>
      </c>
      <c r="J47" s="30"/>
      <c r="K47" s="32">
        <v>6.5024207920513603E-3</v>
      </c>
      <c r="L47" s="30"/>
      <c r="M47" s="32">
        <v>1.11154080751026E-2</v>
      </c>
      <c r="N47" s="30"/>
      <c r="O47" s="32">
        <v>2.22606771174946E-2</v>
      </c>
      <c r="P47" s="30"/>
      <c r="Q47" s="32">
        <v>1.0533685428632001E-2</v>
      </c>
      <c r="R47" s="30"/>
      <c r="S47" s="32">
        <v>1.17269916888626E-2</v>
      </c>
      <c r="T47" s="30"/>
      <c r="U47" s="32">
        <v>-9.7047827478533299E-3</v>
      </c>
      <c r="V47" s="30"/>
      <c r="W47" s="32">
        <v>-1.4404862945386399E-3</v>
      </c>
      <c r="X47" s="30"/>
      <c r="Y47" s="32">
        <v>7.3508731901906496E-3</v>
      </c>
      <c r="Z47" s="30"/>
      <c r="AA47" s="32">
        <v>2.8268084664967701E-2</v>
      </c>
      <c r="AB47" s="30"/>
      <c r="AC47" s="32">
        <v>2.53728420125801E-2</v>
      </c>
      <c r="AD47" s="30"/>
      <c r="AE47" s="32">
        <v>1.3750487668148801E-2</v>
      </c>
      <c r="AF47" s="30"/>
      <c r="AG47" s="32">
        <v>1.51728711098183E-2</v>
      </c>
      <c r="AH47" s="30"/>
      <c r="AI47" s="32">
        <v>2.8952426523875998E-3</v>
      </c>
      <c r="AJ47" s="30"/>
      <c r="AK47" s="32">
        <v>-2.0917211474777E-2</v>
      </c>
      <c r="AL47" s="30"/>
      <c r="AM47" s="32">
        <v>-1.72096937572969E-2</v>
      </c>
      <c r="AN47" s="30"/>
      <c r="AO47" s="32">
        <v>-1.7014530409385799E-3</v>
      </c>
      <c r="AP47" s="30"/>
      <c r="AQ47" s="32">
        <v>-8.3770615432149607E-3</v>
      </c>
      <c r="AR47" s="30"/>
      <c r="AS47" s="32">
        <v>-3.7075177174801599E-3</v>
      </c>
      <c r="AT47" s="30"/>
      <c r="AU47" s="32">
        <v>5.7837612949071797E-2</v>
      </c>
      <c r="AV47" s="30"/>
      <c r="AW47" s="32">
        <v>3.9842646792724597E-2</v>
      </c>
      <c r="AX47" s="30"/>
      <c r="AY47" s="32">
        <v>1.79949661563471E-2</v>
      </c>
      <c r="AZ47" s="30"/>
      <c r="BA47" s="32">
        <v>1.50997235039595E-2</v>
      </c>
      <c r="BB47" s="30"/>
      <c r="BC47" s="32">
        <v>-1.2084579260695101E-2</v>
      </c>
      <c r="BD47" s="30"/>
      <c r="BE47" s="32"/>
      <c r="BF47" s="30"/>
    </row>
    <row r="48" spans="1:58" x14ac:dyDescent="0.2">
      <c r="A48" s="28">
        <v>1989</v>
      </c>
      <c r="B48" s="28">
        <v>1</v>
      </c>
      <c r="C48" s="32"/>
      <c r="D48" s="30"/>
      <c r="E48" s="32">
        <v>3.51654864153172E-2</v>
      </c>
      <c r="F48" s="30"/>
      <c r="G48" s="32">
        <v>2.3925810757954899E-2</v>
      </c>
      <c r="H48" s="30"/>
      <c r="I48" s="32">
        <v>1.5190541224426301E-2</v>
      </c>
      <c r="J48" s="30"/>
      <c r="K48" s="32">
        <v>8.7352695335286105E-3</v>
      </c>
      <c r="L48" s="30"/>
      <c r="M48" s="32">
        <v>1.1239675657362299E-2</v>
      </c>
      <c r="N48" s="30"/>
      <c r="O48" s="32">
        <v>2.1698407957493501E-2</v>
      </c>
      <c r="P48" s="30"/>
      <c r="Q48" s="32">
        <v>1.36113589994166E-2</v>
      </c>
      <c r="R48" s="30"/>
      <c r="S48" s="32">
        <v>8.08704895807685E-3</v>
      </c>
      <c r="T48" s="30"/>
      <c r="U48" s="32">
        <v>-1.0566270854706201E-2</v>
      </c>
      <c r="V48" s="30"/>
      <c r="W48" s="32">
        <v>1.07538554575037E-4</v>
      </c>
      <c r="X48" s="30"/>
      <c r="Y48" s="32">
        <v>1.3464363227971099E-3</v>
      </c>
      <c r="Z48" s="30"/>
      <c r="AA48" s="32">
        <v>2.2133727737328499E-2</v>
      </c>
      <c r="AB48" s="30"/>
      <c r="AC48" s="32">
        <v>1.8397362386722099E-2</v>
      </c>
      <c r="AD48" s="30"/>
      <c r="AE48" s="32">
        <v>1.5688198753896501E-2</v>
      </c>
      <c r="AF48" s="30"/>
      <c r="AG48" s="32">
        <v>1.39896618716122E-2</v>
      </c>
      <c r="AH48" s="30"/>
      <c r="AI48" s="32">
        <v>3.7363653506063601E-3</v>
      </c>
      <c r="AJ48" s="30"/>
      <c r="AK48" s="32">
        <v>-2.0787291414531402E-2</v>
      </c>
      <c r="AL48" s="30"/>
      <c r="AM48" s="32">
        <v>-1.8661441590542598E-2</v>
      </c>
      <c r="AN48" s="30"/>
      <c r="AO48" s="32">
        <v>-1.5092885799046499E-2</v>
      </c>
      <c r="AP48" s="30"/>
      <c r="AQ48" s="32">
        <v>-1.48798704668732E-2</v>
      </c>
      <c r="AR48" s="30"/>
      <c r="AS48" s="32">
        <v>-2.12584982398876E-3</v>
      </c>
      <c r="AT48" s="30"/>
      <c r="AU48" s="32">
        <v>6.4083913883682495E-2</v>
      </c>
      <c r="AV48" s="30"/>
      <c r="AW48" s="32">
        <v>4.5624218715448403E-2</v>
      </c>
      <c r="AX48" s="30"/>
      <c r="AY48" s="32">
        <v>1.8459695168234098E-2</v>
      </c>
      <c r="AZ48" s="30"/>
      <c r="BA48" s="32">
        <v>1.4723329817627801E-2</v>
      </c>
      <c r="BB48" s="30"/>
      <c r="BC48" s="32">
        <v>-1.7005720290862E-2</v>
      </c>
      <c r="BD48" s="30"/>
      <c r="BE48" s="32"/>
      <c r="BF48" s="30"/>
    </row>
    <row r="49" spans="1:58" x14ac:dyDescent="0.2">
      <c r="A49" s="28">
        <v>1989</v>
      </c>
      <c r="B49" s="28">
        <v>2</v>
      </c>
      <c r="C49" s="32"/>
      <c r="D49" s="30"/>
      <c r="E49" s="32">
        <v>7.0343450945729899E-2</v>
      </c>
      <c r="F49" s="30"/>
      <c r="G49" s="32">
        <v>2.4987141573437101E-2</v>
      </c>
      <c r="H49" s="30"/>
      <c r="I49" s="32">
        <v>1.6206019115692701E-2</v>
      </c>
      <c r="J49" s="30"/>
      <c r="K49" s="32">
        <v>8.7811224577444003E-3</v>
      </c>
      <c r="L49" s="30"/>
      <c r="M49" s="32">
        <v>4.5356309372292798E-2</v>
      </c>
      <c r="N49" s="30"/>
      <c r="O49" s="32">
        <v>1.5646124253126E-2</v>
      </c>
      <c r="P49" s="30"/>
      <c r="Q49" s="32">
        <v>8.6275321821180292E-3</v>
      </c>
      <c r="R49" s="30"/>
      <c r="S49" s="32">
        <v>7.01859207100797E-3</v>
      </c>
      <c r="T49" s="30"/>
      <c r="U49" s="32">
        <v>1.12378299105795E-2</v>
      </c>
      <c r="V49" s="30"/>
      <c r="W49" s="32">
        <v>1.84723552085873E-2</v>
      </c>
      <c r="X49" s="30"/>
      <c r="Y49" s="32">
        <v>-1.56182179734529E-2</v>
      </c>
      <c r="Z49" s="30"/>
      <c r="AA49" s="32">
        <v>4.8310733145773999E-2</v>
      </c>
      <c r="AB49" s="30"/>
      <c r="AC49" s="32">
        <v>3.9689168919243997E-2</v>
      </c>
      <c r="AD49" s="30"/>
      <c r="AE49" s="32">
        <v>2.3483998028755001E-2</v>
      </c>
      <c r="AF49" s="30"/>
      <c r="AG49" s="32">
        <v>1.7491193232042301E-2</v>
      </c>
      <c r="AH49" s="30"/>
      <c r="AI49" s="32">
        <v>8.6215642265299701E-3</v>
      </c>
      <c r="AJ49" s="30"/>
      <c r="AK49" s="32">
        <v>-6.3928951119227001E-2</v>
      </c>
      <c r="AL49" s="30"/>
      <c r="AM49" s="32">
        <v>-6.2191637422551002E-2</v>
      </c>
      <c r="AN49" s="30"/>
      <c r="AO49" s="32">
        <v>-2.63887948080632E-2</v>
      </c>
      <c r="AP49" s="30"/>
      <c r="AQ49" s="32">
        <v>-2.2687454799732599E-2</v>
      </c>
      <c r="AR49" s="30"/>
      <c r="AS49" s="32">
        <v>-1.73731369667591E-3</v>
      </c>
      <c r="AT49" s="30"/>
      <c r="AU49" s="32">
        <v>6.7912171558105902E-2</v>
      </c>
      <c r="AV49" s="30"/>
      <c r="AW49" s="32">
        <v>4.0633265826563097E-2</v>
      </c>
      <c r="AX49" s="30"/>
      <c r="AY49" s="32">
        <v>2.7278905731542898E-2</v>
      </c>
      <c r="AZ49" s="30"/>
      <c r="BA49" s="32">
        <v>1.86573415050129E-2</v>
      </c>
      <c r="BB49" s="30"/>
      <c r="BC49" s="32">
        <v>-2.4424768496408501E-2</v>
      </c>
      <c r="BD49" s="30"/>
      <c r="BE49" s="32"/>
      <c r="BF49" s="30"/>
    </row>
    <row r="50" spans="1:58" x14ac:dyDescent="0.2">
      <c r="A50" s="28">
        <v>1989</v>
      </c>
      <c r="B50" s="28">
        <v>3</v>
      </c>
      <c r="C50" s="32"/>
      <c r="D50" s="30"/>
      <c r="E50" s="32">
        <v>5.6912835116466498E-2</v>
      </c>
      <c r="F50" s="30"/>
      <c r="G50" s="32">
        <v>2.4572490722452E-2</v>
      </c>
      <c r="H50" s="30"/>
      <c r="I50" s="32">
        <v>1.42967297863621E-2</v>
      </c>
      <c r="J50" s="30"/>
      <c r="K50" s="32">
        <v>1.0275760936090001E-2</v>
      </c>
      <c r="L50" s="30"/>
      <c r="M50" s="32">
        <v>3.2340344394014502E-2</v>
      </c>
      <c r="N50" s="30"/>
      <c r="O50" s="32">
        <v>9.0952947359715496E-3</v>
      </c>
      <c r="P50" s="30"/>
      <c r="Q50" s="32">
        <v>8.9549648985871103E-3</v>
      </c>
      <c r="R50" s="30"/>
      <c r="S50" s="32">
        <v>1.4032983738443899E-4</v>
      </c>
      <c r="T50" s="30"/>
      <c r="U50" s="32">
        <v>1.0861332951677001E-2</v>
      </c>
      <c r="V50" s="30"/>
      <c r="W50" s="32">
        <v>1.2383716706365899E-2</v>
      </c>
      <c r="X50" s="30"/>
      <c r="Y50" s="32">
        <v>-9.7068600639680595E-3</v>
      </c>
      <c r="Z50" s="30"/>
      <c r="AA50" s="32">
        <v>1.94817861302834E-2</v>
      </c>
      <c r="AB50" s="30"/>
      <c r="AC50" s="32">
        <v>1.1377012599967399E-2</v>
      </c>
      <c r="AD50" s="30"/>
      <c r="AE50" s="32">
        <v>4.57829432019413E-3</v>
      </c>
      <c r="AF50" s="30"/>
      <c r="AG50" s="32">
        <v>2.0015063043403699E-4</v>
      </c>
      <c r="AH50" s="30"/>
      <c r="AI50" s="32">
        <v>8.1047735303159396E-3</v>
      </c>
      <c r="AJ50" s="30"/>
      <c r="AK50" s="32">
        <v>-2.9188646194251398E-2</v>
      </c>
      <c r="AL50" s="30"/>
      <c r="AM50" s="32">
        <v>-2.8260788675195998E-2</v>
      </c>
      <c r="AN50" s="30"/>
      <c r="AO50" s="32">
        <v>-1.0278295706329601E-2</v>
      </c>
      <c r="AP50" s="30"/>
      <c r="AQ50" s="32">
        <v>-5.8733266796469497E-3</v>
      </c>
      <c r="AR50" s="30"/>
      <c r="AS50" s="32">
        <v>-9.2785751905542996E-4</v>
      </c>
      <c r="AT50" s="30"/>
      <c r="AU50" s="32">
        <v>4.31458262995238E-2</v>
      </c>
      <c r="AV50" s="30"/>
      <c r="AW50" s="32">
        <v>3.3667785458423603E-2</v>
      </c>
      <c r="AX50" s="30"/>
      <c r="AY50" s="32">
        <v>9.4780408411002295E-3</v>
      </c>
      <c r="AZ50" s="30"/>
      <c r="BA50" s="32">
        <v>1.3732673107843001E-3</v>
      </c>
      <c r="BB50" s="30"/>
      <c r="BC50" s="32">
        <v>-6.8011841987023801E-3</v>
      </c>
      <c r="BD50" s="30"/>
      <c r="BE50" s="32"/>
      <c r="BF50" s="30"/>
    </row>
    <row r="51" spans="1:58" x14ac:dyDescent="0.2">
      <c r="A51" s="28">
        <v>1989</v>
      </c>
      <c r="B51" s="28">
        <v>4</v>
      </c>
      <c r="C51" s="32"/>
      <c r="D51" s="30"/>
      <c r="E51" s="32">
        <v>3.1851573287006101E-2</v>
      </c>
      <c r="F51" s="30"/>
      <c r="G51" s="32">
        <v>1.87024270248102E-2</v>
      </c>
      <c r="H51" s="30"/>
      <c r="I51" s="32">
        <v>1.0076160283406899E-2</v>
      </c>
      <c r="J51" s="30"/>
      <c r="K51" s="32">
        <v>8.6262667414032795E-3</v>
      </c>
      <c r="L51" s="30"/>
      <c r="M51" s="32">
        <v>1.3149146262195901E-2</v>
      </c>
      <c r="N51" s="30"/>
      <c r="O51" s="32">
        <v>1.48721940819202E-2</v>
      </c>
      <c r="P51" s="30"/>
      <c r="Q51" s="32">
        <v>7.2785995746749996E-3</v>
      </c>
      <c r="R51" s="30"/>
      <c r="S51" s="32">
        <v>7.5935945072452202E-3</v>
      </c>
      <c r="T51" s="30"/>
      <c r="U51" s="32">
        <v>4.9675298685082497E-3</v>
      </c>
      <c r="V51" s="30"/>
      <c r="W51" s="32">
        <v>-6.6905776882325799E-3</v>
      </c>
      <c r="X51" s="30"/>
      <c r="Y51" s="32">
        <v>3.2531489308776202E-3</v>
      </c>
      <c r="Z51" s="30"/>
      <c r="AA51" s="32">
        <v>6.7746008399533E-3</v>
      </c>
      <c r="AB51" s="30"/>
      <c r="AC51" s="32">
        <v>3.84613855274763E-3</v>
      </c>
      <c r="AD51" s="30"/>
      <c r="AE51" s="32">
        <v>1.02994768845252E-2</v>
      </c>
      <c r="AF51" s="30"/>
      <c r="AG51" s="32">
        <v>6.7668650904772103E-3</v>
      </c>
      <c r="AH51" s="30"/>
      <c r="AI51" s="32">
        <v>2.92846228720567E-3</v>
      </c>
      <c r="AJ51" s="30"/>
      <c r="AK51" s="32">
        <v>-3.5214519090756798E-3</v>
      </c>
      <c r="AL51" s="30"/>
      <c r="AM51" s="32">
        <v>-4.0410129036986603E-3</v>
      </c>
      <c r="AN51" s="30"/>
      <c r="AO51" s="32">
        <v>-1.54935022298374E-2</v>
      </c>
      <c r="AP51" s="30"/>
      <c r="AQ51" s="32">
        <v>-1.4622092441004301E-2</v>
      </c>
      <c r="AR51" s="30"/>
      <c r="AS51" s="32">
        <v>5.1956099462297802E-4</v>
      </c>
      <c r="AT51" s="30"/>
      <c r="AU51" s="32">
        <v>4.4239723795756802E-2</v>
      </c>
      <c r="AV51" s="30"/>
      <c r="AW51" s="32">
        <v>3.3574621106730401E-2</v>
      </c>
      <c r="AX51" s="30"/>
      <c r="AY51" s="32">
        <v>1.0665102689026399E-2</v>
      </c>
      <c r="AZ51" s="30"/>
      <c r="BA51" s="32">
        <v>7.7366404018207099E-3</v>
      </c>
      <c r="BB51" s="30"/>
      <c r="BC51" s="32">
        <v>-1.41025314463813E-2</v>
      </c>
      <c r="BD51" s="30"/>
      <c r="BE51" s="32"/>
      <c r="BF51" s="30"/>
    </row>
    <row r="52" spans="1:58" x14ac:dyDescent="0.2">
      <c r="A52" s="28">
        <v>1990</v>
      </c>
      <c r="B52" s="28">
        <v>1</v>
      </c>
      <c r="C52" s="32"/>
      <c r="D52" s="30"/>
      <c r="E52" s="32">
        <v>8.4935921187578201E-2</v>
      </c>
      <c r="F52" s="30"/>
      <c r="G52" s="32">
        <v>1.7639459532164701E-2</v>
      </c>
      <c r="H52" s="30"/>
      <c r="I52" s="32">
        <v>1.0739217038281399E-2</v>
      </c>
      <c r="J52" s="30"/>
      <c r="K52" s="32">
        <v>6.9002424938832598E-3</v>
      </c>
      <c r="L52" s="30"/>
      <c r="M52" s="32">
        <v>6.72964616554136E-2</v>
      </c>
      <c r="N52" s="30"/>
      <c r="O52" s="32">
        <v>2.3695924212519599E-2</v>
      </c>
      <c r="P52" s="30"/>
      <c r="Q52" s="32">
        <v>5.22984825179442E-3</v>
      </c>
      <c r="R52" s="30"/>
      <c r="S52" s="32">
        <v>1.8466075960725099E-2</v>
      </c>
      <c r="T52" s="30"/>
      <c r="U52" s="32">
        <v>2.3048981534114499E-2</v>
      </c>
      <c r="V52" s="30"/>
      <c r="W52" s="32">
        <v>2.0551555908779499E-2</v>
      </c>
      <c r="X52" s="30"/>
      <c r="Y52" s="32">
        <v>-2.5292907905563999E-2</v>
      </c>
      <c r="Z52" s="30"/>
      <c r="AA52" s="32">
        <v>1.41323226772019E-2</v>
      </c>
      <c r="AB52" s="30"/>
      <c r="AC52" s="32">
        <v>1.6235964268998801E-2</v>
      </c>
      <c r="AD52" s="30"/>
      <c r="AE52" s="32">
        <v>2.69106295513321E-2</v>
      </c>
      <c r="AF52" s="30"/>
      <c r="AG52" s="32">
        <v>1.9344946056237902E-2</v>
      </c>
      <c r="AH52" s="30"/>
      <c r="AI52" s="32">
        <v>-2.1036415917969498E-3</v>
      </c>
      <c r="AJ52" s="30"/>
      <c r="AK52" s="32">
        <v>-3.9425230582765897E-2</v>
      </c>
      <c r="AL52" s="30"/>
      <c r="AM52" s="32">
        <v>-3.8815323958208303E-2</v>
      </c>
      <c r="AN52" s="30"/>
      <c r="AO52" s="32">
        <v>-2.6531762833258098E-2</v>
      </c>
      <c r="AP52" s="30"/>
      <c r="AQ52" s="32">
        <v>-2.18669428493663E-2</v>
      </c>
      <c r="AR52" s="30"/>
      <c r="AS52" s="32">
        <v>-6.0990662455756497E-4</v>
      </c>
      <c r="AT52" s="30"/>
      <c r="AU52" s="32">
        <v>5.90708812218236E-2</v>
      </c>
      <c r="AV52" s="30"/>
      <c r="AW52" s="32">
        <v>4.13353837446842E-2</v>
      </c>
      <c r="AX52" s="30"/>
      <c r="AY52" s="32">
        <v>1.77354974771394E-2</v>
      </c>
      <c r="AZ52" s="30"/>
      <c r="BA52" s="32">
        <v>1.98391390689364E-2</v>
      </c>
      <c r="BB52" s="30"/>
      <c r="BC52" s="32">
        <v>-2.24768494739239E-2</v>
      </c>
      <c r="BD52" s="30"/>
      <c r="BE52" s="32"/>
      <c r="BF52" s="30"/>
    </row>
    <row r="53" spans="1:58" x14ac:dyDescent="0.2">
      <c r="A53" s="28">
        <v>1990</v>
      </c>
      <c r="B53" s="28">
        <v>2</v>
      </c>
      <c r="C53" s="32"/>
      <c r="D53" s="30"/>
      <c r="E53" s="32">
        <v>7.4941607622915504E-2</v>
      </c>
      <c r="F53" s="30"/>
      <c r="G53" s="32">
        <v>1.2647130161336499E-2</v>
      </c>
      <c r="H53" s="30"/>
      <c r="I53" s="32">
        <v>7.2732827331309499E-3</v>
      </c>
      <c r="J53" s="30"/>
      <c r="K53" s="32">
        <v>5.3738474282055701E-3</v>
      </c>
      <c r="L53" s="30"/>
      <c r="M53" s="32">
        <v>6.2294477461578998E-2</v>
      </c>
      <c r="N53" s="30"/>
      <c r="O53" s="32">
        <v>1.35401326580254E-2</v>
      </c>
      <c r="P53" s="30"/>
      <c r="Q53" s="32">
        <v>5.7019928567552303E-4</v>
      </c>
      <c r="R53" s="30"/>
      <c r="S53" s="32">
        <v>1.29699333723499E-2</v>
      </c>
      <c r="T53" s="30"/>
      <c r="U53" s="32">
        <v>2.2889663888662499E-2</v>
      </c>
      <c r="V53" s="30"/>
      <c r="W53" s="32">
        <v>2.5864680914891001E-2</v>
      </c>
      <c r="X53" s="30"/>
      <c r="Y53" s="32">
        <v>-3.5459633175288198E-2</v>
      </c>
      <c r="Z53" s="30"/>
      <c r="AA53" s="32">
        <v>1.9617572021609301E-2</v>
      </c>
      <c r="AB53" s="30"/>
      <c r="AC53" s="32">
        <v>2.36708082497404E-2</v>
      </c>
      <c r="AD53" s="30"/>
      <c r="AE53" s="32">
        <v>8.0142786194633796E-3</v>
      </c>
      <c r="AF53" s="30"/>
      <c r="AG53" s="32">
        <v>4.42106494795339E-3</v>
      </c>
      <c r="AH53" s="30"/>
      <c r="AI53" s="32">
        <v>-4.0532362281310999E-3</v>
      </c>
      <c r="AJ53" s="30"/>
      <c r="AK53" s="32">
        <v>-5.5077205196897502E-2</v>
      </c>
      <c r="AL53" s="30"/>
      <c r="AM53" s="32">
        <v>-5.21824218802499E-2</v>
      </c>
      <c r="AN53" s="30"/>
      <c r="AO53" s="32">
        <v>-1.27061779743468E-2</v>
      </c>
      <c r="AP53" s="30"/>
      <c r="AQ53" s="32">
        <v>-7.12125595094269E-3</v>
      </c>
      <c r="AR53" s="30"/>
      <c r="AS53" s="32">
        <v>-2.89478331664752E-3</v>
      </c>
      <c r="AT53" s="30"/>
      <c r="AU53" s="32">
        <v>2.6608349826555001E-2</v>
      </c>
      <c r="AV53" s="30"/>
      <c r="AW53" s="32">
        <v>2.6187262819361901E-2</v>
      </c>
      <c r="AX53" s="30"/>
      <c r="AY53" s="32">
        <v>4.2108700719309801E-4</v>
      </c>
      <c r="AZ53" s="30"/>
      <c r="BA53" s="32">
        <v>4.4743232353241999E-3</v>
      </c>
      <c r="BB53" s="30"/>
      <c r="BC53" s="32">
        <v>-1.0016039267590199E-2</v>
      </c>
      <c r="BD53" s="30"/>
      <c r="BE53" s="32"/>
      <c r="BF53" s="30"/>
    </row>
    <row r="54" spans="1:58" x14ac:dyDescent="0.2">
      <c r="A54" s="28">
        <v>1990</v>
      </c>
      <c r="B54" s="28">
        <v>3</v>
      </c>
      <c r="C54" s="32"/>
      <c r="D54" s="30"/>
      <c r="E54" s="32">
        <v>3.0100034086311799E-2</v>
      </c>
      <c r="F54" s="30"/>
      <c r="G54" s="32">
        <v>1.05343309014185E-2</v>
      </c>
      <c r="H54" s="30"/>
      <c r="I54" s="32">
        <v>6.7082949940436704E-3</v>
      </c>
      <c r="J54" s="30"/>
      <c r="K54" s="32">
        <v>3.82603590737483E-3</v>
      </c>
      <c r="L54" s="30"/>
      <c r="M54" s="32">
        <v>1.9565703184893299E-2</v>
      </c>
      <c r="N54" s="30"/>
      <c r="O54" s="32">
        <v>1.65761818030358E-2</v>
      </c>
      <c r="P54" s="30"/>
      <c r="Q54" s="32">
        <v>2.8815048888631198E-5</v>
      </c>
      <c r="R54" s="30"/>
      <c r="S54" s="32">
        <v>1.65473667541472E-2</v>
      </c>
      <c r="T54" s="30"/>
      <c r="U54" s="32">
        <v>1.3697970061658999E-2</v>
      </c>
      <c r="V54" s="30"/>
      <c r="W54" s="32">
        <v>-1.07084486798015E-2</v>
      </c>
      <c r="X54" s="30"/>
      <c r="Y54" s="32">
        <v>2.2010233023677102E-3</v>
      </c>
      <c r="Z54" s="30"/>
      <c r="AA54" s="32">
        <v>1.1492285815874201E-4</v>
      </c>
      <c r="AB54" s="30"/>
      <c r="AC54" s="32">
        <v>7.3499555875468602E-3</v>
      </c>
      <c r="AD54" s="30"/>
      <c r="AE54" s="32">
        <v>1.34284303214081E-2</v>
      </c>
      <c r="AF54" s="30"/>
      <c r="AG54" s="32">
        <v>1.29345162624609E-2</v>
      </c>
      <c r="AH54" s="30"/>
      <c r="AI54" s="32">
        <v>-7.2350327293881104E-3</v>
      </c>
      <c r="AJ54" s="30"/>
      <c r="AK54" s="32">
        <v>2.08610044420897E-3</v>
      </c>
      <c r="AL54" s="30"/>
      <c r="AM54" s="32">
        <v>3.4862326466727801E-3</v>
      </c>
      <c r="AN54" s="30"/>
      <c r="AO54" s="32">
        <v>-1.1556022471112599E-2</v>
      </c>
      <c r="AP54" s="30"/>
      <c r="AQ54" s="32">
        <v>-1.26729662477949E-2</v>
      </c>
      <c r="AR54" s="30"/>
      <c r="AS54" s="32">
        <v>-1.4001322024638099E-3</v>
      </c>
      <c r="AT54" s="30"/>
      <c r="AU54" s="32">
        <v>3.2676185777279203E-2</v>
      </c>
      <c r="AV54" s="30"/>
      <c r="AW54" s="32">
        <v>2.71105127044543E-2</v>
      </c>
      <c r="AX54" s="30"/>
      <c r="AY54" s="32">
        <v>5.5656730728249103E-3</v>
      </c>
      <c r="AZ54" s="30"/>
      <c r="BA54" s="32">
        <v>1.2800705802213E-2</v>
      </c>
      <c r="BB54" s="30"/>
      <c r="BC54" s="32">
        <v>-1.4073098450258699E-2</v>
      </c>
      <c r="BD54" s="30"/>
      <c r="BE54" s="32"/>
      <c r="BF54" s="30"/>
    </row>
    <row r="55" spans="1:58" x14ac:dyDescent="0.2">
      <c r="A55" s="28">
        <v>1990</v>
      </c>
      <c r="B55" s="28">
        <v>4</v>
      </c>
      <c r="C55" s="32"/>
      <c r="D55" s="30"/>
      <c r="E55" s="32">
        <v>2.5237793750511099E-2</v>
      </c>
      <c r="F55" s="30"/>
      <c r="G55" s="32">
        <v>1.33530334908393E-2</v>
      </c>
      <c r="H55" s="30"/>
      <c r="I55" s="32">
        <v>9.2653377976429693E-3</v>
      </c>
      <c r="J55" s="30"/>
      <c r="K55" s="32">
        <v>4.0876956931963802E-3</v>
      </c>
      <c r="L55" s="30"/>
      <c r="M55" s="32">
        <v>1.1884760259671801E-2</v>
      </c>
      <c r="N55" s="30"/>
      <c r="O55" s="32">
        <v>9.1876304717797095E-3</v>
      </c>
      <c r="P55" s="30"/>
      <c r="Q55" s="32">
        <v>1.3080725315196399E-3</v>
      </c>
      <c r="R55" s="30"/>
      <c r="S55" s="32">
        <v>7.87955794026007E-3</v>
      </c>
      <c r="T55" s="30"/>
      <c r="U55" s="32">
        <v>-8.8958291010293802E-3</v>
      </c>
      <c r="V55" s="30"/>
      <c r="W55" s="32">
        <v>1.1592958888921499E-2</v>
      </c>
      <c r="X55" s="30"/>
      <c r="Y55" s="32">
        <v>-8.0643578473458995E-3</v>
      </c>
      <c r="Z55" s="30"/>
      <c r="AA55" s="32">
        <v>1.6457053910543501E-3</v>
      </c>
      <c r="AB55" s="30"/>
      <c r="AC55" s="32">
        <v>8.9263138903753897E-3</v>
      </c>
      <c r="AD55" s="30"/>
      <c r="AE55" s="32">
        <v>6.31802995721744E-3</v>
      </c>
      <c r="AF55" s="30"/>
      <c r="AG55" s="32">
        <v>3.07300048414823E-3</v>
      </c>
      <c r="AH55" s="30"/>
      <c r="AI55" s="32">
        <v>-7.2806084993210403E-3</v>
      </c>
      <c r="AJ55" s="30"/>
      <c r="AK55" s="32">
        <v>-9.7100632384002593E-3</v>
      </c>
      <c r="AL55" s="30"/>
      <c r="AM55" s="32">
        <v>-8.88087606647045E-3</v>
      </c>
      <c r="AN55" s="30"/>
      <c r="AO55" s="32">
        <v>5.7369759799711598E-3</v>
      </c>
      <c r="AP55" s="30"/>
      <c r="AQ55" s="32">
        <v>8.7788513219055203E-3</v>
      </c>
      <c r="AR55" s="30"/>
      <c r="AS55" s="32">
        <v>-8.2918717192980796E-4</v>
      </c>
      <c r="AT55" s="30"/>
      <c r="AU55" s="32">
        <v>1.81196008542189E-2</v>
      </c>
      <c r="AV55" s="30"/>
      <c r="AW55" s="32">
        <v>2.2540663962619101E-2</v>
      </c>
      <c r="AX55" s="30"/>
      <c r="AY55" s="32">
        <v>-4.4210631084001598E-3</v>
      </c>
      <c r="AZ55" s="30"/>
      <c r="BA55" s="32">
        <v>2.8595453909208801E-3</v>
      </c>
      <c r="BB55" s="30"/>
      <c r="BC55" s="32">
        <v>7.9496641499757093E-3</v>
      </c>
      <c r="BD55" s="30"/>
      <c r="BE55" s="32"/>
      <c r="BF55" s="30"/>
    </row>
    <row r="56" spans="1:58" x14ac:dyDescent="0.2">
      <c r="A56" s="28">
        <v>1991</v>
      </c>
      <c r="B56" s="28">
        <v>1</v>
      </c>
      <c r="C56" s="32"/>
      <c r="D56" s="30"/>
      <c r="E56" s="32">
        <v>6.8024069748388299E-3</v>
      </c>
      <c r="F56" s="30"/>
      <c r="G56" s="32">
        <v>1.16871103649953E-2</v>
      </c>
      <c r="H56" s="30"/>
      <c r="I56" s="32">
        <v>7.6724260726600503E-3</v>
      </c>
      <c r="J56" s="30"/>
      <c r="K56" s="32">
        <v>4.01468429233521E-3</v>
      </c>
      <c r="L56" s="30"/>
      <c r="M56" s="32">
        <v>-4.8847033901564304E-3</v>
      </c>
      <c r="N56" s="30"/>
      <c r="O56" s="32">
        <v>-4.6080692757899597E-3</v>
      </c>
      <c r="P56" s="30"/>
      <c r="Q56" s="32">
        <v>-5.6722935273926904E-3</v>
      </c>
      <c r="R56" s="30"/>
      <c r="S56" s="32">
        <v>1.0642242516027301E-3</v>
      </c>
      <c r="T56" s="30"/>
      <c r="U56" s="32">
        <v>-1.30673818762651E-2</v>
      </c>
      <c r="V56" s="30"/>
      <c r="W56" s="32">
        <v>1.27907477618986E-2</v>
      </c>
      <c r="X56" s="30"/>
      <c r="Y56" s="32">
        <v>-8.8650542876865003E-3</v>
      </c>
      <c r="Z56" s="30"/>
      <c r="AA56" s="32">
        <v>3.8099405544756298E-3</v>
      </c>
      <c r="AB56" s="30"/>
      <c r="AC56" s="32">
        <v>4.0198303360335598E-3</v>
      </c>
      <c r="AD56" s="30"/>
      <c r="AE56" s="32">
        <v>-1.1874619779301199E-2</v>
      </c>
      <c r="AF56" s="30"/>
      <c r="AG56" s="32">
        <v>-5.4144767992294097E-3</v>
      </c>
      <c r="AH56" s="30"/>
      <c r="AI56" s="32">
        <v>-2.0988978155792899E-4</v>
      </c>
      <c r="AJ56" s="30"/>
      <c r="AK56" s="32">
        <v>-1.2674994842162101E-2</v>
      </c>
      <c r="AL56" s="30"/>
      <c r="AM56" s="32">
        <v>-1.2862378268143199E-2</v>
      </c>
      <c r="AN56" s="30"/>
      <c r="AO56" s="32">
        <v>1.43603545563304E-3</v>
      </c>
      <c r="AP56" s="30"/>
      <c r="AQ56" s="32">
        <v>9.5114966889720595E-3</v>
      </c>
      <c r="AR56" s="30"/>
      <c r="AS56" s="32">
        <v>1.87383425981115E-4</v>
      </c>
      <c r="AT56" s="30"/>
      <c r="AU56" s="32">
        <v>1.30585444846427E-3</v>
      </c>
      <c r="AV56" s="30"/>
      <c r="AW56" s="32">
        <v>7.0790410892052997E-3</v>
      </c>
      <c r="AX56" s="30"/>
      <c r="AY56" s="32">
        <v>-5.7731866407410301E-3</v>
      </c>
      <c r="AZ56" s="30"/>
      <c r="BA56" s="32">
        <v>-5.5632968591831002E-3</v>
      </c>
      <c r="BB56" s="30"/>
      <c r="BC56" s="32">
        <v>9.6988801149531702E-3</v>
      </c>
      <c r="BD56" s="30"/>
      <c r="BE56" s="32"/>
      <c r="BF56" s="30"/>
    </row>
    <row r="57" spans="1:58" x14ac:dyDescent="0.2">
      <c r="A57" s="28">
        <v>1991</v>
      </c>
      <c r="B57" s="28">
        <v>2</v>
      </c>
      <c r="C57" s="32"/>
      <c r="D57" s="30"/>
      <c r="E57" s="32">
        <v>-2.7424000318419701E-2</v>
      </c>
      <c r="F57" s="30"/>
      <c r="G57" s="32">
        <v>1.3713339520325199E-2</v>
      </c>
      <c r="H57" s="30"/>
      <c r="I57" s="32">
        <v>1.0142753219770701E-2</v>
      </c>
      <c r="J57" s="30"/>
      <c r="K57" s="32">
        <v>3.5705863005545901E-3</v>
      </c>
      <c r="L57" s="30"/>
      <c r="M57" s="32">
        <v>-4.1137339838744902E-2</v>
      </c>
      <c r="N57" s="30"/>
      <c r="O57" s="32">
        <v>-6.3053852253320999E-4</v>
      </c>
      <c r="P57" s="30"/>
      <c r="Q57" s="32">
        <v>-5.3715521472912703E-3</v>
      </c>
      <c r="R57" s="30"/>
      <c r="S57" s="32">
        <v>4.74101362475806E-3</v>
      </c>
      <c r="T57" s="30"/>
      <c r="U57" s="32">
        <v>-3.0524674188879601E-2</v>
      </c>
      <c r="V57" s="30"/>
      <c r="W57" s="32">
        <v>-9.9821271273320706E-3</v>
      </c>
      <c r="X57" s="30"/>
      <c r="Y57" s="32">
        <v>1.4435463371931301E-2</v>
      </c>
      <c r="Z57" s="30"/>
      <c r="AA57" s="32">
        <v>-2.6571072544870698E-2</v>
      </c>
      <c r="AB57" s="30"/>
      <c r="AC57" s="32">
        <v>-2.7590564285146401E-2</v>
      </c>
      <c r="AD57" s="30"/>
      <c r="AE57" s="32">
        <v>-6.5119844545357903E-3</v>
      </c>
      <c r="AF57" s="30"/>
      <c r="AG57" s="32">
        <v>-1.9277846314632099E-3</v>
      </c>
      <c r="AH57" s="30"/>
      <c r="AI57" s="32">
        <v>1.0194917402757001E-3</v>
      </c>
      <c r="AJ57" s="30"/>
      <c r="AK57" s="32">
        <v>4.1006535916801999E-2</v>
      </c>
      <c r="AL57" s="30"/>
      <c r="AM57" s="32">
        <v>3.9158167632979801E-2</v>
      </c>
      <c r="AN57" s="30"/>
      <c r="AO57" s="32">
        <v>7.9142788336669292E-3</v>
      </c>
      <c r="AP57" s="30"/>
      <c r="AQ57" s="32">
        <v>3.7045020586483198E-3</v>
      </c>
      <c r="AR57" s="30"/>
      <c r="AS57" s="32">
        <v>1.8483682838221799E-3</v>
      </c>
      <c r="AT57" s="30"/>
      <c r="AU57" s="32">
        <v>1.19832668999208E-2</v>
      </c>
      <c r="AV57" s="30"/>
      <c r="AW57" s="32">
        <v>1.3082800997792E-2</v>
      </c>
      <c r="AX57" s="30"/>
      <c r="AY57" s="32">
        <v>-1.09953409787127E-3</v>
      </c>
      <c r="AZ57" s="30"/>
      <c r="BA57" s="32">
        <v>-2.1190258381469599E-3</v>
      </c>
      <c r="BB57" s="30"/>
      <c r="BC57" s="32">
        <v>5.55287034247049E-3</v>
      </c>
      <c r="BD57" s="30"/>
      <c r="BE57" s="32"/>
      <c r="BF57" s="30"/>
    </row>
    <row r="58" spans="1:58" x14ac:dyDescent="0.2">
      <c r="A58" s="28">
        <v>1991</v>
      </c>
      <c r="B58" s="28">
        <v>3</v>
      </c>
      <c r="C58" s="32"/>
      <c r="D58" s="30"/>
      <c r="E58" s="32">
        <v>-2.0085350004239302E-2</v>
      </c>
      <c r="F58" s="30"/>
      <c r="G58" s="32">
        <v>1.39226025128145E-2</v>
      </c>
      <c r="H58" s="30"/>
      <c r="I58" s="32">
        <v>1.05516612596062E-2</v>
      </c>
      <c r="J58" s="30"/>
      <c r="K58" s="32">
        <v>3.37094125320827E-3</v>
      </c>
      <c r="L58" s="30"/>
      <c r="M58" s="32">
        <v>-3.4007952517053797E-2</v>
      </c>
      <c r="N58" s="30"/>
      <c r="O58" s="32">
        <v>-8.6000957059763402E-3</v>
      </c>
      <c r="P58" s="30"/>
      <c r="Q58" s="32">
        <v>-6.3144840559476098E-3</v>
      </c>
      <c r="R58" s="30"/>
      <c r="S58" s="32">
        <v>-2.28561165002873E-3</v>
      </c>
      <c r="T58" s="30"/>
      <c r="U58" s="32">
        <v>-2.3352181332223301E-2</v>
      </c>
      <c r="V58" s="30"/>
      <c r="W58" s="32">
        <v>-2.0556754788541901E-3</v>
      </c>
      <c r="X58" s="30"/>
      <c r="Y58" s="32">
        <v>6.8260118877695904E-3</v>
      </c>
      <c r="Z58" s="30"/>
      <c r="AA58" s="32">
        <v>-1.4717369515127999E-3</v>
      </c>
      <c r="AB58" s="30"/>
      <c r="AC58" s="32">
        <v>-4.6269342249838199E-3</v>
      </c>
      <c r="AD58" s="30"/>
      <c r="AE58" s="32">
        <v>-4.8858962371586103E-3</v>
      </c>
      <c r="AF58" s="30"/>
      <c r="AG58" s="32">
        <v>-1.68843076609799E-3</v>
      </c>
      <c r="AH58" s="30"/>
      <c r="AI58" s="32">
        <v>3.1551972734710099E-3</v>
      </c>
      <c r="AJ58" s="30"/>
      <c r="AK58" s="32">
        <v>8.2977488392823907E-3</v>
      </c>
      <c r="AL58" s="30"/>
      <c r="AM58" s="32">
        <v>6.9685914481200997E-3</v>
      </c>
      <c r="AN58" s="30"/>
      <c r="AO58" s="32">
        <v>4.9106310349567896E-3</v>
      </c>
      <c r="AP58" s="30"/>
      <c r="AQ58" s="32">
        <v>2.3533537442369501E-3</v>
      </c>
      <c r="AR58" s="30"/>
      <c r="AS58" s="32">
        <v>1.3291573911622999E-3</v>
      </c>
      <c r="AT58" s="30"/>
      <c r="AU58" s="32">
        <v>6.4103320803543E-3</v>
      </c>
      <c r="AV58" s="30"/>
      <c r="AW58" s="32">
        <v>5.3225068068381504E-3</v>
      </c>
      <c r="AX58" s="30"/>
      <c r="AY58" s="32">
        <v>1.08782527351615E-3</v>
      </c>
      <c r="AZ58" s="30"/>
      <c r="BA58" s="32">
        <v>-2.0673719999548599E-3</v>
      </c>
      <c r="BB58" s="30"/>
      <c r="BC58" s="32">
        <v>3.6825111353992498E-3</v>
      </c>
      <c r="BD58" s="30"/>
      <c r="BE58" s="32"/>
      <c r="BF58" s="30"/>
    </row>
    <row r="59" spans="1:58" x14ac:dyDescent="0.2">
      <c r="A59" s="28">
        <v>1991</v>
      </c>
      <c r="B59" s="28">
        <v>4</v>
      </c>
      <c r="C59" s="32"/>
      <c r="D59" s="30"/>
      <c r="E59" s="32">
        <v>-2.01584965301683E-2</v>
      </c>
      <c r="F59" s="30"/>
      <c r="G59" s="32">
        <v>1.2893885590264101E-2</v>
      </c>
      <c r="H59" s="30"/>
      <c r="I59" s="32">
        <v>1.0231913068951701E-2</v>
      </c>
      <c r="J59" s="30"/>
      <c r="K59" s="32">
        <v>2.6619725213124302E-3</v>
      </c>
      <c r="L59" s="30"/>
      <c r="M59" s="32">
        <v>-3.3052382120432398E-2</v>
      </c>
      <c r="N59" s="30"/>
      <c r="O59" s="32">
        <v>-1.0247325823156499E-2</v>
      </c>
      <c r="P59" s="30"/>
      <c r="Q59" s="32">
        <v>-8.6740556746878802E-4</v>
      </c>
      <c r="R59" s="30"/>
      <c r="S59" s="32">
        <v>-9.3799202556876897E-3</v>
      </c>
      <c r="T59" s="30"/>
      <c r="U59" s="32">
        <v>-1.5632399375949398E-2</v>
      </c>
      <c r="V59" s="30"/>
      <c r="W59" s="32">
        <v>-7.17265692132659E-3</v>
      </c>
      <c r="X59" s="30"/>
      <c r="Y59" s="32">
        <v>1.1921481924248901E-2</v>
      </c>
      <c r="Z59" s="30"/>
      <c r="AA59" s="32">
        <v>-8.18931934781804E-4</v>
      </c>
      <c r="AB59" s="30"/>
      <c r="AC59" s="32">
        <v>-7.5029822644384001E-3</v>
      </c>
      <c r="AD59" s="30"/>
      <c r="AE59" s="32">
        <v>-6.6070432265984299E-4</v>
      </c>
      <c r="AF59" s="30"/>
      <c r="AG59" s="32">
        <v>2.4030461307578401E-3</v>
      </c>
      <c r="AH59" s="30"/>
      <c r="AI59" s="32">
        <v>6.6840503296566002E-3</v>
      </c>
      <c r="AJ59" s="30"/>
      <c r="AK59" s="32">
        <v>1.27404138590307E-2</v>
      </c>
      <c r="AL59" s="30"/>
      <c r="AM59" s="32">
        <v>1.4136994490324699E-2</v>
      </c>
      <c r="AN59" s="30"/>
      <c r="AO59" s="32">
        <v>5.11713763341296E-4</v>
      </c>
      <c r="AP59" s="30"/>
      <c r="AQ59" s="32">
        <v>-2.2356002116272898E-3</v>
      </c>
      <c r="AR59" s="30"/>
      <c r="AS59" s="32">
        <v>-1.3965806312939699E-3</v>
      </c>
      <c r="AT59" s="30"/>
      <c r="AU59" s="32">
        <v>1.10275656129512E-2</v>
      </c>
      <c r="AV59" s="30"/>
      <c r="AW59" s="32">
        <v>2.6465597671076302E-3</v>
      </c>
      <c r="AX59" s="30"/>
      <c r="AY59" s="32">
        <v>8.38100584584359E-3</v>
      </c>
      <c r="AZ59" s="30"/>
      <c r="BA59" s="32">
        <v>1.6969555161869901E-3</v>
      </c>
      <c r="BB59" s="30"/>
      <c r="BC59" s="32">
        <v>-3.6321808429212602E-3</v>
      </c>
      <c r="BD59" s="30"/>
      <c r="BE59" s="32"/>
      <c r="BF59" s="30"/>
    </row>
    <row r="60" spans="1:58" x14ac:dyDescent="0.2">
      <c r="A60" s="28">
        <v>1992</v>
      </c>
      <c r="B60" s="28">
        <v>1</v>
      </c>
      <c r="C60" s="32"/>
      <c r="D60" s="30"/>
      <c r="E60" s="32">
        <v>-2.2624516298244701E-2</v>
      </c>
      <c r="F60" s="30"/>
      <c r="G60" s="32">
        <v>9.5415592143451005E-3</v>
      </c>
      <c r="H60" s="30"/>
      <c r="I60" s="32">
        <v>7.13329945345489E-3</v>
      </c>
      <c r="J60" s="30"/>
      <c r="K60" s="32">
        <v>2.40825976089022E-3</v>
      </c>
      <c r="L60" s="30"/>
      <c r="M60" s="32">
        <v>-3.2166075512589799E-2</v>
      </c>
      <c r="N60" s="30"/>
      <c r="O60" s="32">
        <v>-2.1640597637890401E-2</v>
      </c>
      <c r="P60" s="30"/>
      <c r="Q60" s="32">
        <v>-3.8442273200975001E-3</v>
      </c>
      <c r="R60" s="30"/>
      <c r="S60" s="32">
        <v>-1.7796370317792898E-2</v>
      </c>
      <c r="T60" s="30"/>
      <c r="U60" s="32">
        <v>-1.89010401617296E-3</v>
      </c>
      <c r="V60" s="30"/>
      <c r="W60" s="32">
        <v>-8.6353738585264808E-3</v>
      </c>
      <c r="X60" s="30"/>
      <c r="Y60" s="32">
        <v>2.35153777943077E-2</v>
      </c>
      <c r="Z60" s="30"/>
      <c r="AA60" s="32">
        <v>7.6649066020433396E-3</v>
      </c>
      <c r="AB60" s="30"/>
      <c r="AC60" s="32">
        <v>2.4589853382341901E-3</v>
      </c>
      <c r="AD60" s="30"/>
      <c r="AE60" s="32">
        <v>1.1329303401392E-2</v>
      </c>
      <c r="AF60" s="30"/>
      <c r="AG60" s="32">
        <v>1.22232966892279E-2</v>
      </c>
      <c r="AH60" s="30"/>
      <c r="AI60" s="32">
        <v>5.2059212638091504E-3</v>
      </c>
      <c r="AJ60" s="30"/>
      <c r="AK60" s="32">
        <v>1.58504711922643E-2</v>
      </c>
      <c r="AL60" s="30"/>
      <c r="AM60" s="32">
        <v>1.9431356598877701E-2</v>
      </c>
      <c r="AN60" s="30"/>
      <c r="AO60" s="32">
        <v>1.33195663659078E-2</v>
      </c>
      <c r="AP60" s="30"/>
      <c r="AQ60" s="32">
        <v>2.2090828500188099E-3</v>
      </c>
      <c r="AR60" s="30"/>
      <c r="AS60" s="32">
        <v>-3.58088540661336E-3</v>
      </c>
      <c r="AT60" s="30"/>
      <c r="AU60" s="32">
        <v>4.1527680688304997E-3</v>
      </c>
      <c r="AV60" s="30"/>
      <c r="AW60" s="32">
        <v>-1.2099038423545301E-2</v>
      </c>
      <c r="AX60" s="30"/>
      <c r="AY60" s="32">
        <v>1.62518064923758E-2</v>
      </c>
      <c r="AZ60" s="30"/>
      <c r="BA60" s="32">
        <v>1.10458852285666E-2</v>
      </c>
      <c r="BB60" s="30"/>
      <c r="BC60" s="32">
        <v>-1.3718025565945501E-3</v>
      </c>
      <c r="BD60" s="30"/>
      <c r="BE60" s="32"/>
      <c r="BF60" s="30"/>
    </row>
    <row r="61" spans="1:58" x14ac:dyDescent="0.2">
      <c r="A61" s="28">
        <v>1992</v>
      </c>
      <c r="B61" s="28">
        <v>2</v>
      </c>
      <c r="C61" s="32"/>
      <c r="D61" s="30"/>
      <c r="E61" s="32">
        <v>-1.2777670954508E-2</v>
      </c>
      <c r="F61" s="30"/>
      <c r="G61" s="32">
        <v>5.8021212166512104E-3</v>
      </c>
      <c r="H61" s="30"/>
      <c r="I61" s="32">
        <v>3.9755571886218996E-3</v>
      </c>
      <c r="J61" s="30"/>
      <c r="K61" s="32">
        <v>1.8265640280293099E-3</v>
      </c>
      <c r="L61" s="30"/>
      <c r="M61" s="32">
        <v>-1.8579792171159199E-2</v>
      </c>
      <c r="N61" s="30"/>
      <c r="O61" s="32">
        <v>-2.8269041910646799E-2</v>
      </c>
      <c r="P61" s="30"/>
      <c r="Q61" s="32">
        <v>-2.6873472305955098E-3</v>
      </c>
      <c r="R61" s="30"/>
      <c r="S61" s="32">
        <v>-2.5581694680051299E-2</v>
      </c>
      <c r="T61" s="30"/>
      <c r="U61" s="32">
        <v>9.1889202923603995E-3</v>
      </c>
      <c r="V61" s="30"/>
      <c r="W61" s="32">
        <v>5.0032944712723702E-4</v>
      </c>
      <c r="X61" s="30"/>
      <c r="Y61" s="32">
        <v>1.7165028378634602E-2</v>
      </c>
      <c r="Z61" s="30"/>
      <c r="AA61" s="32">
        <v>2.47256909817044E-2</v>
      </c>
      <c r="AB61" s="30"/>
      <c r="AC61" s="32">
        <v>2.3192185824731801E-2</v>
      </c>
      <c r="AD61" s="30"/>
      <c r="AE61" s="32">
        <v>1.3380773569991599E-2</v>
      </c>
      <c r="AF61" s="30"/>
      <c r="AG61" s="32">
        <v>1.24336065877444E-2</v>
      </c>
      <c r="AH61" s="30"/>
      <c r="AI61" s="32">
        <v>1.5335051569726899E-3</v>
      </c>
      <c r="AJ61" s="30"/>
      <c r="AK61" s="32">
        <v>-7.5606626030697904E-3</v>
      </c>
      <c r="AL61" s="30"/>
      <c r="AM61" s="32">
        <v>-1.77588729666215E-3</v>
      </c>
      <c r="AN61" s="30"/>
      <c r="AO61" s="32">
        <v>1.31157476397782E-2</v>
      </c>
      <c r="AP61" s="30"/>
      <c r="AQ61" s="32">
        <v>1.09414451614324E-2</v>
      </c>
      <c r="AR61" s="30"/>
      <c r="AS61" s="32">
        <v>-5.7847753064076404E-3</v>
      </c>
      <c r="AT61" s="30"/>
      <c r="AU61" s="32">
        <v>-9.9582327232585494E-3</v>
      </c>
      <c r="AV61" s="30"/>
      <c r="AW61" s="32">
        <v>-2.2466920693995598E-2</v>
      </c>
      <c r="AX61" s="30"/>
      <c r="AY61" s="32">
        <v>1.2508687970737099E-2</v>
      </c>
      <c r="AZ61" s="30"/>
      <c r="BA61" s="32">
        <v>1.09751828137644E-2</v>
      </c>
      <c r="BB61" s="30"/>
      <c r="BC61" s="32">
        <v>5.1566698550248001E-3</v>
      </c>
      <c r="BD61" s="30"/>
      <c r="BE61" s="32"/>
      <c r="BF61" s="30"/>
    </row>
    <row r="62" spans="1:58" x14ac:dyDescent="0.2">
      <c r="A62" s="28">
        <v>1992</v>
      </c>
      <c r="B62" s="28">
        <v>3</v>
      </c>
      <c r="C62" s="32"/>
      <c r="D62" s="30"/>
      <c r="E62" s="32">
        <v>2.3683070672612301E-4</v>
      </c>
      <c r="F62" s="30"/>
      <c r="G62" s="32">
        <v>1.63291405951484E-3</v>
      </c>
      <c r="H62" s="30"/>
      <c r="I62" s="32">
        <v>1.79130339382607E-3</v>
      </c>
      <c r="J62" s="30"/>
      <c r="K62" s="32">
        <v>-1.5838933431123499E-4</v>
      </c>
      <c r="L62" s="30"/>
      <c r="M62" s="32">
        <v>-1.3960833527887099E-3</v>
      </c>
      <c r="N62" s="30"/>
      <c r="O62" s="32">
        <v>-3.3859786344858603E-2</v>
      </c>
      <c r="P62" s="30"/>
      <c r="Q62" s="32">
        <v>-4.1152318533209803E-3</v>
      </c>
      <c r="R62" s="30"/>
      <c r="S62" s="32">
        <v>-2.9744554491537602E-2</v>
      </c>
      <c r="T62" s="30"/>
      <c r="U62" s="32">
        <v>2.2236648012194202E-2</v>
      </c>
      <c r="V62" s="30"/>
      <c r="W62" s="32">
        <v>1.0227054979875701E-2</v>
      </c>
      <c r="X62" s="30"/>
      <c r="Y62" s="32">
        <v>1.09308396334238E-4</v>
      </c>
      <c r="Z62" s="30"/>
      <c r="AA62" s="32">
        <v>1.5955800356658001E-2</v>
      </c>
      <c r="AB62" s="30"/>
      <c r="AC62" s="32">
        <v>1.4725322351732901E-2</v>
      </c>
      <c r="AD62" s="30"/>
      <c r="AE62" s="32">
        <v>8.1698344557705194E-3</v>
      </c>
      <c r="AF62" s="30"/>
      <c r="AG62" s="32">
        <v>9.0690226625696705E-3</v>
      </c>
      <c r="AH62" s="30"/>
      <c r="AI62" s="32">
        <v>1.23047800492515E-3</v>
      </c>
      <c r="AJ62" s="30"/>
      <c r="AK62" s="32">
        <v>-1.58464919603238E-2</v>
      </c>
      <c r="AL62" s="30"/>
      <c r="AM62" s="32">
        <v>-6.0453861874513997E-3</v>
      </c>
      <c r="AN62" s="30"/>
      <c r="AO62" s="32">
        <v>9.4973700345783608E-3</v>
      </c>
      <c r="AP62" s="30"/>
      <c r="AQ62" s="32">
        <v>1.1311355452296E-2</v>
      </c>
      <c r="AR62" s="30"/>
      <c r="AS62" s="32">
        <v>-9.8011057728723608E-3</v>
      </c>
      <c r="AT62" s="30"/>
      <c r="AU62" s="32">
        <v>-2.3400758588557499E-2</v>
      </c>
      <c r="AV62" s="30"/>
      <c r="AW62" s="32">
        <v>-3.2226872285343801E-2</v>
      </c>
      <c r="AX62" s="30"/>
      <c r="AY62" s="32">
        <v>8.8261136967862901E-3</v>
      </c>
      <c r="AZ62" s="30"/>
      <c r="BA62" s="32">
        <v>7.5956356918611403E-3</v>
      </c>
      <c r="BB62" s="30"/>
      <c r="BC62" s="32">
        <v>1.5102496794236499E-3</v>
      </c>
      <c r="BD62" s="30"/>
      <c r="BE62" s="32"/>
      <c r="BF62" s="30"/>
    </row>
    <row r="63" spans="1:58" x14ac:dyDescent="0.2">
      <c r="A63" s="28">
        <v>1992</v>
      </c>
      <c r="B63" s="28">
        <v>4</v>
      </c>
      <c r="C63" s="32"/>
      <c r="D63" s="30"/>
      <c r="E63" s="32">
        <v>-8.4944851382672496E-3</v>
      </c>
      <c r="F63" s="30"/>
      <c r="G63" s="32">
        <v>-4.5385284094729E-3</v>
      </c>
      <c r="H63" s="30"/>
      <c r="I63" s="32">
        <v>-2.6081269976846802E-3</v>
      </c>
      <c r="J63" s="30"/>
      <c r="K63" s="32">
        <v>-1.9304014117882201E-3</v>
      </c>
      <c r="L63" s="30"/>
      <c r="M63" s="32">
        <v>-3.9559567287943496E-3</v>
      </c>
      <c r="N63" s="30"/>
      <c r="O63" s="32">
        <v>-1.85991097005597E-2</v>
      </c>
      <c r="P63" s="30"/>
      <c r="Q63" s="32">
        <v>5.9327281461422398E-3</v>
      </c>
      <c r="R63" s="30"/>
      <c r="S63" s="32">
        <v>-2.4531837846702001E-2</v>
      </c>
      <c r="T63" s="30"/>
      <c r="U63" s="32">
        <v>4.2204137744903903E-3</v>
      </c>
      <c r="V63" s="30"/>
      <c r="W63" s="32">
        <v>1.0422739197275E-2</v>
      </c>
      <c r="X63" s="30"/>
      <c r="Y63" s="32">
        <v>1.2830404381196901E-3</v>
      </c>
      <c r="Z63" s="30"/>
      <c r="AA63" s="32">
        <v>1.3734249229407899E-2</v>
      </c>
      <c r="AB63" s="30"/>
      <c r="AC63" s="32">
        <v>1.0731031879757999E-2</v>
      </c>
      <c r="AD63" s="30"/>
      <c r="AE63" s="32">
        <v>3.4851697203060601E-4</v>
      </c>
      <c r="AF63" s="30"/>
      <c r="AG63" s="32">
        <v>2.7433539486260302E-3</v>
      </c>
      <c r="AH63" s="30"/>
      <c r="AI63" s="32">
        <v>3.00321734964992E-3</v>
      </c>
      <c r="AJ63" s="30"/>
      <c r="AK63" s="32">
        <v>-1.24512087912882E-2</v>
      </c>
      <c r="AL63" s="30"/>
      <c r="AM63" s="32">
        <v>-4.8175291445340402E-3</v>
      </c>
      <c r="AN63" s="30"/>
      <c r="AO63" s="32">
        <v>1.03696859237514E-2</v>
      </c>
      <c r="AP63" s="30"/>
      <c r="AQ63" s="32">
        <v>1.4906357831322299E-2</v>
      </c>
      <c r="AR63" s="30"/>
      <c r="AS63" s="32">
        <v>-7.6336796467541797E-3</v>
      </c>
      <c r="AT63" s="30"/>
      <c r="AU63" s="32">
        <v>-1.87045366592061E-2</v>
      </c>
      <c r="AV63" s="30"/>
      <c r="AW63" s="32">
        <v>-2.31376381100326E-2</v>
      </c>
      <c r="AX63" s="30"/>
      <c r="AY63" s="32">
        <v>4.4331014508265801E-3</v>
      </c>
      <c r="AZ63" s="30"/>
      <c r="BA63" s="32">
        <v>1.4298841011766599E-3</v>
      </c>
      <c r="BB63" s="30"/>
      <c r="BC63" s="32">
        <v>7.2726781845681102E-3</v>
      </c>
      <c r="BD63" s="30"/>
      <c r="BE63" s="32"/>
      <c r="BF63" s="30"/>
    </row>
    <row r="64" spans="1:58" x14ac:dyDescent="0.2">
      <c r="A64" s="28">
        <v>1993</v>
      </c>
      <c r="B64" s="28">
        <v>1</v>
      </c>
      <c r="C64" s="32"/>
      <c r="D64" s="30"/>
      <c r="E64" s="32">
        <v>-2.62188590362873E-2</v>
      </c>
      <c r="F64" s="30"/>
      <c r="G64" s="32">
        <v>-6.95402243769477E-3</v>
      </c>
      <c r="H64" s="30"/>
      <c r="I64" s="32">
        <v>-5.1932851346134599E-3</v>
      </c>
      <c r="J64" s="30"/>
      <c r="K64" s="32">
        <v>-1.7607373030813099E-3</v>
      </c>
      <c r="L64" s="30"/>
      <c r="M64" s="32">
        <v>-1.9264836598592499E-2</v>
      </c>
      <c r="N64" s="30"/>
      <c r="O64" s="32">
        <v>-2.3986488195992101E-2</v>
      </c>
      <c r="P64" s="30"/>
      <c r="Q64" s="32">
        <v>-4.1345068537902204E-3</v>
      </c>
      <c r="R64" s="30"/>
      <c r="S64" s="32">
        <v>-1.98519813422019E-2</v>
      </c>
      <c r="T64" s="30"/>
      <c r="U64" s="32">
        <v>6.26475109541172E-3</v>
      </c>
      <c r="V64" s="30"/>
      <c r="W64" s="32">
        <v>-1.54309949801216E-3</v>
      </c>
      <c r="X64" s="30"/>
      <c r="Y64" s="32">
        <v>7.0612047204559004E-3</v>
      </c>
      <c r="Z64" s="30"/>
      <c r="AA64" s="32">
        <v>9.94590903693429E-3</v>
      </c>
      <c r="AB64" s="30"/>
      <c r="AC64" s="32">
        <v>7.9770109182565503E-3</v>
      </c>
      <c r="AD64" s="30"/>
      <c r="AE64" s="32">
        <v>-2.1772807183505199E-3</v>
      </c>
      <c r="AF64" s="30"/>
      <c r="AG64" s="32">
        <v>-7.3134419819894997E-3</v>
      </c>
      <c r="AH64" s="30"/>
      <c r="AI64" s="32">
        <v>1.9688981186777401E-3</v>
      </c>
      <c r="AJ64" s="30"/>
      <c r="AK64" s="32">
        <v>-2.8847043164784E-3</v>
      </c>
      <c r="AL64" s="30"/>
      <c r="AM64" s="32">
        <v>2.1885235761628201E-3</v>
      </c>
      <c r="AN64" s="30"/>
      <c r="AO64" s="32">
        <v>1.28747130269775E-2</v>
      </c>
      <c r="AP64" s="30"/>
      <c r="AQ64" s="32">
        <v>1.6868109636772301E-2</v>
      </c>
      <c r="AR64" s="30"/>
      <c r="AS64" s="32">
        <v>-5.0732278926412201E-3</v>
      </c>
      <c r="AT64" s="30"/>
      <c r="AU64" s="32">
        <v>-3.7217287155374201E-2</v>
      </c>
      <c r="AV64" s="30"/>
      <c r="AW64" s="32">
        <v>-3.0940510633686798E-2</v>
      </c>
      <c r="AX64" s="30"/>
      <c r="AY64" s="32">
        <v>-6.2767765216873196E-3</v>
      </c>
      <c r="AZ64" s="30"/>
      <c r="BA64" s="32">
        <v>-8.2456746403650593E-3</v>
      </c>
      <c r="BB64" s="30"/>
      <c r="BC64" s="32">
        <v>1.1794881744131101E-2</v>
      </c>
      <c r="BD64" s="30"/>
      <c r="BE64" s="32"/>
      <c r="BF64" s="30"/>
    </row>
    <row r="65" spans="1:58" x14ac:dyDescent="0.2">
      <c r="A65" s="28">
        <v>1993</v>
      </c>
      <c r="B65" s="28">
        <v>2</v>
      </c>
      <c r="C65" s="32"/>
      <c r="D65" s="30"/>
      <c r="E65" s="32">
        <v>-1.1182984811156E-2</v>
      </c>
      <c r="F65" s="30"/>
      <c r="G65" s="32">
        <v>-4.7157887614210602E-3</v>
      </c>
      <c r="H65" s="30"/>
      <c r="I65" s="32">
        <v>-4.5216389938538704E-3</v>
      </c>
      <c r="J65" s="30"/>
      <c r="K65" s="32">
        <v>-1.9414976756718899E-4</v>
      </c>
      <c r="L65" s="30"/>
      <c r="M65" s="32">
        <v>-6.4671960497349303E-3</v>
      </c>
      <c r="N65" s="30"/>
      <c r="O65" s="32">
        <v>-1.64432530912666E-2</v>
      </c>
      <c r="P65" s="30"/>
      <c r="Q65" s="32">
        <v>-3.4220611100167801E-3</v>
      </c>
      <c r="R65" s="30"/>
      <c r="S65" s="32">
        <v>-1.30211919812498E-2</v>
      </c>
      <c r="T65" s="30"/>
      <c r="U65" s="32">
        <v>9.5857069416219794E-3</v>
      </c>
      <c r="V65" s="30"/>
      <c r="W65" s="32">
        <v>3.90350099909689E-4</v>
      </c>
      <c r="X65" s="30"/>
      <c r="Y65" s="32">
        <v>2.4973348053733001E-3</v>
      </c>
      <c r="Z65" s="30"/>
      <c r="AA65" s="32">
        <v>-7.3794698861529102E-3</v>
      </c>
      <c r="AB65" s="30"/>
      <c r="AC65" s="32">
        <v>-1.0424311022705E-2</v>
      </c>
      <c r="AD65" s="30"/>
      <c r="AE65" s="32">
        <v>1.06672519470512E-3</v>
      </c>
      <c r="AF65" s="30"/>
      <c r="AG65" s="32">
        <v>-1.28498264849256E-3</v>
      </c>
      <c r="AH65" s="30"/>
      <c r="AI65" s="32">
        <v>3.0448411365520899E-3</v>
      </c>
      <c r="AJ65" s="30"/>
      <c r="AK65" s="32">
        <v>9.8768046915262107E-3</v>
      </c>
      <c r="AL65" s="30"/>
      <c r="AM65" s="32">
        <v>1.54327311537468E-2</v>
      </c>
      <c r="AN65" s="30"/>
      <c r="AO65" s="32">
        <v>6.5192697679554703E-3</v>
      </c>
      <c r="AP65" s="30"/>
      <c r="AQ65" s="32">
        <v>7.2048590574160399E-3</v>
      </c>
      <c r="AR65" s="30"/>
      <c r="AS65" s="32">
        <v>-5.5559264622206004E-3</v>
      </c>
      <c r="AT65" s="30"/>
      <c r="AU65" s="32">
        <v>-1.9920289542600101E-2</v>
      </c>
      <c r="AV65" s="30"/>
      <c r="AW65" s="32">
        <v>-2.1159041852687702E-2</v>
      </c>
      <c r="AX65" s="30"/>
      <c r="AY65" s="32">
        <v>1.2387523100875399E-3</v>
      </c>
      <c r="AZ65" s="30"/>
      <c r="BA65" s="32">
        <v>-1.80608882646454E-3</v>
      </c>
      <c r="BB65" s="30"/>
      <c r="BC65" s="32">
        <v>1.6489325951954399E-3</v>
      </c>
      <c r="BD65" s="30"/>
      <c r="BE65" s="32"/>
      <c r="BF65" s="30"/>
    </row>
    <row r="66" spans="1:58" x14ac:dyDescent="0.2">
      <c r="A66" s="28">
        <v>1993</v>
      </c>
      <c r="B66" s="28">
        <v>3</v>
      </c>
      <c r="C66" s="32"/>
      <c r="D66" s="30"/>
      <c r="E66" s="32">
        <v>6.0948750046663997E-3</v>
      </c>
      <c r="F66" s="30"/>
      <c r="G66" s="32">
        <v>2.15682032272353E-3</v>
      </c>
      <c r="H66" s="30"/>
      <c r="I66" s="32">
        <v>1.1149730905089599E-3</v>
      </c>
      <c r="J66" s="30"/>
      <c r="K66" s="32">
        <v>1.0418472322145599E-3</v>
      </c>
      <c r="L66" s="30"/>
      <c r="M66" s="32">
        <v>3.9380546819428796E-3</v>
      </c>
      <c r="N66" s="30"/>
      <c r="O66" s="32">
        <v>-5.2822375714540902E-3</v>
      </c>
      <c r="P66" s="30"/>
      <c r="Q66" s="32">
        <v>-2.07473438919891E-3</v>
      </c>
      <c r="R66" s="30"/>
      <c r="S66" s="32">
        <v>-3.2075031822551901E-3</v>
      </c>
      <c r="T66" s="30"/>
      <c r="U66" s="32">
        <v>7.2044230110626601E-3</v>
      </c>
      <c r="V66" s="30"/>
      <c r="W66" s="32">
        <v>2.0158692423343102E-3</v>
      </c>
      <c r="X66" s="30"/>
      <c r="Y66" s="32">
        <v>2.8071475068589501E-5</v>
      </c>
      <c r="Z66" s="30"/>
      <c r="AA66" s="32">
        <v>-1.29633340120514E-2</v>
      </c>
      <c r="AB66" s="30"/>
      <c r="AC66" s="32">
        <v>-1.6580943524868798E-2</v>
      </c>
      <c r="AD66" s="30"/>
      <c r="AE66" s="32">
        <v>-1.21705914434094E-3</v>
      </c>
      <c r="AF66" s="30"/>
      <c r="AG66" s="32">
        <v>3.5572337017525501E-3</v>
      </c>
      <c r="AH66" s="30"/>
      <c r="AI66" s="32">
        <v>3.61760951281739E-3</v>
      </c>
      <c r="AJ66" s="30"/>
      <c r="AK66" s="32">
        <v>1.299140548712E-2</v>
      </c>
      <c r="AL66" s="30"/>
      <c r="AM66" s="32">
        <v>1.785641211356E-2</v>
      </c>
      <c r="AN66" s="30"/>
      <c r="AO66" s="32">
        <v>1.69304274639035E-3</v>
      </c>
      <c r="AP66" s="30"/>
      <c r="AQ66" s="32">
        <v>-1.0905653193168799E-4</v>
      </c>
      <c r="AR66" s="30"/>
      <c r="AS66" s="32">
        <v>-4.8650066264399596E-3</v>
      </c>
      <c r="AT66" s="30"/>
      <c r="AU66" s="32">
        <v>3.8925866270439801E-3</v>
      </c>
      <c r="AV66" s="30"/>
      <c r="AW66" s="32">
        <v>-3.1254172487305701E-3</v>
      </c>
      <c r="AX66" s="30"/>
      <c r="AY66" s="32">
        <v>7.0180038757745502E-3</v>
      </c>
      <c r="AZ66" s="30"/>
      <c r="BA66" s="32">
        <v>3.4003943629571601E-3</v>
      </c>
      <c r="BB66" s="30"/>
      <c r="BC66" s="32">
        <v>-4.9740631583716499E-3</v>
      </c>
      <c r="BD66" s="30"/>
      <c r="BE66" s="32"/>
      <c r="BF66" s="30"/>
    </row>
    <row r="67" spans="1:58" x14ac:dyDescent="0.2">
      <c r="A67" s="28">
        <v>1993</v>
      </c>
      <c r="B67" s="28">
        <v>4</v>
      </c>
      <c r="C67" s="32"/>
      <c r="D67" s="30"/>
      <c r="E67" s="32">
        <v>1.6702972408208099E-2</v>
      </c>
      <c r="F67" s="30"/>
      <c r="G67" s="32">
        <v>3.8392545517951099E-3</v>
      </c>
      <c r="H67" s="30"/>
      <c r="I67" s="32">
        <v>3.6553337763455901E-4</v>
      </c>
      <c r="J67" s="30"/>
      <c r="K67" s="32">
        <v>3.4737211741605501E-3</v>
      </c>
      <c r="L67" s="30"/>
      <c r="M67" s="32">
        <v>1.2863717856413E-2</v>
      </c>
      <c r="N67" s="30"/>
      <c r="O67" s="32">
        <v>5.7901499539014401E-3</v>
      </c>
      <c r="P67" s="30"/>
      <c r="Q67" s="32">
        <v>4.55310300937196E-3</v>
      </c>
      <c r="R67" s="30"/>
      <c r="S67" s="32">
        <v>1.2370469445294699E-3</v>
      </c>
      <c r="T67" s="30"/>
      <c r="U67" s="32">
        <v>1.3579955047405501E-2</v>
      </c>
      <c r="V67" s="30"/>
      <c r="W67" s="32">
        <v>-6.5063871448939299E-3</v>
      </c>
      <c r="X67" s="30"/>
      <c r="Y67" s="32">
        <v>-3.0435058875316802E-4</v>
      </c>
      <c r="Z67" s="30"/>
      <c r="AA67" s="32">
        <v>7.5125970985297696E-4</v>
      </c>
      <c r="AB67" s="30"/>
      <c r="AC67" s="32">
        <v>-5.2219064382901699E-3</v>
      </c>
      <c r="AD67" s="30"/>
      <c r="AE67" s="32">
        <v>6.5229622967251603E-3</v>
      </c>
      <c r="AF67" s="30"/>
      <c r="AG67" s="32">
        <v>6.54184636467188E-3</v>
      </c>
      <c r="AH67" s="30"/>
      <c r="AI67" s="32">
        <v>5.9731661481431404E-3</v>
      </c>
      <c r="AJ67" s="30"/>
      <c r="AK67" s="32">
        <v>-1.05561029860615E-3</v>
      </c>
      <c r="AL67" s="30"/>
      <c r="AM67" s="32">
        <v>3.8554941653479698E-3</v>
      </c>
      <c r="AN67" s="30"/>
      <c r="AO67" s="32">
        <v>-1.29852087376203E-2</v>
      </c>
      <c r="AP67" s="30"/>
      <c r="AQ67" s="32">
        <v>-1.4572853436081499E-2</v>
      </c>
      <c r="AR67" s="30"/>
      <c r="AS67" s="32">
        <v>-4.9111044639541098E-3</v>
      </c>
      <c r="AT67" s="30"/>
      <c r="AU67" s="32">
        <v>2.2302624672085099E-2</v>
      </c>
      <c r="AV67" s="30"/>
      <c r="AW67" s="32">
        <v>9.62940450569655E-3</v>
      </c>
      <c r="AX67" s="30"/>
      <c r="AY67" s="32">
        <v>1.2673220166388501E-2</v>
      </c>
      <c r="AZ67" s="30"/>
      <c r="BA67" s="32">
        <v>6.7000540182453596E-3</v>
      </c>
      <c r="BB67" s="30"/>
      <c r="BC67" s="32">
        <v>-1.9483957900035601E-2</v>
      </c>
      <c r="BD67" s="30"/>
      <c r="BE67" s="32"/>
      <c r="BF67" s="30"/>
    </row>
    <row r="68" spans="1:58" x14ac:dyDescent="0.2">
      <c r="A68" s="28">
        <v>1994</v>
      </c>
      <c r="B68" s="28">
        <v>1</v>
      </c>
      <c r="C68" s="32"/>
      <c r="D68" s="30"/>
      <c r="E68" s="32">
        <v>3.31495725390255E-2</v>
      </c>
      <c r="F68" s="30"/>
      <c r="G68" s="32">
        <v>1.13922003933666E-2</v>
      </c>
      <c r="H68" s="30"/>
      <c r="I68" s="32">
        <v>7.2411784165780004E-3</v>
      </c>
      <c r="J68" s="30"/>
      <c r="K68" s="32">
        <v>4.15102197678864E-3</v>
      </c>
      <c r="L68" s="30"/>
      <c r="M68" s="32">
        <v>2.1757372145658802E-2</v>
      </c>
      <c r="N68" s="30"/>
      <c r="O68" s="32">
        <v>-2.2150011970230401E-3</v>
      </c>
      <c r="P68" s="30"/>
      <c r="Q68" s="32">
        <v>-1.53223542343937E-3</v>
      </c>
      <c r="R68" s="30"/>
      <c r="S68" s="32">
        <v>-6.8276577358366598E-4</v>
      </c>
      <c r="T68" s="30"/>
      <c r="U68" s="32">
        <v>2.5258887304913401E-2</v>
      </c>
      <c r="V68" s="30"/>
      <c r="W68" s="32">
        <v>-1.28651396223157E-3</v>
      </c>
      <c r="X68" s="30"/>
      <c r="Y68" s="32">
        <v>-6.2228322288998099E-3</v>
      </c>
      <c r="Z68" s="30"/>
      <c r="AA68" s="32">
        <v>-7.8562974912171398E-3</v>
      </c>
      <c r="AB68" s="30"/>
      <c r="AC68" s="32">
        <v>-1.2697931322605801E-2</v>
      </c>
      <c r="AD68" s="30"/>
      <c r="AE68" s="32">
        <v>9.6171316063436707E-3</v>
      </c>
      <c r="AF68" s="30"/>
      <c r="AG68" s="32">
        <v>1.44846568500004E-2</v>
      </c>
      <c r="AH68" s="30"/>
      <c r="AI68" s="32">
        <v>4.8416338313886599E-3</v>
      </c>
      <c r="AJ68" s="30"/>
      <c r="AK68" s="32">
        <v>1.6334652623173299E-3</v>
      </c>
      <c r="AL68" s="30"/>
      <c r="AM68" s="32">
        <v>9.7729609763513893E-3</v>
      </c>
      <c r="AN68" s="30"/>
      <c r="AO68" s="32">
        <v>-1.7284026814569201E-2</v>
      </c>
      <c r="AP68" s="30"/>
      <c r="AQ68" s="32">
        <v>-1.9192920059717501E-2</v>
      </c>
      <c r="AR68" s="30"/>
      <c r="AS68" s="32">
        <v>-8.1394957140340594E-3</v>
      </c>
      <c r="AT68" s="30"/>
      <c r="AU68" s="32">
        <v>2.9000268778963799E-2</v>
      </c>
      <c r="AV68" s="30"/>
      <c r="AW68" s="32">
        <v>9.1771991963435998E-3</v>
      </c>
      <c r="AX68" s="30"/>
      <c r="AY68" s="32">
        <v>1.9823069582620201E-2</v>
      </c>
      <c r="AZ68" s="30"/>
      <c r="BA68" s="32">
        <v>1.49814357512315E-2</v>
      </c>
      <c r="BB68" s="30"/>
      <c r="BC68" s="32">
        <v>-2.73324157737516E-2</v>
      </c>
      <c r="BD68" s="30"/>
      <c r="BE68" s="32"/>
      <c r="BF68" s="30"/>
    </row>
    <row r="69" spans="1:58" x14ac:dyDescent="0.2">
      <c r="A69" s="28">
        <v>1994</v>
      </c>
      <c r="B69" s="28">
        <v>2</v>
      </c>
      <c r="C69" s="32"/>
      <c r="D69" s="30"/>
      <c r="E69" s="32">
        <v>2.6885244293801298E-2</v>
      </c>
      <c r="F69" s="30"/>
      <c r="G69" s="32">
        <v>7.0340877162234803E-3</v>
      </c>
      <c r="H69" s="30"/>
      <c r="I69" s="32">
        <v>5.85308509286605E-3</v>
      </c>
      <c r="J69" s="30"/>
      <c r="K69" s="32">
        <v>1.1810026233574199E-3</v>
      </c>
      <c r="L69" s="30"/>
      <c r="M69" s="32">
        <v>1.98511565775779E-2</v>
      </c>
      <c r="N69" s="30"/>
      <c r="O69" s="32">
        <v>1.0551884300426801E-2</v>
      </c>
      <c r="P69" s="30"/>
      <c r="Q69" s="32">
        <v>1.0771912133007501E-2</v>
      </c>
      <c r="R69" s="30"/>
      <c r="S69" s="32">
        <v>-2.2002783258070501E-4</v>
      </c>
      <c r="T69" s="30"/>
      <c r="U69" s="32">
        <v>1.42919326567678E-2</v>
      </c>
      <c r="V69" s="30"/>
      <c r="W69" s="32">
        <v>-4.9926603796167403E-3</v>
      </c>
      <c r="X69" s="30"/>
      <c r="Y69" s="32">
        <v>-2.2548152230426801E-2</v>
      </c>
      <c r="Z69" s="30"/>
      <c r="AA69" s="32">
        <v>-3.1874791564201698E-3</v>
      </c>
      <c r="AB69" s="30"/>
      <c r="AC69" s="32">
        <v>-2.0544142446957199E-3</v>
      </c>
      <c r="AD69" s="30"/>
      <c r="AE69" s="32">
        <v>-4.6698011013577498E-3</v>
      </c>
      <c r="AF69" s="30"/>
      <c r="AG69" s="32">
        <v>-7.0287014044937302E-4</v>
      </c>
      <c r="AH69" s="30"/>
      <c r="AI69" s="32">
        <v>-1.1330649117244501E-3</v>
      </c>
      <c r="AJ69" s="30"/>
      <c r="AK69" s="32">
        <v>-1.9360673074006698E-2</v>
      </c>
      <c r="AL69" s="30"/>
      <c r="AM69" s="32">
        <v>-1.2901569184079699E-2</v>
      </c>
      <c r="AN69" s="30"/>
      <c r="AO69" s="32">
        <v>-1.57814325063289E-2</v>
      </c>
      <c r="AP69" s="30"/>
      <c r="AQ69" s="32">
        <v>-1.9913128664230399E-2</v>
      </c>
      <c r="AR69" s="30"/>
      <c r="AS69" s="32">
        <v>-6.4591038899269402E-3</v>
      </c>
      <c r="AT69" s="30"/>
      <c r="AU69" s="32">
        <v>1.64173919607641E-2</v>
      </c>
      <c r="AV69" s="30"/>
      <c r="AW69" s="32">
        <v>1.7585972016650301E-2</v>
      </c>
      <c r="AX69" s="30"/>
      <c r="AY69" s="32">
        <v>-1.1685800558862199E-3</v>
      </c>
      <c r="AZ69" s="30"/>
      <c r="BA69" s="32">
        <v>-3.5515144161769498E-5</v>
      </c>
      <c r="BB69" s="30"/>
      <c r="BC69" s="32">
        <v>-2.6372232554157399E-2</v>
      </c>
      <c r="BD69" s="30"/>
      <c r="BE69" s="32"/>
      <c r="BF69" s="30"/>
    </row>
    <row r="70" spans="1:58" x14ac:dyDescent="0.2">
      <c r="A70" s="28">
        <v>1994</v>
      </c>
      <c r="B70" s="28">
        <v>3</v>
      </c>
      <c r="C70" s="32"/>
      <c r="D70" s="30"/>
      <c r="E70" s="32">
        <v>1.5835454662415802E-2</v>
      </c>
      <c r="F70" s="30"/>
      <c r="G70" s="32">
        <v>9.6114416015964394E-3</v>
      </c>
      <c r="H70" s="30"/>
      <c r="I70" s="32">
        <v>6.2366324803147201E-3</v>
      </c>
      <c r="J70" s="30"/>
      <c r="K70" s="32">
        <v>3.3748091212817198E-3</v>
      </c>
      <c r="L70" s="30"/>
      <c r="M70" s="32">
        <v>6.2240130608194003E-3</v>
      </c>
      <c r="N70" s="30"/>
      <c r="O70" s="32">
        <v>1.7304118409896201E-2</v>
      </c>
      <c r="P70" s="30"/>
      <c r="Q70" s="32">
        <v>1.3212718811879499E-2</v>
      </c>
      <c r="R70" s="30"/>
      <c r="S70" s="32">
        <v>4.0913995980167801E-3</v>
      </c>
      <c r="T70" s="30"/>
      <c r="U70" s="32">
        <v>-6.6589081188138399E-4</v>
      </c>
      <c r="V70" s="30"/>
      <c r="W70" s="32">
        <v>-1.04142145371955E-2</v>
      </c>
      <c r="X70" s="30"/>
      <c r="Y70" s="32">
        <v>-5.8218027357762299E-3</v>
      </c>
      <c r="Z70" s="30"/>
      <c r="AA70" s="32">
        <v>1.2660268619598999E-2</v>
      </c>
      <c r="AB70" s="30"/>
      <c r="AC70" s="32">
        <v>1.54615587582922E-2</v>
      </c>
      <c r="AD70" s="30"/>
      <c r="AE70" s="32">
        <v>1.1275004632455701E-2</v>
      </c>
      <c r="AF70" s="30"/>
      <c r="AG70" s="32">
        <v>9.7568020505984596E-3</v>
      </c>
      <c r="AH70" s="30"/>
      <c r="AI70" s="32">
        <v>-2.8012901386932198E-3</v>
      </c>
      <c r="AJ70" s="30"/>
      <c r="AK70" s="32">
        <v>-1.8482071355375201E-2</v>
      </c>
      <c r="AL70" s="30"/>
      <c r="AM70" s="32">
        <v>-1.3129133601740501E-2</v>
      </c>
      <c r="AN70" s="30"/>
      <c r="AO70" s="32">
        <v>-2.0555501383713599E-2</v>
      </c>
      <c r="AP70" s="30"/>
      <c r="AQ70" s="32">
        <v>-1.8704329140335402E-2</v>
      </c>
      <c r="AR70" s="30"/>
      <c r="AS70" s="32">
        <v>-5.35293775363474E-3</v>
      </c>
      <c r="AT70" s="30"/>
      <c r="AU70" s="32">
        <v>3.4736809632491199E-2</v>
      </c>
      <c r="AV70" s="30"/>
      <c r="AW70" s="32">
        <v>2.6915560011492701E-2</v>
      </c>
      <c r="AX70" s="30"/>
      <c r="AY70" s="32">
        <v>7.8212496209984703E-3</v>
      </c>
      <c r="AZ70" s="30"/>
      <c r="BA70" s="32">
        <v>1.06225397596917E-2</v>
      </c>
      <c r="BB70" s="30"/>
      <c r="BC70" s="32">
        <v>-2.4057266893970201E-2</v>
      </c>
      <c r="BD70" s="30"/>
      <c r="BE70" s="32"/>
      <c r="BF70" s="30"/>
    </row>
    <row r="71" spans="1:58" x14ac:dyDescent="0.2">
      <c r="A71" s="28">
        <v>1994</v>
      </c>
      <c r="B71" s="28">
        <v>4</v>
      </c>
      <c r="C71" s="32"/>
      <c r="D71" s="30"/>
      <c r="E71" s="32">
        <v>1.97562519234958E-2</v>
      </c>
      <c r="F71" s="30"/>
      <c r="G71" s="32">
        <v>1.0170025357291199E-2</v>
      </c>
      <c r="H71" s="30"/>
      <c r="I71" s="32">
        <v>7.7737888585482301E-3</v>
      </c>
      <c r="J71" s="30"/>
      <c r="K71" s="32">
        <v>2.3962364987430199E-3</v>
      </c>
      <c r="L71" s="30"/>
      <c r="M71" s="32">
        <v>9.5862265662045205E-3</v>
      </c>
      <c r="N71" s="30"/>
      <c r="O71" s="32">
        <v>1.5182017146038101E-2</v>
      </c>
      <c r="P71" s="30"/>
      <c r="Q71" s="32">
        <v>8.8073270058282496E-3</v>
      </c>
      <c r="R71" s="30"/>
      <c r="S71" s="32">
        <v>6.3746901402098703E-3</v>
      </c>
      <c r="T71" s="30"/>
      <c r="U71" s="32">
        <v>-1.7665654170451899E-3</v>
      </c>
      <c r="V71" s="30"/>
      <c r="W71" s="32">
        <v>-3.8292251627884098E-3</v>
      </c>
      <c r="X71" s="30"/>
      <c r="Y71" s="32">
        <v>-9.8266203336084094E-3</v>
      </c>
      <c r="Z71" s="30"/>
      <c r="AA71" s="32">
        <v>1.9174946574754902E-2</v>
      </c>
      <c r="AB71" s="30"/>
      <c r="AC71" s="32">
        <v>2.4473162259209199E-2</v>
      </c>
      <c r="AD71" s="30"/>
      <c r="AE71" s="32">
        <v>1.3928447948070801E-2</v>
      </c>
      <c r="AF71" s="30"/>
      <c r="AG71" s="32">
        <v>1.30433119927443E-2</v>
      </c>
      <c r="AH71" s="30"/>
      <c r="AI71" s="32">
        <v>-5.2982156844543103E-3</v>
      </c>
      <c r="AJ71" s="30"/>
      <c r="AK71" s="32">
        <v>-2.9001566908363301E-2</v>
      </c>
      <c r="AL71" s="30"/>
      <c r="AM71" s="32">
        <v>-2.4031605714944299E-2</v>
      </c>
      <c r="AN71" s="30"/>
      <c r="AO71" s="32">
        <v>-1.6715064463982101E-2</v>
      </c>
      <c r="AP71" s="30"/>
      <c r="AQ71" s="32">
        <v>-1.74133377240785E-2</v>
      </c>
      <c r="AR71" s="30"/>
      <c r="AS71" s="32">
        <v>-4.9699611934190301E-3</v>
      </c>
      <c r="AT71" s="30"/>
      <c r="AU71" s="32">
        <v>3.4079495924430103E-2</v>
      </c>
      <c r="AV71" s="30"/>
      <c r="AW71" s="32">
        <v>2.5352042503329401E-2</v>
      </c>
      <c r="AX71" s="30"/>
      <c r="AY71" s="32">
        <v>8.7274534211007494E-3</v>
      </c>
      <c r="AZ71" s="30"/>
      <c r="BA71" s="32">
        <v>1.40256691055551E-2</v>
      </c>
      <c r="BB71" s="30"/>
      <c r="BC71" s="32">
        <v>-2.2383298917497602E-2</v>
      </c>
      <c r="BD71" s="30"/>
      <c r="BE71" s="32"/>
      <c r="BF71" s="30"/>
    </row>
    <row r="72" spans="1:58" x14ac:dyDescent="0.2">
      <c r="A72" s="28">
        <v>1995</v>
      </c>
      <c r="B72" s="28">
        <v>1</v>
      </c>
      <c r="C72" s="32"/>
      <c r="D72" s="30"/>
      <c r="E72" s="32">
        <v>2.25986631249947E-2</v>
      </c>
      <c r="F72" s="30"/>
      <c r="G72" s="32">
        <v>5.48239309521066E-3</v>
      </c>
      <c r="H72" s="30"/>
      <c r="I72" s="32">
        <v>3.8822661693117999E-3</v>
      </c>
      <c r="J72" s="30"/>
      <c r="K72" s="32">
        <v>1.6001269258988701E-3</v>
      </c>
      <c r="L72" s="30"/>
      <c r="M72" s="32">
        <v>1.7116270029784102E-2</v>
      </c>
      <c r="N72" s="30"/>
      <c r="O72" s="32">
        <v>1.8327844086849E-2</v>
      </c>
      <c r="P72" s="30"/>
      <c r="Q72" s="32">
        <v>-3.6237265767508501E-3</v>
      </c>
      <c r="R72" s="30"/>
      <c r="S72" s="32">
        <v>2.19515706635998E-2</v>
      </c>
      <c r="T72" s="30"/>
      <c r="U72" s="32">
        <v>1.5746549061616099E-3</v>
      </c>
      <c r="V72" s="30"/>
      <c r="W72" s="32">
        <v>-2.7862289632265098E-3</v>
      </c>
      <c r="X72" s="30"/>
      <c r="Y72" s="32">
        <v>-2.4676354537552101E-2</v>
      </c>
      <c r="Z72" s="30"/>
      <c r="AA72" s="32">
        <v>1.2191722590432E-2</v>
      </c>
      <c r="AB72" s="30"/>
      <c r="AC72" s="32">
        <v>2.3573952053840899E-2</v>
      </c>
      <c r="AD72" s="30"/>
      <c r="AE72" s="32">
        <v>2.0500361916060599E-3</v>
      </c>
      <c r="AF72" s="30"/>
      <c r="AG72" s="32">
        <v>4.5769992280355601E-3</v>
      </c>
      <c r="AH72" s="30"/>
      <c r="AI72" s="32">
        <v>-1.13822294634089E-2</v>
      </c>
      <c r="AJ72" s="30"/>
      <c r="AK72" s="32">
        <v>-3.6868077127984102E-2</v>
      </c>
      <c r="AL72" s="30"/>
      <c r="AM72" s="32">
        <v>-3.2886467659750701E-2</v>
      </c>
      <c r="AN72" s="30"/>
      <c r="AO72" s="32">
        <v>-1.1503584689678501E-2</v>
      </c>
      <c r="AP72" s="30"/>
      <c r="AQ72" s="32">
        <v>-1.7759241716230299E-2</v>
      </c>
      <c r="AR72" s="30"/>
      <c r="AS72" s="32">
        <v>-3.9816094682333996E-3</v>
      </c>
      <c r="AT72" s="30"/>
      <c r="AU72" s="32">
        <v>1.8088504865744599E-2</v>
      </c>
      <c r="AV72" s="30"/>
      <c r="AW72" s="32">
        <v>2.3810237182059601E-2</v>
      </c>
      <c r="AX72" s="30"/>
      <c r="AY72" s="32">
        <v>-5.7217323163149796E-3</v>
      </c>
      <c r="AZ72" s="30"/>
      <c r="BA72" s="32">
        <v>5.6604971470939703E-3</v>
      </c>
      <c r="BB72" s="30"/>
      <c r="BC72" s="32">
        <v>-2.17408511844637E-2</v>
      </c>
      <c r="BD72" s="30"/>
      <c r="BE72" s="32"/>
      <c r="BF72" s="30"/>
    </row>
    <row r="73" spans="1:58" x14ac:dyDescent="0.2">
      <c r="A73" s="28">
        <v>1995</v>
      </c>
      <c r="B73" s="28">
        <v>2</v>
      </c>
      <c r="C73" s="32"/>
      <c r="D73" s="30"/>
      <c r="E73" s="32">
        <v>1.4963882830722201E-2</v>
      </c>
      <c r="F73" s="30"/>
      <c r="G73" s="32">
        <v>9.4791796174009506E-3</v>
      </c>
      <c r="H73" s="30"/>
      <c r="I73" s="32">
        <v>6.86093689445956E-3</v>
      </c>
      <c r="J73" s="30"/>
      <c r="K73" s="32">
        <v>2.6182427229414001E-3</v>
      </c>
      <c r="L73" s="30"/>
      <c r="M73" s="32">
        <v>5.4847032133211997E-3</v>
      </c>
      <c r="N73" s="30"/>
      <c r="O73" s="32">
        <v>1.2758408386207299E-2</v>
      </c>
      <c r="P73" s="30"/>
      <c r="Q73" s="32">
        <v>-4.65083576135575E-3</v>
      </c>
      <c r="R73" s="30"/>
      <c r="S73" s="32">
        <v>1.7409244147563001E-2</v>
      </c>
      <c r="T73" s="30"/>
      <c r="U73" s="32">
        <v>-4.6702456487897502E-3</v>
      </c>
      <c r="V73" s="30"/>
      <c r="W73" s="32">
        <v>-2.6034595240963E-3</v>
      </c>
      <c r="X73" s="30"/>
      <c r="Y73" s="32">
        <v>-2.9378326135523101E-3</v>
      </c>
      <c r="Z73" s="30"/>
      <c r="AA73" s="32">
        <v>1.9699010116983499E-2</v>
      </c>
      <c r="AB73" s="30"/>
      <c r="AC73" s="32">
        <v>2.16059403495962E-2</v>
      </c>
      <c r="AD73" s="30"/>
      <c r="AE73" s="32">
        <v>1.0926233385211001E-2</v>
      </c>
      <c r="AF73" s="30"/>
      <c r="AG73" s="32">
        <v>1.2345273962031399E-2</v>
      </c>
      <c r="AH73" s="30"/>
      <c r="AI73" s="32">
        <v>-1.9069302326126701E-3</v>
      </c>
      <c r="AJ73" s="30"/>
      <c r="AK73" s="32">
        <v>-2.26368427305359E-2</v>
      </c>
      <c r="AL73" s="30"/>
      <c r="AM73" s="32">
        <v>-1.8316340568893801E-2</v>
      </c>
      <c r="AN73" s="30"/>
      <c r="AO73" s="32">
        <v>-1.30501037777488E-2</v>
      </c>
      <c r="AP73" s="30"/>
      <c r="AQ73" s="32">
        <v>-1.2630411238102299E-2</v>
      </c>
      <c r="AR73" s="30"/>
      <c r="AS73" s="32">
        <v>-4.3205021616420898E-3</v>
      </c>
      <c r="AT73" s="30"/>
      <c r="AU73" s="32">
        <v>3.3647209265703998E-2</v>
      </c>
      <c r="AV73" s="30"/>
      <c r="AW73" s="32">
        <v>2.22375880036082E-2</v>
      </c>
      <c r="AX73" s="30"/>
      <c r="AY73" s="32">
        <v>1.14096212620958E-2</v>
      </c>
      <c r="AZ73" s="30"/>
      <c r="BA73" s="32">
        <v>1.33165514947084E-2</v>
      </c>
      <c r="BB73" s="30"/>
      <c r="BC73" s="32">
        <v>-1.6950913399744399E-2</v>
      </c>
      <c r="BD73" s="30"/>
      <c r="BE73" s="32"/>
      <c r="BF73" s="30"/>
    </row>
    <row r="74" spans="1:58" x14ac:dyDescent="0.2">
      <c r="A74" s="28">
        <v>1995</v>
      </c>
      <c r="B74" s="28">
        <v>3</v>
      </c>
      <c r="C74" s="32"/>
      <c r="D74" s="30"/>
      <c r="E74" s="32">
        <v>1.20873770800925E-2</v>
      </c>
      <c r="F74" s="30"/>
      <c r="G74" s="32">
        <v>6.2400528309689996E-3</v>
      </c>
      <c r="H74" s="30"/>
      <c r="I74" s="32">
        <v>5.6392369406160804E-3</v>
      </c>
      <c r="J74" s="30"/>
      <c r="K74" s="32">
        <v>6.0081589035292603E-4</v>
      </c>
      <c r="L74" s="30"/>
      <c r="M74" s="32">
        <v>5.8473242491235101E-3</v>
      </c>
      <c r="N74" s="30"/>
      <c r="O74" s="32">
        <v>8.0719399523149597E-3</v>
      </c>
      <c r="P74" s="30"/>
      <c r="Q74" s="32">
        <v>-5.8619790507357401E-3</v>
      </c>
      <c r="R74" s="30"/>
      <c r="S74" s="32">
        <v>1.39339190030507E-2</v>
      </c>
      <c r="T74" s="30"/>
      <c r="U74" s="32">
        <v>-7.0687139715226999E-3</v>
      </c>
      <c r="V74" s="30"/>
      <c r="W74" s="32">
        <v>4.8440982683312503E-3</v>
      </c>
      <c r="X74" s="30"/>
      <c r="Y74" s="32">
        <v>-5.8902883605119402E-3</v>
      </c>
      <c r="Z74" s="30"/>
      <c r="AA74" s="32">
        <v>1.49493992452091E-2</v>
      </c>
      <c r="AB74" s="30"/>
      <c r="AC74" s="32">
        <v>1.47249230920499E-2</v>
      </c>
      <c r="AD74" s="30"/>
      <c r="AE74" s="32">
        <v>6.7537462684512696E-3</v>
      </c>
      <c r="AF74" s="30"/>
      <c r="AG74" s="32">
        <v>7.6538191970355702E-3</v>
      </c>
      <c r="AH74" s="30"/>
      <c r="AI74" s="32">
        <v>2.2447615315916201E-4</v>
      </c>
      <c r="AJ74" s="30"/>
      <c r="AK74" s="32">
        <v>-2.0839687605721E-2</v>
      </c>
      <c r="AL74" s="30"/>
      <c r="AM74" s="32">
        <v>-1.7699806432239701E-2</v>
      </c>
      <c r="AN74" s="30"/>
      <c r="AO74" s="32">
        <v>-2.9392924365313098E-3</v>
      </c>
      <c r="AP74" s="30"/>
      <c r="AQ74" s="32">
        <v>-6.4832936829083802E-3</v>
      </c>
      <c r="AR74" s="30"/>
      <c r="AS74" s="32">
        <v>-3.1398811734813402E-3</v>
      </c>
      <c r="AT74" s="30"/>
      <c r="AU74" s="32">
        <v>2.2888977547493E-2</v>
      </c>
      <c r="AV74" s="30"/>
      <c r="AW74" s="32">
        <v>1.4311992783283999E-2</v>
      </c>
      <c r="AX74" s="30"/>
      <c r="AY74" s="32">
        <v>8.5769847642090304E-3</v>
      </c>
      <c r="AZ74" s="30"/>
      <c r="BA74" s="32">
        <v>8.3525086110498598E-3</v>
      </c>
      <c r="BB74" s="30"/>
      <c r="BC74" s="32">
        <v>-9.6231748563897108E-3</v>
      </c>
      <c r="BD74" s="30"/>
      <c r="BE74" s="32"/>
      <c r="BF74" s="30"/>
    </row>
    <row r="75" spans="1:58" x14ac:dyDescent="0.2">
      <c r="A75" s="28">
        <v>1995</v>
      </c>
      <c r="B75" s="28">
        <v>4</v>
      </c>
      <c r="C75" s="32"/>
      <c r="D75" s="30"/>
      <c r="E75" s="32">
        <v>9.0342473068489807E-3</v>
      </c>
      <c r="F75" s="30"/>
      <c r="G75" s="32">
        <v>3.3052842665183598E-3</v>
      </c>
      <c r="H75" s="30"/>
      <c r="I75" s="32">
        <v>3.0462693786149201E-3</v>
      </c>
      <c r="J75" s="30"/>
      <c r="K75" s="32">
        <v>2.5901488790343601E-4</v>
      </c>
      <c r="L75" s="30"/>
      <c r="M75" s="32">
        <v>5.72896304033062E-3</v>
      </c>
      <c r="N75" s="30"/>
      <c r="O75" s="32">
        <v>1.2968363856065E-2</v>
      </c>
      <c r="P75" s="30"/>
      <c r="Q75" s="32">
        <v>-2.7988712806672001E-3</v>
      </c>
      <c r="R75" s="30"/>
      <c r="S75" s="32">
        <v>1.5767235136732199E-2</v>
      </c>
      <c r="T75" s="30"/>
      <c r="U75" s="32">
        <v>-4.1198290574750301E-3</v>
      </c>
      <c r="V75" s="30"/>
      <c r="W75" s="32">
        <v>-3.1195717582593202E-3</v>
      </c>
      <c r="X75" s="30"/>
      <c r="Y75" s="32">
        <v>-5.8884486356880397E-3</v>
      </c>
      <c r="Z75" s="30"/>
      <c r="AA75" s="32">
        <v>-1.9662631165121001E-3</v>
      </c>
      <c r="AB75" s="30"/>
      <c r="AC75" s="32">
        <v>-4.77387453531174E-4</v>
      </c>
      <c r="AD75" s="30"/>
      <c r="AE75" s="32">
        <v>2.0773289335572699E-3</v>
      </c>
      <c r="AF75" s="30"/>
      <c r="AG75" s="32">
        <v>2.93169399457551E-3</v>
      </c>
      <c r="AH75" s="30"/>
      <c r="AI75" s="32">
        <v>-1.4888756629809301E-3</v>
      </c>
      <c r="AJ75" s="30"/>
      <c r="AK75" s="32">
        <v>-3.92218551917594E-3</v>
      </c>
      <c r="AL75" s="30"/>
      <c r="AM75" s="32">
        <v>-4.1421489569869597E-4</v>
      </c>
      <c r="AN75" s="30"/>
      <c r="AO75" s="32">
        <v>-5.1771863240326196E-3</v>
      </c>
      <c r="AP75" s="30"/>
      <c r="AQ75" s="32">
        <v>-7.1196943650614197E-3</v>
      </c>
      <c r="AR75" s="30"/>
      <c r="AS75" s="32">
        <v>-3.5079706234772399E-3</v>
      </c>
      <c r="AT75" s="30"/>
      <c r="AU75" s="32">
        <v>1.7893292717174599E-2</v>
      </c>
      <c r="AV75" s="30"/>
      <c r="AW75" s="32">
        <v>1.6273648122583299E-2</v>
      </c>
      <c r="AX75" s="30"/>
      <c r="AY75" s="32">
        <v>1.6196445945913E-3</v>
      </c>
      <c r="AZ75" s="30"/>
      <c r="BA75" s="32">
        <v>3.1085202575722301E-3</v>
      </c>
      <c r="BB75" s="30"/>
      <c r="BC75" s="32">
        <v>-1.0627664988538701E-2</v>
      </c>
      <c r="BD75" s="30"/>
      <c r="BE75" s="32"/>
      <c r="BF75" s="30"/>
    </row>
    <row r="76" spans="1:58" x14ac:dyDescent="0.2">
      <c r="A76" s="28">
        <v>1996</v>
      </c>
      <c r="B76" s="28">
        <v>1</v>
      </c>
      <c r="C76" s="32"/>
      <c r="D76" s="30"/>
      <c r="E76" s="32">
        <v>9.51378884370962E-3</v>
      </c>
      <c r="F76" s="30"/>
      <c r="G76" s="32">
        <v>1.0605201165419499E-2</v>
      </c>
      <c r="H76" s="30"/>
      <c r="I76" s="32">
        <v>9.3119687616081501E-3</v>
      </c>
      <c r="J76" s="30"/>
      <c r="K76" s="32">
        <v>1.2932324038113299E-3</v>
      </c>
      <c r="L76" s="30"/>
      <c r="M76" s="32">
        <v>-1.0914123217098701E-3</v>
      </c>
      <c r="N76" s="30"/>
      <c r="O76" s="32">
        <v>3.2697932917305299E-4</v>
      </c>
      <c r="P76" s="30"/>
      <c r="Q76" s="32">
        <v>-3.6213334939722902E-3</v>
      </c>
      <c r="R76" s="30"/>
      <c r="S76" s="32">
        <v>3.9483128231453399E-3</v>
      </c>
      <c r="T76" s="30"/>
      <c r="U76" s="32">
        <v>-6.6614552868602397E-3</v>
      </c>
      <c r="V76" s="30"/>
      <c r="W76" s="32">
        <v>5.2430636359773203E-3</v>
      </c>
      <c r="X76" s="30"/>
      <c r="Y76" s="32">
        <v>3.3686144311615E-3</v>
      </c>
      <c r="Z76" s="30"/>
      <c r="AA76" s="32">
        <v>1.7245380193940198E-2</v>
      </c>
      <c r="AB76" s="30"/>
      <c r="AC76" s="32">
        <v>7.8662453512693808E-3</v>
      </c>
      <c r="AD76" s="30"/>
      <c r="AE76" s="32">
        <v>1.0654883857698199E-2</v>
      </c>
      <c r="AF76" s="30"/>
      <c r="AG76" s="32">
        <v>1.22555012830398E-2</v>
      </c>
      <c r="AH76" s="30"/>
      <c r="AI76" s="32">
        <v>9.3791348426707794E-3</v>
      </c>
      <c r="AJ76" s="30"/>
      <c r="AK76" s="32">
        <v>-1.3876765762778701E-2</v>
      </c>
      <c r="AL76" s="30"/>
      <c r="AM76" s="32">
        <v>-7.9825443260130302E-3</v>
      </c>
      <c r="AN76" s="30"/>
      <c r="AO76" s="32">
        <v>-9.2583888003542596E-3</v>
      </c>
      <c r="AP76" s="30"/>
      <c r="AQ76" s="32">
        <v>-6.7503170688366903E-3</v>
      </c>
      <c r="AR76" s="30"/>
      <c r="AS76" s="32">
        <v>-5.8942214367656296E-3</v>
      </c>
      <c r="AT76" s="30"/>
      <c r="AU76" s="32">
        <v>3.2188397067333702E-2</v>
      </c>
      <c r="AV76" s="30"/>
      <c r="AW76" s="32">
        <v>1.09321804945925E-2</v>
      </c>
      <c r="AX76" s="30"/>
      <c r="AY76" s="32">
        <v>2.1256216572741099E-2</v>
      </c>
      <c r="AZ76" s="30"/>
      <c r="BA76" s="32">
        <v>1.1877081730070399E-2</v>
      </c>
      <c r="BB76" s="30"/>
      <c r="BC76" s="32">
        <v>-1.26445385056023E-2</v>
      </c>
      <c r="BD76" s="30"/>
      <c r="BE76" s="32"/>
      <c r="BF76" s="30"/>
    </row>
    <row r="77" spans="1:58" x14ac:dyDescent="0.2">
      <c r="A77" s="28">
        <v>1996</v>
      </c>
      <c r="B77" s="28">
        <v>2</v>
      </c>
      <c r="C77" s="32"/>
      <c r="D77" s="30"/>
      <c r="E77" s="32">
        <v>5.8445331281654798E-3</v>
      </c>
      <c r="F77" s="30"/>
      <c r="G77" s="32">
        <v>9.3265482515878795E-3</v>
      </c>
      <c r="H77" s="30"/>
      <c r="I77" s="32">
        <v>7.4389629946389601E-3</v>
      </c>
      <c r="J77" s="30"/>
      <c r="K77" s="32">
        <v>1.88758525694892E-3</v>
      </c>
      <c r="L77" s="30"/>
      <c r="M77" s="32">
        <v>-3.4820151234224001E-3</v>
      </c>
      <c r="N77" s="30"/>
      <c r="O77" s="32">
        <v>-1.39138881048287E-3</v>
      </c>
      <c r="P77" s="30"/>
      <c r="Q77" s="32">
        <v>-5.5303352412976901E-3</v>
      </c>
      <c r="R77" s="30"/>
      <c r="S77" s="32">
        <v>4.1389464308148197E-3</v>
      </c>
      <c r="T77" s="30"/>
      <c r="U77" s="32">
        <v>-9.5799659500807495E-3</v>
      </c>
      <c r="V77" s="30"/>
      <c r="W77" s="32">
        <v>7.4893396371412298E-3</v>
      </c>
      <c r="X77" s="30"/>
      <c r="Y77" s="32">
        <v>9.2924720517101295E-6</v>
      </c>
      <c r="Z77" s="30"/>
      <c r="AA77" s="32">
        <v>4.2911600572077399E-3</v>
      </c>
      <c r="AB77" s="30"/>
      <c r="AC77" s="32">
        <v>4.5083892669505699E-5</v>
      </c>
      <c r="AD77" s="30"/>
      <c r="AE77" s="32">
        <v>7.7863401585455396E-3</v>
      </c>
      <c r="AF77" s="30"/>
      <c r="AG77" s="32">
        <v>9.0857708785621796E-3</v>
      </c>
      <c r="AH77" s="30"/>
      <c r="AI77" s="32">
        <v>4.2460761645382299E-3</v>
      </c>
      <c r="AJ77" s="30"/>
      <c r="AK77" s="32">
        <v>-4.2818675851560304E-3</v>
      </c>
      <c r="AL77" s="30"/>
      <c r="AM77" s="32">
        <v>-5.8647734194976702E-5</v>
      </c>
      <c r="AN77" s="30"/>
      <c r="AO77" s="32">
        <v>-3.0769833406047299E-3</v>
      </c>
      <c r="AP77" s="30"/>
      <c r="AQ77" s="32">
        <v>-1.1627558827629501E-3</v>
      </c>
      <c r="AR77" s="30"/>
      <c r="AS77" s="32">
        <v>-4.2232198509610502E-3</v>
      </c>
      <c r="AT77" s="30"/>
      <c r="AU77" s="32">
        <v>2.0819767284021899E-2</v>
      </c>
      <c r="AV77" s="30"/>
      <c r="AW77" s="32">
        <v>7.9351594411050004E-3</v>
      </c>
      <c r="AX77" s="30"/>
      <c r="AY77" s="32">
        <v>1.2884607842916901E-2</v>
      </c>
      <c r="AZ77" s="30"/>
      <c r="BA77" s="32">
        <v>8.6385316783787001E-3</v>
      </c>
      <c r="BB77" s="30"/>
      <c r="BC77" s="32">
        <v>-5.3859757337240003E-3</v>
      </c>
      <c r="BD77" s="30"/>
      <c r="BE77" s="32"/>
      <c r="BF77" s="30"/>
    </row>
    <row r="78" spans="1:58" x14ac:dyDescent="0.2">
      <c r="A78" s="28">
        <v>1996</v>
      </c>
      <c r="B78" s="28">
        <v>3</v>
      </c>
      <c r="C78" s="32"/>
      <c r="D78" s="30"/>
      <c r="E78" s="32">
        <v>1.3638205065720701E-3</v>
      </c>
      <c r="F78" s="30"/>
      <c r="G78" s="32">
        <v>8.2756136831862708E-3</v>
      </c>
      <c r="H78" s="30"/>
      <c r="I78" s="32">
        <v>6.85464613108771E-3</v>
      </c>
      <c r="J78" s="30"/>
      <c r="K78" s="32">
        <v>1.42096755209856E-3</v>
      </c>
      <c r="L78" s="30"/>
      <c r="M78" s="32">
        <v>-6.9117931766142001E-3</v>
      </c>
      <c r="N78" s="30"/>
      <c r="O78" s="32">
        <v>-2.34852043982209E-3</v>
      </c>
      <c r="P78" s="30"/>
      <c r="Q78" s="32">
        <v>-7.8240391752703291E-3</v>
      </c>
      <c r="R78" s="30"/>
      <c r="S78" s="32">
        <v>5.47551873544824E-3</v>
      </c>
      <c r="T78" s="30"/>
      <c r="U78" s="32">
        <v>-2.5279005787309898E-3</v>
      </c>
      <c r="V78" s="30"/>
      <c r="W78" s="32">
        <v>-2.0353721580611099E-3</v>
      </c>
      <c r="X78" s="30"/>
      <c r="Y78" s="32">
        <v>-2.9697209359914002E-3</v>
      </c>
      <c r="Z78" s="30"/>
      <c r="AA78" s="32">
        <v>1.3327929166467E-2</v>
      </c>
      <c r="AB78" s="30"/>
      <c r="AC78" s="32">
        <v>1.06604192664074E-2</v>
      </c>
      <c r="AD78" s="30"/>
      <c r="AE78" s="32">
        <v>7.9055582016455093E-3</v>
      </c>
      <c r="AF78" s="30"/>
      <c r="AG78" s="32">
        <v>5.98035411464665E-3</v>
      </c>
      <c r="AH78" s="30"/>
      <c r="AI78" s="32">
        <v>2.66750990005957E-3</v>
      </c>
      <c r="AJ78" s="30"/>
      <c r="AK78" s="32">
        <v>-1.6297650102458299E-2</v>
      </c>
      <c r="AL78" s="30"/>
      <c r="AM78" s="32">
        <v>-1.0981202064579599E-2</v>
      </c>
      <c r="AN78" s="30"/>
      <c r="AO78" s="32">
        <v>-9.6230241152949099E-3</v>
      </c>
      <c r="AP78" s="30"/>
      <c r="AQ78" s="32">
        <v>-8.2574051775092094E-3</v>
      </c>
      <c r="AR78" s="30"/>
      <c r="AS78" s="32">
        <v>-5.3164480378787597E-3</v>
      </c>
      <c r="AT78" s="30"/>
      <c r="AU78" s="32">
        <v>1.44958533646996E-2</v>
      </c>
      <c r="AV78" s="30"/>
      <c r="AW78" s="32">
        <v>5.92709324336418E-3</v>
      </c>
      <c r="AX78" s="30"/>
      <c r="AY78" s="32">
        <v>8.5687601213354694E-3</v>
      </c>
      <c r="AZ78" s="30"/>
      <c r="BA78" s="32">
        <v>5.9012502212758902E-3</v>
      </c>
      <c r="BB78" s="30"/>
      <c r="BC78" s="32">
        <v>-1.3573853215387999E-2</v>
      </c>
      <c r="BD78" s="30"/>
      <c r="BE78" s="32"/>
      <c r="BF78" s="30"/>
    </row>
    <row r="79" spans="1:58" x14ac:dyDescent="0.2">
      <c r="A79" s="28">
        <v>1996</v>
      </c>
      <c r="B79" s="28">
        <v>4</v>
      </c>
      <c r="C79" s="32"/>
      <c r="D79" s="30"/>
      <c r="E79" s="32">
        <v>1.16397659664557E-2</v>
      </c>
      <c r="F79" s="30"/>
      <c r="G79" s="32">
        <v>1.05952269486573E-2</v>
      </c>
      <c r="H79" s="30"/>
      <c r="I79" s="32">
        <v>9.5595627785828498E-3</v>
      </c>
      <c r="J79" s="30"/>
      <c r="K79" s="32">
        <v>1.0356641700744E-3</v>
      </c>
      <c r="L79" s="30"/>
      <c r="M79" s="32">
        <v>1.0445390177984499E-3</v>
      </c>
      <c r="N79" s="30"/>
      <c r="O79" s="32">
        <v>-9.4851551475126396E-3</v>
      </c>
      <c r="P79" s="30"/>
      <c r="Q79" s="32">
        <v>-1.12342912731662E-2</v>
      </c>
      <c r="R79" s="30"/>
      <c r="S79" s="32">
        <v>1.74913612565354E-3</v>
      </c>
      <c r="T79" s="30"/>
      <c r="U79" s="32">
        <v>-9.1121746890617103E-4</v>
      </c>
      <c r="V79" s="30"/>
      <c r="W79" s="32">
        <v>1.14409116342173E-2</v>
      </c>
      <c r="X79" s="30"/>
      <c r="Y79" s="32">
        <v>-6.2417481245166497E-3</v>
      </c>
      <c r="Z79" s="30"/>
      <c r="AA79" s="32">
        <v>2.09223035840276E-2</v>
      </c>
      <c r="AB79" s="30"/>
      <c r="AC79" s="32">
        <v>1.4606043683780099E-2</v>
      </c>
      <c r="AD79" s="30"/>
      <c r="AE79" s="32">
        <v>8.5534273221401901E-3</v>
      </c>
      <c r="AF79" s="30"/>
      <c r="AG79" s="32">
        <v>8.0446248372167892E-3</v>
      </c>
      <c r="AH79" s="30"/>
      <c r="AI79" s="32">
        <v>6.31625990024754E-3</v>
      </c>
      <c r="AJ79" s="30"/>
      <c r="AK79" s="32">
        <v>-2.7164051708544301E-2</v>
      </c>
      <c r="AL79" s="30"/>
      <c r="AM79" s="32">
        <v>-2.34260701218502E-2</v>
      </c>
      <c r="AN79" s="30"/>
      <c r="AO79" s="32">
        <v>-7.1288531296463701E-3</v>
      </c>
      <c r="AP79" s="30"/>
      <c r="AQ79" s="32">
        <v>-6.1428479369014903E-3</v>
      </c>
      <c r="AR79" s="30"/>
      <c r="AS79" s="32">
        <v>-3.7379815866941399E-3</v>
      </c>
      <c r="AT79" s="30"/>
      <c r="AU79" s="32">
        <v>1.6190064834440899E-2</v>
      </c>
      <c r="AV79" s="30"/>
      <c r="AW79" s="32">
        <v>1.1100718011446101E-3</v>
      </c>
      <c r="AX79" s="30"/>
      <c r="AY79" s="32">
        <v>1.5079993033296201E-2</v>
      </c>
      <c r="AZ79" s="30"/>
      <c r="BA79" s="32">
        <v>8.7637331330487102E-3</v>
      </c>
      <c r="BB79" s="30"/>
      <c r="BC79" s="32">
        <v>-9.8808295235956294E-3</v>
      </c>
      <c r="BD79" s="30"/>
      <c r="BE79" s="32"/>
      <c r="BF79" s="30"/>
    </row>
    <row r="80" spans="1:58" x14ac:dyDescent="0.2">
      <c r="A80" s="28">
        <v>1997</v>
      </c>
      <c r="B80" s="28">
        <v>1</v>
      </c>
      <c r="C80" s="32"/>
      <c r="D80" s="30"/>
      <c r="E80" s="32">
        <v>-5.5942198859750998E-3</v>
      </c>
      <c r="F80" s="30"/>
      <c r="G80" s="32">
        <v>7.8495014606866694E-3</v>
      </c>
      <c r="H80" s="30"/>
      <c r="I80" s="32">
        <v>7.7483685138005198E-3</v>
      </c>
      <c r="J80" s="30"/>
      <c r="K80" s="32">
        <v>1.01132946886151E-4</v>
      </c>
      <c r="L80" s="30"/>
      <c r="M80" s="32">
        <v>-1.34437213466618E-2</v>
      </c>
      <c r="N80" s="30"/>
      <c r="O80" s="32">
        <v>1.1731183800903599E-3</v>
      </c>
      <c r="P80" s="30"/>
      <c r="Q80" s="32">
        <v>-3.2364352867738102E-3</v>
      </c>
      <c r="R80" s="30"/>
      <c r="S80" s="32">
        <v>4.4095536668641699E-3</v>
      </c>
      <c r="T80" s="30"/>
      <c r="U80" s="32">
        <v>-6.7732425999888204E-3</v>
      </c>
      <c r="V80" s="30"/>
      <c r="W80" s="32">
        <v>-7.8435971267633194E-3</v>
      </c>
      <c r="X80" s="30"/>
      <c r="Y80" s="32">
        <v>3.6344806359111101E-3</v>
      </c>
      <c r="Z80" s="30"/>
      <c r="AA80" s="32">
        <v>2.91311646749439E-2</v>
      </c>
      <c r="AB80" s="30"/>
      <c r="AC80" s="32">
        <v>2.1414342454172699E-2</v>
      </c>
      <c r="AD80" s="30"/>
      <c r="AE80" s="32">
        <v>6.3949207773844304E-3</v>
      </c>
      <c r="AF80" s="30"/>
      <c r="AG80" s="32">
        <v>2.0229539157239798E-3</v>
      </c>
      <c r="AH80" s="30"/>
      <c r="AI80" s="32">
        <v>7.7168222207711296E-3</v>
      </c>
      <c r="AJ80" s="30"/>
      <c r="AK80" s="32">
        <v>-2.54966840390328E-2</v>
      </c>
      <c r="AL80" s="30"/>
      <c r="AM80" s="32">
        <v>-2.3581973921378799E-2</v>
      </c>
      <c r="AN80" s="30"/>
      <c r="AO80" s="32">
        <v>-1.37320757732265E-2</v>
      </c>
      <c r="AP80" s="30"/>
      <c r="AQ80" s="32">
        <v>-1.4052077526335E-2</v>
      </c>
      <c r="AR80" s="30"/>
      <c r="AS80" s="32">
        <v>-1.9147101176539699E-3</v>
      </c>
      <c r="AT80" s="30"/>
      <c r="AU80" s="32">
        <v>2.0780290993913798E-2</v>
      </c>
      <c r="AV80" s="30"/>
      <c r="AW80" s="32">
        <v>9.0226198407770304E-3</v>
      </c>
      <c r="AX80" s="30"/>
      <c r="AY80" s="32">
        <v>1.1757671153136799E-2</v>
      </c>
      <c r="AZ80" s="30"/>
      <c r="BA80" s="32">
        <v>4.0408489323656696E-3</v>
      </c>
      <c r="BB80" s="30"/>
      <c r="BC80" s="32">
        <v>-1.5966787643989001E-2</v>
      </c>
      <c r="BD80" s="30"/>
      <c r="BE80" s="32"/>
      <c r="BF80" s="30"/>
    </row>
    <row r="81" spans="1:58" x14ac:dyDescent="0.2">
      <c r="A81" s="28">
        <v>1997</v>
      </c>
      <c r="B81" s="28">
        <v>2</v>
      </c>
      <c r="C81" s="32"/>
      <c r="D81" s="30"/>
      <c r="E81" s="32">
        <v>-1.34682077527907E-3</v>
      </c>
      <c r="F81" s="30"/>
      <c r="G81" s="32">
        <v>9.7931074317851793E-3</v>
      </c>
      <c r="H81" s="30"/>
      <c r="I81" s="32">
        <v>9.7662850201759594E-3</v>
      </c>
      <c r="J81" s="30"/>
      <c r="K81" s="32">
        <v>2.6822411609224801E-5</v>
      </c>
      <c r="L81" s="30"/>
      <c r="M81" s="32">
        <v>-1.11399282070643E-2</v>
      </c>
      <c r="N81" s="30"/>
      <c r="O81" s="32">
        <v>9.4876885524248604E-3</v>
      </c>
      <c r="P81" s="30"/>
      <c r="Q81" s="32">
        <v>-2.28413081206292E-3</v>
      </c>
      <c r="R81" s="30"/>
      <c r="S81" s="32">
        <v>1.17718193644878E-2</v>
      </c>
      <c r="T81" s="30"/>
      <c r="U81" s="32">
        <v>-2.1776723401671E-2</v>
      </c>
      <c r="V81" s="30"/>
      <c r="W81" s="32">
        <v>1.1491066421819201E-3</v>
      </c>
      <c r="X81" s="30"/>
      <c r="Y81" s="32">
        <v>1.9795664197350599E-2</v>
      </c>
      <c r="Z81" s="30"/>
      <c r="AA81" s="32">
        <v>7.4485320898165105E-2</v>
      </c>
      <c r="AB81" s="30"/>
      <c r="AC81" s="32">
        <v>5.9924372931269503E-2</v>
      </c>
      <c r="AD81" s="30"/>
      <c r="AE81" s="32">
        <v>3.7918231790887102E-2</v>
      </c>
      <c r="AF81" s="30"/>
      <c r="AG81" s="32">
        <v>3.5218254264201901E-2</v>
      </c>
      <c r="AH81" s="30"/>
      <c r="AI81" s="32">
        <v>1.4560947966895599E-2</v>
      </c>
      <c r="AJ81" s="30"/>
      <c r="AK81" s="32">
        <v>-5.46896567008145E-2</v>
      </c>
      <c r="AL81" s="30"/>
      <c r="AM81" s="32">
        <v>-5.01642887488132E-2</v>
      </c>
      <c r="AN81" s="30"/>
      <c r="AO81" s="32">
        <v>-2.95032883818915E-2</v>
      </c>
      <c r="AP81" s="30"/>
      <c r="AQ81" s="32">
        <v>-2.67473167144071E-2</v>
      </c>
      <c r="AR81" s="30"/>
      <c r="AS81" s="32">
        <v>-4.5253679520013204E-3</v>
      </c>
      <c r="AT81" s="30"/>
      <c r="AU81" s="32">
        <v>7.1498251490151002E-2</v>
      </c>
      <c r="AV81" s="30"/>
      <c r="AW81" s="32">
        <v>1.9280795984210002E-2</v>
      </c>
      <c r="AX81" s="30"/>
      <c r="AY81" s="32">
        <v>5.2217455505941E-2</v>
      </c>
      <c r="AZ81" s="30"/>
      <c r="BA81" s="32">
        <v>3.7656507539045397E-2</v>
      </c>
      <c r="BB81" s="30"/>
      <c r="BC81" s="32">
        <v>-3.12726846664085E-2</v>
      </c>
      <c r="BD81" s="30"/>
      <c r="BE81" s="32"/>
      <c r="BF81" s="30"/>
    </row>
    <row r="82" spans="1:58" x14ac:dyDescent="0.2">
      <c r="A82" s="28">
        <v>1997</v>
      </c>
      <c r="B82" s="28">
        <v>3</v>
      </c>
      <c r="C82" s="32"/>
      <c r="D82" s="30"/>
      <c r="E82" s="32">
        <v>1.4284216353211501E-2</v>
      </c>
      <c r="F82" s="30"/>
      <c r="G82" s="32">
        <v>1.23966473352385E-2</v>
      </c>
      <c r="H82" s="30"/>
      <c r="I82" s="32">
        <v>1.17677043476945E-2</v>
      </c>
      <c r="J82" s="30"/>
      <c r="K82" s="32">
        <v>6.2894298754395E-4</v>
      </c>
      <c r="L82" s="30"/>
      <c r="M82" s="32">
        <v>1.88756901797301E-3</v>
      </c>
      <c r="N82" s="30"/>
      <c r="O82" s="32">
        <v>1.33239722794588E-2</v>
      </c>
      <c r="P82" s="30"/>
      <c r="Q82" s="32">
        <v>-1.74221940284957E-3</v>
      </c>
      <c r="R82" s="30"/>
      <c r="S82" s="32">
        <v>1.50661916823084E-2</v>
      </c>
      <c r="T82" s="30"/>
      <c r="U82" s="32">
        <v>-1.1469770869084499E-2</v>
      </c>
      <c r="V82" s="30"/>
      <c r="W82" s="32">
        <v>3.3367607598702201E-5</v>
      </c>
      <c r="X82" s="30"/>
      <c r="Y82" s="32">
        <v>1.6772923013905101E-2</v>
      </c>
      <c r="Z82" s="30"/>
      <c r="AA82" s="32">
        <v>6.4128897192370707E-2</v>
      </c>
      <c r="AB82" s="30"/>
      <c r="AC82" s="32">
        <v>4.54592652788516E-2</v>
      </c>
      <c r="AD82" s="30"/>
      <c r="AE82" s="32">
        <v>2.9726688492883999E-2</v>
      </c>
      <c r="AF82" s="30"/>
      <c r="AG82" s="32">
        <v>2.9546853159710802E-2</v>
      </c>
      <c r="AH82" s="30"/>
      <c r="AI82" s="32">
        <v>1.86696319135191E-2</v>
      </c>
      <c r="AJ82" s="30"/>
      <c r="AK82" s="32">
        <v>-4.7355974178465501E-2</v>
      </c>
      <c r="AL82" s="30"/>
      <c r="AM82" s="32">
        <v>-4.1889466004041899E-2</v>
      </c>
      <c r="AN82" s="30"/>
      <c r="AO82" s="32">
        <v>-3.0721167237595E-2</v>
      </c>
      <c r="AP82" s="30"/>
      <c r="AQ82" s="32">
        <v>-2.8025533834997899E-2</v>
      </c>
      <c r="AR82" s="30"/>
      <c r="AS82" s="32">
        <v>-5.4665081744236397E-3</v>
      </c>
      <c r="AT82" s="30"/>
      <c r="AU82" s="32">
        <v>7.6018952245622606E-2</v>
      </c>
      <c r="AV82" s="30"/>
      <c r="AW82" s="32">
        <v>2.57206196146973E-2</v>
      </c>
      <c r="AX82" s="30"/>
      <c r="AY82" s="32">
        <v>5.0298332630925403E-2</v>
      </c>
      <c r="AZ82" s="30"/>
      <c r="BA82" s="32">
        <v>3.16287007174062E-2</v>
      </c>
      <c r="BB82" s="30"/>
      <c r="BC82" s="32">
        <v>-3.3492042009421498E-2</v>
      </c>
      <c r="BD82" s="30"/>
      <c r="BE82" s="32"/>
      <c r="BF82" s="30"/>
    </row>
    <row r="83" spans="1:58" x14ac:dyDescent="0.2">
      <c r="A83" s="28">
        <v>1997</v>
      </c>
      <c r="B83" s="28">
        <v>4</v>
      </c>
      <c r="C83" s="32"/>
      <c r="D83" s="30"/>
      <c r="E83" s="32">
        <v>5.9103385620496796E-3</v>
      </c>
      <c r="F83" s="30"/>
      <c r="G83" s="32">
        <v>1.6551006511151399E-2</v>
      </c>
      <c r="H83" s="30"/>
      <c r="I83" s="32">
        <v>1.53748142333167E-2</v>
      </c>
      <c r="J83" s="30"/>
      <c r="K83" s="32">
        <v>1.17619227783474E-3</v>
      </c>
      <c r="L83" s="30"/>
      <c r="M83" s="32">
        <v>-1.06406679491018E-2</v>
      </c>
      <c r="N83" s="30"/>
      <c r="O83" s="32">
        <v>1.9496007130666002E-2</v>
      </c>
      <c r="P83" s="30"/>
      <c r="Q83" s="32">
        <v>9.4862603665955099E-4</v>
      </c>
      <c r="R83" s="30"/>
      <c r="S83" s="32">
        <v>1.8547381094006402E-2</v>
      </c>
      <c r="T83" s="30"/>
      <c r="U83" s="32">
        <v>-1.7030819156113999E-2</v>
      </c>
      <c r="V83" s="30"/>
      <c r="W83" s="32">
        <v>-1.31058559236537E-2</v>
      </c>
      <c r="X83" s="30"/>
      <c r="Y83" s="32">
        <v>2.9878125540425099E-2</v>
      </c>
      <c r="Z83" s="30"/>
      <c r="AA83" s="32">
        <v>7.5933233605573802E-2</v>
      </c>
      <c r="AB83" s="30"/>
      <c r="AC83" s="32">
        <v>6.1450063160362903E-2</v>
      </c>
      <c r="AD83" s="30"/>
      <c r="AE83" s="32">
        <v>3.9017715546001003E-2</v>
      </c>
      <c r="AF83" s="30"/>
      <c r="AG83" s="32">
        <v>3.6290150301718303E-2</v>
      </c>
      <c r="AH83" s="30"/>
      <c r="AI83" s="32">
        <v>1.4483170445211E-2</v>
      </c>
      <c r="AJ83" s="30"/>
      <c r="AK83" s="32">
        <v>-4.6055108065148703E-2</v>
      </c>
      <c r="AL83" s="30"/>
      <c r="AM83" s="32">
        <v>-4.0712222774585097E-2</v>
      </c>
      <c r="AN83" s="30"/>
      <c r="AO83" s="32">
        <v>-3.3919160916398301E-2</v>
      </c>
      <c r="AP83" s="30"/>
      <c r="AQ83" s="32">
        <v>-2.94639004306517E-2</v>
      </c>
      <c r="AR83" s="30"/>
      <c r="AS83" s="32">
        <v>-5.3428852905635796E-3</v>
      </c>
      <c r="AT83" s="30"/>
      <c r="AU83" s="32">
        <v>8.76260689798041E-2</v>
      </c>
      <c r="AV83" s="30"/>
      <c r="AW83" s="32">
        <v>3.6047013641817401E-2</v>
      </c>
      <c r="AX83" s="30"/>
      <c r="AY83" s="32">
        <v>5.15790553379867E-2</v>
      </c>
      <c r="AZ83" s="30"/>
      <c r="BA83" s="32">
        <v>3.7095884892775703E-2</v>
      </c>
      <c r="BB83" s="30"/>
      <c r="BC83" s="32">
        <v>-3.4806785721215198E-2</v>
      </c>
      <c r="BD83" s="30"/>
      <c r="BE83" s="32"/>
      <c r="BF83" s="30"/>
    </row>
    <row r="84" spans="1:58" x14ac:dyDescent="0.2">
      <c r="A84" s="28">
        <v>1998</v>
      </c>
      <c r="B84" s="28">
        <v>1</v>
      </c>
      <c r="C84" s="32"/>
      <c r="D84" s="30"/>
      <c r="E84" s="32">
        <v>5.7147723453047701E-2</v>
      </c>
      <c r="F84" s="30"/>
      <c r="G84" s="32">
        <v>1.40409768847498E-2</v>
      </c>
      <c r="H84" s="30"/>
      <c r="I84" s="32">
        <v>1.2606147101255001E-2</v>
      </c>
      <c r="J84" s="30"/>
      <c r="K84" s="32">
        <v>1.43482978349487E-3</v>
      </c>
      <c r="L84" s="30"/>
      <c r="M84" s="32">
        <v>4.3106746568297799E-2</v>
      </c>
      <c r="N84" s="30"/>
      <c r="O84" s="32">
        <v>2.25454411191406E-2</v>
      </c>
      <c r="P84" s="30"/>
      <c r="Q84" s="32">
        <v>9.1804282771609704E-4</v>
      </c>
      <c r="R84" s="30"/>
      <c r="S84" s="32">
        <v>2.1627398291424502E-2</v>
      </c>
      <c r="T84" s="30"/>
      <c r="U84" s="32">
        <v>-1.6885404077095799E-3</v>
      </c>
      <c r="V84" s="30"/>
      <c r="W84" s="32">
        <v>2.22498458568668E-2</v>
      </c>
      <c r="X84" s="30"/>
      <c r="Y84" s="32">
        <v>-1.72951175647999E-2</v>
      </c>
      <c r="Z84" s="30"/>
      <c r="AA84" s="32">
        <v>3.6404050210120498E-2</v>
      </c>
      <c r="AB84" s="30"/>
      <c r="AC84" s="32">
        <v>2.4975338510331301E-2</v>
      </c>
      <c r="AD84" s="30"/>
      <c r="AE84" s="32">
        <v>2.9668203288834301E-2</v>
      </c>
      <c r="AF84" s="30"/>
      <c r="AG84" s="32">
        <v>3.2897200626567903E-2</v>
      </c>
      <c r="AH84" s="30"/>
      <c r="AI84" s="32">
        <v>1.1428711699789099E-2</v>
      </c>
      <c r="AJ84" s="30"/>
      <c r="AK84" s="32">
        <v>-5.3699167774920301E-2</v>
      </c>
      <c r="AL84" s="30"/>
      <c r="AM84" s="32">
        <v>-4.1445809352205598E-2</v>
      </c>
      <c r="AN84" s="30"/>
      <c r="AO84" s="32">
        <v>-3.26412253258095E-2</v>
      </c>
      <c r="AP84" s="30"/>
      <c r="AQ84" s="32">
        <v>-2.5765475814102299E-2</v>
      </c>
      <c r="AR84" s="30"/>
      <c r="AS84" s="32">
        <v>-1.2253358422714701E-2</v>
      </c>
      <c r="AT84" s="30"/>
      <c r="AU84" s="32">
        <v>7.9559980532774299E-2</v>
      </c>
      <c r="AV84" s="30"/>
      <c r="AW84" s="32">
        <v>3.6586418003890397E-2</v>
      </c>
      <c r="AX84" s="30"/>
      <c r="AY84" s="32">
        <v>4.2973562528883902E-2</v>
      </c>
      <c r="AZ84" s="30"/>
      <c r="BA84" s="32">
        <v>3.1544850829094799E-2</v>
      </c>
      <c r="BB84" s="30"/>
      <c r="BC84" s="32">
        <v>-3.8018834236816998E-2</v>
      </c>
      <c r="BD84" s="30"/>
      <c r="BE84" s="32"/>
      <c r="BF84" s="30"/>
    </row>
    <row r="85" spans="1:58" x14ac:dyDescent="0.2">
      <c r="A85" s="28">
        <v>1998</v>
      </c>
      <c r="B85" s="28">
        <v>2</v>
      </c>
      <c r="C85" s="32"/>
      <c r="D85" s="30"/>
      <c r="E85" s="32">
        <v>3.2376197467813901E-2</v>
      </c>
      <c r="F85" s="30"/>
      <c r="G85" s="32">
        <v>1.4242395177141201E-2</v>
      </c>
      <c r="H85" s="30"/>
      <c r="I85" s="32">
        <v>1.2546420131959401E-2</v>
      </c>
      <c r="J85" s="30"/>
      <c r="K85" s="32">
        <v>1.6959750451818001E-3</v>
      </c>
      <c r="L85" s="30"/>
      <c r="M85" s="32">
        <v>1.8133802290672699E-2</v>
      </c>
      <c r="N85" s="30"/>
      <c r="O85" s="32">
        <v>2.0463401692998099E-2</v>
      </c>
      <c r="P85" s="30"/>
      <c r="Q85" s="32">
        <v>1.1460639550154E-4</v>
      </c>
      <c r="R85" s="30"/>
      <c r="S85" s="32">
        <v>2.03487952974966E-2</v>
      </c>
      <c r="T85" s="30"/>
      <c r="U85" s="32">
        <v>1.6240736904212301E-2</v>
      </c>
      <c r="V85" s="30"/>
      <c r="W85" s="32">
        <v>-1.8570336306537798E-2</v>
      </c>
      <c r="X85" s="30"/>
      <c r="Y85" s="32">
        <v>3.9994324301142001E-3</v>
      </c>
      <c r="Z85" s="30"/>
      <c r="AA85" s="32">
        <v>1.8804048028637398E-2</v>
      </c>
      <c r="AB85" s="30"/>
      <c r="AC85" s="32">
        <v>6.8651145714544804E-3</v>
      </c>
      <c r="AD85" s="30"/>
      <c r="AE85" s="32">
        <v>2.04867957954481E-3</v>
      </c>
      <c r="AF85" s="30"/>
      <c r="AG85" s="32">
        <v>6.1418102939906098E-3</v>
      </c>
      <c r="AH85" s="30"/>
      <c r="AI85" s="32">
        <v>1.19389334571829E-2</v>
      </c>
      <c r="AJ85" s="30"/>
      <c r="AK85" s="32">
        <v>-1.48046155985232E-2</v>
      </c>
      <c r="AL85" s="30"/>
      <c r="AM85" s="32">
        <v>-5.8275112871306904E-3</v>
      </c>
      <c r="AN85" s="30"/>
      <c r="AO85" s="32">
        <v>-2.1080353616162801E-2</v>
      </c>
      <c r="AP85" s="30"/>
      <c r="AQ85" s="32">
        <v>-2.1384009467082198E-2</v>
      </c>
      <c r="AR85" s="30"/>
      <c r="AS85" s="32">
        <v>-8.9771043113924896E-3</v>
      </c>
      <c r="AT85" s="30"/>
      <c r="AU85" s="32">
        <v>5.0496006772190398E-2</v>
      </c>
      <c r="AV85" s="30"/>
      <c r="AW85" s="32">
        <v>3.4705796870139402E-2</v>
      </c>
      <c r="AX85" s="30"/>
      <c r="AY85" s="32">
        <v>1.57902099020511E-2</v>
      </c>
      <c r="AZ85" s="30"/>
      <c r="BA85" s="32">
        <v>3.85127644486815E-3</v>
      </c>
      <c r="BB85" s="30"/>
      <c r="BC85" s="32">
        <v>-3.03611137784747E-2</v>
      </c>
      <c r="BD85" s="30"/>
      <c r="BE85" s="32"/>
      <c r="BF85" s="30"/>
    </row>
    <row r="86" spans="1:58" x14ac:dyDescent="0.2">
      <c r="A86" s="28">
        <v>1998</v>
      </c>
      <c r="B86" s="28">
        <v>3</v>
      </c>
      <c r="C86" s="32"/>
      <c r="D86" s="30"/>
      <c r="E86" s="32">
        <v>2.4733541307101099E-2</v>
      </c>
      <c r="F86" s="30"/>
      <c r="G86" s="32">
        <v>1.43785506354548E-2</v>
      </c>
      <c r="H86" s="30"/>
      <c r="I86" s="32">
        <v>1.2227799905663601E-2</v>
      </c>
      <c r="J86" s="30"/>
      <c r="K86" s="32">
        <v>2.1507507297911701E-3</v>
      </c>
      <c r="L86" s="30"/>
      <c r="M86" s="32">
        <v>1.0354990671646301E-2</v>
      </c>
      <c r="N86" s="30"/>
      <c r="O86" s="32">
        <v>2.0457757184518099E-2</v>
      </c>
      <c r="P86" s="30"/>
      <c r="Q86" s="32">
        <v>2.5068218513473401E-3</v>
      </c>
      <c r="R86" s="30"/>
      <c r="S86" s="32">
        <v>1.7950935333170701E-2</v>
      </c>
      <c r="T86" s="30"/>
      <c r="U86" s="32">
        <v>-1.4493709910161901E-3</v>
      </c>
      <c r="V86" s="30"/>
      <c r="W86" s="32">
        <v>-8.6533955218555808E-3</v>
      </c>
      <c r="X86" s="30"/>
      <c r="Y86" s="32">
        <v>-1.63783258474531E-3</v>
      </c>
      <c r="Z86" s="30"/>
      <c r="AA86" s="32">
        <v>6.60637556541099E-3</v>
      </c>
      <c r="AB86" s="30"/>
      <c r="AC86" s="32">
        <v>5.0241891025950105E-4</v>
      </c>
      <c r="AD86" s="30"/>
      <c r="AE86" s="32">
        <v>7.2056153533454001E-3</v>
      </c>
      <c r="AF86" s="30"/>
      <c r="AG86" s="32">
        <v>1.09426692275122E-2</v>
      </c>
      <c r="AH86" s="30"/>
      <c r="AI86" s="32">
        <v>6.1039566551514901E-3</v>
      </c>
      <c r="AJ86" s="30"/>
      <c r="AK86" s="32">
        <v>-8.2442081501563E-3</v>
      </c>
      <c r="AL86" s="30"/>
      <c r="AM86" s="32">
        <v>7.0058516357863999E-4</v>
      </c>
      <c r="AN86" s="30"/>
      <c r="AO86" s="32">
        <v>-1.16330959991273E-2</v>
      </c>
      <c r="AP86" s="30"/>
      <c r="AQ86" s="32">
        <v>-1.5959967255480701E-2</v>
      </c>
      <c r="AR86" s="30"/>
      <c r="AS86" s="32">
        <v>-8.9447933137349403E-3</v>
      </c>
      <c r="AT86" s="30"/>
      <c r="AU86" s="32">
        <v>4.9449840282587601E-2</v>
      </c>
      <c r="AV86" s="30"/>
      <c r="AW86" s="32">
        <v>3.4836307819972899E-2</v>
      </c>
      <c r="AX86" s="30"/>
      <c r="AY86" s="32">
        <v>1.46135324626147E-2</v>
      </c>
      <c r="AZ86" s="30"/>
      <c r="BA86" s="32">
        <v>8.5095758074632405E-3</v>
      </c>
      <c r="BB86" s="30"/>
      <c r="BC86" s="32">
        <v>-2.49047605692156E-2</v>
      </c>
      <c r="BD86" s="30"/>
      <c r="BE86" s="32"/>
      <c r="BF86" s="30"/>
    </row>
    <row r="87" spans="1:58" x14ac:dyDescent="0.2">
      <c r="A87" s="28">
        <v>1998</v>
      </c>
      <c r="B87" s="28">
        <v>4</v>
      </c>
      <c r="C87" s="32"/>
      <c r="D87" s="30"/>
      <c r="E87" s="32">
        <v>5.2891884823452702E-2</v>
      </c>
      <c r="F87" s="30"/>
      <c r="G87" s="32">
        <v>1.34062541971956E-2</v>
      </c>
      <c r="H87" s="30"/>
      <c r="I87" s="32">
        <v>1.15425676937033E-2</v>
      </c>
      <c r="J87" s="30"/>
      <c r="K87" s="32">
        <v>1.8636865034923401E-3</v>
      </c>
      <c r="L87" s="30"/>
      <c r="M87" s="32">
        <v>3.9485630626257102E-2</v>
      </c>
      <c r="N87" s="30"/>
      <c r="O87" s="32">
        <v>2.1354503357619299E-2</v>
      </c>
      <c r="P87" s="30"/>
      <c r="Q87" s="32">
        <v>3.1874622353054402E-4</v>
      </c>
      <c r="R87" s="30"/>
      <c r="S87" s="32">
        <v>2.1035757134088701E-2</v>
      </c>
      <c r="T87" s="30"/>
      <c r="U87" s="32">
        <v>9.3596405218606404E-3</v>
      </c>
      <c r="V87" s="30"/>
      <c r="W87" s="32">
        <v>8.7714867467771403E-3</v>
      </c>
      <c r="X87" s="30"/>
      <c r="Y87" s="32">
        <v>-4.00834938136495E-2</v>
      </c>
      <c r="Z87" s="30"/>
      <c r="AA87" s="32">
        <v>-1.4978294383735401E-2</v>
      </c>
      <c r="AB87" s="30"/>
      <c r="AC87" s="32">
        <v>-2.0051305357897699E-2</v>
      </c>
      <c r="AD87" s="30"/>
      <c r="AE87" s="32">
        <v>-8.6145057241777696E-3</v>
      </c>
      <c r="AF87" s="30"/>
      <c r="AG87" s="32">
        <v>-3.7687090014325302E-3</v>
      </c>
      <c r="AH87" s="30"/>
      <c r="AI87" s="32">
        <v>5.0730109741622302E-3</v>
      </c>
      <c r="AJ87" s="30"/>
      <c r="AK87" s="32">
        <v>-2.5105199429914099E-2</v>
      </c>
      <c r="AL87" s="30"/>
      <c r="AM87" s="32">
        <v>-1.5510844691671801E-2</v>
      </c>
      <c r="AN87" s="30"/>
      <c r="AO87" s="32">
        <v>-1.9257473247894001E-2</v>
      </c>
      <c r="AP87" s="30"/>
      <c r="AQ87" s="32">
        <v>-2.1515189085630999E-2</v>
      </c>
      <c r="AR87" s="30"/>
      <c r="AS87" s="32">
        <v>-9.5943547382422896E-3</v>
      </c>
      <c r="AT87" s="30"/>
      <c r="AU87" s="32">
        <v>3.4558294311815799E-2</v>
      </c>
      <c r="AV87" s="30"/>
      <c r="AW87" s="32">
        <v>3.4760757554814899E-2</v>
      </c>
      <c r="AX87" s="30"/>
      <c r="AY87" s="32">
        <v>-2.0246324299908199E-4</v>
      </c>
      <c r="AZ87" s="30"/>
      <c r="BA87" s="32">
        <v>-5.2754742171613103E-3</v>
      </c>
      <c r="BB87" s="30"/>
      <c r="BC87" s="32">
        <v>-3.1109543823873299E-2</v>
      </c>
      <c r="BD87" s="30"/>
      <c r="BE87" s="32"/>
      <c r="BF87" s="30"/>
    </row>
    <row r="88" spans="1:58" x14ac:dyDescent="0.2">
      <c r="A88" s="28">
        <v>1999</v>
      </c>
      <c r="B88" s="28">
        <v>1</v>
      </c>
      <c r="C88" s="32"/>
      <c r="D88" s="30"/>
      <c r="E88" s="32">
        <v>5.8196817170684404E-3</v>
      </c>
      <c r="F88" s="30"/>
      <c r="G88" s="32">
        <v>1.43020781667121E-2</v>
      </c>
      <c r="H88" s="30"/>
      <c r="I88" s="32">
        <v>1.20125335285094E-2</v>
      </c>
      <c r="J88" s="30"/>
      <c r="K88" s="32">
        <v>2.2895446382027E-3</v>
      </c>
      <c r="L88" s="30"/>
      <c r="M88" s="32">
        <v>-8.4823964496436293E-3</v>
      </c>
      <c r="N88" s="30"/>
      <c r="O88" s="32">
        <v>1.44143722964413E-2</v>
      </c>
      <c r="P88" s="30"/>
      <c r="Q88" s="32">
        <v>-2.8228994211945699E-3</v>
      </c>
      <c r="R88" s="30"/>
      <c r="S88" s="32">
        <v>1.7237271717635901E-2</v>
      </c>
      <c r="T88" s="30"/>
      <c r="U88" s="32">
        <v>-2.6703857068296299E-3</v>
      </c>
      <c r="V88" s="30"/>
      <c r="W88" s="32">
        <v>-2.0226383039255301E-2</v>
      </c>
      <c r="X88" s="30"/>
      <c r="Y88" s="32">
        <v>3.73262213797691E-3</v>
      </c>
      <c r="Z88" s="30"/>
      <c r="AA88" s="32">
        <v>-2.9887511232741201E-3</v>
      </c>
      <c r="AB88" s="30"/>
      <c r="AC88" s="32">
        <v>-9.3825429050256991E-3</v>
      </c>
      <c r="AD88" s="30"/>
      <c r="AE88" s="32">
        <v>3.8105045058185101E-3</v>
      </c>
      <c r="AF88" s="30"/>
      <c r="AG88" s="32">
        <v>3.3741855247235498E-3</v>
      </c>
      <c r="AH88" s="30"/>
      <c r="AI88" s="32">
        <v>6.3937917817515804E-3</v>
      </c>
      <c r="AJ88" s="30"/>
      <c r="AK88" s="32">
        <v>6.7213732612510296E-3</v>
      </c>
      <c r="AL88" s="30"/>
      <c r="AM88" s="32">
        <v>1.40855794053827E-2</v>
      </c>
      <c r="AN88" s="30"/>
      <c r="AO88" s="32">
        <v>-6.6337837973756498E-3</v>
      </c>
      <c r="AP88" s="30"/>
      <c r="AQ88" s="32">
        <v>-1.9175099676655899E-2</v>
      </c>
      <c r="AR88" s="30"/>
      <c r="AS88" s="32">
        <v>-7.3642061441316501E-3</v>
      </c>
      <c r="AT88" s="30"/>
      <c r="AU88" s="32">
        <v>3.8761995382662597E-2</v>
      </c>
      <c r="AV88" s="30"/>
      <c r="AW88" s="32">
        <v>2.8716450463153399E-2</v>
      </c>
      <c r="AX88" s="30"/>
      <c r="AY88" s="32">
        <v>1.00455449195092E-2</v>
      </c>
      <c r="AZ88" s="30"/>
      <c r="BA88" s="32">
        <v>3.6517531377575898E-3</v>
      </c>
      <c r="BB88" s="30"/>
      <c r="BC88" s="32">
        <v>-2.65393058207876E-2</v>
      </c>
      <c r="BD88" s="30"/>
      <c r="BE88" s="32"/>
      <c r="BF88" s="30"/>
    </row>
    <row r="89" spans="1:58" x14ac:dyDescent="0.2">
      <c r="A89" s="28">
        <v>1999</v>
      </c>
      <c r="B89" s="28">
        <v>2</v>
      </c>
      <c r="C89" s="32"/>
      <c r="D89" s="30"/>
      <c r="E89" s="32">
        <v>1.6167476206853399E-2</v>
      </c>
      <c r="F89" s="30"/>
      <c r="G89" s="32">
        <v>1.4466860817087699E-2</v>
      </c>
      <c r="H89" s="30"/>
      <c r="I89" s="32">
        <v>1.18924876717969E-2</v>
      </c>
      <c r="J89" s="30"/>
      <c r="K89" s="32">
        <v>2.5743731452907599E-3</v>
      </c>
      <c r="L89" s="30"/>
      <c r="M89" s="32">
        <v>1.7006153897656999E-3</v>
      </c>
      <c r="N89" s="30"/>
      <c r="O89" s="32">
        <v>1.81709356522727E-3</v>
      </c>
      <c r="P89" s="30"/>
      <c r="Q89" s="32">
        <v>-6.32457890821983E-3</v>
      </c>
      <c r="R89" s="30"/>
      <c r="S89" s="32">
        <v>8.1416724734471001E-3</v>
      </c>
      <c r="T89" s="30"/>
      <c r="U89" s="32">
        <v>-3.4058416561089499E-3</v>
      </c>
      <c r="V89" s="30"/>
      <c r="W89" s="32">
        <v>3.28936348064738E-3</v>
      </c>
      <c r="X89" s="30"/>
      <c r="Y89" s="32">
        <v>-1.3450704526998499E-2</v>
      </c>
      <c r="Z89" s="30"/>
      <c r="AA89" s="32">
        <v>8.9094176564877801E-5</v>
      </c>
      <c r="AB89" s="30"/>
      <c r="AC89" s="32">
        <v>-7.0059966173726699E-3</v>
      </c>
      <c r="AD89" s="30"/>
      <c r="AE89" s="32">
        <v>7.3086576495938003E-3</v>
      </c>
      <c r="AF89" s="30"/>
      <c r="AG89" s="32">
        <v>3.2986678922952099E-3</v>
      </c>
      <c r="AH89" s="30"/>
      <c r="AI89" s="32">
        <v>7.0950907939375503E-3</v>
      </c>
      <c r="AJ89" s="30"/>
      <c r="AK89" s="32">
        <v>-1.3539798703563401E-2</v>
      </c>
      <c r="AL89" s="30"/>
      <c r="AM89" s="32">
        <v>-3.1395903519871099E-3</v>
      </c>
      <c r="AN89" s="30"/>
      <c r="AO89" s="32">
        <v>-3.8402066551214901E-3</v>
      </c>
      <c r="AP89" s="30"/>
      <c r="AQ89" s="32">
        <v>-1.1599283207854E-2</v>
      </c>
      <c r="AR89" s="30"/>
      <c r="AS89" s="32">
        <v>-1.04002083515763E-2</v>
      </c>
      <c r="AT89" s="30"/>
      <c r="AU89" s="32">
        <v>2.8122104895394101E-2</v>
      </c>
      <c r="AV89" s="30"/>
      <c r="AW89" s="32">
        <v>1.6283954382314898E-2</v>
      </c>
      <c r="AX89" s="30"/>
      <c r="AY89" s="32">
        <v>1.18381505130791E-2</v>
      </c>
      <c r="AZ89" s="30"/>
      <c r="BA89" s="32">
        <v>4.7430597191415796E-3</v>
      </c>
      <c r="BB89" s="30"/>
      <c r="BC89" s="32">
        <v>-2.19994915594303E-2</v>
      </c>
      <c r="BD89" s="30"/>
      <c r="BE89" s="32"/>
      <c r="BF89" s="30"/>
    </row>
    <row r="90" spans="1:58" x14ac:dyDescent="0.2">
      <c r="A90" s="28">
        <v>1999</v>
      </c>
      <c r="B90" s="28">
        <v>3</v>
      </c>
      <c r="C90" s="32"/>
      <c r="D90" s="30"/>
      <c r="E90" s="32">
        <v>1.5262521578845001E-2</v>
      </c>
      <c r="F90" s="30"/>
      <c r="G90" s="32">
        <v>1.6452290785267599E-2</v>
      </c>
      <c r="H90" s="30"/>
      <c r="I90" s="32">
        <v>1.44259265839591E-2</v>
      </c>
      <c r="J90" s="30"/>
      <c r="K90" s="32">
        <v>2.0263642013085498E-3</v>
      </c>
      <c r="L90" s="30"/>
      <c r="M90" s="32">
        <v>-1.18976920642258E-3</v>
      </c>
      <c r="N90" s="30"/>
      <c r="O90" s="32">
        <v>1.73128917587523E-3</v>
      </c>
      <c r="P90" s="30"/>
      <c r="Q90" s="32">
        <v>-9.4115103393153394E-3</v>
      </c>
      <c r="R90" s="30"/>
      <c r="S90" s="32">
        <v>1.11427995151906E-2</v>
      </c>
      <c r="T90" s="30"/>
      <c r="U90" s="32">
        <v>4.93626392080488E-3</v>
      </c>
      <c r="V90" s="30"/>
      <c r="W90" s="32">
        <v>-7.8573223031026904E-3</v>
      </c>
      <c r="X90" s="30"/>
      <c r="Y90" s="32">
        <v>-4.1368874012940801E-3</v>
      </c>
      <c r="Z90" s="30"/>
      <c r="AA90" s="32">
        <v>3.1032857315792799E-2</v>
      </c>
      <c r="AB90" s="30"/>
      <c r="AC90" s="32">
        <v>2.1541187131096599E-2</v>
      </c>
      <c r="AD90" s="30"/>
      <c r="AE90" s="32">
        <v>2.11687123800216E-2</v>
      </c>
      <c r="AF90" s="30"/>
      <c r="AG90" s="32">
        <v>1.6496373680055701E-2</v>
      </c>
      <c r="AH90" s="30"/>
      <c r="AI90" s="32">
        <v>9.4916701846961306E-3</v>
      </c>
      <c r="AJ90" s="30"/>
      <c r="AK90" s="32">
        <v>-3.5169744717086802E-2</v>
      </c>
      <c r="AL90" s="30"/>
      <c r="AM90" s="32">
        <v>-2.2165165892272201E-2</v>
      </c>
      <c r="AN90" s="30"/>
      <c r="AO90" s="32">
        <v>-2.1833767086871701E-2</v>
      </c>
      <c r="AP90" s="30"/>
      <c r="AQ90" s="32">
        <v>-2.69876835892469E-2</v>
      </c>
      <c r="AR90" s="30"/>
      <c r="AS90" s="32">
        <v>-1.30045788248147E-2</v>
      </c>
      <c r="AT90" s="30"/>
      <c r="AU90" s="32">
        <v>4.6181632670807597E-2</v>
      </c>
      <c r="AV90" s="30"/>
      <c r="AW90" s="32">
        <v>1.81835799611429E-2</v>
      </c>
      <c r="AX90" s="30"/>
      <c r="AY90" s="32">
        <v>2.7998052709664701E-2</v>
      </c>
      <c r="AZ90" s="30"/>
      <c r="BA90" s="32">
        <v>1.8506382524968602E-2</v>
      </c>
      <c r="BB90" s="30"/>
      <c r="BC90" s="32">
        <v>-3.9992262414061501E-2</v>
      </c>
      <c r="BD90" s="30"/>
      <c r="BE90" s="32"/>
      <c r="BF90" s="30"/>
    </row>
    <row r="91" spans="1:58" x14ac:dyDescent="0.2">
      <c r="A91" s="28">
        <v>1999</v>
      </c>
      <c r="B91" s="28">
        <v>4</v>
      </c>
      <c r="C91" s="32"/>
      <c r="D91" s="30"/>
      <c r="E91" s="32">
        <v>3.9871348116325402E-2</v>
      </c>
      <c r="F91" s="30"/>
      <c r="G91" s="32">
        <v>1.6876398145270501E-2</v>
      </c>
      <c r="H91" s="30"/>
      <c r="I91" s="32">
        <v>1.4346231042733399E-2</v>
      </c>
      <c r="J91" s="30"/>
      <c r="K91" s="32">
        <v>2.5301671025370598E-3</v>
      </c>
      <c r="L91" s="30"/>
      <c r="M91" s="32">
        <v>2.29949499710549E-2</v>
      </c>
      <c r="N91" s="30"/>
      <c r="O91" s="32">
        <v>1.04682648259649E-2</v>
      </c>
      <c r="P91" s="30"/>
      <c r="Q91" s="32">
        <v>4.8809218192216799E-3</v>
      </c>
      <c r="R91" s="30"/>
      <c r="S91" s="32">
        <v>5.5873430067432499E-3</v>
      </c>
      <c r="T91" s="30"/>
      <c r="U91" s="32">
        <v>-4.00083288405412E-3</v>
      </c>
      <c r="V91" s="30"/>
      <c r="W91" s="32">
        <v>1.6527518029144098E-2</v>
      </c>
      <c r="X91" s="30"/>
      <c r="Y91" s="32">
        <v>3.07711550739183E-3</v>
      </c>
      <c r="Z91" s="30"/>
      <c r="AA91" s="32">
        <v>3.7841612096609703E-2</v>
      </c>
      <c r="AB91" s="30"/>
      <c r="AC91" s="32">
        <v>1.9617645829869901E-2</v>
      </c>
      <c r="AD91" s="30"/>
      <c r="AE91" s="32">
        <v>3.8195731499554103E-2</v>
      </c>
      <c r="AF91" s="30"/>
      <c r="AG91" s="32">
        <v>3.6452384731946903E-2</v>
      </c>
      <c r="AH91" s="30"/>
      <c r="AI91" s="32">
        <v>1.8223966266739802E-2</v>
      </c>
      <c r="AJ91" s="30"/>
      <c r="AK91" s="32">
        <v>-3.4764496589217903E-2</v>
      </c>
      <c r="AL91" s="30"/>
      <c r="AM91" s="32">
        <v>-2.1062923434009399E-2</v>
      </c>
      <c r="AN91" s="30"/>
      <c r="AO91" s="32">
        <v>-1.9365059053825101E-2</v>
      </c>
      <c r="AP91" s="30"/>
      <c r="AQ91" s="32">
        <v>-2.32925717908176E-2</v>
      </c>
      <c r="AR91" s="30"/>
      <c r="AS91" s="32">
        <v>-1.37015731552084E-2</v>
      </c>
      <c r="AT91" s="30"/>
      <c r="AU91" s="32">
        <v>8.3943441453797396E-2</v>
      </c>
      <c r="AV91" s="30"/>
      <c r="AW91" s="32">
        <v>2.73446629712354E-2</v>
      </c>
      <c r="AX91" s="30"/>
      <c r="AY91" s="32">
        <v>5.6598778482561903E-2</v>
      </c>
      <c r="AZ91" s="30"/>
      <c r="BA91" s="32">
        <v>3.8374812215822202E-2</v>
      </c>
      <c r="BB91" s="30"/>
      <c r="BC91" s="32">
        <v>-3.6994144946026E-2</v>
      </c>
      <c r="BD91" s="30"/>
      <c r="BE91" s="32"/>
      <c r="BF91" s="30"/>
    </row>
    <row r="92" spans="1:58" x14ac:dyDescent="0.2">
      <c r="A92" s="28">
        <v>2000</v>
      </c>
      <c r="B92" s="28">
        <v>1</v>
      </c>
      <c r="C92" s="32"/>
      <c r="D92" s="30"/>
      <c r="E92" s="32">
        <v>4.0629695716139398E-2</v>
      </c>
      <c r="F92" s="30"/>
      <c r="G92" s="32">
        <v>1.7927382985946101E-2</v>
      </c>
      <c r="H92" s="30"/>
      <c r="I92" s="32">
        <v>1.5759257159425801E-2</v>
      </c>
      <c r="J92" s="30"/>
      <c r="K92" s="32">
        <v>2.1681258265202701E-3</v>
      </c>
      <c r="L92" s="30"/>
      <c r="M92" s="32">
        <v>2.27023127301933E-2</v>
      </c>
      <c r="N92" s="30"/>
      <c r="O92" s="32">
        <v>1.22042103728821E-2</v>
      </c>
      <c r="P92" s="30"/>
      <c r="Q92" s="32">
        <v>3.44285060723313E-3</v>
      </c>
      <c r="R92" s="30"/>
      <c r="S92" s="32">
        <v>8.7613597656489694E-3</v>
      </c>
      <c r="T92" s="30"/>
      <c r="U92" s="32">
        <v>-9.0529076349434596E-3</v>
      </c>
      <c r="V92" s="30"/>
      <c r="W92" s="32">
        <v>1.9551009992254599E-2</v>
      </c>
      <c r="X92" s="30"/>
      <c r="Y92" s="32">
        <v>4.5978984665526901E-3</v>
      </c>
      <c r="Z92" s="30"/>
      <c r="AA92" s="32">
        <v>6.0397225702956199E-2</v>
      </c>
      <c r="AB92" s="30"/>
      <c r="AC92" s="32">
        <v>3.3533425092646799E-2</v>
      </c>
      <c r="AD92" s="30"/>
      <c r="AE92" s="32">
        <v>3.5646924981199098E-2</v>
      </c>
      <c r="AF92" s="30"/>
      <c r="AG92" s="32">
        <v>3.4978106837402802E-2</v>
      </c>
      <c r="AH92" s="30"/>
      <c r="AI92" s="32">
        <v>2.6863800610309501E-2</v>
      </c>
      <c r="AJ92" s="30"/>
      <c r="AK92" s="32">
        <v>-5.5799327236403497E-2</v>
      </c>
      <c r="AL92" s="30"/>
      <c r="AM92" s="32">
        <v>-4.0070235461197902E-2</v>
      </c>
      <c r="AN92" s="30"/>
      <c r="AO92" s="32">
        <v>-3.2168670812040903E-2</v>
      </c>
      <c r="AP92" s="30"/>
      <c r="AQ92" s="32">
        <v>-2.3326412402076498E-2</v>
      </c>
      <c r="AR92" s="30"/>
      <c r="AS92" s="32">
        <v>-1.5729091775205699E-2</v>
      </c>
      <c r="AT92" s="30"/>
      <c r="AU92" s="32">
        <v>9.3336005994917703E-2</v>
      </c>
      <c r="AV92" s="30"/>
      <c r="AW92" s="32">
        <v>3.0131593358828201E-2</v>
      </c>
      <c r="AX92" s="30"/>
      <c r="AY92" s="32">
        <v>6.3204412636089502E-2</v>
      </c>
      <c r="AZ92" s="30"/>
      <c r="BA92" s="32">
        <v>3.6340612025779997E-2</v>
      </c>
      <c r="BB92" s="30"/>
      <c r="BC92" s="32">
        <v>-3.9055504177282201E-2</v>
      </c>
      <c r="BD92" s="30"/>
      <c r="BE92" s="32"/>
      <c r="BF92" s="30"/>
    </row>
    <row r="93" spans="1:58" x14ac:dyDescent="0.2">
      <c r="A93" s="28">
        <v>2000</v>
      </c>
      <c r="B93" s="28">
        <v>2</v>
      </c>
      <c r="C93" s="32"/>
      <c r="D93" s="30"/>
      <c r="E93" s="32">
        <v>-8.8654400302935303E-3</v>
      </c>
      <c r="F93" s="30"/>
      <c r="G93" s="32">
        <v>1.7526703069147699E-2</v>
      </c>
      <c r="H93" s="30"/>
      <c r="I93" s="32">
        <v>1.5880126349853699E-2</v>
      </c>
      <c r="J93" s="30"/>
      <c r="K93" s="32">
        <v>1.6465767192940101E-3</v>
      </c>
      <c r="L93" s="30"/>
      <c r="M93" s="32">
        <v>-2.6392143099441202E-2</v>
      </c>
      <c r="N93" s="30"/>
      <c r="O93" s="32">
        <v>1.5868530203133599E-2</v>
      </c>
      <c r="P93" s="30"/>
      <c r="Q93" s="32">
        <v>3.5816274013655302E-3</v>
      </c>
      <c r="R93" s="30"/>
      <c r="S93" s="32">
        <v>1.22869028017681E-2</v>
      </c>
      <c r="T93" s="30"/>
      <c r="U93" s="32">
        <v>-8.8035549589956501E-3</v>
      </c>
      <c r="V93" s="30"/>
      <c r="W93" s="32">
        <v>-3.3457118343579201E-2</v>
      </c>
      <c r="X93" s="30"/>
      <c r="Y93" s="32">
        <v>4.6656518756120001E-2</v>
      </c>
      <c r="Z93" s="30"/>
      <c r="AA93" s="32">
        <v>7.2113380490993598E-2</v>
      </c>
      <c r="AB93" s="30"/>
      <c r="AC93" s="32">
        <v>4.7968431454578297E-2</v>
      </c>
      <c r="AD93" s="30"/>
      <c r="AE93" s="32">
        <v>3.1243002515069201E-2</v>
      </c>
      <c r="AF93" s="30"/>
      <c r="AG93" s="32">
        <v>3.0474723758869601E-2</v>
      </c>
      <c r="AH93" s="30"/>
      <c r="AI93" s="32">
        <v>2.41449490364153E-2</v>
      </c>
      <c r="AJ93" s="30"/>
      <c r="AK93" s="32">
        <v>-2.54568617348736E-2</v>
      </c>
      <c r="AL93" s="30"/>
      <c r="AM93" s="32">
        <v>-6.7196317055891498E-3</v>
      </c>
      <c r="AN93" s="30"/>
      <c r="AO93" s="32">
        <v>-2.19579299497893E-2</v>
      </c>
      <c r="AP93" s="30"/>
      <c r="AQ93" s="32">
        <v>-2.3352171735632001E-2</v>
      </c>
      <c r="AR93" s="30"/>
      <c r="AS93" s="32">
        <v>-1.8737230029284499E-2</v>
      </c>
      <c r="AT93" s="30"/>
      <c r="AU93" s="32">
        <v>8.8684035449738505E-2</v>
      </c>
      <c r="AV93" s="30"/>
      <c r="AW93" s="32">
        <v>3.3395233272281298E-2</v>
      </c>
      <c r="AX93" s="30"/>
      <c r="AY93" s="32">
        <v>5.52888021774572E-2</v>
      </c>
      <c r="AZ93" s="30"/>
      <c r="BA93" s="32">
        <v>3.11438531410419E-2</v>
      </c>
      <c r="BB93" s="30"/>
      <c r="BC93" s="32">
        <v>-4.20894017649164E-2</v>
      </c>
      <c r="BD93" s="30"/>
      <c r="BE93" s="32"/>
      <c r="BF93" s="30"/>
    </row>
    <row r="94" spans="1:58" x14ac:dyDescent="0.2">
      <c r="A94" s="28">
        <v>2000</v>
      </c>
      <c r="B94" s="28">
        <v>3</v>
      </c>
      <c r="C94" s="32"/>
      <c r="D94" s="30"/>
      <c r="E94" s="32">
        <v>3.10189193883986E-2</v>
      </c>
      <c r="F94" s="30"/>
      <c r="G94" s="32">
        <v>1.8624463641102498E-2</v>
      </c>
      <c r="H94" s="30"/>
      <c r="I94" s="32">
        <v>1.7397453696492801E-2</v>
      </c>
      <c r="J94" s="30"/>
      <c r="K94" s="32">
        <v>1.22700994460978E-3</v>
      </c>
      <c r="L94" s="30"/>
      <c r="M94" s="32">
        <v>1.2394455747296E-2</v>
      </c>
      <c r="N94" s="30"/>
      <c r="O94" s="32">
        <v>1.11341951704894E-2</v>
      </c>
      <c r="P94" s="30"/>
      <c r="Q94" s="32">
        <v>2.2367537609025998E-3</v>
      </c>
      <c r="R94" s="30"/>
      <c r="S94" s="32">
        <v>8.8974414095867906E-3</v>
      </c>
      <c r="T94" s="30"/>
      <c r="U94" s="32">
        <v>-6.8017760430081802E-3</v>
      </c>
      <c r="V94" s="30"/>
      <c r="W94" s="32">
        <v>8.0620366198148295E-3</v>
      </c>
      <c r="X94" s="30"/>
      <c r="Y94" s="32">
        <v>7.1551865019378403E-3</v>
      </c>
      <c r="Z94" s="30"/>
      <c r="AA94" s="32">
        <v>4.4166960521140899E-2</v>
      </c>
      <c r="AB94" s="30"/>
      <c r="AC94" s="32">
        <v>2.0313997474920999E-2</v>
      </c>
      <c r="AD94" s="30"/>
      <c r="AE94" s="32">
        <v>2.4902855400021299E-2</v>
      </c>
      <c r="AF94" s="30"/>
      <c r="AG94" s="32">
        <v>2.4106799525201499E-2</v>
      </c>
      <c r="AH94" s="30"/>
      <c r="AI94" s="32">
        <v>2.38529630462198E-2</v>
      </c>
      <c r="AJ94" s="30"/>
      <c r="AK94" s="32">
        <v>-3.7011774019203102E-2</v>
      </c>
      <c r="AL94" s="30"/>
      <c r="AM94" s="32">
        <v>-1.9745038788539601E-2</v>
      </c>
      <c r="AN94" s="30"/>
      <c r="AO94" s="32">
        <v>-1.91119458134799E-2</v>
      </c>
      <c r="AP94" s="30"/>
      <c r="AQ94" s="32">
        <v>-1.5442468209605899E-2</v>
      </c>
      <c r="AR94" s="30"/>
      <c r="AS94" s="32">
        <v>-1.7266735230663501E-2</v>
      </c>
      <c r="AT94" s="30"/>
      <c r="AU94" s="32">
        <v>7.7685085373614002E-2</v>
      </c>
      <c r="AV94" s="30"/>
      <c r="AW94" s="32">
        <v>2.9758658811591902E-2</v>
      </c>
      <c r="AX94" s="30"/>
      <c r="AY94" s="32">
        <v>4.7926426562022E-2</v>
      </c>
      <c r="AZ94" s="30"/>
      <c r="BA94" s="32">
        <v>2.4073463515802199E-2</v>
      </c>
      <c r="BB94" s="30"/>
      <c r="BC94" s="32">
        <v>-3.2709203440269403E-2</v>
      </c>
      <c r="BD94" s="30"/>
      <c r="BE94" s="32"/>
      <c r="BF94" s="30"/>
    </row>
    <row r="95" spans="1:58" x14ac:dyDescent="0.2">
      <c r="A95" s="28">
        <v>2000</v>
      </c>
      <c r="B95" s="28">
        <v>4</v>
      </c>
      <c r="C95" s="32"/>
      <c r="D95" s="30"/>
      <c r="E95" s="32">
        <v>2.8140792850063702E-3</v>
      </c>
      <c r="F95" s="30"/>
      <c r="G95" s="32">
        <v>1.30585217766309E-2</v>
      </c>
      <c r="H95" s="30"/>
      <c r="I95" s="32">
        <v>1.23445791774901E-2</v>
      </c>
      <c r="J95" s="30"/>
      <c r="K95" s="32">
        <v>7.1394259914084595E-4</v>
      </c>
      <c r="L95" s="30"/>
      <c r="M95" s="32">
        <v>-1.0244442491624499E-2</v>
      </c>
      <c r="N95" s="30"/>
      <c r="O95" s="32">
        <v>1.28207762985983E-2</v>
      </c>
      <c r="P95" s="30"/>
      <c r="Q95" s="32">
        <v>9.0063110453192298E-4</v>
      </c>
      <c r="R95" s="30"/>
      <c r="S95" s="32">
        <v>1.19201451940664E-2</v>
      </c>
      <c r="T95" s="30"/>
      <c r="U95" s="32">
        <v>6.0647507475641103E-3</v>
      </c>
      <c r="V95" s="30"/>
      <c r="W95" s="32">
        <v>-2.91299695377869E-2</v>
      </c>
      <c r="X95" s="30"/>
      <c r="Y95" s="32">
        <v>2.2216913559168602E-2</v>
      </c>
      <c r="Z95" s="30"/>
      <c r="AA95" s="32">
        <v>5.0730894997716797E-2</v>
      </c>
      <c r="AB95" s="30"/>
      <c r="AC95" s="32">
        <v>3.05938483026434E-2</v>
      </c>
      <c r="AD95" s="30"/>
      <c r="AE95" s="32">
        <v>9.7956182586750994E-3</v>
      </c>
      <c r="AF95" s="30"/>
      <c r="AG95" s="32">
        <v>8.7459106503357496E-3</v>
      </c>
      <c r="AH95" s="30"/>
      <c r="AI95" s="32">
        <v>2.01370466950734E-2</v>
      </c>
      <c r="AJ95" s="30"/>
      <c r="AK95" s="32">
        <v>-2.8513981438548101E-2</v>
      </c>
      <c r="AL95" s="30"/>
      <c r="AM95" s="32">
        <v>-1.3297220293505101E-2</v>
      </c>
      <c r="AN95" s="30"/>
      <c r="AO95" s="32">
        <v>-2.0035764881136502E-2</v>
      </c>
      <c r="AP95" s="30"/>
      <c r="AQ95" s="32">
        <v>-1.98249340323359E-2</v>
      </c>
      <c r="AR95" s="30"/>
      <c r="AS95" s="32">
        <v>-1.5216761145043001E-2</v>
      </c>
      <c r="AT95" s="30"/>
      <c r="AU95" s="32">
        <v>5.4007937273989802E-2</v>
      </c>
      <c r="AV95" s="30"/>
      <c r="AW95" s="32">
        <v>2.58792980752292E-2</v>
      </c>
      <c r="AX95" s="30"/>
      <c r="AY95" s="32">
        <v>2.8128639198760599E-2</v>
      </c>
      <c r="AZ95" s="30"/>
      <c r="BA95" s="32">
        <v>7.9915925036871897E-3</v>
      </c>
      <c r="BB95" s="30"/>
      <c r="BC95" s="32">
        <v>-3.5041695177378901E-2</v>
      </c>
      <c r="BD95" s="30"/>
      <c r="BE95" s="32"/>
      <c r="BF95" s="30"/>
    </row>
    <row r="96" spans="1:58" x14ac:dyDescent="0.2">
      <c r="A96" s="28">
        <v>2001</v>
      </c>
      <c r="B96" s="28">
        <v>1</v>
      </c>
      <c r="C96" s="32"/>
      <c r="D96" s="30"/>
      <c r="E96" s="32">
        <v>1.30402050439895E-2</v>
      </c>
      <c r="F96" s="30"/>
      <c r="G96" s="32">
        <v>1.9046386506708E-2</v>
      </c>
      <c r="H96" s="30"/>
      <c r="I96" s="32">
        <v>1.75748826255289E-2</v>
      </c>
      <c r="J96" s="30"/>
      <c r="K96" s="32">
        <v>1.4715038811791801E-3</v>
      </c>
      <c r="L96" s="30"/>
      <c r="M96" s="32">
        <v>-6.0061814627185E-3</v>
      </c>
      <c r="N96" s="30"/>
      <c r="O96" s="32">
        <v>6.5580784475611498E-3</v>
      </c>
      <c r="P96" s="30"/>
      <c r="Q96" s="32">
        <v>-1.3023452503294799E-3</v>
      </c>
      <c r="R96" s="30"/>
      <c r="S96" s="32">
        <v>7.8604236978906394E-3</v>
      </c>
      <c r="T96" s="30"/>
      <c r="U96" s="32">
        <v>-8.6151113296477899E-3</v>
      </c>
      <c r="V96" s="30"/>
      <c r="W96" s="32">
        <v>-3.9491485806318598E-3</v>
      </c>
      <c r="X96" s="30"/>
      <c r="Y96" s="32">
        <v>8.9508276493561502E-3</v>
      </c>
      <c r="Z96" s="30"/>
      <c r="AA96" s="32">
        <v>3.9130297654681997E-2</v>
      </c>
      <c r="AB96" s="30"/>
      <c r="AC96" s="32">
        <v>3.8669168668758698E-2</v>
      </c>
      <c r="AD96" s="30"/>
      <c r="AE96" s="32">
        <v>2.2429799730648601E-2</v>
      </c>
      <c r="AF96" s="30"/>
      <c r="AG96" s="32">
        <v>2.5985811812891401E-2</v>
      </c>
      <c r="AH96" s="30"/>
      <c r="AI96" s="32">
        <v>4.61128985923299E-4</v>
      </c>
      <c r="AJ96" s="30"/>
      <c r="AK96" s="32">
        <v>-3.0179470005325799E-2</v>
      </c>
      <c r="AL96" s="30"/>
      <c r="AM96" s="32">
        <v>-2.6781777222964102E-2</v>
      </c>
      <c r="AN96" s="30"/>
      <c r="AO96" s="32">
        <v>-3.2120125509451002E-2</v>
      </c>
      <c r="AP96" s="30"/>
      <c r="AQ96" s="32">
        <v>-1.6488256897865101E-2</v>
      </c>
      <c r="AR96" s="30"/>
      <c r="AS96" s="32">
        <v>-3.3976927823617001E-3</v>
      </c>
      <c r="AT96" s="30"/>
      <c r="AU96" s="32">
        <v>5.0492093703220303E-2</v>
      </c>
      <c r="AV96" s="30"/>
      <c r="AW96" s="32">
        <v>2.5604464954269199E-2</v>
      </c>
      <c r="AX96" s="30"/>
      <c r="AY96" s="32">
        <v>2.4887628748951101E-2</v>
      </c>
      <c r="AZ96" s="30"/>
      <c r="BA96" s="32">
        <v>2.4426499763027801E-2</v>
      </c>
      <c r="BB96" s="30"/>
      <c r="BC96" s="32">
        <v>-1.9885949680226798E-2</v>
      </c>
      <c r="BD96" s="30"/>
      <c r="BE96" s="32"/>
      <c r="BF96" s="30"/>
    </row>
    <row r="97" spans="1:58" x14ac:dyDescent="0.2">
      <c r="A97" s="28">
        <v>2001</v>
      </c>
      <c r="B97" s="28">
        <v>2</v>
      </c>
      <c r="C97" s="32"/>
      <c r="D97" s="30"/>
      <c r="E97" s="32">
        <v>7.6454473704254095E-2</v>
      </c>
      <c r="F97" s="30"/>
      <c r="G97" s="32">
        <v>1.3456589556170699E-2</v>
      </c>
      <c r="H97" s="30"/>
      <c r="I97" s="32">
        <v>1.38222022083349E-2</v>
      </c>
      <c r="J97" s="30"/>
      <c r="K97" s="32">
        <v>-3.6561265216419501E-4</v>
      </c>
      <c r="L97" s="30"/>
      <c r="M97" s="32">
        <v>6.2997884148083397E-2</v>
      </c>
      <c r="N97" s="30"/>
      <c r="O97" s="32">
        <v>-4.4336054457212102E-4</v>
      </c>
      <c r="P97" s="30"/>
      <c r="Q97" s="32">
        <v>-3.8160730968196202E-3</v>
      </c>
      <c r="R97" s="30"/>
      <c r="S97" s="32">
        <v>3.3727125522474998E-3</v>
      </c>
      <c r="T97" s="30"/>
      <c r="U97" s="32">
        <v>1.4725573458370301E-2</v>
      </c>
      <c r="V97" s="30"/>
      <c r="W97" s="32">
        <v>4.8715671234285197E-2</v>
      </c>
      <c r="X97" s="30"/>
      <c r="Y97" s="32">
        <v>-5.1632984986213902E-2</v>
      </c>
      <c r="Z97" s="30"/>
      <c r="AA97" s="32">
        <v>-8.8555285146849298E-3</v>
      </c>
      <c r="AB97" s="30"/>
      <c r="AC97" s="32">
        <v>-5.9440575094899303E-3</v>
      </c>
      <c r="AD97" s="30"/>
      <c r="AE97" s="32">
        <v>1.2383124466247199E-2</v>
      </c>
      <c r="AF97" s="30"/>
      <c r="AG97" s="32">
        <v>2.0866468757908398E-2</v>
      </c>
      <c r="AH97" s="30"/>
      <c r="AI97" s="32">
        <v>-2.9114710051949999E-3</v>
      </c>
      <c r="AJ97" s="30"/>
      <c r="AK97" s="32">
        <v>-4.2777456471528898E-2</v>
      </c>
      <c r="AL97" s="30"/>
      <c r="AM97" s="32">
        <v>-4.0421118968548601E-2</v>
      </c>
      <c r="AN97" s="30"/>
      <c r="AO97" s="32">
        <v>-1.7347296714307701E-2</v>
      </c>
      <c r="AP97" s="30"/>
      <c r="AQ97" s="32">
        <v>-1.6968622504461999E-2</v>
      </c>
      <c r="AR97" s="30"/>
      <c r="AS97" s="32">
        <v>-2.3563375029802898E-3</v>
      </c>
      <c r="AT97" s="30"/>
      <c r="AU97" s="32">
        <v>2.94208752671123E-2</v>
      </c>
      <c r="AV97" s="30"/>
      <c r="AW97" s="32">
        <v>1.30132290115986E-2</v>
      </c>
      <c r="AX97" s="30"/>
      <c r="AY97" s="32">
        <v>1.6407646255513698E-2</v>
      </c>
      <c r="AZ97" s="30"/>
      <c r="BA97" s="32">
        <v>1.9319117260708701E-2</v>
      </c>
      <c r="BB97" s="30"/>
      <c r="BC97" s="32">
        <v>-1.9324960007442299E-2</v>
      </c>
      <c r="BD97" s="30"/>
      <c r="BE97" s="32"/>
      <c r="BF97" s="30"/>
    </row>
    <row r="98" spans="1:58" x14ac:dyDescent="0.2">
      <c r="A98" s="28">
        <v>2001</v>
      </c>
      <c r="B98" s="28">
        <v>3</v>
      </c>
      <c r="C98" s="32"/>
      <c r="D98" s="30"/>
      <c r="E98" s="32">
        <v>2.5024741434366199E-2</v>
      </c>
      <c r="F98" s="30"/>
      <c r="G98" s="32">
        <v>1.15613551097117E-2</v>
      </c>
      <c r="H98" s="30"/>
      <c r="I98" s="32">
        <v>1.13361756467995E-2</v>
      </c>
      <c r="J98" s="30"/>
      <c r="K98" s="32">
        <v>2.25179462912173E-4</v>
      </c>
      <c r="L98" s="30"/>
      <c r="M98" s="32">
        <v>1.34633863246545E-2</v>
      </c>
      <c r="N98" s="30"/>
      <c r="O98" s="32">
        <v>-4.5625974202152097E-3</v>
      </c>
      <c r="P98" s="30"/>
      <c r="Q98" s="32">
        <v>-3.4054025932440599E-3</v>
      </c>
      <c r="R98" s="30"/>
      <c r="S98" s="32">
        <v>-1.15719482697115E-3</v>
      </c>
      <c r="T98" s="30"/>
      <c r="U98" s="32">
        <v>1.8260288876296799E-2</v>
      </c>
      <c r="V98" s="30"/>
      <c r="W98" s="32">
        <v>-2.3430513142705801E-4</v>
      </c>
      <c r="X98" s="30"/>
      <c r="Y98" s="32">
        <v>-8.6959842801403193E-3</v>
      </c>
      <c r="Z98" s="30"/>
      <c r="AA98" s="32">
        <v>-1.48693082879516E-2</v>
      </c>
      <c r="AB98" s="30"/>
      <c r="AC98" s="32">
        <v>-6.9055545268930799E-3</v>
      </c>
      <c r="AD98" s="30"/>
      <c r="AE98" s="32">
        <v>-2.6032115905650398E-3</v>
      </c>
      <c r="AF98" s="30"/>
      <c r="AG98" s="32">
        <v>7.36728662279803E-3</v>
      </c>
      <c r="AH98" s="30"/>
      <c r="AI98" s="32">
        <v>-7.9637537610585708E-3</v>
      </c>
      <c r="AJ98" s="30"/>
      <c r="AK98" s="32">
        <v>6.1733240078113297E-3</v>
      </c>
      <c r="AL98" s="30"/>
      <c r="AM98" s="32">
        <v>7.2912236991113603E-3</v>
      </c>
      <c r="AN98" s="30"/>
      <c r="AO98" s="32">
        <v>-2.3892530042670399E-3</v>
      </c>
      <c r="AP98" s="30"/>
      <c r="AQ98" s="32">
        <v>-6.3948672751982299E-3</v>
      </c>
      <c r="AR98" s="30"/>
      <c r="AS98" s="32">
        <v>-1.1178996913000299E-3</v>
      </c>
      <c r="AT98" s="30"/>
      <c r="AU98" s="32">
        <v>5.5812352444273303E-3</v>
      </c>
      <c r="AV98" s="30"/>
      <c r="AW98" s="32">
        <v>6.9987576894964499E-3</v>
      </c>
      <c r="AX98" s="30"/>
      <c r="AY98" s="32">
        <v>-1.4175224450691201E-3</v>
      </c>
      <c r="AZ98" s="30"/>
      <c r="BA98" s="32">
        <v>6.5462313159894503E-3</v>
      </c>
      <c r="BB98" s="30"/>
      <c r="BC98" s="32">
        <v>-7.5127669664982596E-3</v>
      </c>
      <c r="BD98" s="30"/>
      <c r="BE98" s="32"/>
      <c r="BF98" s="30"/>
    </row>
    <row r="99" spans="1:58" x14ac:dyDescent="0.2">
      <c r="A99" s="28">
        <v>2001</v>
      </c>
      <c r="B99" s="28">
        <v>4</v>
      </c>
      <c r="C99" s="32"/>
      <c r="D99" s="30"/>
      <c r="E99" s="32">
        <v>-1.6877453654989098E-2</v>
      </c>
      <c r="F99" s="30"/>
      <c r="G99" s="32">
        <v>9.2496099268783195E-3</v>
      </c>
      <c r="H99" s="30"/>
      <c r="I99" s="32">
        <v>8.8219934871191404E-3</v>
      </c>
      <c r="J99" s="30"/>
      <c r="K99" s="32">
        <v>4.27616439759184E-4</v>
      </c>
      <c r="L99" s="30"/>
      <c r="M99" s="32">
        <v>-2.61270635818674E-2</v>
      </c>
      <c r="N99" s="30"/>
      <c r="O99" s="32">
        <v>-1.39472172444306E-2</v>
      </c>
      <c r="P99" s="30"/>
      <c r="Q99" s="32">
        <v>-3.8158733827348499E-3</v>
      </c>
      <c r="R99" s="30"/>
      <c r="S99" s="32">
        <v>-1.01313438616957E-2</v>
      </c>
      <c r="T99" s="30"/>
      <c r="U99" s="32">
        <v>-3.12919410181485E-3</v>
      </c>
      <c r="V99" s="30"/>
      <c r="W99" s="32">
        <v>-9.0506522356220403E-3</v>
      </c>
      <c r="X99" s="30"/>
      <c r="Y99" s="32">
        <v>1.8254541530378299E-2</v>
      </c>
      <c r="Z99" s="30"/>
      <c r="AA99" s="32">
        <v>-1.60714986217688E-2</v>
      </c>
      <c r="AB99" s="30"/>
      <c r="AC99" s="32">
        <v>-3.84691784356842E-3</v>
      </c>
      <c r="AD99" s="30"/>
      <c r="AE99" s="32">
        <v>-7.7580231753652399E-3</v>
      </c>
      <c r="AF99" s="30"/>
      <c r="AG99" s="32">
        <v>3.5167343389679402E-3</v>
      </c>
      <c r="AH99" s="30"/>
      <c r="AI99" s="32">
        <v>-1.22245807782004E-2</v>
      </c>
      <c r="AJ99" s="30"/>
      <c r="AK99" s="32">
        <v>3.4326040152147103E-2</v>
      </c>
      <c r="AL99" s="30"/>
      <c r="AM99" s="32">
        <v>2.9441858980044599E-2</v>
      </c>
      <c r="AN99" s="30"/>
      <c r="AO99" s="32">
        <v>2.3062685853215699E-2</v>
      </c>
      <c r="AP99" s="30"/>
      <c r="AQ99" s="32">
        <v>1.23807265384963E-2</v>
      </c>
      <c r="AR99" s="30"/>
      <c r="AS99" s="32">
        <v>4.8841811721025202E-3</v>
      </c>
      <c r="AT99" s="30"/>
      <c r="AU99" s="32">
        <v>-1.2758625733394801E-2</v>
      </c>
      <c r="AV99" s="30"/>
      <c r="AW99" s="32">
        <v>-4.6976073175522401E-3</v>
      </c>
      <c r="AX99" s="30"/>
      <c r="AY99" s="32">
        <v>-8.0610184158425805E-3</v>
      </c>
      <c r="AZ99" s="30"/>
      <c r="BA99" s="32">
        <v>4.16356236235782E-3</v>
      </c>
      <c r="BB99" s="30"/>
      <c r="BC99" s="32">
        <v>1.7264907710598801E-2</v>
      </c>
      <c r="BD99" s="30"/>
      <c r="BE99" s="32"/>
      <c r="BF99" s="30"/>
    </row>
    <row r="100" spans="1:58" x14ac:dyDescent="0.2">
      <c r="A100" s="28">
        <v>2002</v>
      </c>
      <c r="B100" s="28">
        <v>1</v>
      </c>
      <c r="C100" s="32"/>
      <c r="D100" s="30"/>
      <c r="E100" s="32">
        <v>8.00171750764638E-3</v>
      </c>
      <c r="F100" s="30"/>
      <c r="G100" s="32">
        <v>6.0461138649415503E-3</v>
      </c>
      <c r="H100" s="30"/>
      <c r="I100" s="32">
        <v>5.0727559862017296E-3</v>
      </c>
      <c r="J100" s="30"/>
      <c r="K100" s="32">
        <v>9.73357878739818E-4</v>
      </c>
      <c r="L100" s="30"/>
      <c r="M100" s="32">
        <v>1.9556036427048401E-3</v>
      </c>
      <c r="N100" s="30"/>
      <c r="O100" s="32">
        <v>-4.06069254130323E-3</v>
      </c>
      <c r="P100" s="30"/>
      <c r="Q100" s="32">
        <v>-3.1845962928401001E-5</v>
      </c>
      <c r="R100" s="30"/>
      <c r="S100" s="32">
        <v>-4.0288465783748298E-3</v>
      </c>
      <c r="T100" s="30"/>
      <c r="U100" s="32">
        <v>6.9969247105647302E-3</v>
      </c>
      <c r="V100" s="30"/>
      <c r="W100" s="32">
        <v>-9.8062852655667098E-4</v>
      </c>
      <c r="X100" s="30"/>
      <c r="Y100" s="32">
        <v>-5.9305973087640396E-3</v>
      </c>
      <c r="Z100" s="30"/>
      <c r="AA100" s="32">
        <v>-3.5719574981679499E-2</v>
      </c>
      <c r="AB100" s="30"/>
      <c r="AC100" s="32">
        <v>-2.95543029465919E-2</v>
      </c>
      <c r="AD100" s="30"/>
      <c r="AE100" s="32">
        <v>-1.4503396579352901E-2</v>
      </c>
      <c r="AF100" s="30"/>
      <c r="AG100" s="32">
        <v>-8.1440908027529697E-3</v>
      </c>
      <c r="AH100" s="30"/>
      <c r="AI100" s="32">
        <v>-6.1652720350875703E-3</v>
      </c>
      <c r="AJ100" s="30"/>
      <c r="AK100" s="32">
        <v>2.9788977672915402E-2</v>
      </c>
      <c r="AL100" s="30"/>
      <c r="AM100" s="32">
        <v>3.0367650127446001E-2</v>
      </c>
      <c r="AN100" s="30"/>
      <c r="AO100" s="32">
        <v>3.9248753384755301E-2</v>
      </c>
      <c r="AP100" s="30"/>
      <c r="AQ100" s="32">
        <v>5.0965352520364604E-3</v>
      </c>
      <c r="AR100" s="30"/>
      <c r="AS100" s="32">
        <v>-5.7867245453055395E-4</v>
      </c>
      <c r="AT100" s="30"/>
      <c r="AU100" s="32">
        <v>-9.4436673091882993E-3</v>
      </c>
      <c r="AV100" s="30"/>
      <c r="AW100" s="32">
        <v>1.9854213236383199E-3</v>
      </c>
      <c r="AX100" s="30"/>
      <c r="AY100" s="32">
        <v>-1.1429088632826601E-2</v>
      </c>
      <c r="AZ100" s="30"/>
      <c r="BA100" s="32">
        <v>-5.2638165977390503E-3</v>
      </c>
      <c r="BB100" s="30"/>
      <c r="BC100" s="32">
        <v>4.5178627975059104E-3</v>
      </c>
      <c r="BD100" s="30"/>
      <c r="BE100" s="32"/>
      <c r="BF100" s="30"/>
    </row>
    <row r="101" spans="1:58" x14ac:dyDescent="0.2">
      <c r="A101" s="28">
        <v>2002</v>
      </c>
      <c r="B101" s="28">
        <v>2</v>
      </c>
      <c r="C101" s="32"/>
      <c r="D101" s="30"/>
      <c r="E101" s="32">
        <v>-9.3214218896258399E-3</v>
      </c>
      <c r="F101" s="30"/>
      <c r="G101" s="32">
        <v>2.4591107564637801E-3</v>
      </c>
      <c r="H101" s="30"/>
      <c r="I101" s="32">
        <v>-3.0805711866300502E-4</v>
      </c>
      <c r="J101" s="30"/>
      <c r="K101" s="32">
        <v>2.7671678751267901E-3</v>
      </c>
      <c r="L101" s="30"/>
      <c r="M101" s="32">
        <v>-1.17805326460896E-2</v>
      </c>
      <c r="N101" s="30"/>
      <c r="O101" s="32">
        <v>4.0453594081565902E-3</v>
      </c>
      <c r="P101" s="30"/>
      <c r="Q101" s="32">
        <v>2.3268429465494E-3</v>
      </c>
      <c r="R101" s="30"/>
      <c r="S101" s="32">
        <v>1.71851646160719E-3</v>
      </c>
      <c r="T101" s="30"/>
      <c r="U101" s="32">
        <v>-2.3150472460901201E-4</v>
      </c>
      <c r="V101" s="30"/>
      <c r="W101" s="32">
        <v>-1.5594387329637201E-2</v>
      </c>
      <c r="X101" s="30"/>
      <c r="Y101" s="32">
        <v>1.5858091722004398E-2</v>
      </c>
      <c r="Z101" s="30"/>
      <c r="AA101" s="32">
        <v>-5.6798199533179296E-4</v>
      </c>
      <c r="AB101" s="30"/>
      <c r="AC101" s="32">
        <v>8.3262513670698899E-3</v>
      </c>
      <c r="AD101" s="30"/>
      <c r="AE101" s="32">
        <v>1.20186783582069E-2</v>
      </c>
      <c r="AF101" s="30"/>
      <c r="AG101" s="32">
        <v>8.0606505068435592E-3</v>
      </c>
      <c r="AH101" s="30"/>
      <c r="AI101" s="32">
        <v>-8.8942333624016795E-3</v>
      </c>
      <c r="AJ101" s="30"/>
      <c r="AK101" s="32">
        <v>1.64260737173362E-2</v>
      </c>
      <c r="AL101" s="30"/>
      <c r="AM101" s="32">
        <v>1.5239928545316E-2</v>
      </c>
      <c r="AN101" s="30"/>
      <c r="AO101" s="32">
        <v>-4.2178975931595796E-3</v>
      </c>
      <c r="AP101" s="30"/>
      <c r="AQ101" s="32">
        <v>-4.1970799395475104E-3</v>
      </c>
      <c r="AR101" s="30"/>
      <c r="AS101" s="32">
        <v>1.18614517202018E-3</v>
      </c>
      <c r="AT101" s="30"/>
      <c r="AU101" s="32">
        <v>9.77910932451489E-3</v>
      </c>
      <c r="AV101" s="30"/>
      <c r="AW101" s="32">
        <v>6.5044701646203799E-3</v>
      </c>
      <c r="AX101" s="30"/>
      <c r="AY101" s="32">
        <v>3.2746391598945201E-3</v>
      </c>
      <c r="AZ101" s="30"/>
      <c r="BA101" s="32">
        <v>1.21688725222962E-2</v>
      </c>
      <c r="BB101" s="30"/>
      <c r="BC101" s="32">
        <v>-3.0109347675273302E-3</v>
      </c>
      <c r="BD101" s="30"/>
      <c r="BE101" s="32"/>
      <c r="BF101" s="30"/>
    </row>
    <row r="102" spans="1:58" x14ac:dyDescent="0.2">
      <c r="A102" s="28">
        <v>2002</v>
      </c>
      <c r="B102" s="28">
        <v>3</v>
      </c>
      <c r="C102" s="32"/>
      <c r="D102" s="30"/>
      <c r="E102" s="32">
        <v>9.35981218508215E-4</v>
      </c>
      <c r="F102" s="30"/>
      <c r="G102" s="32">
        <v>3.5656096996325502E-3</v>
      </c>
      <c r="H102" s="30"/>
      <c r="I102" s="32">
        <v>4.6670104166483199E-4</v>
      </c>
      <c r="J102" s="30"/>
      <c r="K102" s="32">
        <v>3.0989086579677198E-3</v>
      </c>
      <c r="L102" s="30"/>
      <c r="M102" s="32">
        <v>-2.6296284811243402E-3</v>
      </c>
      <c r="N102" s="30"/>
      <c r="O102" s="32">
        <v>6.06209850079115E-3</v>
      </c>
      <c r="P102" s="30"/>
      <c r="Q102" s="32">
        <v>1.77114674139216E-3</v>
      </c>
      <c r="R102" s="30"/>
      <c r="S102" s="32">
        <v>4.2909517593989902E-3</v>
      </c>
      <c r="T102" s="30"/>
      <c r="U102" s="32">
        <v>-7.1546187532526796E-3</v>
      </c>
      <c r="V102" s="30"/>
      <c r="W102" s="32">
        <v>-1.53710822866281E-3</v>
      </c>
      <c r="X102" s="30"/>
      <c r="Y102" s="32">
        <v>7.1565749607433197E-3</v>
      </c>
      <c r="Z102" s="30"/>
      <c r="AA102" s="32">
        <v>1.0156847414546E-2</v>
      </c>
      <c r="AB102" s="30"/>
      <c r="AC102" s="32">
        <v>1.6025481570146698E-2</v>
      </c>
      <c r="AD102" s="30"/>
      <c r="AE102" s="32">
        <v>1.5732384449302899E-2</v>
      </c>
      <c r="AF102" s="30"/>
      <c r="AG102" s="32">
        <v>9.3925796323252892E-3</v>
      </c>
      <c r="AH102" s="30"/>
      <c r="AI102" s="32">
        <v>-5.8686341556007399E-3</v>
      </c>
      <c r="AJ102" s="30"/>
      <c r="AK102" s="32">
        <v>-3.00027245380265E-3</v>
      </c>
      <c r="AL102" s="30"/>
      <c r="AM102" s="32">
        <v>-4.0205507876993202E-3</v>
      </c>
      <c r="AN102" s="30"/>
      <c r="AO102" s="32">
        <v>-9.4877371877410499E-4</v>
      </c>
      <c r="AP102" s="30"/>
      <c r="AQ102" s="32">
        <v>-3.4346912397657699E-3</v>
      </c>
      <c r="AR102" s="30"/>
      <c r="AS102" s="32">
        <v>1.02027833389666E-3</v>
      </c>
      <c r="AT102" s="30"/>
      <c r="AU102" s="32">
        <v>1.7661587838373301E-2</v>
      </c>
      <c r="AV102" s="30"/>
      <c r="AW102" s="32">
        <v>9.6277082004237007E-3</v>
      </c>
      <c r="AX102" s="30"/>
      <c r="AY102" s="32">
        <v>8.0338796379496105E-3</v>
      </c>
      <c r="AZ102" s="30"/>
      <c r="BA102" s="32">
        <v>1.39025137935503E-2</v>
      </c>
      <c r="BB102" s="30"/>
      <c r="BC102" s="32">
        <v>-2.4144129058691001E-3</v>
      </c>
      <c r="BD102" s="30"/>
      <c r="BE102" s="32"/>
      <c r="BF102" s="30"/>
    </row>
    <row r="103" spans="1:58" x14ac:dyDescent="0.2">
      <c r="A103" s="28">
        <v>2002</v>
      </c>
      <c r="B103" s="28">
        <v>4</v>
      </c>
      <c r="C103" s="32"/>
      <c r="D103" s="30"/>
      <c r="E103" s="32">
        <v>1.2315990594992899E-2</v>
      </c>
      <c r="F103" s="30"/>
      <c r="G103" s="32">
        <v>3.6814468781886999E-4</v>
      </c>
      <c r="H103" s="30"/>
      <c r="I103" s="32">
        <v>-2.2908349675310699E-3</v>
      </c>
      <c r="J103" s="30"/>
      <c r="K103" s="32">
        <v>2.6589796553499398E-3</v>
      </c>
      <c r="L103" s="30"/>
      <c r="M103" s="32">
        <v>1.19478459071741E-2</v>
      </c>
      <c r="N103" s="30"/>
      <c r="O103" s="32">
        <v>6.2927853492700898E-3</v>
      </c>
      <c r="P103" s="30"/>
      <c r="Q103" s="32">
        <v>3.4652761031097401E-3</v>
      </c>
      <c r="R103" s="30"/>
      <c r="S103" s="32">
        <v>2.8275092461603501E-3</v>
      </c>
      <c r="T103" s="30"/>
      <c r="U103" s="32">
        <v>-7.6996311513110602E-3</v>
      </c>
      <c r="V103" s="30"/>
      <c r="W103" s="32">
        <v>1.3354691709214999E-2</v>
      </c>
      <c r="X103" s="30"/>
      <c r="Y103" s="32">
        <v>-1.36488777502936E-2</v>
      </c>
      <c r="Z103" s="30"/>
      <c r="AA103" s="32">
        <v>-1.25634944030674E-2</v>
      </c>
      <c r="AB103" s="30"/>
      <c r="AC103" s="32">
        <v>-7.4454652495191103E-3</v>
      </c>
      <c r="AD103" s="30"/>
      <c r="AE103" s="32">
        <v>6.5474865594101397E-3</v>
      </c>
      <c r="AF103" s="30"/>
      <c r="AG103" s="32">
        <v>1.8225386205357301E-3</v>
      </c>
      <c r="AH103" s="30"/>
      <c r="AI103" s="32">
        <v>-5.11802915354831E-3</v>
      </c>
      <c r="AJ103" s="30"/>
      <c r="AK103" s="32">
        <v>-1.08538334722617E-3</v>
      </c>
      <c r="AL103" s="30"/>
      <c r="AM103" s="32">
        <v>5.9841786890178501E-4</v>
      </c>
      <c r="AN103" s="30"/>
      <c r="AO103" s="32">
        <v>-5.7067591841193904E-3</v>
      </c>
      <c r="AP103" s="30"/>
      <c r="AQ103" s="32">
        <v>1.4084107393976799E-3</v>
      </c>
      <c r="AR103" s="30"/>
      <c r="AS103" s="32">
        <v>-1.6838012161279499E-3</v>
      </c>
      <c r="AT103" s="30"/>
      <c r="AU103" s="32">
        <v>6.6421344727406696E-3</v>
      </c>
      <c r="AV103" s="30"/>
      <c r="AW103" s="32">
        <v>6.6609300370889602E-3</v>
      </c>
      <c r="AX103" s="30"/>
      <c r="AY103" s="32">
        <v>-1.8795564348295101E-5</v>
      </c>
      <c r="AZ103" s="30"/>
      <c r="BA103" s="32">
        <v>5.0992335892000099E-3</v>
      </c>
      <c r="BB103" s="30"/>
      <c r="BC103" s="32">
        <v>-2.7539047673027101E-4</v>
      </c>
      <c r="BD103" s="30"/>
      <c r="BE103" s="32"/>
      <c r="BF103" s="30"/>
    </row>
    <row r="104" spans="1:58" x14ac:dyDescent="0.2">
      <c r="A104" s="28">
        <v>2003</v>
      </c>
      <c r="B104" s="28">
        <v>1</v>
      </c>
      <c r="C104" s="32"/>
      <c r="D104" s="30"/>
      <c r="E104" s="32">
        <v>6.9124107233597297E-3</v>
      </c>
      <c r="F104" s="30"/>
      <c r="G104" s="32">
        <v>2.93706204085627E-3</v>
      </c>
      <c r="H104" s="30"/>
      <c r="I104" s="32">
        <v>7.9610136436373202E-4</v>
      </c>
      <c r="J104" s="30"/>
      <c r="K104" s="32">
        <v>2.1409606764925299E-3</v>
      </c>
      <c r="L104" s="30"/>
      <c r="M104" s="32">
        <v>3.9753486825034601E-3</v>
      </c>
      <c r="N104" s="30"/>
      <c r="O104" s="32">
        <v>-3.97028643543467E-3</v>
      </c>
      <c r="P104" s="30"/>
      <c r="Q104" s="32">
        <v>9.4646922947177895E-4</v>
      </c>
      <c r="R104" s="30"/>
      <c r="S104" s="32">
        <v>-4.9167556649064503E-3</v>
      </c>
      <c r="T104" s="30"/>
      <c r="U104" s="32">
        <v>1.91425333317327E-2</v>
      </c>
      <c r="V104" s="30"/>
      <c r="W104" s="32">
        <v>-1.11968982137946E-2</v>
      </c>
      <c r="X104" s="30"/>
      <c r="Y104" s="32">
        <v>-1.1403458680705801E-2</v>
      </c>
      <c r="Z104" s="30"/>
      <c r="AA104" s="32">
        <v>-1.13032484551057E-2</v>
      </c>
      <c r="AB104" s="30"/>
      <c r="AC104" s="32">
        <v>3.0402705996738799E-3</v>
      </c>
      <c r="AD104" s="30"/>
      <c r="AE104" s="32">
        <v>1.7024775432342701E-3</v>
      </c>
      <c r="AF104" s="30"/>
      <c r="AG104" s="32">
        <v>9.3254357093642702E-4</v>
      </c>
      <c r="AH104" s="30"/>
      <c r="AI104" s="32">
        <v>-1.43435190547796E-2</v>
      </c>
      <c r="AJ104" s="30"/>
      <c r="AK104" s="32">
        <v>-1.0021022560009999E-4</v>
      </c>
      <c r="AL104" s="30"/>
      <c r="AM104" s="32">
        <v>-2.0851203730401099E-3</v>
      </c>
      <c r="AN104" s="30"/>
      <c r="AO104" s="32">
        <v>-1.5379078997236E-2</v>
      </c>
      <c r="AP104" s="30"/>
      <c r="AQ104" s="32">
        <v>-1.23406771323548E-2</v>
      </c>
      <c r="AR104" s="30"/>
      <c r="AS104" s="32">
        <v>1.9849101474400102E-3</v>
      </c>
      <c r="AT104" s="30"/>
      <c r="AU104" s="32">
        <v>-1.3277814304164101E-2</v>
      </c>
      <c r="AV104" s="30"/>
      <c r="AW104" s="32">
        <v>-1.03322439457841E-3</v>
      </c>
      <c r="AX104" s="30"/>
      <c r="AY104" s="32">
        <v>-1.22445899095857E-2</v>
      </c>
      <c r="AZ104" s="30"/>
      <c r="BA104" s="32">
        <v>2.09892914519395E-3</v>
      </c>
      <c r="BB104" s="30"/>
      <c r="BC104" s="32">
        <v>-1.0355766984914701E-2</v>
      </c>
      <c r="BD104" s="30"/>
      <c r="BE104" s="32"/>
      <c r="BF104" s="30"/>
    </row>
    <row r="105" spans="1:58" x14ac:dyDescent="0.2">
      <c r="A105" s="28">
        <v>2003</v>
      </c>
      <c r="B105" s="28">
        <v>2</v>
      </c>
      <c r="C105" s="32"/>
      <c r="D105" s="30"/>
      <c r="E105" s="32">
        <v>-2.0166684037894098E-2</v>
      </c>
      <c r="F105" s="30"/>
      <c r="G105" s="32">
        <v>3.5218334234387401E-3</v>
      </c>
      <c r="H105" s="30"/>
      <c r="I105" s="32">
        <v>1.5076640282106399E-3</v>
      </c>
      <c r="J105" s="30"/>
      <c r="K105" s="32">
        <v>2.0141693952281099E-3</v>
      </c>
      <c r="L105" s="30"/>
      <c r="M105" s="32">
        <v>-2.3688517461332801E-2</v>
      </c>
      <c r="N105" s="30"/>
      <c r="O105" s="32">
        <v>-1.05644845581405E-2</v>
      </c>
      <c r="P105" s="30"/>
      <c r="Q105" s="32">
        <v>7.7316999002811698E-4</v>
      </c>
      <c r="R105" s="30"/>
      <c r="S105" s="32">
        <v>-1.13376545481686E-2</v>
      </c>
      <c r="T105" s="30"/>
      <c r="U105" s="32">
        <v>-5.7126848366553596E-3</v>
      </c>
      <c r="V105" s="30"/>
      <c r="W105" s="32">
        <v>-7.4113480665369703E-3</v>
      </c>
      <c r="X105" s="30"/>
      <c r="Y105" s="32">
        <v>5.68573165505831E-3</v>
      </c>
      <c r="Z105" s="30"/>
      <c r="AA105" s="32">
        <v>-1.7547014622592099E-2</v>
      </c>
      <c r="AB105" s="30"/>
      <c r="AC105" s="32">
        <v>-7.41211698985118E-3</v>
      </c>
      <c r="AD105" s="30"/>
      <c r="AE105" s="32">
        <v>-1.06550599596093E-2</v>
      </c>
      <c r="AF105" s="30"/>
      <c r="AG105" s="32">
        <v>-9.7171453765593305E-3</v>
      </c>
      <c r="AH105" s="30"/>
      <c r="AI105" s="32">
        <v>-1.01348976327409E-2</v>
      </c>
      <c r="AJ105" s="30"/>
      <c r="AK105" s="32">
        <v>2.3232746277650401E-2</v>
      </c>
      <c r="AL105" s="30"/>
      <c r="AM105" s="32">
        <v>1.7449630968257301E-2</v>
      </c>
      <c r="AN105" s="30"/>
      <c r="AO105" s="32">
        <v>1.63334228895823E-2</v>
      </c>
      <c r="AP105" s="30"/>
      <c r="AQ105" s="32">
        <v>1.16297170252017E-2</v>
      </c>
      <c r="AR105" s="30"/>
      <c r="AS105" s="32">
        <v>5.7831153093930504E-3</v>
      </c>
      <c r="AT105" s="30"/>
      <c r="AU105" s="32">
        <v>-2.6181099880775199E-2</v>
      </c>
      <c r="AV105" s="30"/>
      <c r="AW105" s="32">
        <v>-7.0426511347017303E-3</v>
      </c>
      <c r="AX105" s="30"/>
      <c r="AY105" s="32">
        <v>-1.91384487460734E-2</v>
      </c>
      <c r="AZ105" s="30"/>
      <c r="BA105" s="32">
        <v>-9.0035511133325693E-3</v>
      </c>
      <c r="BB105" s="30"/>
      <c r="BC105" s="32">
        <v>1.7412832334594799E-2</v>
      </c>
      <c r="BD105" s="30"/>
      <c r="BE105" s="32"/>
      <c r="BF105" s="30"/>
    </row>
    <row r="106" spans="1:58" x14ac:dyDescent="0.2">
      <c r="A106" s="28">
        <v>2003</v>
      </c>
      <c r="B106" s="28">
        <v>3</v>
      </c>
      <c r="C106" s="32"/>
      <c r="D106" s="30"/>
      <c r="E106" s="32">
        <v>1.1804950981212901E-2</v>
      </c>
      <c r="F106" s="30"/>
      <c r="G106" s="32">
        <v>4.1036376002234398E-3</v>
      </c>
      <c r="H106" s="30"/>
      <c r="I106" s="32">
        <v>2.0871513370238201E-3</v>
      </c>
      <c r="J106" s="30"/>
      <c r="K106" s="32">
        <v>2.0164862631996301E-3</v>
      </c>
      <c r="L106" s="30"/>
      <c r="M106" s="32">
        <v>7.7013133809894201E-3</v>
      </c>
      <c r="N106" s="30"/>
      <c r="O106" s="32">
        <v>-2.9144120251483299E-3</v>
      </c>
      <c r="P106" s="30"/>
      <c r="Q106" s="32">
        <v>1.8595659681736999E-3</v>
      </c>
      <c r="R106" s="30"/>
      <c r="S106" s="32">
        <v>-4.7739779933220301E-3</v>
      </c>
      <c r="T106" s="30"/>
      <c r="U106" s="32">
        <v>-5.7378658404825297E-4</v>
      </c>
      <c r="V106" s="30"/>
      <c r="W106" s="32">
        <v>1.1189511990186E-2</v>
      </c>
      <c r="X106" s="30"/>
      <c r="Y106" s="32">
        <v>-1.6830737973518899E-2</v>
      </c>
      <c r="Z106" s="30"/>
      <c r="AA106" s="32">
        <v>-9.5807729390802003E-3</v>
      </c>
      <c r="AB106" s="30"/>
      <c r="AC106" s="32">
        <v>-5.1439466644956E-3</v>
      </c>
      <c r="AD106" s="30"/>
      <c r="AE106" s="32">
        <v>-2.7344363142114501E-3</v>
      </c>
      <c r="AF106" s="30"/>
      <c r="AG106" s="32">
        <v>-6.2076541448417703E-4</v>
      </c>
      <c r="AH106" s="30"/>
      <c r="AI106" s="32">
        <v>-4.4368262745846099E-3</v>
      </c>
      <c r="AJ106" s="30"/>
      <c r="AK106" s="32">
        <v>-7.2499650344387103E-3</v>
      </c>
      <c r="AL106" s="30"/>
      <c r="AM106" s="32">
        <v>-9.2869163031423299E-3</v>
      </c>
      <c r="AN106" s="30"/>
      <c r="AO106" s="32">
        <v>-3.0785612572598502E-3</v>
      </c>
      <c r="AP106" s="30"/>
      <c r="AQ106" s="32">
        <v>-3.6271823953419298E-3</v>
      </c>
      <c r="AR106" s="30"/>
      <c r="AS106" s="32">
        <v>2.0369512687036201E-3</v>
      </c>
      <c r="AT106" s="30"/>
      <c r="AU106" s="32">
        <v>-2.86176928161948E-3</v>
      </c>
      <c r="AV106" s="30"/>
      <c r="AW106" s="32">
        <v>1.18922557507512E-3</v>
      </c>
      <c r="AX106" s="30"/>
      <c r="AY106" s="32">
        <v>-4.0509948566945899E-3</v>
      </c>
      <c r="AZ106" s="30"/>
      <c r="BA106" s="32">
        <v>3.8583141789001198E-4</v>
      </c>
      <c r="BB106" s="30"/>
      <c r="BC106" s="32">
        <v>-1.5902311266383199E-3</v>
      </c>
      <c r="BD106" s="30"/>
      <c r="BE106" s="32"/>
      <c r="BF106" s="30"/>
    </row>
    <row r="107" spans="1:58" x14ac:dyDescent="0.2">
      <c r="A107" s="28">
        <v>2003</v>
      </c>
      <c r="B107" s="28">
        <v>4</v>
      </c>
      <c r="C107" s="32"/>
      <c r="D107" s="30"/>
      <c r="E107" s="32">
        <v>2.2349164657964101E-2</v>
      </c>
      <c r="F107" s="30"/>
      <c r="G107" s="32">
        <v>7.6760109608537902E-3</v>
      </c>
      <c r="H107" s="30"/>
      <c r="I107" s="32">
        <v>5.3087924709093104E-3</v>
      </c>
      <c r="J107" s="30"/>
      <c r="K107" s="32">
        <v>2.3672184899444799E-3</v>
      </c>
      <c r="L107" s="30"/>
      <c r="M107" s="32">
        <v>1.46731536971103E-2</v>
      </c>
      <c r="N107" s="30"/>
      <c r="O107" s="32">
        <v>9.7009512971321793E-3</v>
      </c>
      <c r="P107" s="30"/>
      <c r="Q107" s="32">
        <v>2.9370601540579101E-3</v>
      </c>
      <c r="R107" s="30"/>
      <c r="S107" s="32">
        <v>6.76389114307428E-3</v>
      </c>
      <c r="T107" s="30"/>
      <c r="U107" s="32">
        <v>-2.5600508402787402E-3</v>
      </c>
      <c r="V107" s="30"/>
      <c r="W107" s="32">
        <v>7.5322532402569099E-3</v>
      </c>
      <c r="X107" s="30"/>
      <c r="Y107" s="32">
        <v>-1.0072828106730901E-2</v>
      </c>
      <c r="Z107" s="30"/>
      <c r="AA107" s="32">
        <v>1.0275651538189001E-2</v>
      </c>
      <c r="AB107" s="30"/>
      <c r="AC107" s="32">
        <v>6.3233361208234699E-3</v>
      </c>
      <c r="AD107" s="30"/>
      <c r="AE107" s="32">
        <v>1.2948381035851299E-2</v>
      </c>
      <c r="AF107" s="30"/>
      <c r="AG107" s="32">
        <v>1.19017470990992E-2</v>
      </c>
      <c r="AH107" s="30"/>
      <c r="AI107" s="32">
        <v>3.9523154173654899E-3</v>
      </c>
      <c r="AJ107" s="30"/>
      <c r="AK107" s="32">
        <v>-2.0348479644919801E-2</v>
      </c>
      <c r="AL107" s="30"/>
      <c r="AM107" s="32">
        <v>-2.1065007181676199E-2</v>
      </c>
      <c r="AN107" s="30"/>
      <c r="AO107" s="32">
        <v>-1.9618532845422299E-2</v>
      </c>
      <c r="AP107" s="30"/>
      <c r="AQ107" s="32">
        <v>-2.22357003917797E-2</v>
      </c>
      <c r="AR107" s="30"/>
      <c r="AS107" s="32">
        <v>7.1652753675640495E-4</v>
      </c>
      <c r="AT107" s="30"/>
      <c r="AU107" s="32">
        <v>3.6355560246535301E-2</v>
      </c>
      <c r="AV107" s="30"/>
      <c r="AW107" s="32">
        <v>1.7376962257986E-2</v>
      </c>
      <c r="AX107" s="30"/>
      <c r="AY107" s="32">
        <v>1.8978597988549301E-2</v>
      </c>
      <c r="AZ107" s="30"/>
      <c r="BA107" s="32">
        <v>1.50262825711838E-2</v>
      </c>
      <c r="BB107" s="30"/>
      <c r="BC107" s="32">
        <v>-2.1519172855023298E-2</v>
      </c>
      <c r="BD107" s="30"/>
      <c r="BE107" s="32"/>
      <c r="BF107" s="30"/>
    </row>
    <row r="108" spans="1:58" x14ac:dyDescent="0.2">
      <c r="A108" s="28">
        <v>2004</v>
      </c>
      <c r="B108" s="28">
        <v>1</v>
      </c>
      <c r="C108" s="32"/>
      <c r="D108" s="30"/>
      <c r="E108" s="32">
        <v>-9.66889230805313E-3</v>
      </c>
      <c r="F108" s="30"/>
      <c r="G108" s="32">
        <v>1.1830665944472201E-2</v>
      </c>
      <c r="H108" s="30"/>
      <c r="I108" s="32">
        <v>1.04593371448505E-2</v>
      </c>
      <c r="J108" s="30"/>
      <c r="K108" s="32">
        <v>1.3713287996217601E-3</v>
      </c>
      <c r="L108" s="30"/>
      <c r="M108" s="32">
        <v>-2.1499558252525398E-2</v>
      </c>
      <c r="N108" s="30"/>
      <c r="O108" s="32">
        <v>1.11665283463312E-2</v>
      </c>
      <c r="P108" s="30"/>
      <c r="Q108" s="32">
        <v>3.1676944338163301E-3</v>
      </c>
      <c r="R108" s="30"/>
      <c r="S108" s="32">
        <v>7.9988339125148904E-3</v>
      </c>
      <c r="T108" s="30"/>
      <c r="U108" s="32">
        <v>-1.92571222535944E-2</v>
      </c>
      <c r="V108" s="30"/>
      <c r="W108" s="32">
        <v>-1.34089643452622E-2</v>
      </c>
      <c r="X108" s="30"/>
      <c r="Y108" s="32">
        <v>3.6378335082930001E-2</v>
      </c>
      <c r="Z108" s="30"/>
      <c r="AA108" s="32">
        <v>4.7895213141449497E-2</v>
      </c>
      <c r="AB108" s="30"/>
      <c r="AC108" s="32">
        <v>3.4304195420758202E-2</v>
      </c>
      <c r="AD108" s="30"/>
      <c r="AE108" s="32">
        <v>3.2489500268753198E-2</v>
      </c>
      <c r="AF108" s="30"/>
      <c r="AG108" s="32">
        <v>2.3829031759468398E-2</v>
      </c>
      <c r="AH108" s="30"/>
      <c r="AI108" s="32">
        <v>1.3591017720691399E-2</v>
      </c>
      <c r="AJ108" s="30"/>
      <c r="AK108" s="32">
        <v>-1.15168780585195E-2</v>
      </c>
      <c r="AL108" s="30"/>
      <c r="AM108" s="32">
        <v>-1.0073902862347401E-3</v>
      </c>
      <c r="AN108" s="30"/>
      <c r="AO108" s="32">
        <v>-1.3671521555418399E-2</v>
      </c>
      <c r="AP108" s="30"/>
      <c r="AQ108" s="32">
        <v>-1.05062876206922E-2</v>
      </c>
      <c r="AR108" s="30"/>
      <c r="AS108" s="32">
        <v>-1.05094877722848E-2</v>
      </c>
      <c r="AT108" s="30"/>
      <c r="AU108" s="32">
        <v>6.6982340421448294E-2</v>
      </c>
      <c r="AV108" s="30"/>
      <c r="AW108" s="32">
        <v>2.2997194290803501E-2</v>
      </c>
      <c r="AX108" s="30"/>
      <c r="AY108" s="32">
        <v>4.3985146130644803E-2</v>
      </c>
      <c r="AZ108" s="30"/>
      <c r="BA108" s="32">
        <v>3.0394128409953501E-2</v>
      </c>
      <c r="BB108" s="30"/>
      <c r="BC108" s="32">
        <v>-2.1015775392976999E-2</v>
      </c>
      <c r="BD108" s="30"/>
      <c r="BE108" s="32"/>
      <c r="BF108" s="30"/>
    </row>
    <row r="109" spans="1:58" x14ac:dyDescent="0.2">
      <c r="A109" s="28">
        <v>2004</v>
      </c>
      <c r="B109" s="28">
        <v>2</v>
      </c>
      <c r="C109" s="32"/>
      <c r="D109" s="30"/>
      <c r="E109" s="32">
        <v>7.1592152382877802E-3</v>
      </c>
      <c r="F109" s="30"/>
      <c r="G109" s="32">
        <v>1.4475097061307601E-2</v>
      </c>
      <c r="H109" s="30"/>
      <c r="I109" s="32">
        <v>1.21387010455684E-2</v>
      </c>
      <c r="J109" s="30"/>
      <c r="K109" s="32">
        <v>2.3363960157392399E-3</v>
      </c>
      <c r="L109" s="30"/>
      <c r="M109" s="32">
        <v>-7.31588182301983E-3</v>
      </c>
      <c r="N109" s="30"/>
      <c r="O109" s="32">
        <v>1.9260152893367799E-2</v>
      </c>
      <c r="P109" s="30"/>
      <c r="Q109" s="32">
        <v>3.0072713782905601E-3</v>
      </c>
      <c r="R109" s="30"/>
      <c r="S109" s="32">
        <v>1.6252881515077301E-2</v>
      </c>
      <c r="T109" s="30"/>
      <c r="U109" s="32">
        <v>-1.7791632563081399E-3</v>
      </c>
      <c r="V109" s="30"/>
      <c r="W109" s="32">
        <v>-2.47968714600795E-2</v>
      </c>
      <c r="X109" s="30"/>
      <c r="Y109" s="32">
        <v>2.7560682248667999E-2</v>
      </c>
      <c r="Z109" s="30"/>
      <c r="AA109" s="32">
        <v>5.67407301161039E-2</v>
      </c>
      <c r="AB109" s="30"/>
      <c r="AC109" s="32">
        <v>4.1132004309259902E-2</v>
      </c>
      <c r="AD109" s="30"/>
      <c r="AE109" s="32">
        <v>2.8067571711674601E-2</v>
      </c>
      <c r="AF109" s="30"/>
      <c r="AG109" s="32">
        <v>2.08461698086174E-2</v>
      </c>
      <c r="AH109" s="30"/>
      <c r="AI109" s="32">
        <v>1.5608725806843899E-2</v>
      </c>
      <c r="AJ109" s="30"/>
      <c r="AK109" s="32">
        <v>-2.9180047867435801E-2</v>
      </c>
      <c r="AL109" s="30"/>
      <c r="AM109" s="32">
        <v>-1.24075633857814E-2</v>
      </c>
      <c r="AN109" s="30"/>
      <c r="AO109" s="32">
        <v>-2.3113554657836901E-2</v>
      </c>
      <c r="AP109" s="30"/>
      <c r="AQ109" s="32">
        <v>-2.4854966072203302E-2</v>
      </c>
      <c r="AR109" s="30"/>
      <c r="AS109" s="32">
        <v>-1.6772484481654502E-2</v>
      </c>
      <c r="AT109" s="30"/>
      <c r="AU109" s="32">
        <v>7.8126511297121795E-2</v>
      </c>
      <c r="AV109" s="30"/>
      <c r="AW109" s="32">
        <v>3.37352499546755E-2</v>
      </c>
      <c r="AX109" s="30"/>
      <c r="AY109" s="32">
        <v>4.4391261342446302E-2</v>
      </c>
      <c r="AZ109" s="30"/>
      <c r="BA109" s="32">
        <v>2.8782535535602401E-2</v>
      </c>
      <c r="BB109" s="30"/>
      <c r="BC109" s="32">
        <v>-4.1627450553857803E-2</v>
      </c>
      <c r="BD109" s="30"/>
      <c r="BE109" s="32"/>
      <c r="BF109" s="30"/>
    </row>
    <row r="110" spans="1:58" x14ac:dyDescent="0.2">
      <c r="A110" s="28">
        <v>2004</v>
      </c>
      <c r="B110" s="28">
        <v>3</v>
      </c>
      <c r="C110" s="32"/>
      <c r="D110" s="30"/>
      <c r="E110" s="32">
        <v>8.1764034917381594E-3</v>
      </c>
      <c r="F110" s="30"/>
      <c r="G110" s="32">
        <v>1.3050088554661001E-2</v>
      </c>
      <c r="H110" s="30"/>
      <c r="I110" s="32">
        <v>1.1978727324988701E-2</v>
      </c>
      <c r="J110" s="30"/>
      <c r="K110" s="32">
        <v>1.07136122967233E-3</v>
      </c>
      <c r="L110" s="30"/>
      <c r="M110" s="32">
        <v>-4.8736850629228596E-3</v>
      </c>
      <c r="N110" s="30"/>
      <c r="O110" s="32">
        <v>1.9559825702506198E-2</v>
      </c>
      <c r="P110" s="30"/>
      <c r="Q110" s="32">
        <v>4.09835629374163E-3</v>
      </c>
      <c r="R110" s="30"/>
      <c r="S110" s="32">
        <v>1.5461469408764601E-2</v>
      </c>
      <c r="T110" s="30"/>
      <c r="U110" s="32">
        <v>-6.7294344670851798E-3</v>
      </c>
      <c r="V110" s="30"/>
      <c r="W110" s="32">
        <v>-1.7704076298343901E-2</v>
      </c>
      <c r="X110" s="30"/>
      <c r="Y110" s="32">
        <v>1.7510396526664401E-2</v>
      </c>
      <c r="Z110" s="30"/>
      <c r="AA110" s="32">
        <v>4.1501897036617198E-2</v>
      </c>
      <c r="AB110" s="30"/>
      <c r="AC110" s="32">
        <v>3.2856790620707899E-2</v>
      </c>
      <c r="AD110" s="30"/>
      <c r="AE110" s="32">
        <v>2.41546978012111E-2</v>
      </c>
      <c r="AF110" s="30"/>
      <c r="AG110" s="32">
        <v>1.7203943176493899E-2</v>
      </c>
      <c r="AH110" s="30"/>
      <c r="AI110" s="32">
        <v>8.6451064159093101E-3</v>
      </c>
      <c r="AJ110" s="30"/>
      <c r="AK110" s="32">
        <v>-2.3991500509952898E-2</v>
      </c>
      <c r="AL110" s="30"/>
      <c r="AM110" s="32">
        <v>-9.1179731798032206E-3</v>
      </c>
      <c r="AN110" s="30"/>
      <c r="AO110" s="32">
        <v>-2.0918830472631801E-2</v>
      </c>
      <c r="AP110" s="30"/>
      <c r="AQ110" s="32">
        <v>-1.93231586756153E-2</v>
      </c>
      <c r="AR110" s="30"/>
      <c r="AS110" s="32">
        <v>-1.48735273301496E-2</v>
      </c>
      <c r="AT110" s="30"/>
      <c r="AU110" s="32">
        <v>6.66129204912526E-2</v>
      </c>
      <c r="AV110" s="30"/>
      <c r="AW110" s="32">
        <v>3.2609914257167201E-2</v>
      </c>
      <c r="AX110" s="30"/>
      <c r="AY110" s="32">
        <v>3.4003006234085399E-2</v>
      </c>
      <c r="AZ110" s="30"/>
      <c r="BA110" s="32">
        <v>2.53578998181761E-2</v>
      </c>
      <c r="BB110" s="30"/>
      <c r="BC110" s="32">
        <v>-3.4196686005764899E-2</v>
      </c>
      <c r="BD110" s="30"/>
      <c r="BE110" s="32"/>
      <c r="BF110" s="30"/>
    </row>
    <row r="111" spans="1:58" x14ac:dyDescent="0.2">
      <c r="A111" s="28">
        <v>2004</v>
      </c>
      <c r="B111" s="28">
        <v>4</v>
      </c>
      <c r="C111" s="32"/>
      <c r="D111" s="30"/>
      <c r="E111" s="32">
        <v>-1.70340277950944E-3</v>
      </c>
      <c r="F111" s="30"/>
      <c r="G111" s="32">
        <v>1.0659729856266601E-2</v>
      </c>
      <c r="H111" s="30"/>
      <c r="I111" s="32">
        <v>9.50282064495446E-3</v>
      </c>
      <c r="J111" s="30"/>
      <c r="K111" s="32">
        <v>1.1569092113121501E-3</v>
      </c>
      <c r="L111" s="30"/>
      <c r="M111" s="32">
        <v>-1.2363132635776101E-2</v>
      </c>
      <c r="N111" s="30"/>
      <c r="O111" s="32">
        <v>9.7105661784638708E-3</v>
      </c>
      <c r="P111" s="30"/>
      <c r="Q111" s="32">
        <v>3.9473966137594796E-3</v>
      </c>
      <c r="R111" s="30"/>
      <c r="S111" s="32">
        <v>5.7631695647043903E-3</v>
      </c>
      <c r="T111" s="30"/>
      <c r="U111" s="32">
        <v>-1.21822036968889E-2</v>
      </c>
      <c r="V111" s="30"/>
      <c r="W111" s="32">
        <v>-9.8914951173509694E-3</v>
      </c>
      <c r="X111" s="30"/>
      <c r="Y111" s="32">
        <v>1.85113013584145E-2</v>
      </c>
      <c r="Z111" s="30"/>
      <c r="AA111" s="32">
        <v>3.8101300978407901E-2</v>
      </c>
      <c r="AB111" s="30"/>
      <c r="AC111" s="32">
        <v>3.12131175896475E-2</v>
      </c>
      <c r="AD111" s="30"/>
      <c r="AE111" s="32">
        <v>2.3183021442427201E-2</v>
      </c>
      <c r="AF111" s="30"/>
      <c r="AG111" s="32">
        <v>1.34317116636435E-2</v>
      </c>
      <c r="AH111" s="30"/>
      <c r="AI111" s="32">
        <v>6.8881833887603598E-3</v>
      </c>
      <c r="AJ111" s="30"/>
      <c r="AK111" s="32">
        <v>-1.9589999619993401E-2</v>
      </c>
      <c r="AL111" s="30"/>
      <c r="AM111" s="32">
        <v>-7.9010559994619096E-3</v>
      </c>
      <c r="AN111" s="30"/>
      <c r="AO111" s="32">
        <v>-6.8540169692919697E-3</v>
      </c>
      <c r="AP111" s="30"/>
      <c r="AQ111" s="32">
        <v>-6.6305339106021996E-3</v>
      </c>
      <c r="AR111" s="30"/>
      <c r="AS111" s="32">
        <v>-1.16889436205315E-2</v>
      </c>
      <c r="AT111" s="30"/>
      <c r="AU111" s="32">
        <v>4.7309579806927703E-2</v>
      </c>
      <c r="AV111" s="30"/>
      <c r="AW111" s="32">
        <v>2.0370296034730499E-2</v>
      </c>
      <c r="AX111" s="30"/>
      <c r="AY111" s="32">
        <v>2.69392837721972E-2</v>
      </c>
      <c r="AZ111" s="30"/>
      <c r="BA111" s="32">
        <v>2.0051100383436899E-2</v>
      </c>
      <c r="BB111" s="30"/>
      <c r="BC111" s="32">
        <v>-1.83194775311337E-2</v>
      </c>
      <c r="BD111" s="30"/>
      <c r="BE111" s="32"/>
      <c r="BF111" s="30"/>
    </row>
    <row r="112" spans="1:58" x14ac:dyDescent="0.2">
      <c r="A112" s="28">
        <v>2005</v>
      </c>
      <c r="B112" s="28">
        <v>1</v>
      </c>
      <c r="C112" s="32"/>
      <c r="D112" s="30"/>
      <c r="E112" s="32">
        <v>1.8005917489259698E-2</v>
      </c>
      <c r="F112" s="30"/>
      <c r="G112" s="32">
        <v>1.1438787061508599E-2</v>
      </c>
      <c r="H112" s="30"/>
      <c r="I112" s="32">
        <v>9.1216231329722501E-3</v>
      </c>
      <c r="J112" s="30"/>
      <c r="K112" s="32">
        <v>2.3171639285363799E-3</v>
      </c>
      <c r="L112" s="30"/>
      <c r="M112" s="32">
        <v>6.5671304277510698E-3</v>
      </c>
      <c r="N112" s="30"/>
      <c r="O112" s="32">
        <v>7.4048812006126596E-3</v>
      </c>
      <c r="P112" s="30"/>
      <c r="Q112" s="32">
        <v>1.09850965473647E-3</v>
      </c>
      <c r="R112" s="30"/>
      <c r="S112" s="32">
        <v>6.3063715458761896E-3</v>
      </c>
      <c r="T112" s="30"/>
      <c r="U112" s="32">
        <v>-2.2667813781814799E-3</v>
      </c>
      <c r="V112" s="30"/>
      <c r="W112" s="32">
        <v>1.4290306053198901E-3</v>
      </c>
      <c r="X112" s="30"/>
      <c r="Y112" s="32">
        <v>-1.12646336183994E-3</v>
      </c>
      <c r="Z112" s="30"/>
      <c r="AA112" s="32">
        <v>3.44767369228604E-2</v>
      </c>
      <c r="AB112" s="30"/>
      <c r="AC112" s="32">
        <v>2.1409789773716801E-2</v>
      </c>
      <c r="AD112" s="30"/>
      <c r="AE112" s="32">
        <v>2.03830113192626E-3</v>
      </c>
      <c r="AF112" s="30"/>
      <c r="AG112" s="32">
        <v>7.7761713654296897E-4</v>
      </c>
      <c r="AH112" s="30"/>
      <c r="AI112" s="32">
        <v>1.3066947149143599E-2</v>
      </c>
      <c r="AJ112" s="30"/>
      <c r="AK112" s="32">
        <v>-3.5603200284700397E-2</v>
      </c>
      <c r="AL112" s="30"/>
      <c r="AM112" s="32">
        <v>-2.3676505965163901E-2</v>
      </c>
      <c r="AN112" s="30"/>
      <c r="AO112" s="32">
        <v>-6.9913217052768699E-3</v>
      </c>
      <c r="AP112" s="30"/>
      <c r="AQ112" s="32">
        <v>-4.2784632508137297E-3</v>
      </c>
      <c r="AR112" s="30"/>
      <c r="AS112" s="32">
        <v>-1.19266943195365E-2</v>
      </c>
      <c r="AT112" s="30"/>
      <c r="AU112" s="32">
        <v>3.5351393075951497E-2</v>
      </c>
      <c r="AV112" s="30"/>
      <c r="AW112" s="32">
        <v>1.8843668262121301E-2</v>
      </c>
      <c r="AX112" s="30"/>
      <c r="AY112" s="32">
        <v>1.6507724813830199E-2</v>
      </c>
      <c r="AZ112" s="30"/>
      <c r="BA112" s="32">
        <v>3.44077766468659E-3</v>
      </c>
      <c r="BB112" s="30"/>
      <c r="BC112" s="32">
        <v>-1.62051575703503E-2</v>
      </c>
      <c r="BD112" s="30"/>
      <c r="BE112" s="32"/>
      <c r="BF112" s="30"/>
    </row>
    <row r="113" spans="1:58" x14ac:dyDescent="0.2">
      <c r="A113" s="28">
        <v>2005</v>
      </c>
      <c r="B113" s="28">
        <v>2</v>
      </c>
      <c r="C113" s="32"/>
      <c r="D113" s="30"/>
      <c r="E113" s="32">
        <v>5.8542904600600298E-2</v>
      </c>
      <c r="F113" s="30"/>
      <c r="G113" s="32">
        <v>9.6324137804881804E-3</v>
      </c>
      <c r="H113" s="30"/>
      <c r="I113" s="32">
        <v>8.4651020782449803E-3</v>
      </c>
      <c r="J113" s="30"/>
      <c r="K113" s="32">
        <v>1.1673117022431899E-3</v>
      </c>
      <c r="L113" s="30"/>
      <c r="M113" s="32">
        <v>4.8910490820112097E-2</v>
      </c>
      <c r="N113" s="30"/>
      <c r="O113" s="32">
        <v>1.14147733595395E-2</v>
      </c>
      <c r="P113" s="30"/>
      <c r="Q113" s="32">
        <v>4.7643351989051603E-3</v>
      </c>
      <c r="R113" s="30"/>
      <c r="S113" s="32">
        <v>6.6504381606343303E-3</v>
      </c>
      <c r="T113" s="30"/>
      <c r="U113" s="32">
        <v>-7.08639263830157E-3</v>
      </c>
      <c r="V113" s="30"/>
      <c r="W113" s="32">
        <v>4.4582110098874202E-2</v>
      </c>
      <c r="X113" s="30"/>
      <c r="Y113" s="32">
        <v>-3.0987810738938502E-2</v>
      </c>
      <c r="Z113" s="30"/>
      <c r="AA113" s="32">
        <v>3.2737377927185098E-2</v>
      </c>
      <c r="AB113" s="30"/>
      <c r="AC113" s="32">
        <v>1.7166271429332001E-2</v>
      </c>
      <c r="AD113" s="30"/>
      <c r="AE113" s="32">
        <v>2.3574380416294501E-2</v>
      </c>
      <c r="AF113" s="30"/>
      <c r="AG113" s="32">
        <v>2.36766112485076E-2</v>
      </c>
      <c r="AH113" s="30"/>
      <c r="AI113" s="32">
        <v>1.55711064978531E-2</v>
      </c>
      <c r="AJ113" s="30"/>
      <c r="AK113" s="32">
        <v>-6.3725188666123603E-2</v>
      </c>
      <c r="AL113" s="30"/>
      <c r="AM113" s="32">
        <v>-5.3233620107519503E-2</v>
      </c>
      <c r="AN113" s="30"/>
      <c r="AO113" s="32">
        <v>-1.8130920677078301E-2</v>
      </c>
      <c r="AP113" s="30"/>
      <c r="AQ113" s="32">
        <v>-1.5672289711805398E-2</v>
      </c>
      <c r="AR113" s="30"/>
      <c r="AS113" s="32">
        <v>-1.04915685586041E-2</v>
      </c>
      <c r="AT113" s="30"/>
      <c r="AU113" s="32">
        <v>6.0805344770372798E-2</v>
      </c>
      <c r="AV113" s="30"/>
      <c r="AW113" s="32">
        <v>2.10471871400277E-2</v>
      </c>
      <c r="AX113" s="30"/>
      <c r="AY113" s="32">
        <v>3.9758157630345202E-2</v>
      </c>
      <c r="AZ113" s="30"/>
      <c r="BA113" s="32">
        <v>2.4187051132492102E-2</v>
      </c>
      <c r="BB113" s="30"/>
      <c r="BC113" s="32">
        <v>-2.6163858270409499E-2</v>
      </c>
      <c r="BD113" s="30"/>
      <c r="BE113" s="32"/>
      <c r="BF113" s="30"/>
    </row>
    <row r="114" spans="1:58" x14ac:dyDescent="0.2">
      <c r="A114" s="28">
        <v>2005</v>
      </c>
      <c r="B114" s="28">
        <v>3</v>
      </c>
      <c r="C114" s="32"/>
      <c r="D114" s="30"/>
      <c r="E114" s="32">
        <v>4.0683199789191403E-2</v>
      </c>
      <c r="F114" s="30"/>
      <c r="G114" s="32">
        <v>1.25107325154791E-2</v>
      </c>
      <c r="H114" s="30"/>
      <c r="I114" s="32">
        <v>1.18673907990211E-2</v>
      </c>
      <c r="J114" s="30"/>
      <c r="K114" s="32">
        <v>6.4334171645796096E-4</v>
      </c>
      <c r="L114" s="30"/>
      <c r="M114" s="32">
        <v>2.8172467273712299E-2</v>
      </c>
      <c r="N114" s="30"/>
      <c r="O114" s="32">
        <v>4.8402234973708904E-3</v>
      </c>
      <c r="P114" s="30"/>
      <c r="Q114" s="32">
        <v>2.8670152835817298E-3</v>
      </c>
      <c r="R114" s="30"/>
      <c r="S114" s="32">
        <v>1.9732082137891602E-3</v>
      </c>
      <c r="T114" s="30"/>
      <c r="U114" s="32">
        <v>-3.7239957080022798E-4</v>
      </c>
      <c r="V114" s="30"/>
      <c r="W114" s="32">
        <v>2.3704643347141698E-2</v>
      </c>
      <c r="X114" s="30"/>
      <c r="Y114" s="32">
        <v>-6.2704856534127797E-3</v>
      </c>
      <c r="Z114" s="30"/>
      <c r="AA114" s="32">
        <v>2.8422571836945298E-2</v>
      </c>
      <c r="AB114" s="30"/>
      <c r="AC114" s="32">
        <v>7.0172398329593202E-3</v>
      </c>
      <c r="AD114" s="30"/>
      <c r="AE114" s="32">
        <v>1.6874961111026199E-2</v>
      </c>
      <c r="AF114" s="30"/>
      <c r="AG114" s="32">
        <v>1.64865107955398E-2</v>
      </c>
      <c r="AH114" s="30"/>
      <c r="AI114" s="32">
        <v>2.1405332003986002E-2</v>
      </c>
      <c r="AJ114" s="30"/>
      <c r="AK114" s="32">
        <v>-3.4693057490357997E-2</v>
      </c>
      <c r="AL114" s="30"/>
      <c r="AM114" s="32">
        <v>-2.71734277776314E-2</v>
      </c>
      <c r="AN114" s="30"/>
      <c r="AO114" s="32">
        <v>-1.4061988645304E-2</v>
      </c>
      <c r="AP114" s="30"/>
      <c r="AQ114" s="32">
        <v>-1.3203404753814501E-2</v>
      </c>
      <c r="AR114" s="30"/>
      <c r="AS114" s="32">
        <v>-7.5196297127266701E-3</v>
      </c>
      <c r="AT114" s="30"/>
      <c r="AU114" s="32">
        <v>5.5508148173120102E-2</v>
      </c>
      <c r="AV114" s="30"/>
      <c r="AW114" s="32">
        <v>1.735095601285E-2</v>
      </c>
      <c r="AX114" s="30"/>
      <c r="AY114" s="32">
        <v>3.8157192160270102E-2</v>
      </c>
      <c r="AZ114" s="30"/>
      <c r="BA114" s="32">
        <v>1.6751860156284101E-2</v>
      </c>
      <c r="BB114" s="30"/>
      <c r="BC114" s="32">
        <v>-2.0723034466541199E-2</v>
      </c>
      <c r="BD114" s="30"/>
      <c r="BE114" s="32"/>
      <c r="BF114" s="30"/>
    </row>
    <row r="115" spans="1:58" x14ac:dyDescent="0.2">
      <c r="A115" s="28">
        <v>2005</v>
      </c>
      <c r="B115" s="28">
        <v>4</v>
      </c>
      <c r="C115" s="32"/>
      <c r="D115" s="30"/>
      <c r="E115" s="32">
        <v>4.96538005441646E-2</v>
      </c>
      <c r="F115" s="30"/>
      <c r="G115" s="32">
        <v>1.2407033796786799E-2</v>
      </c>
      <c r="H115" s="30"/>
      <c r="I115" s="32">
        <v>1.24189440483426E-2</v>
      </c>
      <c r="J115" s="30"/>
      <c r="K115" s="32">
        <v>-1.1910251555781599E-5</v>
      </c>
      <c r="L115" s="30"/>
      <c r="M115" s="32">
        <v>3.7246766747377799E-2</v>
      </c>
      <c r="N115" s="30"/>
      <c r="O115" s="32">
        <v>1.25316492195437E-2</v>
      </c>
      <c r="P115" s="30"/>
      <c r="Q115" s="32">
        <v>4.1508997196209804E-3</v>
      </c>
      <c r="R115" s="30"/>
      <c r="S115" s="32">
        <v>8.3807494999226899E-3</v>
      </c>
      <c r="T115" s="30"/>
      <c r="U115" s="32">
        <v>6.8546057117669897E-3</v>
      </c>
      <c r="V115" s="30"/>
      <c r="W115" s="32">
        <v>1.7860511816067098E-2</v>
      </c>
      <c r="X115" s="30"/>
      <c r="Y115" s="32">
        <v>-1.0870641072128999E-2</v>
      </c>
      <c r="Z115" s="30"/>
      <c r="AA115" s="32">
        <v>3.1376909075877001E-2</v>
      </c>
      <c r="AB115" s="30"/>
      <c r="AC115" s="32">
        <v>1.3353169414379E-2</v>
      </c>
      <c r="AD115" s="30"/>
      <c r="AE115" s="32">
        <v>2.2890639541017999E-2</v>
      </c>
      <c r="AF115" s="30"/>
      <c r="AG115" s="32">
        <v>2.21901888943416E-2</v>
      </c>
      <c r="AH115" s="30"/>
      <c r="AI115" s="32">
        <v>1.8023739661497999E-2</v>
      </c>
      <c r="AJ115" s="30"/>
      <c r="AK115" s="32">
        <v>-4.2247550148006102E-2</v>
      </c>
      <c r="AL115" s="30"/>
      <c r="AM115" s="32">
        <v>-3.1726142013213797E-2</v>
      </c>
      <c r="AN115" s="30"/>
      <c r="AO115" s="32">
        <v>-2.6980228597114599E-2</v>
      </c>
      <c r="AP115" s="30"/>
      <c r="AQ115" s="32">
        <v>-2.4422929057407599E-2</v>
      </c>
      <c r="AR115" s="30"/>
      <c r="AS115" s="32">
        <v>-1.05214081347923E-2</v>
      </c>
      <c r="AT115" s="30"/>
      <c r="AU115" s="32">
        <v>6.6872890952468497E-2</v>
      </c>
      <c r="AV115" s="30"/>
      <c r="AW115" s="32">
        <v>2.4938683016330499E-2</v>
      </c>
      <c r="AX115" s="30"/>
      <c r="AY115" s="32">
        <v>4.1934207936138002E-2</v>
      </c>
      <c r="AZ115" s="30"/>
      <c r="BA115" s="32">
        <v>2.3910468274639999E-2</v>
      </c>
      <c r="BB115" s="30"/>
      <c r="BC115" s="32">
        <v>-3.4944337192199901E-2</v>
      </c>
      <c r="BD115" s="30"/>
      <c r="BE115" s="32"/>
      <c r="BF115" s="30"/>
    </row>
    <row r="116" spans="1:58" x14ac:dyDescent="0.2">
      <c r="A116" s="28">
        <v>2006</v>
      </c>
      <c r="B116" s="28">
        <v>1</v>
      </c>
      <c r="C116" s="32"/>
      <c r="D116" s="30"/>
      <c r="E116" s="32">
        <v>4.1721032117985599E-2</v>
      </c>
      <c r="F116" s="30"/>
      <c r="G116" s="32">
        <v>1.1479224118821201E-2</v>
      </c>
      <c r="H116" s="30"/>
      <c r="I116" s="32">
        <v>1.16344355961318E-2</v>
      </c>
      <c r="J116" s="30"/>
      <c r="K116" s="32">
        <v>-1.5521147731055701E-4</v>
      </c>
      <c r="L116" s="30"/>
      <c r="M116" s="32">
        <v>3.0241807999164299E-2</v>
      </c>
      <c r="N116" s="30"/>
      <c r="O116" s="32">
        <v>1.6127228029438299E-2</v>
      </c>
      <c r="P116" s="30"/>
      <c r="Q116" s="32">
        <v>1.8165769429992599E-3</v>
      </c>
      <c r="R116" s="30"/>
      <c r="S116" s="32">
        <v>1.4310651086439001E-2</v>
      </c>
      <c r="T116" s="30"/>
      <c r="U116" s="32">
        <v>-1.4874081625547301E-2</v>
      </c>
      <c r="V116" s="30"/>
      <c r="W116" s="32">
        <v>2.8988661595273298E-2</v>
      </c>
      <c r="X116" s="30"/>
      <c r="Y116" s="32">
        <v>5.5838862058127997E-3</v>
      </c>
      <c r="Z116" s="30"/>
      <c r="AA116" s="32">
        <v>3.1267810753261002E-2</v>
      </c>
      <c r="AB116" s="30"/>
      <c r="AC116" s="32">
        <v>1.80895696931406E-2</v>
      </c>
      <c r="AD116" s="30"/>
      <c r="AE116" s="32">
        <v>5.5590958555253998E-2</v>
      </c>
      <c r="AF116" s="30"/>
      <c r="AG116" s="32">
        <v>3.8676478112180897E-2</v>
      </c>
      <c r="AH116" s="30"/>
      <c r="AI116" s="32">
        <v>1.31782410601203E-2</v>
      </c>
      <c r="AJ116" s="30"/>
      <c r="AK116" s="32">
        <v>-2.5683924547448202E-2</v>
      </c>
      <c r="AL116" s="30"/>
      <c r="AM116" s="32">
        <v>-2.40985915518078E-2</v>
      </c>
      <c r="AN116" s="30"/>
      <c r="AO116" s="32">
        <v>-3.2107117119751498E-2</v>
      </c>
      <c r="AP116" s="30"/>
      <c r="AQ116" s="32">
        <v>-3.05860460694591E-2</v>
      </c>
      <c r="AR116" s="30"/>
      <c r="AS116" s="32">
        <v>-1.58533299564043E-3</v>
      </c>
      <c r="AT116" s="30"/>
      <c r="AU116" s="32">
        <v>9.4350379014445193E-2</v>
      </c>
      <c r="AV116" s="30"/>
      <c r="AW116" s="32">
        <v>2.7606452148259499E-2</v>
      </c>
      <c r="AX116" s="30"/>
      <c r="AY116" s="32">
        <v>6.6743926866185702E-2</v>
      </c>
      <c r="AZ116" s="30"/>
      <c r="BA116" s="32">
        <v>5.35656858060653E-2</v>
      </c>
      <c r="BB116" s="30"/>
      <c r="BC116" s="32">
        <v>-3.2171379065099599E-2</v>
      </c>
      <c r="BD116" s="30"/>
      <c r="BE116" s="32"/>
      <c r="BF116" s="30"/>
    </row>
    <row r="117" spans="1:58" x14ac:dyDescent="0.2">
      <c r="A117" s="28">
        <v>2006</v>
      </c>
      <c r="B117" s="28">
        <v>2</v>
      </c>
      <c r="C117" s="32"/>
      <c r="D117" s="30"/>
      <c r="E117" s="32">
        <v>1.9448883206198201E-2</v>
      </c>
      <c r="F117" s="30"/>
      <c r="G117" s="32">
        <v>8.5840416372379193E-3</v>
      </c>
      <c r="H117" s="30"/>
      <c r="I117" s="32">
        <v>1.00298901836126E-2</v>
      </c>
      <c r="J117" s="30"/>
      <c r="K117" s="32">
        <v>-1.4458485463746801E-3</v>
      </c>
      <c r="L117" s="30"/>
      <c r="M117" s="32">
        <v>1.0864841568960301E-2</v>
      </c>
      <c r="N117" s="30"/>
      <c r="O117" s="32">
        <v>8.9485357492106593E-3</v>
      </c>
      <c r="P117" s="30"/>
      <c r="Q117" s="32">
        <v>-1.77413055311245E-3</v>
      </c>
      <c r="R117" s="30"/>
      <c r="S117" s="32">
        <v>1.0722666302323099E-2</v>
      </c>
      <c r="T117" s="30"/>
      <c r="U117" s="32">
        <v>4.6864361362110403E-3</v>
      </c>
      <c r="V117" s="30"/>
      <c r="W117" s="32">
        <v>-2.7701303164613801E-3</v>
      </c>
      <c r="X117" s="30"/>
      <c r="Y117" s="32">
        <v>1.8251618923065299E-2</v>
      </c>
      <c r="Z117" s="30"/>
      <c r="AA117" s="32">
        <v>1.22266770422983E-2</v>
      </c>
      <c r="AB117" s="30"/>
      <c r="AC117" s="32">
        <v>5.3934393592418297E-3</v>
      </c>
      <c r="AD117" s="30"/>
      <c r="AE117" s="32">
        <v>2.4717564534703598E-2</v>
      </c>
      <c r="AF117" s="30"/>
      <c r="AG117" s="32">
        <v>2.31443738601648E-2</v>
      </c>
      <c r="AH117" s="30"/>
      <c r="AI117" s="32">
        <v>6.8332376830564402E-3</v>
      </c>
      <c r="AJ117" s="30"/>
      <c r="AK117" s="32">
        <v>6.0249418807670598E-3</v>
      </c>
      <c r="AL117" s="30"/>
      <c r="AM117" s="32">
        <v>6.9191541746664196E-3</v>
      </c>
      <c r="AN117" s="30"/>
      <c r="AO117" s="32">
        <v>-1.96474374697642E-2</v>
      </c>
      <c r="AP117" s="30"/>
      <c r="AQ117" s="32">
        <v>-1.6603351015260798E-2</v>
      </c>
      <c r="AR117" s="30"/>
      <c r="AS117" s="32">
        <v>-8.9421229389936201E-4</v>
      </c>
      <c r="AT117" s="30"/>
      <c r="AU117" s="32">
        <v>5.0511629302212598E-2</v>
      </c>
      <c r="AV117" s="30"/>
      <c r="AW117" s="32">
        <v>1.7532577386448599E-2</v>
      </c>
      <c r="AX117" s="30"/>
      <c r="AY117" s="32">
        <v>3.2979051915764099E-2</v>
      </c>
      <c r="AZ117" s="30"/>
      <c r="BA117" s="32">
        <v>2.61458142327076E-2</v>
      </c>
      <c r="BB117" s="30"/>
      <c r="BC117" s="32">
        <v>-1.7497563309160101E-2</v>
      </c>
      <c r="BD117" s="30"/>
      <c r="BE117" s="32"/>
      <c r="BF117" s="30"/>
    </row>
    <row r="118" spans="1:58" x14ac:dyDescent="0.2">
      <c r="A118" s="28">
        <v>2006</v>
      </c>
      <c r="B118" s="28">
        <v>3</v>
      </c>
      <c r="C118" s="32"/>
      <c r="D118" s="30"/>
      <c r="E118" s="32">
        <v>5.0406439783339304E-3</v>
      </c>
      <c r="F118" s="30"/>
      <c r="G118" s="32">
        <v>8.4021585917340193E-3</v>
      </c>
      <c r="H118" s="30"/>
      <c r="I118" s="32">
        <v>8.3656964775951897E-3</v>
      </c>
      <c r="J118" s="30"/>
      <c r="K118" s="32">
        <v>3.64621141388314E-5</v>
      </c>
      <c r="L118" s="30"/>
      <c r="M118" s="32">
        <v>-3.3615146134000902E-3</v>
      </c>
      <c r="N118" s="30"/>
      <c r="O118" s="32">
        <v>9.6772868113908003E-3</v>
      </c>
      <c r="P118" s="30"/>
      <c r="Q118" s="32">
        <v>-2.3225663416959101E-3</v>
      </c>
      <c r="R118" s="30"/>
      <c r="S118" s="32">
        <v>1.1999853153086701E-2</v>
      </c>
      <c r="T118" s="30"/>
      <c r="U118" s="32">
        <v>-4.4093103270626604E-3</v>
      </c>
      <c r="V118" s="30"/>
      <c r="W118" s="32">
        <v>-8.6294910977282192E-3</v>
      </c>
      <c r="X118" s="30"/>
      <c r="Y118" s="32">
        <v>3.4378976610819102E-2</v>
      </c>
      <c r="Z118" s="30"/>
      <c r="AA118" s="32">
        <v>4.0536773013444098E-2</v>
      </c>
      <c r="AB118" s="30"/>
      <c r="AC118" s="32">
        <v>3.5146446327737002E-2</v>
      </c>
      <c r="AD118" s="30"/>
      <c r="AE118" s="32">
        <v>3.7885461634084301E-2</v>
      </c>
      <c r="AF118" s="30"/>
      <c r="AG118" s="32">
        <v>3.3408213253783903E-2</v>
      </c>
      <c r="AH118" s="30"/>
      <c r="AI118" s="32">
        <v>5.3903266857071499E-3</v>
      </c>
      <c r="AJ118" s="30"/>
      <c r="AK118" s="32">
        <v>-6.1577964026250098E-3</v>
      </c>
      <c r="AL118" s="30"/>
      <c r="AM118" s="32">
        <v>-1.11357080014811E-4</v>
      </c>
      <c r="AN118" s="30"/>
      <c r="AO118" s="32">
        <v>-9.9758685472300795E-3</v>
      </c>
      <c r="AP118" s="30"/>
      <c r="AQ118" s="32">
        <v>-8.6859049615888306E-3</v>
      </c>
      <c r="AR118" s="30"/>
      <c r="AS118" s="32">
        <v>-6.0464393226101901E-3</v>
      </c>
      <c r="AT118" s="30"/>
      <c r="AU118" s="32">
        <v>5.8561275200414702E-2</v>
      </c>
      <c r="AV118" s="30"/>
      <c r="AW118" s="32">
        <v>1.80794454031248E-2</v>
      </c>
      <c r="AX118" s="30"/>
      <c r="AY118" s="32">
        <v>4.0481829797289898E-2</v>
      </c>
      <c r="AZ118" s="30"/>
      <c r="BA118" s="32">
        <v>3.5091503111582802E-2</v>
      </c>
      <c r="BB118" s="30"/>
      <c r="BC118" s="32">
        <v>-1.4732344284199001E-2</v>
      </c>
      <c r="BD118" s="30"/>
      <c r="BE118" s="32"/>
      <c r="BF118" s="30"/>
    </row>
    <row r="119" spans="1:58" x14ac:dyDescent="0.2">
      <c r="A119" s="28">
        <v>2006</v>
      </c>
      <c r="B119" s="28">
        <v>4</v>
      </c>
      <c r="C119" s="32"/>
      <c r="D119" s="30"/>
      <c r="E119" s="32">
        <v>1.6156602462985399E-2</v>
      </c>
      <c r="F119" s="30"/>
      <c r="G119" s="32">
        <v>7.3781822558224297E-3</v>
      </c>
      <c r="H119" s="30"/>
      <c r="I119" s="32">
        <v>6.7688159072193301E-3</v>
      </c>
      <c r="J119" s="30"/>
      <c r="K119" s="32">
        <v>6.0936634860309601E-4</v>
      </c>
      <c r="L119" s="30"/>
      <c r="M119" s="32">
        <v>8.7784202071629295E-3</v>
      </c>
      <c r="N119" s="30"/>
      <c r="O119" s="32">
        <v>1.6091745912709399E-2</v>
      </c>
      <c r="P119" s="30"/>
      <c r="Q119" s="32">
        <v>-2.8912232130788602E-3</v>
      </c>
      <c r="R119" s="30"/>
      <c r="S119" s="32">
        <v>1.8982969125788202E-2</v>
      </c>
      <c r="T119" s="30"/>
      <c r="U119" s="32">
        <v>-9.8162913425020402E-3</v>
      </c>
      <c r="V119" s="30"/>
      <c r="W119" s="32">
        <v>2.5029656369556E-3</v>
      </c>
      <c r="X119" s="30"/>
      <c r="Y119" s="32">
        <v>2.4956863972872299E-2</v>
      </c>
      <c r="Z119" s="30"/>
      <c r="AA119" s="32">
        <v>6.0294594892297597E-2</v>
      </c>
      <c r="AB119" s="30"/>
      <c r="AC119" s="32">
        <v>5.14115933563127E-2</v>
      </c>
      <c r="AD119" s="30"/>
      <c r="AE119" s="32">
        <v>4.8019372258667301E-2</v>
      </c>
      <c r="AF119" s="30"/>
      <c r="AG119" s="32">
        <v>3.6756059520573099E-2</v>
      </c>
      <c r="AH119" s="30"/>
      <c r="AI119" s="32">
        <v>8.8830015359849593E-3</v>
      </c>
      <c r="AJ119" s="30"/>
      <c r="AK119" s="32">
        <v>-3.5337730919425298E-2</v>
      </c>
      <c r="AL119" s="30"/>
      <c r="AM119" s="32">
        <v>-3.1641997690422002E-2</v>
      </c>
      <c r="AN119" s="30"/>
      <c r="AO119" s="32">
        <v>-3.2071386446433599E-2</v>
      </c>
      <c r="AP119" s="30"/>
      <c r="AQ119" s="32">
        <v>-2.2943783874339301E-2</v>
      </c>
      <c r="AR119" s="30"/>
      <c r="AS119" s="32">
        <v>-3.6957332290033498E-3</v>
      </c>
      <c r="AT119" s="30"/>
      <c r="AU119" s="32">
        <v>7.7569274881702302E-2</v>
      </c>
      <c r="AV119" s="30"/>
      <c r="AW119" s="32">
        <v>2.3469928168531801E-2</v>
      </c>
      <c r="AX119" s="30"/>
      <c r="AY119" s="32">
        <v>5.4099346713170501E-2</v>
      </c>
      <c r="AZ119" s="30"/>
      <c r="BA119" s="32">
        <v>4.5216345177185598E-2</v>
      </c>
      <c r="BB119" s="30"/>
      <c r="BC119" s="32">
        <v>-2.66395171033426E-2</v>
      </c>
      <c r="BD119" s="30"/>
      <c r="BE119" s="32"/>
      <c r="BF119" s="30"/>
    </row>
    <row r="120" spans="1:58" x14ac:dyDescent="0.2">
      <c r="A120" s="28">
        <v>2007</v>
      </c>
      <c r="B120" s="28">
        <v>1</v>
      </c>
      <c r="C120" s="32"/>
      <c r="D120" s="30"/>
      <c r="E120" s="32">
        <v>3.6783732893211898E-3</v>
      </c>
      <c r="F120" s="30"/>
      <c r="G120" s="32">
        <v>1.03731801660715E-2</v>
      </c>
      <c r="H120" s="30"/>
      <c r="I120" s="32">
        <v>9.8247990007259596E-3</v>
      </c>
      <c r="J120" s="30"/>
      <c r="K120" s="32">
        <v>5.4838116534553102E-4</v>
      </c>
      <c r="L120" s="30"/>
      <c r="M120" s="32">
        <v>-6.6948068767503097E-3</v>
      </c>
      <c r="N120" s="30"/>
      <c r="O120" s="32">
        <v>1.44210679748058E-2</v>
      </c>
      <c r="P120" s="30"/>
      <c r="Q120" s="32">
        <v>-9.6546926118505497E-4</v>
      </c>
      <c r="R120" s="30"/>
      <c r="S120" s="32">
        <v>1.5386537235990899E-2</v>
      </c>
      <c r="T120" s="30"/>
      <c r="U120" s="32">
        <v>-5.5122298257302303E-4</v>
      </c>
      <c r="V120" s="30"/>
      <c r="W120" s="32">
        <v>-2.0564651868983101E-2</v>
      </c>
      <c r="X120" s="30"/>
      <c r="Y120" s="32">
        <v>3.1995825787449E-2</v>
      </c>
      <c r="Z120" s="30"/>
      <c r="AA120" s="32">
        <v>5.1630247861002503E-2</v>
      </c>
      <c r="AB120" s="30"/>
      <c r="AC120" s="32">
        <v>3.5400185728653298E-2</v>
      </c>
      <c r="AD120" s="30"/>
      <c r="AE120" s="32">
        <v>2.76425261166162E-2</v>
      </c>
      <c r="AF120" s="30"/>
      <c r="AG120" s="32">
        <v>3.0074052724111601E-2</v>
      </c>
      <c r="AH120" s="30"/>
      <c r="AI120" s="32">
        <v>1.6230062132349201E-2</v>
      </c>
      <c r="AJ120" s="30"/>
      <c r="AK120" s="32">
        <v>-1.9634422073553499E-2</v>
      </c>
      <c r="AL120" s="30"/>
      <c r="AM120" s="32">
        <v>-1.1393897132188101E-2</v>
      </c>
      <c r="AN120" s="30"/>
      <c r="AO120" s="32">
        <v>-1.7939402595253E-2</v>
      </c>
      <c r="AP120" s="30"/>
      <c r="AQ120" s="32">
        <v>-2.2660869851949698E-2</v>
      </c>
      <c r="AR120" s="30"/>
      <c r="AS120" s="32">
        <v>-8.2405249413654708E-3</v>
      </c>
      <c r="AT120" s="30"/>
      <c r="AU120" s="32">
        <v>6.7126816852658297E-2</v>
      </c>
      <c r="AV120" s="30"/>
      <c r="AW120" s="32">
        <v>2.4794248140877301E-2</v>
      </c>
      <c r="AX120" s="30"/>
      <c r="AY120" s="32">
        <v>4.2332568711781003E-2</v>
      </c>
      <c r="AZ120" s="30"/>
      <c r="BA120" s="32">
        <v>2.6102506579431799E-2</v>
      </c>
      <c r="BB120" s="30"/>
      <c r="BC120" s="32">
        <v>-3.09013947933151E-2</v>
      </c>
      <c r="BD120" s="30"/>
      <c r="BE120" s="32"/>
      <c r="BF120" s="30"/>
    </row>
    <row r="121" spans="1:58" x14ac:dyDescent="0.2">
      <c r="A121" s="28">
        <v>2007</v>
      </c>
      <c r="B121" s="28">
        <v>2</v>
      </c>
      <c r="C121" s="32"/>
      <c r="D121" s="30"/>
      <c r="E121" s="32">
        <v>-8.7368336943940209E-3</v>
      </c>
      <c r="F121" s="30"/>
      <c r="G121" s="32">
        <v>1.14460652313392E-2</v>
      </c>
      <c r="H121" s="30"/>
      <c r="I121" s="32">
        <v>9.4820371458157506E-3</v>
      </c>
      <c r="J121" s="30"/>
      <c r="K121" s="32">
        <v>1.9640280855234399E-3</v>
      </c>
      <c r="L121" s="30"/>
      <c r="M121" s="32">
        <v>-2.01828989257332E-2</v>
      </c>
      <c r="N121" s="30"/>
      <c r="O121" s="32">
        <v>1.88857657443437E-2</v>
      </c>
      <c r="P121" s="30"/>
      <c r="Q121" s="32">
        <v>-3.4059524323267702E-3</v>
      </c>
      <c r="R121" s="30"/>
      <c r="S121" s="32">
        <v>2.22917181766705E-2</v>
      </c>
      <c r="T121" s="30"/>
      <c r="U121" s="32">
        <v>-1.7688108051049999E-2</v>
      </c>
      <c r="V121" s="30"/>
      <c r="W121" s="32">
        <v>-2.1380556619026901E-2</v>
      </c>
      <c r="X121" s="30"/>
      <c r="Y121" s="32">
        <v>5.2728158246733402E-2</v>
      </c>
      <c r="Z121" s="30"/>
      <c r="AA121" s="32">
        <v>8.5556477997831296E-2</v>
      </c>
      <c r="AB121" s="30"/>
      <c r="AC121" s="32">
        <v>6.2157577420775302E-2</v>
      </c>
      <c r="AD121" s="30"/>
      <c r="AE121" s="32">
        <v>4.0116973566501402E-2</v>
      </c>
      <c r="AF121" s="30"/>
      <c r="AG121" s="32">
        <v>2.8400933749127999E-2</v>
      </c>
      <c r="AH121" s="30"/>
      <c r="AI121" s="32">
        <v>2.3398900577056E-2</v>
      </c>
      <c r="AJ121" s="30"/>
      <c r="AK121" s="32">
        <v>-3.2828319751097998E-2</v>
      </c>
      <c r="AL121" s="30"/>
      <c r="AM121" s="32">
        <v>-2.40925184317442E-2</v>
      </c>
      <c r="AN121" s="30"/>
      <c r="AO121" s="32">
        <v>-1.58926742043402E-2</v>
      </c>
      <c r="AP121" s="30"/>
      <c r="AQ121" s="32">
        <v>-1.95651953007192E-2</v>
      </c>
      <c r="AR121" s="30"/>
      <c r="AS121" s="32">
        <v>-8.7358013193537705E-3</v>
      </c>
      <c r="AT121" s="30"/>
      <c r="AU121" s="32">
        <v>8.9980429223462305E-2</v>
      </c>
      <c r="AV121" s="30"/>
      <c r="AW121" s="32">
        <v>3.03318309756829E-2</v>
      </c>
      <c r="AX121" s="30"/>
      <c r="AY121" s="32">
        <v>5.9648598247779398E-2</v>
      </c>
      <c r="AZ121" s="30"/>
      <c r="BA121" s="32">
        <v>3.6249697670723398E-2</v>
      </c>
      <c r="BB121" s="30"/>
      <c r="BC121" s="32">
        <v>-2.8300996620072998E-2</v>
      </c>
      <c r="BD121" s="30"/>
      <c r="BE121" s="32"/>
      <c r="BF121" s="30"/>
    </row>
    <row r="122" spans="1:58" x14ac:dyDescent="0.2">
      <c r="A122" s="28">
        <v>2007</v>
      </c>
      <c r="B122" s="28">
        <v>3</v>
      </c>
      <c r="C122" s="32"/>
      <c r="D122" s="30"/>
      <c r="E122" s="32">
        <v>-4.1705434584087099E-3</v>
      </c>
      <c r="F122" s="30"/>
      <c r="G122" s="32">
        <v>1.17127295691863E-2</v>
      </c>
      <c r="H122" s="30"/>
      <c r="I122" s="32">
        <v>1.07375916597566E-2</v>
      </c>
      <c r="J122" s="30"/>
      <c r="K122" s="32">
        <v>9.7513790942963397E-4</v>
      </c>
      <c r="L122" s="30"/>
      <c r="M122" s="32">
        <v>-1.5883273027594999E-2</v>
      </c>
      <c r="N122" s="30"/>
      <c r="O122" s="32">
        <v>1.5524215824811101E-2</v>
      </c>
      <c r="P122" s="30"/>
      <c r="Q122" s="32">
        <v>-2.1723569563070299E-3</v>
      </c>
      <c r="R122" s="30"/>
      <c r="S122" s="32">
        <v>1.7696572781118101E-2</v>
      </c>
      <c r="T122" s="30"/>
      <c r="U122" s="32">
        <v>-2.1096390205298899E-2</v>
      </c>
      <c r="V122" s="30"/>
      <c r="W122" s="32">
        <v>-1.0311098647107201E-2</v>
      </c>
      <c r="X122" s="30"/>
      <c r="Y122" s="32">
        <v>4.8790685915570203E-2</v>
      </c>
      <c r="Z122" s="30"/>
      <c r="AA122" s="32">
        <v>0.10164071096197</v>
      </c>
      <c r="AB122" s="30"/>
      <c r="AC122" s="32">
        <v>7.9437410037615494E-2</v>
      </c>
      <c r="AD122" s="30"/>
      <c r="AE122" s="32">
        <v>4.7581812389870699E-2</v>
      </c>
      <c r="AF122" s="30"/>
      <c r="AG122" s="32">
        <v>3.0043010701285702E-2</v>
      </c>
      <c r="AH122" s="30"/>
      <c r="AI122" s="32">
        <v>2.22033009243542E-2</v>
      </c>
      <c r="AJ122" s="30"/>
      <c r="AK122" s="32">
        <v>-5.28500250463994E-2</v>
      </c>
      <c r="AL122" s="30"/>
      <c r="AM122" s="32">
        <v>-4.6529787350936699E-2</v>
      </c>
      <c r="AN122" s="30"/>
      <c r="AO122" s="32">
        <v>-2.4293613151272202E-2</v>
      </c>
      <c r="AP122" s="30"/>
      <c r="AQ122" s="32">
        <v>-2.5355083709627298E-2</v>
      </c>
      <c r="AR122" s="30"/>
      <c r="AS122" s="32">
        <v>-6.3202376954626998E-3</v>
      </c>
      <c r="AT122" s="30"/>
      <c r="AU122" s="32">
        <v>9.7391854067550396E-2</v>
      </c>
      <c r="AV122" s="30"/>
      <c r="AW122" s="32">
        <v>2.7236945393997399E-2</v>
      </c>
      <c r="AX122" s="30"/>
      <c r="AY122" s="32">
        <v>7.0154908673552993E-2</v>
      </c>
      <c r="AZ122" s="30"/>
      <c r="BA122" s="32">
        <v>4.7951607749198898E-2</v>
      </c>
      <c r="BB122" s="30"/>
      <c r="BC122" s="32">
        <v>-3.1675321405090003E-2</v>
      </c>
      <c r="BD122" s="30"/>
      <c r="BE122" s="32"/>
      <c r="BF122" s="30"/>
    </row>
    <row r="123" spans="1:58" x14ac:dyDescent="0.2">
      <c r="A123" s="28">
        <v>2007</v>
      </c>
      <c r="B123" s="28">
        <v>4</v>
      </c>
      <c r="C123" s="32"/>
      <c r="D123" s="30"/>
      <c r="E123" s="32">
        <v>2.7651353905500799E-2</v>
      </c>
      <c r="F123" s="30"/>
      <c r="G123" s="32">
        <v>1.32949301135156E-2</v>
      </c>
      <c r="H123" s="30"/>
      <c r="I123" s="32">
        <v>1.3050133099200599E-2</v>
      </c>
      <c r="J123" s="30"/>
      <c r="K123" s="32">
        <v>2.4479701431502897E-4</v>
      </c>
      <c r="L123" s="30"/>
      <c r="M123" s="32">
        <v>1.43564237919852E-2</v>
      </c>
      <c r="N123" s="30"/>
      <c r="O123" s="32">
        <v>8.2828192023068001E-3</v>
      </c>
      <c r="P123" s="30"/>
      <c r="Q123" s="32">
        <v>-1.5414470260091599E-3</v>
      </c>
      <c r="R123" s="30"/>
      <c r="S123" s="32">
        <v>9.8242662283159494E-3</v>
      </c>
      <c r="T123" s="30"/>
      <c r="U123" s="32">
        <v>3.99266130531357E-4</v>
      </c>
      <c r="V123" s="30"/>
      <c r="W123" s="32">
        <v>5.6743384591470903E-3</v>
      </c>
      <c r="X123" s="30"/>
      <c r="Y123" s="32">
        <v>7.5111129520379401E-3</v>
      </c>
      <c r="Z123" s="30"/>
      <c r="AA123" s="32">
        <v>1.79190705469684E-2</v>
      </c>
      <c r="AB123" s="30"/>
      <c r="AC123" s="32">
        <v>-5.5299327130968398E-3</v>
      </c>
      <c r="AD123" s="30"/>
      <c r="AE123" s="32">
        <v>8.0273188706149103E-3</v>
      </c>
      <c r="AF123" s="30"/>
      <c r="AG123" s="32">
        <v>1.3629629688996199E-2</v>
      </c>
      <c r="AH123" s="30"/>
      <c r="AI123" s="32">
        <v>2.3449003260065202E-2</v>
      </c>
      <c r="AJ123" s="30"/>
      <c r="AK123" s="32">
        <v>-1.0407957594930401E-2</v>
      </c>
      <c r="AL123" s="30"/>
      <c r="AM123" s="32">
        <v>-1.6774991992838401E-4</v>
      </c>
      <c r="AN123" s="30"/>
      <c r="AO123" s="32">
        <v>-1.7175452889947201E-3</v>
      </c>
      <c r="AP123" s="30"/>
      <c r="AQ123" s="32">
        <v>-1.0342818784222199E-2</v>
      </c>
      <c r="AR123" s="30"/>
      <c r="AS123" s="32">
        <v>-1.0240207675002E-2</v>
      </c>
      <c r="AT123" s="30"/>
      <c r="AU123" s="32">
        <v>5.5346227186231597E-2</v>
      </c>
      <c r="AV123" s="30"/>
      <c r="AW123" s="32">
        <v>2.15777493158224E-2</v>
      </c>
      <c r="AX123" s="30"/>
      <c r="AY123" s="32">
        <v>3.3768477870409201E-2</v>
      </c>
      <c r="AZ123" s="30"/>
      <c r="BA123" s="32">
        <v>1.0319474610344E-2</v>
      </c>
      <c r="BB123" s="30"/>
      <c r="BC123" s="32">
        <v>-2.0583026459224201E-2</v>
      </c>
      <c r="BD123" s="30"/>
      <c r="BE123" s="32"/>
      <c r="BF123" s="30"/>
    </row>
    <row r="124" spans="1:58" x14ac:dyDescent="0.2">
      <c r="A124" s="28">
        <v>2008</v>
      </c>
      <c r="B124" s="28">
        <v>1</v>
      </c>
      <c r="C124" s="32"/>
      <c r="D124" s="30"/>
      <c r="E124" s="32">
        <v>3.99855830794041E-2</v>
      </c>
      <c r="F124" s="30"/>
      <c r="G124" s="32">
        <v>9.6861097804688996E-3</v>
      </c>
      <c r="H124" s="30"/>
      <c r="I124" s="32">
        <v>9.2660086876418194E-3</v>
      </c>
      <c r="J124" s="30"/>
      <c r="K124" s="32">
        <v>4.2010109282708302E-4</v>
      </c>
      <c r="L124" s="30"/>
      <c r="M124" s="32">
        <v>3.02994732989352E-2</v>
      </c>
      <c r="N124" s="30"/>
      <c r="O124" s="32">
        <v>4.9775445606353996E-3</v>
      </c>
      <c r="P124" s="30"/>
      <c r="Q124" s="32">
        <v>-4.29793051623679E-4</v>
      </c>
      <c r="R124" s="30"/>
      <c r="S124" s="32">
        <v>5.4073376122590801E-3</v>
      </c>
      <c r="T124" s="30"/>
      <c r="U124" s="32">
        <v>-3.2470323620667199E-3</v>
      </c>
      <c r="V124" s="30"/>
      <c r="W124" s="32">
        <v>2.85689611003665E-2</v>
      </c>
      <c r="X124" s="30"/>
      <c r="Y124" s="32">
        <v>-8.1225658771262692E-3</v>
      </c>
      <c r="Z124" s="30"/>
      <c r="AA124" s="32">
        <v>3.5131229344087897E-2</v>
      </c>
      <c r="AB124" s="30"/>
      <c r="AC124" s="32">
        <v>2.8262105272823902E-2</v>
      </c>
      <c r="AD124" s="30"/>
      <c r="AE124" s="32">
        <v>1.07829096366353E-2</v>
      </c>
      <c r="AF124" s="30"/>
      <c r="AG124" s="32">
        <v>6.8970252653636497E-3</v>
      </c>
      <c r="AH124" s="30"/>
      <c r="AI124" s="32">
        <v>6.8691240712640397E-3</v>
      </c>
      <c r="AJ124" s="30"/>
      <c r="AK124" s="32">
        <v>-4.3253795221214197E-2</v>
      </c>
      <c r="AL124" s="30"/>
      <c r="AM124" s="32">
        <v>-4.30845056410981E-2</v>
      </c>
      <c r="AN124" s="30"/>
      <c r="AO124" s="32">
        <v>3.0168809867678701E-3</v>
      </c>
      <c r="AP124" s="30"/>
      <c r="AQ124" s="32">
        <v>3.8449637260230701E-3</v>
      </c>
      <c r="AR124" s="30"/>
      <c r="AS124" s="32">
        <v>-1.6928958011603199E-4</v>
      </c>
      <c r="AT124" s="30"/>
      <c r="AU124" s="32">
        <v>3.14343754184375E-2</v>
      </c>
      <c r="AV124" s="30"/>
      <c r="AW124" s="32">
        <v>1.4663654341104299E-2</v>
      </c>
      <c r="AX124" s="30"/>
      <c r="AY124" s="32">
        <v>1.6770721077333201E-2</v>
      </c>
      <c r="AZ124" s="30"/>
      <c r="BA124" s="32">
        <v>9.9015970060691502E-3</v>
      </c>
      <c r="BB124" s="30"/>
      <c r="BC124" s="32">
        <v>3.6756741459070398E-3</v>
      </c>
      <c r="BD124" s="30"/>
      <c r="BE124" s="32"/>
      <c r="BF124" s="30"/>
    </row>
    <row r="125" spans="1:58" x14ac:dyDescent="0.2">
      <c r="A125" s="28">
        <v>2008</v>
      </c>
      <c r="B125" s="28">
        <v>2</v>
      </c>
      <c r="C125" s="32"/>
      <c r="D125" s="30"/>
      <c r="E125" s="32">
        <v>5.6262638173718601E-4</v>
      </c>
      <c r="F125" s="30"/>
      <c r="G125" s="32">
        <v>8.8534608005716095E-3</v>
      </c>
      <c r="H125" s="30"/>
      <c r="I125" s="32">
        <v>8.6418187750530694E-3</v>
      </c>
      <c r="J125" s="30"/>
      <c r="K125" s="32">
        <v>2.1164202551854201E-4</v>
      </c>
      <c r="L125" s="30"/>
      <c r="M125" s="32">
        <v>-8.2908344188344293E-3</v>
      </c>
      <c r="N125" s="30"/>
      <c r="O125" s="32">
        <v>6.2418083624014003E-3</v>
      </c>
      <c r="P125" s="30"/>
      <c r="Q125" s="32">
        <v>3.3122396461363198E-4</v>
      </c>
      <c r="R125" s="30"/>
      <c r="S125" s="32">
        <v>5.9105843977877602E-3</v>
      </c>
      <c r="T125" s="30"/>
      <c r="U125" s="32">
        <v>-1.9053875224432901E-2</v>
      </c>
      <c r="V125" s="30"/>
      <c r="W125" s="32">
        <v>4.5212324431970303E-3</v>
      </c>
      <c r="X125" s="30"/>
      <c r="Y125" s="32">
        <v>3.5067637697358101E-2</v>
      </c>
      <c r="Z125" s="30"/>
      <c r="AA125" s="32">
        <v>4.4484595307849303E-2</v>
      </c>
      <c r="AB125" s="30"/>
      <c r="AC125" s="32">
        <v>4.3547981338539203E-2</v>
      </c>
      <c r="AD125" s="30"/>
      <c r="AE125" s="32">
        <v>4.5393917508605601E-2</v>
      </c>
      <c r="AF125" s="30"/>
      <c r="AG125" s="32">
        <v>2.9389507256289801E-2</v>
      </c>
      <c r="AH125" s="30"/>
      <c r="AI125" s="32">
        <v>9.3661396931003305E-4</v>
      </c>
      <c r="AJ125" s="30"/>
      <c r="AK125" s="32">
        <v>-9.4169576104911508E-3</v>
      </c>
      <c r="AL125" s="30"/>
      <c r="AM125" s="32">
        <v>-1.18438820452718E-2</v>
      </c>
      <c r="AN125" s="30"/>
      <c r="AO125" s="32">
        <v>-1.3100611040445201E-2</v>
      </c>
      <c r="AP125" s="30"/>
      <c r="AQ125" s="32">
        <v>-1.0912116757110501E-2</v>
      </c>
      <c r="AR125" s="30"/>
      <c r="AS125" s="32">
        <v>2.4269244347806598E-3</v>
      </c>
      <c r="AT125" s="30"/>
      <c r="AU125" s="32">
        <v>6.3169331625858E-2</v>
      </c>
      <c r="AV125" s="30"/>
      <c r="AW125" s="32">
        <v>1.5095269162972999E-2</v>
      </c>
      <c r="AX125" s="30"/>
      <c r="AY125" s="32">
        <v>4.8074062462885002E-2</v>
      </c>
      <c r="AZ125" s="30"/>
      <c r="BA125" s="32">
        <v>4.7137448493574999E-2</v>
      </c>
      <c r="BB125" s="30"/>
      <c r="BC125" s="32">
        <v>-8.4851923223298806E-3</v>
      </c>
      <c r="BD125" s="30"/>
      <c r="BE125" s="32"/>
      <c r="BF125" s="30"/>
    </row>
    <row r="126" spans="1:58" x14ac:dyDescent="0.2">
      <c r="A126" s="28">
        <v>2008</v>
      </c>
      <c r="B126" s="28">
        <v>3</v>
      </c>
      <c r="C126" s="32"/>
      <c r="D126" s="30"/>
      <c r="E126" s="32">
        <v>1.1760462467845199E-2</v>
      </c>
      <c r="F126" s="30"/>
      <c r="G126" s="32">
        <v>9.6603529839862003E-3</v>
      </c>
      <c r="H126" s="30"/>
      <c r="I126" s="32">
        <v>9.2377740009936208E-3</v>
      </c>
      <c r="J126" s="30"/>
      <c r="K126" s="32">
        <v>4.22578982992581E-4</v>
      </c>
      <c r="L126" s="30"/>
      <c r="M126" s="32">
        <v>2.1001094838590398E-3</v>
      </c>
      <c r="N126" s="30"/>
      <c r="O126" s="32">
        <v>3.5789251984185101E-3</v>
      </c>
      <c r="P126" s="30"/>
      <c r="Q126" s="32">
        <v>4.9320232176513004E-4</v>
      </c>
      <c r="R126" s="30"/>
      <c r="S126" s="32">
        <v>3.08572287665338E-3</v>
      </c>
      <c r="T126" s="30"/>
      <c r="U126" s="32">
        <v>-2.9876050936640001E-3</v>
      </c>
      <c r="V126" s="30"/>
      <c r="W126" s="32">
        <v>1.5087893791045201E-3</v>
      </c>
      <c r="X126" s="30"/>
      <c r="Y126" s="32">
        <v>2.0824137253474401E-2</v>
      </c>
      <c r="Z126" s="30"/>
      <c r="AA126" s="32">
        <v>2.9972640437656101E-2</v>
      </c>
      <c r="AB126" s="30"/>
      <c r="AC126" s="32">
        <v>2.9481330796731601E-2</v>
      </c>
      <c r="AD126" s="30"/>
      <c r="AE126" s="32">
        <v>2.5262401958295599E-2</v>
      </c>
      <c r="AF126" s="30"/>
      <c r="AG126" s="32">
        <v>8.8119563522177802E-3</v>
      </c>
      <c r="AH126" s="30"/>
      <c r="AI126" s="32">
        <v>4.9130964092446302E-4</v>
      </c>
      <c r="AJ126" s="30"/>
      <c r="AK126" s="32">
        <v>-9.1485031841816306E-3</v>
      </c>
      <c r="AL126" s="30"/>
      <c r="AM126" s="32">
        <v>-1.2752545761082999E-2</v>
      </c>
      <c r="AN126" s="30"/>
      <c r="AO126" s="32">
        <v>-8.0953254137937098E-3</v>
      </c>
      <c r="AP126" s="30"/>
      <c r="AQ126" s="32">
        <v>-2.9921897317495201E-3</v>
      </c>
      <c r="AR126" s="30"/>
      <c r="AS126" s="32">
        <v>3.60404257690137E-3</v>
      </c>
      <c r="AT126" s="30"/>
      <c r="AU126" s="32">
        <v>3.4960351969831799E-2</v>
      </c>
      <c r="AV126" s="30"/>
      <c r="AW126" s="32">
        <v>1.3239278182404699E-2</v>
      </c>
      <c r="AX126" s="30"/>
      <c r="AY126" s="32">
        <v>2.17210737874271E-2</v>
      </c>
      <c r="AZ126" s="30"/>
      <c r="BA126" s="32">
        <v>2.12297641465026E-2</v>
      </c>
      <c r="BB126" s="30"/>
      <c r="BC126" s="32">
        <v>6.1185284515184095E-4</v>
      </c>
      <c r="BD126" s="30"/>
      <c r="BE126" s="32"/>
      <c r="BF126" s="30"/>
    </row>
    <row r="127" spans="1:58" x14ac:dyDescent="0.2">
      <c r="A127" s="28">
        <v>2008</v>
      </c>
      <c r="B127" s="28">
        <v>4</v>
      </c>
      <c r="C127" s="32"/>
      <c r="D127" s="30"/>
      <c r="E127" s="32">
        <v>3.2994440125772101E-2</v>
      </c>
      <c r="F127" s="30"/>
      <c r="G127" s="32">
        <v>6.7405658243326902E-3</v>
      </c>
      <c r="H127" s="30"/>
      <c r="I127" s="32">
        <v>5.4817341594624496E-3</v>
      </c>
      <c r="J127" s="30"/>
      <c r="K127" s="32">
        <v>1.25883166487024E-3</v>
      </c>
      <c r="L127" s="30"/>
      <c r="M127" s="32">
        <v>2.6253874301439401E-2</v>
      </c>
      <c r="N127" s="30"/>
      <c r="O127" s="32">
        <v>-7.9686961367762005E-3</v>
      </c>
      <c r="P127" s="30"/>
      <c r="Q127" s="32">
        <v>-2.4922042250458002E-4</v>
      </c>
      <c r="R127" s="30"/>
      <c r="S127" s="32">
        <v>-7.7194757142716201E-3</v>
      </c>
      <c r="T127" s="30"/>
      <c r="U127" s="32">
        <v>1.36403756787606E-2</v>
      </c>
      <c r="V127" s="30"/>
      <c r="W127" s="32">
        <v>2.0582194759455101E-2</v>
      </c>
      <c r="X127" s="30"/>
      <c r="Y127" s="32">
        <v>-3.0851131254128999E-2</v>
      </c>
      <c r="Z127" s="30"/>
      <c r="AA127" s="32">
        <v>-3.5033923136759898E-3</v>
      </c>
      <c r="AB127" s="30"/>
      <c r="AC127" s="32">
        <v>-9.6155611882266299E-4</v>
      </c>
      <c r="AD127" s="30"/>
      <c r="AE127" s="32">
        <v>-1.66574067078612E-2</v>
      </c>
      <c r="AF127" s="30"/>
      <c r="AG127" s="32">
        <v>-1.9177073719655598E-2</v>
      </c>
      <c r="AH127" s="30"/>
      <c r="AI127" s="32">
        <v>-2.5418361948533301E-3</v>
      </c>
      <c r="AJ127" s="30"/>
      <c r="AK127" s="32">
        <v>-2.7347738940453E-2</v>
      </c>
      <c r="AL127" s="30"/>
      <c r="AM127" s="32">
        <v>-2.3767913192720602E-2</v>
      </c>
      <c r="AN127" s="30"/>
      <c r="AO127" s="32">
        <v>1.8105966736617699E-2</v>
      </c>
      <c r="AP127" s="30"/>
      <c r="AQ127" s="32">
        <v>1.6080193990053102E-2</v>
      </c>
      <c r="AR127" s="30"/>
      <c r="AS127" s="32">
        <v>-3.5798257477323899E-3</v>
      </c>
      <c r="AT127" s="30"/>
      <c r="AU127" s="32">
        <v>-2.39974350494381E-2</v>
      </c>
      <c r="AV127" s="30"/>
      <c r="AW127" s="32">
        <v>-1.2281303124435101E-3</v>
      </c>
      <c r="AX127" s="30"/>
      <c r="AY127" s="32">
        <v>-2.2769304736994601E-2</v>
      </c>
      <c r="AZ127" s="30"/>
      <c r="BA127" s="32">
        <v>-2.0227468542141299E-2</v>
      </c>
      <c r="BB127" s="30"/>
      <c r="BC127" s="32">
        <v>1.25003682423207E-2</v>
      </c>
      <c r="BD127" s="30"/>
      <c r="BE127" s="32"/>
      <c r="BF127" s="30"/>
    </row>
    <row r="128" spans="1:58" x14ac:dyDescent="0.2">
      <c r="A128" s="28">
        <v>2009</v>
      </c>
      <c r="B128" s="28">
        <v>1</v>
      </c>
      <c r="C128" s="32"/>
      <c r="D128" s="30"/>
      <c r="E128" s="32">
        <v>6.89464516151444E-2</v>
      </c>
      <c r="F128" s="30"/>
      <c r="G128" s="32">
        <v>9.4264632558516397E-3</v>
      </c>
      <c r="H128" s="30"/>
      <c r="I128" s="32">
        <v>7.5474238865918097E-3</v>
      </c>
      <c r="J128" s="30"/>
      <c r="K128" s="32">
        <v>1.8790393692598201E-3</v>
      </c>
      <c r="L128" s="30"/>
      <c r="M128" s="32">
        <v>5.95199883592928E-2</v>
      </c>
      <c r="N128" s="30"/>
      <c r="O128" s="32">
        <v>-1.73846177597233E-2</v>
      </c>
      <c r="P128" s="30"/>
      <c r="Q128" s="32">
        <v>-2.5398239122789799E-5</v>
      </c>
      <c r="R128" s="30"/>
      <c r="S128" s="32">
        <v>-1.7359219520600499E-2</v>
      </c>
      <c r="T128" s="30"/>
      <c r="U128" s="32">
        <v>1.8302526716231299E-2</v>
      </c>
      <c r="V128" s="30"/>
      <c r="W128" s="32">
        <v>5.86020794027848E-2</v>
      </c>
      <c r="X128" s="30"/>
      <c r="Y128" s="32">
        <v>-8.97268128297731E-2</v>
      </c>
      <c r="Z128" s="30"/>
      <c r="AA128" s="32">
        <v>-6.8139744443856495E-2</v>
      </c>
      <c r="AB128" s="30"/>
      <c r="AC128" s="32">
        <v>-5.7496291148832299E-2</v>
      </c>
      <c r="AD128" s="30"/>
      <c r="AE128" s="32">
        <v>-2.6565596282354099E-2</v>
      </c>
      <c r="AF128" s="30"/>
      <c r="AG128" s="32">
        <v>-3.80676608693888E-2</v>
      </c>
      <c r="AH128" s="30"/>
      <c r="AI128" s="32">
        <v>-1.06434532950241E-2</v>
      </c>
      <c r="AJ128" s="30"/>
      <c r="AK128" s="32">
        <v>-2.1587068385916602E-2</v>
      </c>
      <c r="AL128" s="30"/>
      <c r="AM128" s="32">
        <v>-1.3330840513376E-2</v>
      </c>
      <c r="AN128" s="30"/>
      <c r="AO128" s="32">
        <v>1.02391242039206E-2</v>
      </c>
      <c r="AP128" s="30"/>
      <c r="AQ128" s="32">
        <v>1.22057429850968E-2</v>
      </c>
      <c r="AR128" s="30"/>
      <c r="AS128" s="32">
        <v>-8.2562278725406106E-3</v>
      </c>
      <c r="AT128" s="30"/>
      <c r="AU128" s="32">
        <v>-4.3032403043416198E-2</v>
      </c>
      <c r="AV128" s="30"/>
      <c r="AW128" s="32">
        <v>-7.9581545038716998E-3</v>
      </c>
      <c r="AX128" s="30"/>
      <c r="AY128" s="32">
        <v>-3.5074248539544502E-2</v>
      </c>
      <c r="AZ128" s="30"/>
      <c r="BA128" s="32">
        <v>-2.4430795244520399E-2</v>
      </c>
      <c r="BB128" s="30"/>
      <c r="BC128" s="32">
        <v>3.9495151125562402E-3</v>
      </c>
      <c r="BD128" s="30"/>
      <c r="BE128" s="32"/>
      <c r="BF128" s="30"/>
    </row>
    <row r="129" spans="1:58" x14ac:dyDescent="0.2">
      <c r="A129" s="28">
        <v>2009</v>
      </c>
      <c r="B129" s="28">
        <v>2</v>
      </c>
      <c r="C129" s="32"/>
      <c r="D129" s="30"/>
      <c r="E129" s="32">
        <v>2.42913255048888E-2</v>
      </c>
      <c r="F129" s="30"/>
      <c r="G129" s="32">
        <v>8.2281558436304407E-3</v>
      </c>
      <c r="H129" s="30"/>
      <c r="I129" s="32">
        <v>5.8943531525726296E-3</v>
      </c>
      <c r="J129" s="30"/>
      <c r="K129" s="32">
        <v>2.3338026910578102E-3</v>
      </c>
      <c r="L129" s="30"/>
      <c r="M129" s="32">
        <v>1.60631696612583E-2</v>
      </c>
      <c r="N129" s="30"/>
      <c r="O129" s="32">
        <v>-2.7533565619035E-2</v>
      </c>
      <c r="P129" s="30"/>
      <c r="Q129" s="32">
        <v>2.0569064463321898E-3</v>
      </c>
      <c r="R129" s="30"/>
      <c r="S129" s="32">
        <v>-2.9590472065367201E-2</v>
      </c>
      <c r="T129" s="30"/>
      <c r="U129" s="32">
        <v>2.72548005235554E-2</v>
      </c>
      <c r="V129" s="30"/>
      <c r="W129" s="32">
        <v>1.63419347567379E-2</v>
      </c>
      <c r="X129" s="30"/>
      <c r="Y129" s="32">
        <v>-5.7432381801971799E-2</v>
      </c>
      <c r="Z129" s="30"/>
      <c r="AA129" s="32">
        <v>-8.4084009247801295E-2</v>
      </c>
      <c r="AB129" s="30"/>
      <c r="AC129" s="32">
        <v>-7.7709000060460595E-2</v>
      </c>
      <c r="AD129" s="30"/>
      <c r="AE129" s="32">
        <v>-6.9050091732030999E-2</v>
      </c>
      <c r="AF129" s="30"/>
      <c r="AG129" s="32">
        <v>-6.5350091590642007E-2</v>
      </c>
      <c r="AH129" s="30"/>
      <c r="AI129" s="32">
        <v>-6.3750091873407801E-3</v>
      </c>
      <c r="AJ129" s="30"/>
      <c r="AK129" s="32">
        <v>2.66516274458296E-2</v>
      </c>
      <c r="AL129" s="30"/>
      <c r="AM129" s="32">
        <v>3.4635745296725702E-2</v>
      </c>
      <c r="AN129" s="30"/>
      <c r="AO129" s="32">
        <v>4.2837068220736803E-2</v>
      </c>
      <c r="AP129" s="30"/>
      <c r="AQ129" s="32">
        <v>4.11969580936771E-2</v>
      </c>
      <c r="AR129" s="30"/>
      <c r="AS129" s="32">
        <v>-7.9841178508960695E-3</v>
      </c>
      <c r="AT129" s="30"/>
      <c r="AU129" s="32">
        <v>-9.3608697063419399E-2</v>
      </c>
      <c r="AV129" s="30"/>
      <c r="AW129" s="32">
        <v>-1.9305409775404601E-2</v>
      </c>
      <c r="AX129" s="30"/>
      <c r="AY129" s="32">
        <v>-7.4303287288014802E-2</v>
      </c>
      <c r="AZ129" s="30"/>
      <c r="BA129" s="32">
        <v>-6.7928278100674006E-2</v>
      </c>
      <c r="BB129" s="30"/>
      <c r="BC129" s="32">
        <v>3.3212840242780997E-2</v>
      </c>
      <c r="BD129" s="30"/>
      <c r="BE129" s="32"/>
      <c r="BF129" s="30"/>
    </row>
    <row r="130" spans="1:58" x14ac:dyDescent="0.2">
      <c r="A130" s="28">
        <v>2009</v>
      </c>
      <c r="B130" s="28">
        <v>3</v>
      </c>
      <c r="C130" s="32"/>
      <c r="D130" s="30"/>
      <c r="E130" s="32">
        <v>2.7368992058269499E-2</v>
      </c>
      <c r="F130" s="30"/>
      <c r="G130" s="32">
        <v>8.5287528278705609E-3</v>
      </c>
      <c r="H130" s="30"/>
      <c r="I130" s="32">
        <v>5.3825718620011103E-3</v>
      </c>
      <c r="J130" s="30"/>
      <c r="K130" s="32">
        <v>3.1461809658694501E-3</v>
      </c>
      <c r="L130" s="30"/>
      <c r="M130" s="32">
        <v>1.8840239230399E-2</v>
      </c>
      <c r="N130" s="30"/>
      <c r="O130" s="32">
        <v>-1.6318273552465699E-2</v>
      </c>
      <c r="P130" s="30"/>
      <c r="Q130" s="32">
        <v>5.1360777737800099E-3</v>
      </c>
      <c r="R130" s="30"/>
      <c r="S130" s="32">
        <v>-2.1454351326245701E-2</v>
      </c>
      <c r="T130" s="30"/>
      <c r="U130" s="32">
        <v>-5.4230029467500296E-3</v>
      </c>
      <c r="V130" s="30"/>
      <c r="W130" s="32">
        <v>4.0581515729614701E-2</v>
      </c>
      <c r="X130" s="30"/>
      <c r="Y130" s="32">
        <v>-5.2964860197601403E-2</v>
      </c>
      <c r="Z130" s="30"/>
      <c r="AA130" s="32">
        <v>-7.7817245779618599E-2</v>
      </c>
      <c r="AB130" s="30"/>
      <c r="AC130" s="32">
        <v>-7.8779803985610297E-2</v>
      </c>
      <c r="AD130" s="30"/>
      <c r="AE130" s="32">
        <v>-3.4096463970479503E-2</v>
      </c>
      <c r="AF130" s="30"/>
      <c r="AG130" s="32">
        <v>-3.6979393242422498E-2</v>
      </c>
      <c r="AH130" s="30"/>
      <c r="AI130" s="32">
        <v>9.6255820599167605E-4</v>
      </c>
      <c r="AJ130" s="30"/>
      <c r="AK130" s="32">
        <v>2.4852385582017199E-2</v>
      </c>
      <c r="AL130" s="30"/>
      <c r="AM130" s="32">
        <v>3.3749635230163E-2</v>
      </c>
      <c r="AN130" s="30"/>
      <c r="AO130" s="32">
        <v>2.89764621744369E-2</v>
      </c>
      <c r="AP130" s="30"/>
      <c r="AQ130" s="32">
        <v>2.48346592705815E-2</v>
      </c>
      <c r="AR130" s="30"/>
      <c r="AS130" s="32">
        <v>-8.8972496481458108E-3</v>
      </c>
      <c r="AT130" s="30"/>
      <c r="AU130" s="32">
        <v>-3.61102748150176E-2</v>
      </c>
      <c r="AV130" s="30"/>
      <c r="AW130" s="32">
        <v>-7.7895207245951099E-3</v>
      </c>
      <c r="AX130" s="30"/>
      <c r="AY130" s="32">
        <v>-2.8320754090422499E-2</v>
      </c>
      <c r="AZ130" s="30"/>
      <c r="BA130" s="32">
        <v>-2.92833122964141E-2</v>
      </c>
      <c r="BB130" s="30"/>
      <c r="BC130" s="32">
        <v>1.59374096224357E-2</v>
      </c>
      <c r="BD130" s="30"/>
      <c r="BE130" s="32"/>
      <c r="BF130" s="30"/>
    </row>
    <row r="131" spans="1:58" x14ac:dyDescent="0.2">
      <c r="A131" s="28">
        <v>2009</v>
      </c>
      <c r="B131" s="28">
        <v>4</v>
      </c>
      <c r="C131" s="32"/>
      <c r="D131" s="30"/>
      <c r="E131" s="32">
        <v>-4.1630960183988701E-2</v>
      </c>
      <c r="F131" s="30"/>
      <c r="G131" s="32">
        <v>1.37986336152774E-2</v>
      </c>
      <c r="H131" s="30"/>
      <c r="I131" s="32">
        <v>1.1008191762826299E-2</v>
      </c>
      <c r="J131" s="30"/>
      <c r="K131" s="32">
        <v>2.7904418524511399E-3</v>
      </c>
      <c r="L131" s="30"/>
      <c r="M131" s="32">
        <v>-5.5429593799266097E-2</v>
      </c>
      <c r="N131" s="30"/>
      <c r="O131" s="32">
        <v>-1.0774648979249599E-2</v>
      </c>
      <c r="P131" s="30"/>
      <c r="Q131" s="32">
        <v>2.9817030866308302E-3</v>
      </c>
      <c r="R131" s="30"/>
      <c r="S131" s="32">
        <v>-1.37563520658804E-2</v>
      </c>
      <c r="T131" s="30"/>
      <c r="U131" s="32">
        <v>-2.5086954477678201E-2</v>
      </c>
      <c r="V131" s="30"/>
      <c r="W131" s="32">
        <v>-1.95679903423383E-2</v>
      </c>
      <c r="X131" s="30"/>
      <c r="Y131" s="32">
        <v>4.3669409753260197E-2</v>
      </c>
      <c r="Z131" s="30"/>
      <c r="AA131" s="32">
        <v>1.9569524207984901E-2</v>
      </c>
      <c r="AB131" s="30"/>
      <c r="AC131" s="32">
        <v>2.3311654357667501E-2</v>
      </c>
      <c r="AD131" s="30"/>
      <c r="AE131" s="32">
        <v>1.9112651294001599E-2</v>
      </c>
      <c r="AF131" s="30"/>
      <c r="AG131" s="32">
        <v>-2.2346060576283202E-3</v>
      </c>
      <c r="AH131" s="30"/>
      <c r="AI131" s="32">
        <v>-3.7421301496825899E-3</v>
      </c>
      <c r="AJ131" s="30"/>
      <c r="AK131" s="32">
        <v>2.4099885545275299E-2</v>
      </c>
      <c r="AL131" s="30"/>
      <c r="AM131" s="32">
        <v>3.1387522976643503E-2</v>
      </c>
      <c r="AN131" s="30"/>
      <c r="AO131" s="32">
        <v>1.1122412804665799E-2</v>
      </c>
      <c r="AP131" s="30"/>
      <c r="AQ131" s="32">
        <v>1.08027027969446E-2</v>
      </c>
      <c r="AR131" s="30"/>
      <c r="AS131" s="32">
        <v>-7.2876374313681604E-3</v>
      </c>
      <c r="AT131" s="30"/>
      <c r="AU131" s="32">
        <v>2.36103386813733E-2</v>
      </c>
      <c r="AV131" s="30"/>
      <c r="AW131" s="32">
        <v>3.0239846360277899E-3</v>
      </c>
      <c r="AX131" s="30"/>
      <c r="AY131" s="32">
        <v>2.05863540453456E-2</v>
      </c>
      <c r="AZ131" s="30"/>
      <c r="BA131" s="32">
        <v>2.4328484195028099E-2</v>
      </c>
      <c r="BB131" s="30"/>
      <c r="BC131" s="32">
        <v>3.5150653655763998E-3</v>
      </c>
      <c r="BD131" s="30"/>
      <c r="BE131" s="32"/>
      <c r="BF131" s="30"/>
    </row>
    <row r="132" spans="1:58" x14ac:dyDescent="0.2">
      <c r="A132" s="28">
        <v>2010</v>
      </c>
      <c r="B132" s="28">
        <v>1</v>
      </c>
      <c r="C132" s="32"/>
      <c r="D132" s="30"/>
      <c r="E132" s="32">
        <v>-9.17530923165263E-2</v>
      </c>
      <c r="F132" s="30"/>
      <c r="G132" s="32">
        <v>9.2751468419547001E-3</v>
      </c>
      <c r="H132" s="30"/>
      <c r="I132" s="32">
        <v>8.7441297301506394E-3</v>
      </c>
      <c r="J132" s="30"/>
      <c r="K132" s="32">
        <v>5.3101711180405901E-4</v>
      </c>
      <c r="L132" s="30"/>
      <c r="M132" s="32">
        <v>-0.101028239158481</v>
      </c>
      <c r="N132" s="30"/>
      <c r="O132" s="32">
        <v>4.7222868731523898E-3</v>
      </c>
      <c r="P132" s="30"/>
      <c r="Q132" s="32">
        <v>2.6422142372096399E-3</v>
      </c>
      <c r="R132" s="30"/>
      <c r="S132" s="32">
        <v>2.0800726359427499E-3</v>
      </c>
      <c r="T132" s="30"/>
      <c r="U132" s="32">
        <v>-1.2305201874909799E-3</v>
      </c>
      <c r="V132" s="30"/>
      <c r="W132" s="32">
        <v>-0.10452000584414201</v>
      </c>
      <c r="X132" s="30"/>
      <c r="Y132" s="32">
        <v>0.123133517681591</v>
      </c>
      <c r="Z132" s="30"/>
      <c r="AA132" s="32">
        <v>9.7422471208883005E-2</v>
      </c>
      <c r="AB132" s="30"/>
      <c r="AC132" s="32">
        <v>9.1187977955695304E-2</v>
      </c>
      <c r="AD132" s="30"/>
      <c r="AE132" s="32">
        <v>2.8833574857260701E-2</v>
      </c>
      <c r="AF132" s="30"/>
      <c r="AG132" s="32">
        <v>2.4589337144379501E-2</v>
      </c>
      <c r="AH132" s="30"/>
      <c r="AI132" s="32">
        <v>6.2344932531876703E-3</v>
      </c>
      <c r="AJ132" s="30"/>
      <c r="AK132" s="32">
        <v>2.5711046472708301E-2</v>
      </c>
      <c r="AL132" s="30"/>
      <c r="AM132" s="32">
        <v>2.88533967959013E-2</v>
      </c>
      <c r="AN132" s="30"/>
      <c r="AO132" s="32">
        <v>-5.84213609657812E-3</v>
      </c>
      <c r="AP132" s="30"/>
      <c r="AQ132" s="32">
        <v>-6.5753295334144398E-3</v>
      </c>
      <c r="AR132" s="30"/>
      <c r="AS132" s="32">
        <v>-3.1423503231930998E-3</v>
      </c>
      <c r="AT132" s="30"/>
      <c r="AU132" s="32">
        <v>4.2328625409163399E-2</v>
      </c>
      <c r="AV132" s="30"/>
      <c r="AW132" s="32">
        <v>1.39974337151071E-2</v>
      </c>
      <c r="AX132" s="30"/>
      <c r="AY132" s="32">
        <v>2.8331191694056301E-2</v>
      </c>
      <c r="AZ132" s="30"/>
      <c r="BA132" s="32">
        <v>2.2096698440868701E-2</v>
      </c>
      <c r="BB132" s="30"/>
      <c r="BC132" s="32">
        <v>-9.7176798566075296E-3</v>
      </c>
      <c r="BD132" s="30"/>
      <c r="BE132" s="32"/>
      <c r="BF132" s="30"/>
    </row>
    <row r="133" spans="1:58" x14ac:dyDescent="0.2">
      <c r="A133" s="28">
        <v>2010</v>
      </c>
      <c r="B133" s="28">
        <v>2</v>
      </c>
      <c r="C133" s="32"/>
      <c r="D133" s="30"/>
      <c r="E133" s="32">
        <v>4.0656910988853802E-2</v>
      </c>
      <c r="F133" s="30"/>
      <c r="G133" s="32">
        <v>1.1290566891113201E-2</v>
      </c>
      <c r="H133" s="30"/>
      <c r="I133" s="32">
        <v>1.1599786238298699E-2</v>
      </c>
      <c r="J133" s="30"/>
      <c r="K133" s="32">
        <v>-3.0921934718553299E-4</v>
      </c>
      <c r="L133" s="30"/>
      <c r="M133" s="32">
        <v>2.9366344097740599E-2</v>
      </c>
      <c r="N133" s="30"/>
      <c r="O133" s="32">
        <v>1.3722818533093199E-2</v>
      </c>
      <c r="P133" s="30"/>
      <c r="Q133" s="32">
        <v>4.2578494166956599E-3</v>
      </c>
      <c r="R133" s="30"/>
      <c r="S133" s="32">
        <v>9.4649691163975602E-3</v>
      </c>
      <c r="T133" s="30"/>
      <c r="U133" s="32">
        <v>-1.90443569807401E-3</v>
      </c>
      <c r="V133" s="30"/>
      <c r="W133" s="32">
        <v>1.7547961262721401E-2</v>
      </c>
      <c r="X133" s="30"/>
      <c r="Y133" s="32">
        <v>-3.7737056168767901E-3</v>
      </c>
      <c r="Z133" s="30"/>
      <c r="AA133" s="32">
        <v>6.6820738535392096E-2</v>
      </c>
      <c r="AB133" s="30"/>
      <c r="AC133" s="32">
        <v>6.2348872404680303E-2</v>
      </c>
      <c r="AD133" s="30"/>
      <c r="AE133" s="32">
        <v>6.2158254553955898E-2</v>
      </c>
      <c r="AF133" s="30"/>
      <c r="AG133" s="32">
        <v>3.1249761583024199E-2</v>
      </c>
      <c r="AH133" s="30"/>
      <c r="AI133" s="32">
        <v>4.47186613071181E-3</v>
      </c>
      <c r="AJ133" s="30"/>
      <c r="AK133" s="32">
        <v>-7.0594444152268898E-2</v>
      </c>
      <c r="AL133" s="30"/>
      <c r="AM133" s="32">
        <v>-5.87686902952059E-2</v>
      </c>
      <c r="AN133" s="30"/>
      <c r="AO133" s="32">
        <v>-3.5116788627259102E-2</v>
      </c>
      <c r="AP133" s="30"/>
      <c r="AQ133" s="32">
        <v>-3.5967914505792703E-2</v>
      </c>
      <c r="AR133" s="30"/>
      <c r="AS133" s="32">
        <v>-1.1825753857063E-2</v>
      </c>
      <c r="AT133" s="30"/>
      <c r="AU133" s="32">
        <v>8.6581309432906706E-2</v>
      </c>
      <c r="AV133" s="30"/>
      <c r="AW133" s="32">
        <v>2.5013385424206398E-2</v>
      </c>
      <c r="AX133" s="30"/>
      <c r="AY133" s="32">
        <v>6.15679240087003E-2</v>
      </c>
      <c r="AZ133" s="30"/>
      <c r="BA133" s="32">
        <v>5.70960578779885E-2</v>
      </c>
      <c r="BB133" s="30"/>
      <c r="BC133" s="32">
        <v>-4.7793668362855701E-2</v>
      </c>
      <c r="BD133" s="30"/>
      <c r="BE133" s="32"/>
      <c r="BF133" s="30"/>
    </row>
    <row r="134" spans="1:58" x14ac:dyDescent="0.2">
      <c r="A134" s="28">
        <v>2010</v>
      </c>
      <c r="B134" s="28">
        <v>3</v>
      </c>
      <c r="C134" s="32"/>
      <c r="D134" s="30"/>
      <c r="E134" s="32">
        <v>4.01036679943323E-2</v>
      </c>
      <c r="F134" s="30"/>
      <c r="G134" s="32">
        <v>1.22042237870014E-2</v>
      </c>
      <c r="H134" s="30"/>
      <c r="I134" s="32">
        <v>1.2903631777470399E-2</v>
      </c>
      <c r="J134" s="30"/>
      <c r="K134" s="32">
        <v>-6.9940799046893905E-4</v>
      </c>
      <c r="L134" s="30"/>
      <c r="M134" s="32">
        <v>2.7899444207330901E-2</v>
      </c>
      <c r="N134" s="30"/>
      <c r="O134" s="32">
        <v>7.9824633231837007E-3</v>
      </c>
      <c r="P134" s="30"/>
      <c r="Q134" s="32">
        <v>1.8571884249520101E-3</v>
      </c>
      <c r="R134" s="30"/>
      <c r="S134" s="32">
        <v>6.1252748982316904E-3</v>
      </c>
      <c r="T134" s="30"/>
      <c r="U134" s="32">
        <v>3.93563113512468E-2</v>
      </c>
      <c r="V134" s="30"/>
      <c r="W134" s="32">
        <v>-1.94393304670996E-2</v>
      </c>
      <c r="X134" s="30"/>
      <c r="Y134" s="32">
        <v>-1.04588789875266E-2</v>
      </c>
      <c r="Z134" s="30"/>
      <c r="AA134" s="32">
        <v>4.7628740791815498E-2</v>
      </c>
      <c r="AB134" s="30"/>
      <c r="AC134" s="32">
        <v>5.1094807726652897E-2</v>
      </c>
      <c r="AD134" s="30"/>
      <c r="AE134" s="32">
        <v>1.7601850700044799E-2</v>
      </c>
      <c r="AF134" s="30"/>
      <c r="AG134" s="32">
        <v>2.5284572537226501E-2</v>
      </c>
      <c r="AH134" s="30"/>
      <c r="AI134" s="32">
        <v>-3.4660669348373701E-3</v>
      </c>
      <c r="AJ134" s="30"/>
      <c r="AK134" s="32">
        <v>-5.8087619779342202E-2</v>
      </c>
      <c r="AL134" s="30"/>
      <c r="AM134" s="32">
        <v>-4.3119439727551598E-2</v>
      </c>
      <c r="AN134" s="30"/>
      <c r="AO134" s="32">
        <v>-2.9607918903174699E-2</v>
      </c>
      <c r="AP134" s="30"/>
      <c r="AQ134" s="32">
        <v>-2.9247662610005401E-2</v>
      </c>
      <c r="AR134" s="30"/>
      <c r="AS134" s="32">
        <v>-1.49681800517905E-2</v>
      </c>
      <c r="AT134" s="30"/>
      <c r="AU134" s="32">
        <v>3.45043203173548E-2</v>
      </c>
      <c r="AV134" s="30"/>
      <c r="AW134" s="32">
        <v>2.01866871101852E-2</v>
      </c>
      <c r="AX134" s="30"/>
      <c r="AY134" s="32">
        <v>1.4317633207169601E-2</v>
      </c>
      <c r="AZ134" s="30"/>
      <c r="BA134" s="32">
        <v>1.7783700142006999E-2</v>
      </c>
      <c r="BB134" s="30"/>
      <c r="BC134" s="32">
        <v>-4.4215842661795901E-2</v>
      </c>
      <c r="BD134" s="30"/>
      <c r="BE134" s="32"/>
      <c r="BF134" s="30"/>
    </row>
    <row r="135" spans="1:58" x14ac:dyDescent="0.2">
      <c r="A135" s="28">
        <v>2010</v>
      </c>
      <c r="B135" s="28">
        <v>4</v>
      </c>
      <c r="C135" s="32"/>
      <c r="D135" s="30"/>
      <c r="E135" s="32">
        <v>1.2757751727780301E-2</v>
      </c>
      <c r="F135" s="30"/>
      <c r="G135" s="32">
        <v>9.9074373911572696E-3</v>
      </c>
      <c r="H135" s="30"/>
      <c r="I135" s="32">
        <v>1.0355853548484799E-2</v>
      </c>
      <c r="J135" s="30"/>
      <c r="K135" s="32">
        <v>-4.4841615732749103E-4</v>
      </c>
      <c r="L135" s="30"/>
      <c r="M135" s="32">
        <v>2.8503143366230299E-3</v>
      </c>
      <c r="N135" s="30"/>
      <c r="O135" s="32">
        <v>1.25395081844639E-2</v>
      </c>
      <c r="P135" s="30"/>
      <c r="Q135" s="32">
        <v>3.6743942885795701E-3</v>
      </c>
      <c r="R135" s="30"/>
      <c r="S135" s="32">
        <v>8.8651138958842808E-3</v>
      </c>
      <c r="T135" s="30"/>
      <c r="U135" s="32">
        <v>3.1307899507028E-3</v>
      </c>
      <c r="V135" s="30"/>
      <c r="W135" s="32">
        <v>-1.2819983798543599E-2</v>
      </c>
      <c r="X135" s="30"/>
      <c r="Y135" s="32">
        <v>1.9773908869734701E-2</v>
      </c>
      <c r="Z135" s="30"/>
      <c r="AA135" s="32">
        <v>7.7912674266766804E-2</v>
      </c>
      <c r="AB135" s="30"/>
      <c r="AC135" s="32">
        <v>7.5564014664197904E-2</v>
      </c>
      <c r="AD135" s="30"/>
      <c r="AE135" s="32">
        <v>4.9904863909335698E-2</v>
      </c>
      <c r="AF135" s="30"/>
      <c r="AG135" s="32">
        <v>2.6328606114861101E-2</v>
      </c>
      <c r="AH135" s="30"/>
      <c r="AI135" s="32">
        <v>2.3486596025689499E-3</v>
      </c>
      <c r="AJ135" s="30"/>
      <c r="AK135" s="32">
        <v>-5.8138765397032097E-2</v>
      </c>
      <c r="AL135" s="30"/>
      <c r="AM135" s="32">
        <v>-4.5588111155122998E-2</v>
      </c>
      <c r="AN135" s="30"/>
      <c r="AO135" s="32">
        <v>-3.3251677468325198E-2</v>
      </c>
      <c r="AP135" s="30"/>
      <c r="AQ135" s="32">
        <v>-3.1777210496388902E-2</v>
      </c>
      <c r="AR135" s="30"/>
      <c r="AS135" s="32">
        <v>-1.2550654241909201E-2</v>
      </c>
      <c r="AT135" s="30"/>
      <c r="AU135" s="32">
        <v>7.3728735385110294E-2</v>
      </c>
      <c r="AV135" s="30"/>
      <c r="AW135" s="32">
        <v>2.2446945575621099E-2</v>
      </c>
      <c r="AX135" s="30"/>
      <c r="AY135" s="32">
        <v>5.1281789809489102E-2</v>
      </c>
      <c r="AZ135" s="30"/>
      <c r="BA135" s="32">
        <v>4.8933130206920201E-2</v>
      </c>
      <c r="BB135" s="30"/>
      <c r="BC135" s="32">
        <v>-4.4327864738298098E-2</v>
      </c>
      <c r="BD135" s="30"/>
      <c r="BE135" s="32"/>
      <c r="BF135" s="30"/>
    </row>
    <row r="136" spans="1:58" x14ac:dyDescent="0.2">
      <c r="A136" s="28">
        <v>2011</v>
      </c>
      <c r="B136" s="28">
        <v>1</v>
      </c>
      <c r="C136" s="32"/>
      <c r="D136" s="30"/>
      <c r="E136" s="32">
        <v>2.0964020614782398E-2</v>
      </c>
      <c r="F136" s="30"/>
      <c r="G136" s="32">
        <v>8.7753544413248005E-3</v>
      </c>
      <c r="H136" s="30"/>
      <c r="I136" s="32">
        <v>8.50403392485332E-3</v>
      </c>
      <c r="J136" s="30"/>
      <c r="K136" s="32">
        <v>2.7132051647147997E-4</v>
      </c>
      <c r="L136" s="30"/>
      <c r="M136" s="32">
        <v>1.21886661734576E-2</v>
      </c>
      <c r="N136" s="30"/>
      <c r="O136" s="32">
        <v>1.08913413218559E-2</v>
      </c>
      <c r="P136" s="30"/>
      <c r="Q136" s="32">
        <v>3.6096467203393301E-3</v>
      </c>
      <c r="R136" s="30"/>
      <c r="S136" s="32">
        <v>7.2816946015165501E-3</v>
      </c>
      <c r="T136" s="30"/>
      <c r="U136" s="32">
        <v>-3.0512221994133702E-2</v>
      </c>
      <c r="V136" s="30"/>
      <c r="W136" s="32">
        <v>3.1809546845735399E-2</v>
      </c>
      <c r="X136" s="30"/>
      <c r="Y136" s="32">
        <v>2.0103009920301798E-3</v>
      </c>
      <c r="Z136" s="30"/>
      <c r="AA136" s="32">
        <v>7.7159683704634302E-2</v>
      </c>
      <c r="AB136" s="30"/>
      <c r="AC136" s="32">
        <v>7.5902182354456393E-2</v>
      </c>
      <c r="AD136" s="30"/>
      <c r="AE136" s="32">
        <v>6.7427705596432394E-2</v>
      </c>
      <c r="AF136" s="30"/>
      <c r="AG136" s="32">
        <v>2.9976405270177801E-2</v>
      </c>
      <c r="AH136" s="30"/>
      <c r="AI136" s="32">
        <v>1.2575013501779E-3</v>
      </c>
      <c r="AJ136" s="30"/>
      <c r="AK136" s="32">
        <v>-7.5149382712604101E-2</v>
      </c>
      <c r="AL136" s="30"/>
      <c r="AM136" s="32">
        <v>-5.9167513742657003E-2</v>
      </c>
      <c r="AN136" s="30"/>
      <c r="AO136" s="32">
        <v>-2.23141087636737E-2</v>
      </c>
      <c r="AP136" s="30"/>
      <c r="AQ136" s="32">
        <v>-2.3445936020213502E-2</v>
      </c>
      <c r="AR136" s="30"/>
      <c r="AS136" s="32">
        <v>-1.5981868969947001E-2</v>
      </c>
      <c r="AT136" s="30"/>
      <c r="AU136" s="32">
        <v>9.2914348591106796E-2</v>
      </c>
      <c r="AV136" s="30"/>
      <c r="AW136" s="32">
        <v>1.9666695763180701E-2</v>
      </c>
      <c r="AX136" s="30"/>
      <c r="AY136" s="32">
        <v>7.3247652827926099E-2</v>
      </c>
      <c r="AZ136" s="30"/>
      <c r="BA136" s="32">
        <v>7.1990151477748204E-2</v>
      </c>
      <c r="BB136" s="30"/>
      <c r="BC136" s="32">
        <v>-3.9427804990160499E-2</v>
      </c>
      <c r="BD136" s="30"/>
      <c r="BE136" s="32"/>
      <c r="BF136" s="30"/>
    </row>
    <row r="137" spans="1:58" x14ac:dyDescent="0.2">
      <c r="A137" s="28">
        <v>2011</v>
      </c>
      <c r="B137" s="28">
        <v>2</v>
      </c>
      <c r="C137" s="32"/>
      <c r="D137" s="30"/>
      <c r="E137" s="32">
        <v>-2.9367129998505602E-3</v>
      </c>
      <c r="F137" s="30"/>
      <c r="G137" s="32">
        <v>1.03996729774203E-2</v>
      </c>
      <c r="H137" s="30"/>
      <c r="I137" s="32">
        <v>9.2023525403992397E-3</v>
      </c>
      <c r="J137" s="30"/>
      <c r="K137" s="32">
        <v>1.1973204370211001E-3</v>
      </c>
      <c r="L137" s="30"/>
      <c r="M137" s="32">
        <v>-1.3336385977270901E-2</v>
      </c>
      <c r="N137" s="30"/>
      <c r="O137" s="32">
        <v>4.2357091345525998E-3</v>
      </c>
      <c r="P137" s="30"/>
      <c r="Q137" s="32">
        <v>2.63607443859507E-3</v>
      </c>
      <c r="R137" s="30"/>
      <c r="S137" s="32">
        <v>1.5996346959575301E-3</v>
      </c>
      <c r="T137" s="30"/>
      <c r="U137" s="32">
        <v>1.28029285102576E-3</v>
      </c>
      <c r="V137" s="30"/>
      <c r="W137" s="32">
        <v>-1.8852387962849299E-2</v>
      </c>
      <c r="X137" s="30"/>
      <c r="Y137" s="32">
        <v>2.3570359669459699E-2</v>
      </c>
      <c r="Z137" s="30"/>
      <c r="AA137" s="32">
        <v>4.8753182533035101E-2</v>
      </c>
      <c r="AB137" s="30"/>
      <c r="AC137" s="32">
        <v>5.2314183394277701E-2</v>
      </c>
      <c r="AD137" s="30"/>
      <c r="AE137" s="32">
        <v>2.4217052459900901E-2</v>
      </c>
      <c r="AF137" s="30"/>
      <c r="AG137" s="32">
        <v>2.72235484673354E-2</v>
      </c>
      <c r="AH137" s="30"/>
      <c r="AI137" s="32">
        <v>-3.5610008612425798E-3</v>
      </c>
      <c r="AJ137" s="30"/>
      <c r="AK137" s="32">
        <v>-2.5182822863575399E-2</v>
      </c>
      <c r="AL137" s="30"/>
      <c r="AM137" s="32">
        <v>-1.51794589893951E-2</v>
      </c>
      <c r="AN137" s="30"/>
      <c r="AO137" s="32">
        <v>-1.2221110230572801E-2</v>
      </c>
      <c r="AP137" s="30"/>
      <c r="AQ137" s="32">
        <v>-7.8282626820663295E-3</v>
      </c>
      <c r="AR137" s="30"/>
      <c r="AS137" s="32">
        <v>-1.0003363874180399E-2</v>
      </c>
      <c r="AT137" s="30"/>
      <c r="AU137" s="32">
        <v>3.718498037483E-2</v>
      </c>
      <c r="AV137" s="30"/>
      <c r="AW137" s="32">
        <v>1.46353821119729E-2</v>
      </c>
      <c r="AX137" s="30"/>
      <c r="AY137" s="32">
        <v>2.2549598262857101E-2</v>
      </c>
      <c r="AZ137" s="30"/>
      <c r="BA137" s="32">
        <v>2.6110599124099701E-2</v>
      </c>
      <c r="BB137" s="30"/>
      <c r="BC137" s="32">
        <v>-1.7831626556246701E-2</v>
      </c>
      <c r="BD137" s="30"/>
      <c r="BE137" s="32"/>
      <c r="BF137" s="30"/>
    </row>
    <row r="138" spans="1:58" x14ac:dyDescent="0.2">
      <c r="A138" s="28">
        <v>2011</v>
      </c>
      <c r="B138" s="28">
        <v>3</v>
      </c>
      <c r="C138" s="32"/>
      <c r="D138" s="30"/>
      <c r="E138" s="32">
        <v>4.8812871959487199E-2</v>
      </c>
      <c r="F138" s="30"/>
      <c r="G138" s="32">
        <v>5.5226546259623602E-3</v>
      </c>
      <c r="H138" s="30"/>
      <c r="I138" s="32">
        <v>4.4037389107249502E-3</v>
      </c>
      <c r="J138" s="30"/>
      <c r="K138" s="32">
        <v>1.1189157152374099E-3</v>
      </c>
      <c r="L138" s="30"/>
      <c r="M138" s="32">
        <v>4.3290217333524901E-2</v>
      </c>
      <c r="N138" s="30"/>
      <c r="O138" s="32">
        <v>2.9353802828651402E-3</v>
      </c>
      <c r="P138" s="30"/>
      <c r="Q138" s="32">
        <v>1.74698273108064E-3</v>
      </c>
      <c r="R138" s="30"/>
      <c r="S138" s="32">
        <v>1.1883975517844999E-3</v>
      </c>
      <c r="T138" s="30"/>
      <c r="U138" s="32">
        <v>2.5532118920667399E-2</v>
      </c>
      <c r="V138" s="30"/>
      <c r="W138" s="32">
        <v>1.48227181299923E-2</v>
      </c>
      <c r="X138" s="30"/>
      <c r="Y138" s="32">
        <v>-4.0092471782330198E-2</v>
      </c>
      <c r="Z138" s="30"/>
      <c r="AA138" s="32">
        <v>1.0531094816519799E-2</v>
      </c>
      <c r="AB138" s="30"/>
      <c r="AC138" s="32">
        <v>1.7042678043885599E-2</v>
      </c>
      <c r="AD138" s="30"/>
      <c r="AE138" s="32">
        <v>5.56988051324569E-3</v>
      </c>
      <c r="AF138" s="30"/>
      <c r="AG138" s="32">
        <v>1.3340054368472E-2</v>
      </c>
      <c r="AH138" s="30"/>
      <c r="AI138" s="32">
        <v>-6.5115832273657196E-3</v>
      </c>
      <c r="AJ138" s="30"/>
      <c r="AK138" s="32">
        <v>-5.0623566598849999E-2</v>
      </c>
      <c r="AL138" s="30"/>
      <c r="AM138" s="32">
        <v>-4.09690431443238E-2</v>
      </c>
      <c r="AN138" s="30"/>
      <c r="AO138" s="32">
        <v>-1.1684241553343799E-2</v>
      </c>
      <c r="AP138" s="30"/>
      <c r="AQ138" s="32">
        <v>-9.57882457131266E-3</v>
      </c>
      <c r="AR138" s="30"/>
      <c r="AS138" s="32">
        <v>-9.65452345452621E-3</v>
      </c>
      <c r="AT138" s="30"/>
      <c r="AU138" s="32">
        <v>2.4216292823284599E-3</v>
      </c>
      <c r="AV138" s="30"/>
      <c r="AW138" s="32">
        <v>8.4580349088274904E-3</v>
      </c>
      <c r="AX138" s="30"/>
      <c r="AY138" s="32">
        <v>-6.0364056264990296E-3</v>
      </c>
      <c r="AZ138" s="30"/>
      <c r="BA138" s="32">
        <v>4.7517760086668401E-4</v>
      </c>
      <c r="BB138" s="30"/>
      <c r="BC138" s="32">
        <v>-1.9233348025838901E-2</v>
      </c>
      <c r="BD138" s="30"/>
      <c r="BE138" s="32"/>
      <c r="BF138" s="30"/>
    </row>
    <row r="139" spans="1:58" x14ac:dyDescent="0.2">
      <c r="A139" s="28">
        <v>2011</v>
      </c>
      <c r="B139" s="28">
        <v>4</v>
      </c>
      <c r="C139" s="32"/>
      <c r="D139" s="30"/>
      <c r="E139" s="32">
        <v>8.7239369951399998E-2</v>
      </c>
      <c r="F139" s="30"/>
      <c r="G139" s="32">
        <v>1.0267621573124599E-2</v>
      </c>
      <c r="H139" s="30"/>
      <c r="I139" s="32">
        <v>9.7326878292744202E-3</v>
      </c>
      <c r="J139" s="30"/>
      <c r="K139" s="32">
        <v>5.3493374385018796E-4</v>
      </c>
      <c r="L139" s="30"/>
      <c r="M139" s="32">
        <v>7.6971748378275404E-2</v>
      </c>
      <c r="N139" s="30"/>
      <c r="O139" s="32">
        <v>4.3130588966218304E-3</v>
      </c>
      <c r="P139" s="30"/>
      <c r="Q139" s="32">
        <v>1.0961500558960701E-3</v>
      </c>
      <c r="R139" s="30"/>
      <c r="S139" s="32">
        <v>3.2169088407257599E-3</v>
      </c>
      <c r="T139" s="30"/>
      <c r="U139" s="32">
        <v>3.6582821391629897E-2</v>
      </c>
      <c r="V139" s="30"/>
      <c r="W139" s="32">
        <v>3.6075868090023597E-2</v>
      </c>
      <c r="X139" s="30"/>
      <c r="Y139" s="32">
        <v>-8.2729827910741099E-2</v>
      </c>
      <c r="Z139" s="30"/>
      <c r="AA139" s="32">
        <v>-2.80662835501038E-2</v>
      </c>
      <c r="AB139" s="30"/>
      <c r="AC139" s="32">
        <v>-2.7310467535929899E-2</v>
      </c>
      <c r="AD139" s="30"/>
      <c r="AE139" s="32">
        <v>-2.7226812075132799E-2</v>
      </c>
      <c r="AF139" s="30"/>
      <c r="AG139" s="32">
        <v>9.3887025252896907E-3</v>
      </c>
      <c r="AH139" s="30"/>
      <c r="AI139" s="32">
        <v>-7.55816014173944E-4</v>
      </c>
      <c r="AJ139" s="30"/>
      <c r="AK139" s="32">
        <v>-5.4663544360637299E-2</v>
      </c>
      <c r="AL139" s="30"/>
      <c r="AM139" s="32">
        <v>-3.9621623443752002E-2</v>
      </c>
      <c r="AN139" s="30"/>
      <c r="AO139" s="32">
        <v>-2.5379380059896901E-3</v>
      </c>
      <c r="AP139" s="30"/>
      <c r="AQ139" s="32">
        <v>-8.9279735735386305E-4</v>
      </c>
      <c r="AR139" s="30"/>
      <c r="AS139" s="32">
        <v>-1.5041920916885301E-2</v>
      </c>
      <c r="AT139" s="30"/>
      <c r="AU139" s="32">
        <v>-1.6138561076731801E-2</v>
      </c>
      <c r="AV139" s="30"/>
      <c r="AW139" s="32">
        <v>1.45806804697464E-2</v>
      </c>
      <c r="AX139" s="30"/>
      <c r="AY139" s="32">
        <v>-3.0719241546478301E-2</v>
      </c>
      <c r="AZ139" s="30"/>
      <c r="BA139" s="32">
        <v>-2.99634255323043E-2</v>
      </c>
      <c r="BB139" s="30"/>
      <c r="BC139" s="32">
        <v>-1.5934718274239201E-2</v>
      </c>
      <c r="BD139" s="30"/>
      <c r="BE139" s="32"/>
      <c r="BF139" s="30"/>
    </row>
    <row r="140" spans="1:58" x14ac:dyDescent="0.2">
      <c r="A140" s="28">
        <v>2012</v>
      </c>
      <c r="B140" s="28">
        <v>1</v>
      </c>
      <c r="C140" s="32"/>
      <c r="D140" s="30"/>
      <c r="E140" s="32">
        <v>5.2262039494430902E-2</v>
      </c>
      <c r="F140" s="30"/>
      <c r="G140" s="32">
        <v>1.4784170944735201E-2</v>
      </c>
      <c r="H140" s="30"/>
      <c r="I140" s="32">
        <v>1.4405166264205099E-2</v>
      </c>
      <c r="J140" s="30"/>
      <c r="K140" s="32">
        <v>3.79004680530109E-4</v>
      </c>
      <c r="L140" s="30"/>
      <c r="M140" s="32">
        <v>3.74778685496958E-2</v>
      </c>
      <c r="N140" s="30"/>
      <c r="O140" s="32">
        <v>7.2315301709790399E-3</v>
      </c>
      <c r="P140" s="30"/>
      <c r="Q140" s="32">
        <v>8.7094982991467798E-4</v>
      </c>
      <c r="R140" s="30"/>
      <c r="S140" s="32">
        <v>6.3605803410643601E-3</v>
      </c>
      <c r="T140" s="30"/>
      <c r="U140" s="32">
        <v>2.8031528113712598E-2</v>
      </c>
      <c r="V140" s="30"/>
      <c r="W140" s="32">
        <v>2.2148102650041E-3</v>
      </c>
      <c r="X140" s="30"/>
      <c r="Y140" s="32">
        <v>-4.3657964051279599E-2</v>
      </c>
      <c r="Z140" s="30"/>
      <c r="AA140" s="32">
        <v>-5.4024426068718601E-2</v>
      </c>
      <c r="AB140" s="30"/>
      <c r="AC140" s="32">
        <v>-6.05308815335064E-2</v>
      </c>
      <c r="AD140" s="30"/>
      <c r="AE140" s="32">
        <v>-3.1006473885420299E-2</v>
      </c>
      <c r="AF140" s="30"/>
      <c r="AG140" s="32">
        <v>2.29146102353182E-3</v>
      </c>
      <c r="AH140" s="30"/>
      <c r="AI140" s="32">
        <v>6.5064554647878397E-3</v>
      </c>
      <c r="AJ140" s="30"/>
      <c r="AK140" s="32">
        <v>1.0366462017439E-2</v>
      </c>
      <c r="AL140" s="30"/>
      <c r="AM140" s="32">
        <v>2.0784461625323401E-2</v>
      </c>
      <c r="AN140" s="30"/>
      <c r="AO140" s="32">
        <v>-7.0924474029993604E-3</v>
      </c>
      <c r="AP140" s="30"/>
      <c r="AQ140" s="32">
        <v>-7.2472465496335996E-3</v>
      </c>
      <c r="AR140" s="30"/>
      <c r="AS140" s="32">
        <v>-1.04179996078844E-2</v>
      </c>
      <c r="AT140" s="30"/>
      <c r="AU140" s="32">
        <v>-1.76220651304332E-3</v>
      </c>
      <c r="AV140" s="30"/>
      <c r="AW140" s="32">
        <v>2.2015701115714201E-2</v>
      </c>
      <c r="AX140" s="30"/>
      <c r="AY140" s="32">
        <v>-2.3777907628757498E-2</v>
      </c>
      <c r="AZ140" s="30"/>
      <c r="BA140" s="32">
        <v>-3.0284363093545399E-2</v>
      </c>
      <c r="BB140" s="30"/>
      <c r="BC140" s="32">
        <v>-1.7665246157518001E-2</v>
      </c>
      <c r="BD140" s="30"/>
      <c r="BE140" s="32"/>
      <c r="BF140" s="30"/>
    </row>
    <row r="141" spans="1:58" x14ac:dyDescent="0.2">
      <c r="A141" s="28">
        <v>2012</v>
      </c>
      <c r="B141" s="28">
        <v>2</v>
      </c>
      <c r="C141" s="32"/>
      <c r="D141" s="30"/>
      <c r="E141" s="32">
        <v>1.5931153131065901E-2</v>
      </c>
      <c r="F141" s="30"/>
      <c r="G141" s="32">
        <v>1.20055234636995E-2</v>
      </c>
      <c r="H141" s="30"/>
      <c r="I141" s="32">
        <v>1.20442758929714E-2</v>
      </c>
      <c r="J141" s="30"/>
      <c r="K141" s="32">
        <v>-3.8752429271849598E-5</v>
      </c>
      <c r="L141" s="30"/>
      <c r="M141" s="32">
        <v>3.92562966736638E-3</v>
      </c>
      <c r="N141" s="30"/>
      <c r="O141" s="32">
        <v>9.6742286963137497E-3</v>
      </c>
      <c r="P141" s="30"/>
      <c r="Q141" s="32">
        <v>2.6178648920998698E-3</v>
      </c>
      <c r="R141" s="30"/>
      <c r="S141" s="32">
        <v>7.0563638042138799E-3</v>
      </c>
      <c r="T141" s="30"/>
      <c r="U141" s="32">
        <v>2.8691946443688901E-3</v>
      </c>
      <c r="V141" s="30"/>
      <c r="W141" s="32">
        <v>-8.6177936733162503E-3</v>
      </c>
      <c r="X141" s="30"/>
      <c r="Y141" s="32">
        <v>-1.17061119363708E-2</v>
      </c>
      <c r="Z141" s="30"/>
      <c r="AA141" s="32">
        <v>-1.6426883017916501E-2</v>
      </c>
      <c r="AB141" s="30"/>
      <c r="AC141" s="32">
        <v>-3.00635500121679E-2</v>
      </c>
      <c r="AD141" s="30"/>
      <c r="AE141" s="32">
        <v>-1.53920233181253E-2</v>
      </c>
      <c r="AF141" s="30"/>
      <c r="AG141" s="32">
        <v>-3.2875109587292201E-3</v>
      </c>
      <c r="AH141" s="30"/>
      <c r="AI141" s="32">
        <v>1.36366669942514E-2</v>
      </c>
      <c r="AJ141" s="30"/>
      <c r="AK141" s="32">
        <v>4.7207710815456603E-3</v>
      </c>
      <c r="AL141" s="30"/>
      <c r="AM141" s="32">
        <v>1.6717852620188101E-2</v>
      </c>
      <c r="AN141" s="30"/>
      <c r="AO141" s="32">
        <v>-6.6487984573215299E-4</v>
      </c>
      <c r="AP141" s="30"/>
      <c r="AQ141" s="32">
        <v>-5.4607543704077496E-3</v>
      </c>
      <c r="AR141" s="30"/>
      <c r="AS141" s="32">
        <v>-1.1997081538642399E-2</v>
      </c>
      <c r="AT141" s="30"/>
      <c r="AU141" s="32">
        <v>1.88136824593764E-2</v>
      </c>
      <c r="AV141" s="30"/>
      <c r="AW141" s="32">
        <v>2.1679752160013301E-2</v>
      </c>
      <c r="AX141" s="30"/>
      <c r="AY141" s="32">
        <v>-2.8660697006368898E-3</v>
      </c>
      <c r="AZ141" s="30"/>
      <c r="BA141" s="32">
        <v>-1.65027366948883E-2</v>
      </c>
      <c r="BB141" s="30"/>
      <c r="BC141" s="32">
        <v>-1.7457835909050201E-2</v>
      </c>
      <c r="BD141" s="30"/>
      <c r="BE141" s="32"/>
      <c r="BF141" s="30"/>
    </row>
    <row r="142" spans="1:58" x14ac:dyDescent="0.2">
      <c r="A142" s="28">
        <v>2012</v>
      </c>
      <c r="B142" s="28">
        <v>3</v>
      </c>
      <c r="C142" s="32"/>
      <c r="D142" s="30"/>
      <c r="E142" s="32">
        <v>-2.3698739191107002E-2</v>
      </c>
      <c r="F142" s="30"/>
      <c r="G142" s="32">
        <v>1.19869711671606E-2</v>
      </c>
      <c r="H142" s="30"/>
      <c r="I142" s="32">
        <v>1.1997982278280099E-2</v>
      </c>
      <c r="J142" s="30"/>
      <c r="K142" s="32">
        <v>-1.10111111195001E-5</v>
      </c>
      <c r="L142" s="30"/>
      <c r="M142" s="32">
        <v>-3.5685710358267599E-2</v>
      </c>
      <c r="N142" s="30"/>
      <c r="O142" s="32">
        <v>1.12105964966141E-2</v>
      </c>
      <c r="P142" s="30"/>
      <c r="Q142" s="32">
        <v>3.1962807698767302E-3</v>
      </c>
      <c r="R142" s="30"/>
      <c r="S142" s="32">
        <v>8.0143157267374004E-3</v>
      </c>
      <c r="T142" s="30"/>
      <c r="U142" s="32">
        <v>-2.2227059542218701E-2</v>
      </c>
      <c r="V142" s="30"/>
      <c r="W142" s="32">
        <v>-2.4669247312663099E-2</v>
      </c>
      <c r="X142" s="30"/>
      <c r="Y142" s="32">
        <v>3.9745216027806403E-2</v>
      </c>
      <c r="Z142" s="30"/>
      <c r="AA142" s="32">
        <v>4.4043027734024097E-2</v>
      </c>
      <c r="AB142" s="30"/>
      <c r="AC142" s="32">
        <v>2.3421886982924401E-2</v>
      </c>
      <c r="AD142" s="30"/>
      <c r="AE142" s="32">
        <v>7.9717989295530305E-3</v>
      </c>
      <c r="AF142" s="30"/>
      <c r="AG142" s="32">
        <v>1.1351943485796601E-3</v>
      </c>
      <c r="AH142" s="30"/>
      <c r="AI142" s="32">
        <v>2.0621140751099699E-2</v>
      </c>
      <c r="AJ142" s="30"/>
      <c r="AK142" s="32">
        <v>-4.2978117062176403E-3</v>
      </c>
      <c r="AL142" s="30"/>
      <c r="AM142" s="32">
        <v>8.0142470607451905E-3</v>
      </c>
      <c r="AN142" s="30"/>
      <c r="AO142" s="32">
        <v>-1.8232800648436201E-3</v>
      </c>
      <c r="AP142" s="30"/>
      <c r="AQ142" s="32">
        <v>-4.0432940261036403E-3</v>
      </c>
      <c r="AR142" s="30"/>
      <c r="AS142" s="32">
        <v>-1.23120587669628E-2</v>
      </c>
      <c r="AT142" s="30"/>
      <c r="AU142" s="32">
        <v>5.46288891719846E-2</v>
      </c>
      <c r="AV142" s="30"/>
      <c r="AW142" s="32">
        <v>2.3197567663774801E-2</v>
      </c>
      <c r="AX142" s="30"/>
      <c r="AY142" s="32">
        <v>3.1431321508209799E-2</v>
      </c>
      <c r="AZ142" s="30"/>
      <c r="BA142" s="32">
        <v>1.0810180757110099E-2</v>
      </c>
      <c r="BB142" s="30"/>
      <c r="BC142" s="32">
        <v>-1.6355352793066501E-2</v>
      </c>
      <c r="BD142" s="30"/>
      <c r="BE142" s="32"/>
      <c r="BF142" s="30"/>
    </row>
    <row r="143" spans="1:58" x14ac:dyDescent="0.2">
      <c r="A143" s="28">
        <v>2012</v>
      </c>
      <c r="B143" s="28">
        <v>4</v>
      </c>
      <c r="C143" s="32"/>
      <c r="D143" s="30"/>
      <c r="E143" s="32">
        <v>-6.0780526612683197E-2</v>
      </c>
      <c r="F143" s="30"/>
      <c r="G143" s="32">
        <v>1.10417770543826E-2</v>
      </c>
      <c r="H143" s="30"/>
      <c r="I143" s="32">
        <v>1.07346510645965E-2</v>
      </c>
      <c r="J143" s="30"/>
      <c r="K143" s="32">
        <v>3.0712598978610599E-4</v>
      </c>
      <c r="L143" s="30"/>
      <c r="M143" s="32">
        <v>-7.1822303667065795E-2</v>
      </c>
      <c r="N143" s="30"/>
      <c r="O143" s="32">
        <v>1.27581859230869E-2</v>
      </c>
      <c r="P143" s="30"/>
      <c r="Q143" s="32">
        <v>3.96446281124096E-3</v>
      </c>
      <c r="R143" s="30"/>
      <c r="S143" s="32">
        <v>8.7937231118459108E-3</v>
      </c>
      <c r="T143" s="30"/>
      <c r="U143" s="32">
        <v>-2.4810370638857101E-2</v>
      </c>
      <c r="V143" s="30"/>
      <c r="W143" s="32">
        <v>-5.9770118951295602E-2</v>
      </c>
      <c r="X143" s="30"/>
      <c r="Y143" s="32">
        <v>7.6775538235803201E-2</v>
      </c>
      <c r="Z143" s="30"/>
      <c r="AA143" s="32">
        <v>3.5463089200223202E-2</v>
      </c>
      <c r="AB143" s="30"/>
      <c r="AC143" s="32">
        <v>1.0500660782363801E-2</v>
      </c>
      <c r="AD143" s="30"/>
      <c r="AE143" s="32">
        <v>1.9630889213585499E-2</v>
      </c>
      <c r="AF143" s="30"/>
      <c r="AG143" s="32">
        <v>1.46849876688848E-3</v>
      </c>
      <c r="AH143" s="30"/>
      <c r="AI143" s="32">
        <v>2.4962428417859402E-2</v>
      </c>
      <c r="AJ143" s="30"/>
      <c r="AK143" s="32">
        <v>4.1312449035579998E-2</v>
      </c>
      <c r="AL143" s="30"/>
      <c r="AM143" s="32">
        <v>5.8987449379712703E-2</v>
      </c>
      <c r="AN143" s="30"/>
      <c r="AO143" s="32">
        <v>1.0296729659678999E-4</v>
      </c>
      <c r="AP143" s="30"/>
      <c r="AQ143" s="32">
        <v>-3.8229145547525401E-3</v>
      </c>
      <c r="AR143" s="30"/>
      <c r="AS143" s="32">
        <v>-1.7675000344132701E-2</v>
      </c>
      <c r="AT143" s="30"/>
      <c r="AU143" s="32">
        <v>6.2303297160862303E-2</v>
      </c>
      <c r="AV143" s="30"/>
      <c r="AW143" s="32">
        <v>2.3799962977469499E-2</v>
      </c>
      <c r="AX143" s="30"/>
      <c r="AY143" s="32">
        <v>3.8503334183392801E-2</v>
      </c>
      <c r="AZ143" s="30"/>
      <c r="BA143" s="32">
        <v>1.35409057655335E-2</v>
      </c>
      <c r="BB143" s="30"/>
      <c r="BC143" s="32">
        <v>-2.1497914898885299E-2</v>
      </c>
      <c r="BD143" s="30"/>
      <c r="BE143" s="32"/>
      <c r="BF143" s="30"/>
    </row>
    <row r="144" spans="1:58" x14ac:dyDescent="0.2">
      <c r="A144" s="28">
        <v>2013</v>
      </c>
      <c r="B144" s="28">
        <v>1</v>
      </c>
      <c r="C144" s="32"/>
      <c r="D144" s="30"/>
      <c r="E144" s="32">
        <v>9.3251807101636108E-3</v>
      </c>
      <c r="F144" s="30"/>
      <c r="G144" s="32">
        <v>1.16885758804942E-2</v>
      </c>
      <c r="H144" s="30"/>
      <c r="I144" s="32">
        <v>1.0594786480438399E-2</v>
      </c>
      <c r="J144" s="30"/>
      <c r="K144" s="32">
        <v>1.0937894000558001E-3</v>
      </c>
      <c r="L144" s="30"/>
      <c r="M144" s="32">
        <v>-2.3633951703306401E-3</v>
      </c>
      <c r="N144" s="30"/>
      <c r="O144" s="32">
        <v>3.27258143516417E-3</v>
      </c>
      <c r="P144" s="30"/>
      <c r="Q144" s="32">
        <v>3.2020239443245899E-3</v>
      </c>
      <c r="R144" s="30"/>
      <c r="S144" s="32">
        <v>7.0557490839576702E-5</v>
      </c>
      <c r="T144" s="30"/>
      <c r="U144" s="32">
        <v>1.04958475575071E-3</v>
      </c>
      <c r="V144" s="30"/>
      <c r="W144" s="32">
        <v>-6.6855613612455097E-3</v>
      </c>
      <c r="X144" s="30"/>
      <c r="Y144" s="32">
        <v>1.9927037855359902E-3</v>
      </c>
      <c r="Z144" s="30"/>
      <c r="AA144" s="32">
        <v>3.2515838417851599E-2</v>
      </c>
      <c r="AB144" s="30"/>
      <c r="AC144" s="32">
        <v>3.1155038403426701E-2</v>
      </c>
      <c r="AD144" s="30"/>
      <c r="AE144" s="32">
        <v>-1.5323408024214599E-2</v>
      </c>
      <c r="AF144" s="30"/>
      <c r="AG144" s="32">
        <v>-1.18835927072684E-2</v>
      </c>
      <c r="AH144" s="30"/>
      <c r="AI144" s="32">
        <v>1.3608000144248701E-3</v>
      </c>
      <c r="AJ144" s="30"/>
      <c r="AK144" s="32">
        <v>-3.05231346323156E-2</v>
      </c>
      <c r="AL144" s="30"/>
      <c r="AM144" s="32">
        <v>-2.8199959363951501E-2</v>
      </c>
      <c r="AN144" s="30"/>
      <c r="AO144" s="32">
        <v>1.34495359660258E-2</v>
      </c>
      <c r="AP144" s="30"/>
      <c r="AQ144" s="32">
        <v>1.4883505267420299E-2</v>
      </c>
      <c r="AR144" s="30"/>
      <c r="AS144" s="32">
        <v>-2.3231752683641198E-3</v>
      </c>
      <c r="AT144" s="30"/>
      <c r="AU144" s="32">
        <v>-2.2920302591072999E-3</v>
      </c>
      <c r="AV144" s="30"/>
      <c r="AW144" s="32">
        <v>1.49611573156584E-2</v>
      </c>
      <c r="AX144" s="30"/>
      <c r="AY144" s="32">
        <v>-1.72531875747657E-2</v>
      </c>
      <c r="AZ144" s="30"/>
      <c r="BA144" s="32">
        <v>-1.8613987589190601E-2</v>
      </c>
      <c r="BB144" s="30"/>
      <c r="BC144" s="32">
        <v>1.2560329999056199E-2</v>
      </c>
      <c r="BD144" s="30"/>
      <c r="BE144" s="32"/>
      <c r="BF144" s="30"/>
    </row>
    <row r="145" spans="1:58" x14ac:dyDescent="0.2">
      <c r="A145" s="28">
        <v>2013</v>
      </c>
      <c r="B145" s="28">
        <v>2</v>
      </c>
      <c r="C145" s="32"/>
      <c r="D145" s="30"/>
      <c r="E145" s="32">
        <v>-4.21495261361697E-2</v>
      </c>
      <c r="F145" s="30"/>
      <c r="G145" s="32">
        <v>1.5488268886151501E-2</v>
      </c>
      <c r="H145" s="30"/>
      <c r="I145" s="32">
        <v>1.4035238401703599E-2</v>
      </c>
      <c r="J145" s="30"/>
      <c r="K145" s="32">
        <v>1.45303048444787E-3</v>
      </c>
      <c r="L145" s="30"/>
      <c r="M145" s="32">
        <v>-5.7637795022321199E-2</v>
      </c>
      <c r="N145" s="30"/>
      <c r="O145" s="32">
        <v>6.1838418824259403E-3</v>
      </c>
      <c r="P145" s="30"/>
      <c r="Q145" s="32">
        <v>2.9338480711850199E-3</v>
      </c>
      <c r="R145" s="30"/>
      <c r="S145" s="32">
        <v>3.24999381124092E-3</v>
      </c>
      <c r="T145" s="30"/>
      <c r="U145" s="32">
        <v>1.30874806007556E-2</v>
      </c>
      <c r="V145" s="30"/>
      <c r="W145" s="32">
        <v>-7.6909117505502694E-2</v>
      </c>
      <c r="X145" s="30"/>
      <c r="Y145" s="32">
        <v>6.3116591988411297E-2</v>
      </c>
      <c r="Z145" s="30"/>
      <c r="AA145" s="32">
        <v>0.20673137680324499</v>
      </c>
      <c r="AB145" s="30"/>
      <c r="AC145" s="32">
        <v>0.20228377844711401</v>
      </c>
      <c r="AD145" s="30"/>
      <c r="AE145" s="32">
        <v>-1.1052866281344401E-3</v>
      </c>
      <c r="AF145" s="30"/>
      <c r="AG145" s="32">
        <v>4.1700611893059703E-3</v>
      </c>
      <c r="AH145" s="30"/>
      <c r="AI145" s="32">
        <v>4.4475983561314799E-3</v>
      </c>
      <c r="AJ145" s="30"/>
      <c r="AK145" s="32">
        <v>-0.143614784814834</v>
      </c>
      <c r="AL145" s="30"/>
      <c r="AM145" s="32">
        <v>-0.13859013167418699</v>
      </c>
      <c r="AN145" s="30"/>
      <c r="AO145" s="32">
        <v>-7.3297193368650404E-3</v>
      </c>
      <c r="AP145" s="30"/>
      <c r="AQ145" s="32">
        <v>-5.4703401662090497E-3</v>
      </c>
      <c r="AR145" s="30"/>
      <c r="AS145" s="32">
        <v>-5.0246531406471897E-3</v>
      </c>
      <c r="AT145" s="30"/>
      <c r="AU145" s="32">
        <v>1.8374578558342299E-2</v>
      </c>
      <c r="AV145" s="30"/>
      <c r="AW145" s="32">
        <v>2.1672110768577401E-2</v>
      </c>
      <c r="AX145" s="30"/>
      <c r="AY145" s="32">
        <v>-3.2975322102351602E-3</v>
      </c>
      <c r="AZ145" s="30"/>
      <c r="BA145" s="32">
        <v>-7.7451305663666396E-3</v>
      </c>
      <c r="BB145" s="30"/>
      <c r="BC145" s="32">
        <v>-1.04949933068562E-2</v>
      </c>
      <c r="BD145" s="30"/>
      <c r="BE145" s="32"/>
      <c r="BF145" s="30"/>
    </row>
    <row r="146" spans="1:58" x14ac:dyDescent="0.2">
      <c r="A146" s="28">
        <v>2013</v>
      </c>
      <c r="B146" s="28">
        <v>3</v>
      </c>
      <c r="C146" s="32"/>
      <c r="D146" s="30"/>
      <c r="E146" s="32">
        <v>-7.54611909848451E-3</v>
      </c>
      <c r="F146" s="30"/>
      <c r="G146" s="32">
        <v>1.5947664144942902E-2</v>
      </c>
      <c r="H146" s="30"/>
      <c r="I146" s="32">
        <v>1.3642292997902501E-2</v>
      </c>
      <c r="J146" s="30"/>
      <c r="K146" s="32">
        <v>2.3053711470404198E-3</v>
      </c>
      <c r="L146" s="30"/>
      <c r="M146" s="32">
        <v>-2.34937832434274E-2</v>
      </c>
      <c r="N146" s="30"/>
      <c r="O146" s="32">
        <v>1.73257271770662E-3</v>
      </c>
      <c r="P146" s="30"/>
      <c r="Q146" s="32">
        <v>2.4758062347448998E-3</v>
      </c>
      <c r="R146" s="30"/>
      <c r="S146" s="32">
        <v>-7.4323351703827899E-4</v>
      </c>
      <c r="T146" s="30"/>
      <c r="U146" s="32">
        <v>-6.0535100399189299E-3</v>
      </c>
      <c r="V146" s="30"/>
      <c r="W146" s="32">
        <v>-1.9172845921215102E-2</v>
      </c>
      <c r="X146" s="30"/>
      <c r="Y146" s="32">
        <v>2.8022148352301799E-2</v>
      </c>
      <c r="Z146" s="30"/>
      <c r="AA146" s="32">
        <v>8.0882881238200602E-2</v>
      </c>
      <c r="AB146" s="30"/>
      <c r="AC146" s="32">
        <v>7.6753261694671296E-2</v>
      </c>
      <c r="AD146" s="30"/>
      <c r="AE146" s="32">
        <v>6.8926936394128396E-3</v>
      </c>
      <c r="AF146" s="30"/>
      <c r="AG146" s="32">
        <v>2.8053860305273502E-3</v>
      </c>
      <c r="AH146" s="30"/>
      <c r="AI146" s="32">
        <v>4.1296195435293198E-3</v>
      </c>
      <c r="AJ146" s="30"/>
      <c r="AK146" s="32">
        <v>-5.2860732885898799E-2</v>
      </c>
      <c r="AL146" s="30"/>
      <c r="AM146" s="32">
        <v>-4.8930995914303499E-2</v>
      </c>
      <c r="AN146" s="30"/>
      <c r="AO146" s="32">
        <v>2.9497726726417802E-3</v>
      </c>
      <c r="AP146" s="30"/>
      <c r="AQ146" s="32">
        <v>6.0641911478511205E-4</v>
      </c>
      <c r="AR146" s="30"/>
      <c r="AS146" s="32">
        <v>-3.9297369715952197E-3</v>
      </c>
      <c r="AT146" s="30"/>
      <c r="AU146" s="32">
        <v>2.9852857150546301E-2</v>
      </c>
      <c r="AV146" s="30"/>
      <c r="AW146" s="32">
        <v>1.7680236862649499E-2</v>
      </c>
      <c r="AX146" s="30"/>
      <c r="AY146" s="32">
        <v>1.2172620287896899E-2</v>
      </c>
      <c r="AZ146" s="30"/>
      <c r="BA146" s="32">
        <v>8.0430007443675396E-3</v>
      </c>
      <c r="BB146" s="30"/>
      <c r="BC146" s="32">
        <v>-3.3233178568101E-3</v>
      </c>
      <c r="BD146" s="30"/>
      <c r="BE146" s="32"/>
      <c r="BF146" s="30"/>
    </row>
    <row r="147" spans="1:58" x14ac:dyDescent="0.2">
      <c r="A147" s="28">
        <v>2013</v>
      </c>
      <c r="B147" s="28">
        <v>4</v>
      </c>
      <c r="C147" s="32"/>
      <c r="D147" s="30"/>
      <c r="E147" s="32">
        <v>1.5945397924700701E-2</v>
      </c>
      <c r="F147" s="30"/>
      <c r="G147" s="32">
        <v>1.46756848260928E-2</v>
      </c>
      <c r="H147" s="30"/>
      <c r="I147" s="32">
        <v>1.1742140171217001E-2</v>
      </c>
      <c r="J147" s="30"/>
      <c r="K147" s="32">
        <v>2.9335446548758599E-3</v>
      </c>
      <c r="L147" s="30"/>
      <c r="M147" s="32">
        <v>1.26971309860791E-3</v>
      </c>
      <c r="N147" s="30"/>
      <c r="O147" s="32">
        <v>2.9499875159099101E-3</v>
      </c>
      <c r="P147" s="30"/>
      <c r="Q147" s="32">
        <v>2.9200141531996299E-3</v>
      </c>
      <c r="R147" s="30"/>
      <c r="S147" s="32">
        <v>2.9973362710284698E-5</v>
      </c>
      <c r="T147" s="30"/>
      <c r="U147" s="32">
        <v>2.0204955838051899E-2</v>
      </c>
      <c r="V147" s="30"/>
      <c r="W147" s="32">
        <v>-2.18852302553539E-2</v>
      </c>
      <c r="X147" s="30"/>
      <c r="Y147" s="32">
        <v>4.56916094821246E-3</v>
      </c>
      <c r="Z147" s="30"/>
      <c r="AA147" s="32">
        <v>5.2692534892283198E-2</v>
      </c>
      <c r="AB147" s="30"/>
      <c r="AC147" s="32">
        <v>5.6141499605289101E-2</v>
      </c>
      <c r="AD147" s="30"/>
      <c r="AE147" s="32">
        <v>-1.43782403358756E-2</v>
      </c>
      <c r="AF147" s="30"/>
      <c r="AG147" s="32">
        <v>-1.0475197553814399E-3</v>
      </c>
      <c r="AH147" s="30"/>
      <c r="AI147" s="32">
        <v>-3.4489647130059001E-3</v>
      </c>
      <c r="AJ147" s="30"/>
      <c r="AK147" s="32">
        <v>-4.8123373944070701E-2</v>
      </c>
      <c r="AL147" s="30"/>
      <c r="AM147" s="32">
        <v>-5.2948791813287099E-2</v>
      </c>
      <c r="AN147" s="30"/>
      <c r="AO147" s="32">
        <v>-1.0392478882080799E-2</v>
      </c>
      <c r="AP147" s="30"/>
      <c r="AQ147" s="32">
        <v>-1.0835209997162301E-2</v>
      </c>
      <c r="AR147" s="30"/>
      <c r="AS147" s="32">
        <v>4.8254178692163797E-3</v>
      </c>
      <c r="AT147" s="30"/>
      <c r="AU147" s="32">
        <v>6.3193951628073104E-3</v>
      </c>
      <c r="AV147" s="30"/>
      <c r="AW147" s="32">
        <v>1.76256723420028E-2</v>
      </c>
      <c r="AX147" s="30"/>
      <c r="AY147" s="32">
        <v>-1.13062771791954E-2</v>
      </c>
      <c r="AZ147" s="30"/>
      <c r="BA147" s="32">
        <v>-7.8573124661895401E-3</v>
      </c>
      <c r="BB147" s="30"/>
      <c r="BC147" s="32">
        <v>-6.0097921279459697E-3</v>
      </c>
      <c r="BD147" s="30"/>
      <c r="BE147" s="32"/>
      <c r="BF147" s="30"/>
    </row>
    <row r="148" spans="1:58" x14ac:dyDescent="0.2">
      <c r="A148" s="28">
        <v>2014</v>
      </c>
      <c r="B148" s="28">
        <v>1</v>
      </c>
      <c r="C148" s="32"/>
      <c r="D148" s="30"/>
      <c r="E148" s="32">
        <v>-1.31299444854519E-2</v>
      </c>
      <c r="F148" s="30"/>
      <c r="G148" s="32">
        <v>7.3403927191853296E-3</v>
      </c>
      <c r="H148" s="30"/>
      <c r="I148" s="32">
        <v>4.4966378762579702E-3</v>
      </c>
      <c r="J148" s="30"/>
      <c r="K148" s="32">
        <v>2.8437548429273698E-3</v>
      </c>
      <c r="L148" s="30"/>
      <c r="M148" s="32">
        <v>-2.0470337204637201E-2</v>
      </c>
      <c r="N148" s="30"/>
      <c r="O148" s="32">
        <v>6.7341037455054004E-3</v>
      </c>
      <c r="P148" s="30"/>
      <c r="Q148" s="32">
        <v>5.1161258927728296E-3</v>
      </c>
      <c r="R148" s="30"/>
      <c r="S148" s="32">
        <v>1.6179778527325699E-3</v>
      </c>
      <c r="T148" s="30"/>
      <c r="U148" s="32">
        <v>-1.03604860566326E-2</v>
      </c>
      <c r="V148" s="30"/>
      <c r="W148" s="32">
        <v>-1.6843954893510101E-2</v>
      </c>
      <c r="X148" s="30"/>
      <c r="Y148" s="32">
        <v>3.8051824086685303E-2</v>
      </c>
      <c r="Z148" s="30"/>
      <c r="AA148" s="32">
        <v>5.8959359829776202E-2</v>
      </c>
      <c r="AB148" s="30"/>
      <c r="AC148" s="32">
        <v>4.1934659565156199E-2</v>
      </c>
      <c r="AD148" s="30"/>
      <c r="AE148" s="32">
        <v>3.12732923200435E-2</v>
      </c>
      <c r="AF148" s="30"/>
      <c r="AG148" s="32">
        <v>1.3833008961702101E-2</v>
      </c>
      <c r="AH148" s="30"/>
      <c r="AI148" s="32">
        <v>1.70247002646201E-2</v>
      </c>
      <c r="AJ148" s="30"/>
      <c r="AK148" s="32">
        <v>-2.0907535743090899E-2</v>
      </c>
      <c r="AL148" s="30"/>
      <c r="AM148" s="32">
        <v>-8.8013687382393693E-3</v>
      </c>
      <c r="AN148" s="30"/>
      <c r="AO148" s="32">
        <v>-1.2903671824524799E-2</v>
      </c>
      <c r="AP148" s="30"/>
      <c r="AQ148" s="32">
        <v>-1.4077579885039901E-2</v>
      </c>
      <c r="AR148" s="30"/>
      <c r="AS148" s="32">
        <v>-1.2106167004851599E-2</v>
      </c>
      <c r="AT148" s="30"/>
      <c r="AU148" s="32">
        <v>6.1466112547757398E-2</v>
      </c>
      <c r="AV148" s="30"/>
      <c r="AW148" s="32">
        <v>1.40744964646907E-2</v>
      </c>
      <c r="AX148" s="30"/>
      <c r="AY148" s="32">
        <v>4.73916160830666E-2</v>
      </c>
      <c r="AZ148" s="30"/>
      <c r="BA148" s="32">
        <v>3.03669158184466E-2</v>
      </c>
      <c r="BB148" s="30"/>
      <c r="BC148" s="32">
        <v>-2.6183746889891502E-2</v>
      </c>
      <c r="BD148" s="30"/>
      <c r="BE148" s="32"/>
      <c r="BF148" s="30"/>
    </row>
    <row r="149" spans="1:58" x14ac:dyDescent="0.2">
      <c r="A149" s="28">
        <v>2014</v>
      </c>
      <c r="B149" s="28">
        <v>2</v>
      </c>
      <c r="C149" s="32"/>
      <c r="D149" s="30"/>
      <c r="E149" s="32">
        <v>5.2253240261180903E-2</v>
      </c>
      <c r="F149" s="30"/>
      <c r="G149" s="32">
        <v>6.9730662539064098E-3</v>
      </c>
      <c r="H149" s="30"/>
      <c r="I149" s="32">
        <v>4.2765631507235297E-3</v>
      </c>
      <c r="J149" s="30"/>
      <c r="K149" s="32">
        <v>2.69650310318288E-3</v>
      </c>
      <c r="L149" s="30"/>
      <c r="M149" s="32">
        <v>4.52801740072745E-2</v>
      </c>
      <c r="N149" s="30"/>
      <c r="O149" s="32">
        <v>3.7585432775653002E-3</v>
      </c>
      <c r="P149" s="30"/>
      <c r="Q149" s="32">
        <v>2.25931414536726E-3</v>
      </c>
      <c r="R149" s="30"/>
      <c r="S149" s="32">
        <v>1.49922913219804E-3</v>
      </c>
      <c r="T149" s="30"/>
      <c r="U149" s="32">
        <v>-1.2577618981786699E-2</v>
      </c>
      <c r="V149" s="30"/>
      <c r="W149" s="32">
        <v>5.4099249711495899E-2</v>
      </c>
      <c r="X149" s="30"/>
      <c r="Y149" s="32">
        <v>-2.8965535705781701E-2</v>
      </c>
      <c r="Z149" s="30"/>
      <c r="AA149" s="32">
        <v>-0.15856458891532099</v>
      </c>
      <c r="AB149" s="30"/>
      <c r="AC149" s="32">
        <v>-0.16307357668547101</v>
      </c>
      <c r="AD149" s="30"/>
      <c r="AE149" s="32">
        <v>2.0032228334249801E-2</v>
      </c>
      <c r="AF149" s="30"/>
      <c r="AG149" s="32">
        <v>3.5071393471248699E-3</v>
      </c>
      <c r="AH149" s="30"/>
      <c r="AI149" s="32">
        <v>4.5089877701503297E-3</v>
      </c>
      <c r="AJ149" s="30"/>
      <c r="AK149" s="32">
        <v>0.12959905320953899</v>
      </c>
      <c r="AL149" s="30"/>
      <c r="AM149" s="32">
        <v>0.13173603147144</v>
      </c>
      <c r="AN149" s="30"/>
      <c r="AO149" s="32">
        <v>-1.84853690989955E-3</v>
      </c>
      <c r="AP149" s="30"/>
      <c r="AQ149" s="32">
        <v>-3.6505047701951001E-3</v>
      </c>
      <c r="AR149" s="30"/>
      <c r="AS149" s="32">
        <v>-2.1369782619009999E-3</v>
      </c>
      <c r="AT149" s="30"/>
      <c r="AU149" s="32">
        <v>4.1652806569281997E-2</v>
      </c>
      <c r="AV149" s="30"/>
      <c r="AW149" s="32">
        <v>1.07316095314717E-2</v>
      </c>
      <c r="AX149" s="30"/>
      <c r="AY149" s="32">
        <v>3.0921197037810301E-2</v>
      </c>
      <c r="AZ149" s="30"/>
      <c r="BA149" s="32">
        <v>2.6412209267660001E-2</v>
      </c>
      <c r="BB149" s="30"/>
      <c r="BC149" s="32">
        <v>-5.7874830320960996E-3</v>
      </c>
      <c r="BD149" s="30"/>
      <c r="BE149" s="32"/>
      <c r="BF149" s="30"/>
    </row>
    <row r="150" spans="1:58" x14ac:dyDescent="0.2">
      <c r="A150" s="28">
        <v>2014</v>
      </c>
      <c r="B150" s="28">
        <v>3</v>
      </c>
      <c r="C150" s="32"/>
      <c r="D150" s="30"/>
      <c r="E150" s="32">
        <v>2.50128437359869E-2</v>
      </c>
      <c r="F150" s="30"/>
      <c r="G150" s="32">
        <v>7.1045405378057499E-3</v>
      </c>
      <c r="H150" s="30"/>
      <c r="I150" s="32">
        <v>5.0427361877489396E-3</v>
      </c>
      <c r="J150" s="30"/>
      <c r="K150" s="32">
        <v>2.0618043500568099E-3</v>
      </c>
      <c r="L150" s="30"/>
      <c r="M150" s="32">
        <v>1.79083031981811E-2</v>
      </c>
      <c r="N150" s="30"/>
      <c r="O150" s="32">
        <v>8.6406355686722402E-3</v>
      </c>
      <c r="P150" s="30"/>
      <c r="Q150" s="32">
        <v>2.9537626976157E-3</v>
      </c>
      <c r="R150" s="30"/>
      <c r="S150" s="32">
        <v>5.6868728710565402E-3</v>
      </c>
      <c r="T150" s="30"/>
      <c r="U150" s="32">
        <v>4.3163907389770903E-3</v>
      </c>
      <c r="V150" s="30"/>
      <c r="W150" s="32">
        <v>4.9512768905318298E-3</v>
      </c>
      <c r="X150" s="30"/>
      <c r="Y150" s="32">
        <v>-1.4174138918878799E-3</v>
      </c>
      <c r="Z150" s="30"/>
      <c r="AA150" s="32">
        <v>-5.7872474305364303E-2</v>
      </c>
      <c r="AB150" s="30"/>
      <c r="AC150" s="32">
        <v>-6.4548205767091402E-2</v>
      </c>
      <c r="AD150" s="30"/>
      <c r="AE150" s="32">
        <v>1.90824716129546E-2</v>
      </c>
      <c r="AF150" s="30"/>
      <c r="AG150" s="32">
        <v>1.7052393401424101E-2</v>
      </c>
      <c r="AH150" s="30"/>
      <c r="AI150" s="32">
        <v>6.6757314617271E-3</v>
      </c>
      <c r="AJ150" s="30"/>
      <c r="AK150" s="32">
        <v>5.64550604134764E-2</v>
      </c>
      <c r="AL150" s="30"/>
      <c r="AM150" s="32">
        <v>6.7044423134709805E-2</v>
      </c>
      <c r="AN150" s="30"/>
      <c r="AO150" s="32">
        <v>-8.1360030508438597E-3</v>
      </c>
      <c r="AP150" s="30"/>
      <c r="AQ150" s="32">
        <v>-8.8251559234404607E-3</v>
      </c>
      <c r="AR150" s="30"/>
      <c r="AS150" s="32">
        <v>-1.0589362721233401E-2</v>
      </c>
      <c r="AT150" s="30"/>
      <c r="AU150" s="32">
        <v>3.8693557749795798E-2</v>
      </c>
      <c r="AV150" s="30"/>
      <c r="AW150" s="32">
        <v>1.5745176106478E-2</v>
      </c>
      <c r="AX150" s="30"/>
      <c r="AY150" s="32">
        <v>2.2948381643317799E-2</v>
      </c>
      <c r="AZ150" s="30"/>
      <c r="BA150" s="32">
        <v>1.62726501815907E-2</v>
      </c>
      <c r="BB150" s="30"/>
      <c r="BC150" s="32">
        <v>-1.9414518644673799E-2</v>
      </c>
      <c r="BD150" s="30"/>
      <c r="BE150" s="32"/>
      <c r="BF150" s="30"/>
    </row>
    <row r="151" spans="1:58" x14ac:dyDescent="0.2">
      <c r="A151" s="28">
        <v>2014</v>
      </c>
      <c r="B151" s="28">
        <v>4</v>
      </c>
      <c r="C151" s="32"/>
      <c r="D151" s="30"/>
      <c r="E151" s="32">
        <v>9.7252614094601106E-3</v>
      </c>
      <c r="F151" s="30"/>
      <c r="G151" s="32">
        <v>7.2921720600508701E-3</v>
      </c>
      <c r="H151" s="30"/>
      <c r="I151" s="32">
        <v>5.1111447876141204E-3</v>
      </c>
      <c r="J151" s="30"/>
      <c r="K151" s="32">
        <v>2.1810272724367401E-3</v>
      </c>
      <c r="L151" s="30"/>
      <c r="M151" s="32">
        <v>2.4330893494092501E-3</v>
      </c>
      <c r="N151" s="30"/>
      <c r="O151" s="32">
        <v>8.2491722026364397E-3</v>
      </c>
      <c r="P151" s="30"/>
      <c r="Q151" s="32">
        <v>1.8704638830413999E-3</v>
      </c>
      <c r="R151" s="30"/>
      <c r="S151" s="32">
        <v>6.37870831959504E-3</v>
      </c>
      <c r="T151" s="30"/>
      <c r="U151" s="32">
        <v>-2.7116915322542602E-3</v>
      </c>
      <c r="V151" s="30"/>
      <c r="W151" s="32">
        <v>-3.1043913209729398E-3</v>
      </c>
      <c r="X151" s="30"/>
      <c r="Y151" s="32">
        <v>2.0069053096033199E-2</v>
      </c>
      <c r="Z151" s="30"/>
      <c r="AA151" s="32">
        <v>2.7851632647047399E-2</v>
      </c>
      <c r="AB151" s="30"/>
      <c r="AC151" s="32">
        <v>1.96870246587347E-2</v>
      </c>
      <c r="AD151" s="30"/>
      <c r="AE151" s="32">
        <v>2.9200598916813699E-2</v>
      </c>
      <c r="AF151" s="30"/>
      <c r="AG151" s="32">
        <v>1.5915822769376899E-2</v>
      </c>
      <c r="AH151" s="30"/>
      <c r="AI151" s="32">
        <v>8.1646079883127207E-3</v>
      </c>
      <c r="AJ151" s="30"/>
      <c r="AK151" s="32">
        <v>-7.7825795510142503E-3</v>
      </c>
      <c r="AL151" s="30"/>
      <c r="AM151" s="32">
        <v>1.2475716624371899E-2</v>
      </c>
      <c r="AN151" s="30"/>
      <c r="AO151" s="32">
        <v>3.1675086338298799E-3</v>
      </c>
      <c r="AP151" s="30"/>
      <c r="AQ151" s="32">
        <v>1.53883849206444E-3</v>
      </c>
      <c r="AR151" s="30"/>
      <c r="AS151" s="32">
        <v>-2.0258296175386201E-2</v>
      </c>
      <c r="AT151" s="30"/>
      <c r="AU151" s="32">
        <v>5.12254637210693E-2</v>
      </c>
      <c r="AV151" s="30"/>
      <c r="AW151" s="32">
        <v>1.5541344262687299E-2</v>
      </c>
      <c r="AX151" s="30"/>
      <c r="AY151" s="32">
        <v>3.5684119458381999E-2</v>
      </c>
      <c r="AZ151" s="30"/>
      <c r="BA151" s="32">
        <v>2.7519511470069299E-2</v>
      </c>
      <c r="BB151" s="30"/>
      <c r="BC151" s="32">
        <v>-1.87194576833217E-2</v>
      </c>
      <c r="BD151" s="30"/>
      <c r="BE151" s="32"/>
      <c r="BF151" s="30"/>
    </row>
    <row r="152" spans="1:58" x14ac:dyDescent="0.2">
      <c r="A152" s="28">
        <v>2015</v>
      </c>
      <c r="B152" s="28">
        <v>1</v>
      </c>
      <c r="C152" s="32"/>
      <c r="D152" s="30"/>
      <c r="E152" s="32">
        <v>3.7886096430358999E-2</v>
      </c>
      <c r="F152" s="30"/>
      <c r="G152" s="32">
        <v>1.2157012638397399E-2</v>
      </c>
      <c r="H152" s="30"/>
      <c r="I152" s="32">
        <v>1.0386481500233399E-2</v>
      </c>
      <c r="J152" s="30"/>
      <c r="K152" s="32">
        <v>1.77053113816405E-3</v>
      </c>
      <c r="L152" s="30"/>
      <c r="M152" s="32">
        <v>2.57290837919615E-2</v>
      </c>
      <c r="N152" s="30"/>
      <c r="O152" s="32">
        <v>5.2128365693778602E-3</v>
      </c>
      <c r="P152" s="30"/>
      <c r="Q152" s="32">
        <v>2.27783975514456E-3</v>
      </c>
      <c r="R152" s="30"/>
      <c r="S152" s="32">
        <v>2.9349968142333002E-3</v>
      </c>
      <c r="T152" s="30"/>
      <c r="U152" s="32">
        <v>1.3178375688679101E-2</v>
      </c>
      <c r="V152" s="30"/>
      <c r="W152" s="32">
        <v>7.3378715339045501E-3</v>
      </c>
      <c r="X152" s="30"/>
      <c r="Y152" s="32">
        <v>-1.93474060150177E-2</v>
      </c>
      <c r="Z152" s="30"/>
      <c r="AA152" s="32">
        <v>-1.02174840682009E-2</v>
      </c>
      <c r="AB152" s="30"/>
      <c r="AC152" s="32">
        <v>-7.1018585866119604E-3</v>
      </c>
      <c r="AD152" s="30"/>
      <c r="AE152" s="32">
        <v>6.1821264716136201E-3</v>
      </c>
      <c r="AF152" s="30"/>
      <c r="AG152" s="32">
        <v>2.7516834767103201E-3</v>
      </c>
      <c r="AH152" s="30"/>
      <c r="AI152" s="32">
        <v>-3.1156254815888902E-3</v>
      </c>
      <c r="AJ152" s="30"/>
      <c r="AK152" s="32">
        <v>-9.1299219468168203E-3</v>
      </c>
      <c r="AL152" s="30"/>
      <c r="AM152" s="32">
        <v>7.2331528230493002E-3</v>
      </c>
      <c r="AN152" s="30"/>
      <c r="AO152" s="32">
        <v>-4.8963914479400201E-3</v>
      </c>
      <c r="AP152" s="30"/>
      <c r="AQ152" s="32">
        <v>-4.4494001995118897E-3</v>
      </c>
      <c r="AR152" s="30"/>
      <c r="AS152" s="32">
        <v>-1.63630747698661E-2</v>
      </c>
      <c r="AT152" s="30"/>
      <c r="AU152" s="32">
        <v>2.61727896960402E-2</v>
      </c>
      <c r="AV152" s="30"/>
      <c r="AW152" s="32">
        <v>1.73698492077753E-2</v>
      </c>
      <c r="AX152" s="30"/>
      <c r="AY152" s="32">
        <v>8.8029404882648907E-3</v>
      </c>
      <c r="AZ152" s="30"/>
      <c r="BA152" s="32">
        <v>1.19185659698538E-2</v>
      </c>
      <c r="BB152" s="30"/>
      <c r="BC152" s="32">
        <v>-2.0812474969377999E-2</v>
      </c>
      <c r="BD152" s="30"/>
      <c r="BE152" s="32"/>
      <c r="BF152" s="30"/>
    </row>
    <row r="153" spans="1:58" x14ac:dyDescent="0.2">
      <c r="A153" s="28">
        <v>2015</v>
      </c>
      <c r="B153" s="28">
        <v>2</v>
      </c>
      <c r="C153" s="32"/>
      <c r="D153" s="30"/>
      <c r="E153" s="32">
        <v>2.5209409771690099E-2</v>
      </c>
      <c r="F153" s="30"/>
      <c r="G153" s="32">
        <v>1.3892852448337101E-2</v>
      </c>
      <c r="H153" s="30"/>
      <c r="I153" s="32">
        <v>1.2384097583489901E-2</v>
      </c>
      <c r="J153" s="30"/>
      <c r="K153" s="32">
        <v>1.50875486484714E-3</v>
      </c>
      <c r="L153" s="30"/>
      <c r="M153" s="32">
        <v>1.1316557323353099E-2</v>
      </c>
      <c r="N153" s="30"/>
      <c r="O153" s="32">
        <v>8.45899638397914E-3</v>
      </c>
      <c r="P153" s="30"/>
      <c r="Q153" s="32">
        <v>2.0438142208020799E-3</v>
      </c>
      <c r="R153" s="30"/>
      <c r="S153" s="32">
        <v>6.4151821631770597E-3</v>
      </c>
      <c r="T153" s="30"/>
      <c r="U153" s="32">
        <v>-5.77884911001301E-3</v>
      </c>
      <c r="V153" s="30"/>
      <c r="W153" s="32">
        <v>8.6364100493869292E-3</v>
      </c>
      <c r="X153" s="30"/>
      <c r="Y153" s="32">
        <v>-1.27764738088465E-2</v>
      </c>
      <c r="Z153" s="30"/>
      <c r="AA153" s="32">
        <v>1.8380336423239999E-2</v>
      </c>
      <c r="AB153" s="30"/>
      <c r="AC153" s="32">
        <v>1.65064545585724E-2</v>
      </c>
      <c r="AD153" s="30"/>
      <c r="AE153" s="32">
        <v>5.7786064971247402E-3</v>
      </c>
      <c r="AF153" s="30"/>
      <c r="AG153" s="32">
        <v>2.0759225515306502E-3</v>
      </c>
      <c r="AH153" s="30"/>
      <c r="AI153" s="32">
        <v>1.87388186466765E-3</v>
      </c>
      <c r="AJ153" s="30"/>
      <c r="AK153" s="32">
        <v>-3.1156810232086499E-2</v>
      </c>
      <c r="AL153" s="30"/>
      <c r="AM153" s="32">
        <v>-9.0095468312423998E-3</v>
      </c>
      <c r="AN153" s="30"/>
      <c r="AO153" s="32">
        <v>8.6419425627325599E-3</v>
      </c>
      <c r="AP153" s="30"/>
      <c r="AQ153" s="32">
        <v>8.7725215478164607E-3</v>
      </c>
      <c r="AR153" s="30"/>
      <c r="AS153" s="32">
        <v>-2.2147263400844101E-2</v>
      </c>
      <c r="AT153" s="30"/>
      <c r="AU153" s="32">
        <v>3.1586526925884303E-2</v>
      </c>
      <c r="AV153" s="30"/>
      <c r="AW153" s="32">
        <v>2.2351848832316199E-2</v>
      </c>
      <c r="AX153" s="30"/>
      <c r="AY153" s="32">
        <v>9.2346780935681199E-3</v>
      </c>
      <c r="AZ153" s="30"/>
      <c r="BA153" s="32">
        <v>7.3607962289004699E-3</v>
      </c>
      <c r="BB153" s="30"/>
      <c r="BC153" s="32">
        <v>-1.33747418530277E-2</v>
      </c>
      <c r="BD153" s="30"/>
      <c r="BE153" s="32"/>
      <c r="BF153" s="30"/>
    </row>
    <row r="154" spans="1:58" x14ac:dyDescent="0.2">
      <c r="A154" s="28">
        <v>2015</v>
      </c>
      <c r="B154" s="28">
        <v>3</v>
      </c>
      <c r="C154" s="32"/>
      <c r="D154" s="30"/>
      <c r="E154" s="32">
        <v>-2.0436630170444701E-2</v>
      </c>
      <c r="F154" s="30"/>
      <c r="G154" s="32">
        <v>1.4758207717258101E-2</v>
      </c>
      <c r="H154" s="30"/>
      <c r="I154" s="32">
        <v>1.37497804364645E-2</v>
      </c>
      <c r="J154" s="30"/>
      <c r="K154" s="32">
        <v>1.0084272807935799E-3</v>
      </c>
      <c r="L154" s="30"/>
      <c r="M154" s="32">
        <v>-3.5194837887702703E-2</v>
      </c>
      <c r="N154" s="30"/>
      <c r="O154" s="32">
        <v>7.61489293729746E-3</v>
      </c>
      <c r="P154" s="30"/>
      <c r="Q154" s="32">
        <v>1.15488737295492E-3</v>
      </c>
      <c r="R154" s="30"/>
      <c r="S154" s="32">
        <v>6.4600055643425401E-3</v>
      </c>
      <c r="T154" s="30"/>
      <c r="U154" s="32">
        <v>-3.7258416519857999E-2</v>
      </c>
      <c r="V154" s="30"/>
      <c r="W154" s="32">
        <v>-5.5513143051422204E-3</v>
      </c>
      <c r="X154" s="30"/>
      <c r="Y154" s="32">
        <v>3.3528410422398597E-2</v>
      </c>
      <c r="Z154" s="30"/>
      <c r="AA154" s="32">
        <v>6.3461149198132102E-2</v>
      </c>
      <c r="AB154" s="30"/>
      <c r="AC154" s="32">
        <v>5.3935693626722001E-2</v>
      </c>
      <c r="AD154" s="30"/>
      <c r="AE154" s="32">
        <v>2.02147471395056E-2</v>
      </c>
      <c r="AF154" s="30"/>
      <c r="AG154" s="32">
        <v>-3.19728108641582E-3</v>
      </c>
      <c r="AH154" s="30"/>
      <c r="AI154" s="32">
        <v>9.5254555714101297E-3</v>
      </c>
      <c r="AJ154" s="30"/>
      <c r="AK154" s="32">
        <v>-2.9932738775733499E-2</v>
      </c>
      <c r="AL154" s="30"/>
      <c r="AM154" s="32">
        <v>-1.8800031675308901E-2</v>
      </c>
      <c r="AN154" s="30"/>
      <c r="AO154" s="32">
        <v>7.7555550546627603E-3</v>
      </c>
      <c r="AP154" s="30"/>
      <c r="AQ154" s="32">
        <v>8.6685897233368808E-3</v>
      </c>
      <c r="AR154" s="30"/>
      <c r="AS154" s="32">
        <v>-1.11327071004247E-2</v>
      </c>
      <c r="AT154" s="30"/>
      <c r="AU154" s="32">
        <v>5.2814314148899699E-2</v>
      </c>
      <c r="AV154" s="30"/>
      <c r="AW154" s="32">
        <v>2.23731006545555E-2</v>
      </c>
      <c r="AX154" s="30"/>
      <c r="AY154" s="32">
        <v>3.0441213494344099E-2</v>
      </c>
      <c r="AZ154" s="30"/>
      <c r="BA154" s="32">
        <v>2.0915757922934E-2</v>
      </c>
      <c r="BB154" s="30"/>
      <c r="BC154" s="32">
        <v>-2.4641173770877799E-3</v>
      </c>
      <c r="BD154" s="30"/>
      <c r="BE154" s="32"/>
      <c r="BF154" s="30"/>
    </row>
    <row r="155" spans="1:58" x14ac:dyDescent="0.2">
      <c r="A155" s="28">
        <v>2015</v>
      </c>
      <c r="B155" s="28">
        <v>4</v>
      </c>
      <c r="C155" s="32"/>
      <c r="D155" s="30"/>
      <c r="E155" s="32">
        <v>1.9925504516871501E-2</v>
      </c>
      <c r="F155" s="30"/>
      <c r="G155" s="32">
        <v>1.30565851231322E-2</v>
      </c>
      <c r="H155" s="30"/>
      <c r="I155" s="32">
        <v>1.2637579751855799E-2</v>
      </c>
      <c r="J155" s="30"/>
      <c r="K155" s="32">
        <v>4.1900537127639902E-4</v>
      </c>
      <c r="L155" s="30"/>
      <c r="M155" s="32">
        <v>6.8689193937393903E-3</v>
      </c>
      <c r="N155" s="30"/>
      <c r="O155" s="32">
        <v>4.8982632489560501E-3</v>
      </c>
      <c r="P155" s="30"/>
      <c r="Q155" s="32">
        <v>7.8344299325314203E-4</v>
      </c>
      <c r="R155" s="30"/>
      <c r="S155" s="32">
        <v>4.1148202557029102E-3</v>
      </c>
      <c r="T155" s="30"/>
      <c r="U155" s="32">
        <v>-1.72574818141751E-2</v>
      </c>
      <c r="V155" s="30"/>
      <c r="W155" s="32">
        <v>1.9228137958958402E-2</v>
      </c>
      <c r="X155" s="30"/>
      <c r="Y155" s="32">
        <v>-5.70643878494411E-3</v>
      </c>
      <c r="Z155" s="30"/>
      <c r="AA155" s="32">
        <v>2.7510313022466801E-2</v>
      </c>
      <c r="AB155" s="30"/>
      <c r="AC155" s="32">
        <v>1.27751879965239E-2</v>
      </c>
      <c r="AD155" s="30"/>
      <c r="AE155" s="32">
        <v>2.2762009241144101E-2</v>
      </c>
      <c r="AF155" s="30"/>
      <c r="AG155" s="32">
        <v>1.1562601009202899E-2</v>
      </c>
      <c r="AH155" s="30"/>
      <c r="AI155" s="32">
        <v>1.4735125025942901E-2</v>
      </c>
      <c r="AJ155" s="30"/>
      <c r="AK155" s="32">
        <v>-3.3216751807410898E-2</v>
      </c>
      <c r="AL155" s="30"/>
      <c r="AM155" s="32">
        <v>-1.77332876061661E-2</v>
      </c>
      <c r="AN155" s="30"/>
      <c r="AO155" s="32">
        <v>-1.1233448191199299E-2</v>
      </c>
      <c r="AP155" s="30"/>
      <c r="AQ155" s="32">
        <v>-1.03462282032584E-2</v>
      </c>
      <c r="AR155" s="30"/>
      <c r="AS155" s="32">
        <v>-1.5483464201244799E-2</v>
      </c>
      <c r="AT155" s="30"/>
      <c r="AU155" s="32">
        <v>5.73062399506057E-2</v>
      </c>
      <c r="AV155" s="30"/>
      <c r="AW155" s="32">
        <v>1.7954848372088199E-2</v>
      </c>
      <c r="AX155" s="30"/>
      <c r="AY155" s="32">
        <v>3.93513915785174E-2</v>
      </c>
      <c r="AZ155" s="30"/>
      <c r="BA155" s="32">
        <v>2.4616266552574501E-2</v>
      </c>
      <c r="BB155" s="30"/>
      <c r="BC155" s="32">
        <v>-2.58296924045032E-2</v>
      </c>
      <c r="BD155" s="30"/>
      <c r="BE155" s="32"/>
      <c r="BF155" s="30"/>
    </row>
    <row r="156" spans="1:58" x14ac:dyDescent="0.2">
      <c r="A156" s="28">
        <v>2016</v>
      </c>
      <c r="B156" s="28">
        <v>1</v>
      </c>
      <c r="C156" s="32"/>
      <c r="D156" s="30"/>
      <c r="E156" s="32">
        <v>3.54409500890717E-2</v>
      </c>
      <c r="F156" s="30"/>
      <c r="G156" s="32">
        <v>9.7895736651939808E-3</v>
      </c>
      <c r="H156" s="30"/>
      <c r="I156" s="32">
        <v>9.1481098449288697E-3</v>
      </c>
      <c r="J156" s="30"/>
      <c r="K156" s="32">
        <v>6.4146382026510301E-4</v>
      </c>
      <c r="L156" s="30"/>
      <c r="M156" s="32">
        <v>2.56513764238777E-2</v>
      </c>
      <c r="N156" s="30"/>
      <c r="O156" s="32">
        <v>1.0311711031082801E-2</v>
      </c>
      <c r="P156" s="30"/>
      <c r="Q156" s="32">
        <v>-1.175023361013E-4</v>
      </c>
      <c r="R156" s="30"/>
      <c r="S156" s="32">
        <v>1.0429213367184101E-2</v>
      </c>
      <c r="T156" s="30"/>
      <c r="U156" s="32">
        <v>-1.9866996874292699E-2</v>
      </c>
      <c r="V156" s="30"/>
      <c r="W156" s="32">
        <v>3.5206662267087498E-2</v>
      </c>
      <c r="X156" s="30"/>
      <c r="Y156" s="32">
        <v>-1.32200356673328E-2</v>
      </c>
      <c r="Z156" s="30"/>
      <c r="AA156" s="32">
        <v>5.6398312818393501E-3</v>
      </c>
      <c r="AB156" s="30"/>
      <c r="AC156" s="32">
        <v>1.1246389976784601E-3</v>
      </c>
      <c r="AD156" s="30"/>
      <c r="AE156" s="32">
        <v>3.2016087892086299E-2</v>
      </c>
      <c r="AF156" s="30"/>
      <c r="AG156" s="32">
        <v>1.7471549986568701E-2</v>
      </c>
      <c r="AH156" s="30"/>
      <c r="AI156" s="32">
        <v>4.5151922841608896E-3</v>
      </c>
      <c r="AJ156" s="30"/>
      <c r="AK156" s="32">
        <v>-1.8859866949172199E-2</v>
      </c>
      <c r="AL156" s="30"/>
      <c r="AM156" s="32">
        <v>-9.5978426441934404E-3</v>
      </c>
      <c r="AN156" s="30"/>
      <c r="AO156" s="32">
        <v>-5.30832793386292E-3</v>
      </c>
      <c r="AP156" s="30"/>
      <c r="AQ156" s="32">
        <v>-3.5227893942604898E-3</v>
      </c>
      <c r="AR156" s="30"/>
      <c r="AS156" s="32">
        <v>-9.2620243049787096E-3</v>
      </c>
      <c r="AT156" s="30"/>
      <c r="AU156" s="32">
        <v>5.4872724995270801E-2</v>
      </c>
      <c r="AV156" s="30"/>
      <c r="AW156" s="32">
        <v>2.0101284696276801E-2</v>
      </c>
      <c r="AX156" s="30"/>
      <c r="AY156" s="32">
        <v>3.47714402989939E-2</v>
      </c>
      <c r="AZ156" s="30"/>
      <c r="BA156" s="32">
        <v>3.02562480148331E-2</v>
      </c>
      <c r="BB156" s="30"/>
      <c r="BC156" s="32">
        <v>-1.27848136992392E-2</v>
      </c>
      <c r="BD156" s="30"/>
      <c r="BE156" s="32"/>
      <c r="BF156" s="30"/>
    </row>
    <row r="157" spans="1:58" x14ac:dyDescent="0.2">
      <c r="A157" s="28">
        <v>2016</v>
      </c>
      <c r="B157" s="28">
        <v>2</v>
      </c>
      <c r="C157" s="32"/>
      <c r="D157" s="30"/>
      <c r="E157" s="32">
        <v>-3.1572610023613301E-3</v>
      </c>
      <c r="F157" s="30"/>
      <c r="G157" s="32">
        <v>7.5306806750175597E-3</v>
      </c>
      <c r="H157" s="30"/>
      <c r="I157" s="32">
        <v>6.7888261596516803E-3</v>
      </c>
      <c r="J157" s="30"/>
      <c r="K157" s="32">
        <v>7.4185451536587803E-4</v>
      </c>
      <c r="L157" s="30"/>
      <c r="M157" s="32">
        <v>-1.0687941677378901E-2</v>
      </c>
      <c r="N157" s="30"/>
      <c r="O157" s="32">
        <v>7.8965671187343697E-3</v>
      </c>
      <c r="P157" s="30"/>
      <c r="Q157" s="32">
        <v>-6.7718293262956095E-4</v>
      </c>
      <c r="R157" s="30"/>
      <c r="S157" s="32">
        <v>8.5737500513639302E-3</v>
      </c>
      <c r="T157" s="30"/>
      <c r="U157" s="32">
        <v>-1.5300522018746E-2</v>
      </c>
      <c r="V157" s="30"/>
      <c r="W157" s="32">
        <v>-3.28398677736727E-3</v>
      </c>
      <c r="X157" s="30"/>
      <c r="Y157" s="32">
        <v>3.0265740803002001E-2</v>
      </c>
      <c r="Z157" s="30"/>
      <c r="AA157" s="32">
        <v>7.5670856701299402E-2</v>
      </c>
      <c r="AB157" s="30"/>
      <c r="AC157" s="32">
        <v>6.5919697846448397E-2</v>
      </c>
      <c r="AD157" s="30"/>
      <c r="AE157" s="32">
        <v>4.0231399495254297E-2</v>
      </c>
      <c r="AF157" s="30"/>
      <c r="AG157" s="32">
        <v>2.77268302804923E-2</v>
      </c>
      <c r="AH157" s="30"/>
      <c r="AI157" s="32">
        <v>9.7511588548509793E-3</v>
      </c>
      <c r="AJ157" s="30"/>
      <c r="AK157" s="32">
        <v>-4.5405115898297398E-2</v>
      </c>
      <c r="AL157" s="30"/>
      <c r="AM157" s="32">
        <v>-4.1267484616212699E-2</v>
      </c>
      <c r="AN157" s="30"/>
      <c r="AO157" s="32">
        <v>-2.4544367153544699E-2</v>
      </c>
      <c r="AP157" s="30"/>
      <c r="AQ157" s="32">
        <v>-1.9435102389204002E-2</v>
      </c>
      <c r="AR157" s="30"/>
      <c r="AS157" s="32">
        <v>-4.1376312820846899E-3</v>
      </c>
      <c r="AT157" s="30"/>
      <c r="AU157" s="32">
        <v>6.5981735490675306E-2</v>
      </c>
      <c r="AV157" s="30"/>
      <c r="AW157" s="32">
        <v>1.5427247793751901E-2</v>
      </c>
      <c r="AX157" s="30"/>
      <c r="AY157" s="32">
        <v>5.0554487696923403E-2</v>
      </c>
      <c r="AZ157" s="30"/>
      <c r="BA157" s="32">
        <v>4.0803328842072398E-2</v>
      </c>
      <c r="BB157" s="30"/>
      <c r="BC157" s="32">
        <v>-2.35727336712887E-2</v>
      </c>
      <c r="BD157" s="30"/>
      <c r="BE157" s="32"/>
      <c r="BF157" s="30"/>
    </row>
    <row r="158" spans="1:58" x14ac:dyDescent="0.2">
      <c r="A158" s="28">
        <v>2016</v>
      </c>
      <c r="B158" s="28">
        <v>3</v>
      </c>
      <c r="C158" s="32"/>
      <c r="D158" s="30"/>
      <c r="E158" s="32">
        <v>2.2288138098585399E-2</v>
      </c>
      <c r="F158" s="30"/>
      <c r="G158" s="32">
        <v>4.9261090272905402E-3</v>
      </c>
      <c r="H158" s="30"/>
      <c r="I158" s="32">
        <v>4.0131444930043897E-3</v>
      </c>
      <c r="J158" s="30"/>
      <c r="K158" s="32">
        <v>9.1296453428614901E-4</v>
      </c>
      <c r="L158" s="30"/>
      <c r="M158" s="32">
        <v>1.7362029071294801E-2</v>
      </c>
      <c r="N158" s="30"/>
      <c r="O158" s="32">
        <v>5.7855764001666999E-3</v>
      </c>
      <c r="P158" s="30"/>
      <c r="Q158" s="32">
        <v>2.9944202551785299E-4</v>
      </c>
      <c r="R158" s="30"/>
      <c r="S158" s="32">
        <v>5.4861343746488399E-3</v>
      </c>
      <c r="T158" s="30"/>
      <c r="U158" s="32">
        <v>1.5237649153159401E-2</v>
      </c>
      <c r="V158" s="30"/>
      <c r="W158" s="32">
        <v>-3.6611964820312498E-3</v>
      </c>
      <c r="X158" s="30"/>
      <c r="Y158" s="32">
        <v>-2.8152439913154501E-3</v>
      </c>
      <c r="Z158" s="30"/>
      <c r="AA158" s="32">
        <v>1.4381159968932199E-2</v>
      </c>
      <c r="AB158" s="30"/>
      <c r="AC158" s="32">
        <v>1.25552867289808E-2</v>
      </c>
      <c r="AD158" s="30"/>
      <c r="AE158" s="32">
        <v>7.9737279203437005E-3</v>
      </c>
      <c r="AF158" s="30"/>
      <c r="AG158" s="32">
        <v>1.9914227186880198E-2</v>
      </c>
      <c r="AH158" s="30"/>
      <c r="AI158" s="32">
        <v>1.8258732399513799E-3</v>
      </c>
      <c r="AJ158" s="30"/>
      <c r="AK158" s="32">
        <v>-1.7196403960247599E-2</v>
      </c>
      <c r="AL158" s="30"/>
      <c r="AM158" s="32">
        <v>-9.7488109848963608E-3</v>
      </c>
      <c r="AN158" s="30"/>
      <c r="AO158" s="32">
        <v>-1.40781467280477E-2</v>
      </c>
      <c r="AP158" s="30"/>
      <c r="AQ158" s="32">
        <v>-1.3743734577777E-2</v>
      </c>
      <c r="AR158" s="30"/>
      <c r="AS158" s="32">
        <v>-7.4475929753512696E-3</v>
      </c>
      <c r="AT158" s="30"/>
      <c r="AU158" s="32">
        <v>2.5426572507238801E-2</v>
      </c>
      <c r="AV158" s="30"/>
      <c r="AW158" s="32">
        <v>1.07116854274572E-2</v>
      </c>
      <c r="AX158" s="30"/>
      <c r="AY158" s="32">
        <v>1.4714887079781599E-2</v>
      </c>
      <c r="AZ158" s="30"/>
      <c r="BA158" s="32">
        <v>1.28890138398302E-2</v>
      </c>
      <c r="BB158" s="30"/>
      <c r="BC158" s="32">
        <v>-2.1191327553128299E-2</v>
      </c>
      <c r="BD158" s="30"/>
      <c r="BE158" s="32"/>
      <c r="BF158" s="30"/>
    </row>
    <row r="159" spans="1:58" x14ac:dyDescent="0.2">
      <c r="A159" s="28">
        <v>2016</v>
      </c>
      <c r="B159" s="28">
        <v>4</v>
      </c>
      <c r="C159" s="32"/>
      <c r="D159" s="30"/>
      <c r="E159" s="32">
        <v>-1.38946366532555E-2</v>
      </c>
      <c r="F159" s="30"/>
      <c r="G159" s="32">
        <v>8.7132137219479901E-3</v>
      </c>
      <c r="H159" s="30"/>
      <c r="I159" s="32">
        <v>7.5655149638081997E-3</v>
      </c>
      <c r="J159" s="30"/>
      <c r="K159" s="32">
        <v>1.14769875813979E-3</v>
      </c>
      <c r="L159" s="30"/>
      <c r="M159" s="32">
        <v>-2.2607850375203499E-2</v>
      </c>
      <c r="N159" s="30"/>
      <c r="O159" s="32">
        <v>8.1913976126263208E-3</v>
      </c>
      <c r="P159" s="30"/>
      <c r="Q159" s="32">
        <v>-1.27979767643568E-4</v>
      </c>
      <c r="R159" s="30"/>
      <c r="S159" s="32">
        <v>8.3193773802698791E-3</v>
      </c>
      <c r="T159" s="30"/>
      <c r="U159" s="32">
        <v>-2.4982229807095E-2</v>
      </c>
      <c r="V159" s="30"/>
      <c r="W159" s="32">
        <v>-5.8170181807347798E-3</v>
      </c>
      <c r="X159" s="30"/>
      <c r="Y159" s="32">
        <v>2.20247220401097E-2</v>
      </c>
      <c r="Z159" s="30"/>
      <c r="AA159" s="32">
        <v>5.1286749383286499E-2</v>
      </c>
      <c r="AB159" s="30"/>
      <c r="AC159" s="32">
        <v>3.7224772897970097E-2</v>
      </c>
      <c r="AD159" s="30"/>
      <c r="AE159" s="32">
        <v>1.48170418694911E-2</v>
      </c>
      <c r="AF159" s="30"/>
      <c r="AG159" s="32">
        <v>3.2812618340879399E-3</v>
      </c>
      <c r="AH159" s="30"/>
      <c r="AI159" s="32">
        <v>1.40619764853164E-2</v>
      </c>
      <c r="AJ159" s="30"/>
      <c r="AK159" s="32">
        <v>-2.9262027343176799E-2</v>
      </c>
      <c r="AL159" s="30"/>
      <c r="AM159" s="32">
        <v>-1.7213827381915799E-2</v>
      </c>
      <c r="AN159" s="30"/>
      <c r="AO159" s="32">
        <v>-5.6956373496127297E-4</v>
      </c>
      <c r="AP159" s="30"/>
      <c r="AQ159" s="32">
        <v>7.6744720483709703E-4</v>
      </c>
      <c r="AR159" s="30"/>
      <c r="AS159" s="32">
        <v>-1.20481999612609E-2</v>
      </c>
      <c r="AT159" s="30"/>
      <c r="AU159" s="32">
        <v>4.4393067950373101E-2</v>
      </c>
      <c r="AV159" s="30"/>
      <c r="AW159" s="32">
        <v>1.6904611334574299E-2</v>
      </c>
      <c r="AX159" s="30"/>
      <c r="AY159" s="32">
        <v>2.7488456615798799E-2</v>
      </c>
      <c r="AZ159" s="30"/>
      <c r="BA159" s="32">
        <v>1.34264801304823E-2</v>
      </c>
      <c r="BB159" s="30"/>
      <c r="BC159" s="32">
        <v>-1.12807527564238E-2</v>
      </c>
      <c r="BD159" s="30"/>
      <c r="BE159" s="32"/>
      <c r="BF159" s="30"/>
    </row>
    <row r="160" spans="1:58" x14ac:dyDescent="0.2">
      <c r="A160" s="28">
        <v>2017</v>
      </c>
      <c r="B160" s="28">
        <v>1</v>
      </c>
      <c r="C160" s="32"/>
      <c r="D160" s="30"/>
      <c r="E160" s="32">
        <v>3.0733070331404599E-3</v>
      </c>
      <c r="F160" s="30"/>
      <c r="G160" s="32">
        <v>1.0623207463477301E-2</v>
      </c>
      <c r="H160" s="30"/>
      <c r="I160" s="32">
        <v>9.3013989761303196E-3</v>
      </c>
      <c r="J160" s="30"/>
      <c r="K160" s="32">
        <v>1.32180848734702E-3</v>
      </c>
      <c r="L160" s="30"/>
      <c r="M160" s="32">
        <v>-7.5499004303368799E-3</v>
      </c>
      <c r="N160" s="30"/>
      <c r="O160" s="32">
        <v>9.0430813658076703E-3</v>
      </c>
      <c r="P160" s="30"/>
      <c r="Q160" s="32">
        <v>5.4120066068022801E-4</v>
      </c>
      <c r="R160" s="30"/>
      <c r="S160" s="32">
        <v>8.5018807051274407E-3</v>
      </c>
      <c r="T160" s="30"/>
      <c r="U160" s="32">
        <v>-8.2287537619077505E-3</v>
      </c>
      <c r="V160" s="30"/>
      <c r="W160" s="32">
        <v>-8.3642280342368005E-3</v>
      </c>
      <c r="X160" s="30"/>
      <c r="Y160" s="32">
        <v>7.6447832731075796E-3</v>
      </c>
      <c r="Z160" s="30"/>
      <c r="AA160" s="32">
        <v>8.7634243613547401E-3</v>
      </c>
      <c r="AB160" s="30"/>
      <c r="AC160" s="32">
        <v>5.8022351405054096E-3</v>
      </c>
      <c r="AD160" s="30"/>
      <c r="AE160" s="32">
        <v>8.7292798690535005E-3</v>
      </c>
      <c r="AF160" s="30"/>
      <c r="AG160" s="32">
        <v>2.48335687655813E-2</v>
      </c>
      <c r="AH160" s="30"/>
      <c r="AI160" s="32">
        <v>2.9611892208493301E-3</v>
      </c>
      <c r="AJ160" s="30"/>
      <c r="AK160" s="32">
        <v>-1.1186410882471701E-3</v>
      </c>
      <c r="AL160" s="30"/>
      <c r="AM160" s="32">
        <v>6.4620725212326804E-3</v>
      </c>
      <c r="AN160" s="30"/>
      <c r="AO160" s="32">
        <v>-2.1078874632174099E-3</v>
      </c>
      <c r="AP160" s="30"/>
      <c r="AQ160" s="32">
        <v>-2.9384264540080699E-3</v>
      </c>
      <c r="AR160" s="30"/>
      <c r="AS160" s="32">
        <v>-7.5807136094798496E-3</v>
      </c>
      <c r="AT160" s="30"/>
      <c r="AU160" s="32">
        <v>2.94659841316437E-2</v>
      </c>
      <c r="AV160" s="30"/>
      <c r="AW160" s="32">
        <v>1.9666288829284999E-2</v>
      </c>
      <c r="AX160" s="30"/>
      <c r="AY160" s="32">
        <v>9.7996953023586908E-3</v>
      </c>
      <c r="AZ160" s="30"/>
      <c r="BA160" s="32">
        <v>6.8385060815093603E-3</v>
      </c>
      <c r="BB160" s="30"/>
      <c r="BC160" s="32">
        <v>-1.05191400634879E-2</v>
      </c>
      <c r="BD160" s="30"/>
      <c r="BE160" s="32"/>
      <c r="BF160" s="30"/>
    </row>
    <row r="161" spans="1:58" x14ac:dyDescent="0.2">
      <c r="A161" s="28">
        <v>2017</v>
      </c>
      <c r="B161" s="28">
        <v>2</v>
      </c>
      <c r="C161" s="32"/>
      <c r="D161" s="30"/>
      <c r="E161" s="32">
        <v>8.3165165570934802E-3</v>
      </c>
      <c r="F161" s="30"/>
      <c r="G161" s="32">
        <v>9.8313586144162506E-3</v>
      </c>
      <c r="H161" s="30"/>
      <c r="I161" s="32">
        <v>8.4849709236368802E-3</v>
      </c>
      <c r="J161" s="30"/>
      <c r="K161" s="32">
        <v>1.34638769077937E-3</v>
      </c>
      <c r="L161" s="30"/>
      <c r="M161" s="32">
        <v>-1.51484205732277E-3</v>
      </c>
      <c r="N161" s="30"/>
      <c r="O161" s="32">
        <v>8.4136886888845595E-3</v>
      </c>
      <c r="P161" s="30"/>
      <c r="Q161" s="32">
        <v>1.4083482821879499E-3</v>
      </c>
      <c r="R161" s="30"/>
      <c r="S161" s="32">
        <v>7.0053404066966101E-3</v>
      </c>
      <c r="T161" s="30"/>
      <c r="U161" s="32">
        <v>2.1904647796888699E-3</v>
      </c>
      <c r="V161" s="30"/>
      <c r="W161" s="32">
        <v>-1.21189955258962E-2</v>
      </c>
      <c r="X161" s="30"/>
      <c r="Y161" s="32">
        <v>-1.65204654978951E-3</v>
      </c>
      <c r="Z161" s="30"/>
      <c r="AA161" s="32">
        <v>-5.3115037887659696E-3</v>
      </c>
      <c r="AB161" s="30"/>
      <c r="AC161" s="32">
        <v>-1.49205972655149E-3</v>
      </c>
      <c r="AD161" s="30"/>
      <c r="AE161" s="32">
        <v>5.0789555573195703E-3</v>
      </c>
      <c r="AF161" s="30"/>
      <c r="AG161" s="32">
        <v>1.0434525567671001E-2</v>
      </c>
      <c r="AH161" s="30"/>
      <c r="AI161" s="32">
        <v>-3.8194440622144801E-3</v>
      </c>
      <c r="AJ161" s="30"/>
      <c r="AK161" s="32">
        <v>3.6594572389764598E-3</v>
      </c>
      <c r="AL161" s="30"/>
      <c r="AM161" s="32">
        <v>1.3049795392203099E-2</v>
      </c>
      <c r="AN161" s="30"/>
      <c r="AO161" s="32">
        <v>-2.7005615022567299E-3</v>
      </c>
      <c r="AP161" s="30"/>
      <c r="AQ161" s="32">
        <v>-5.2398442172575596E-3</v>
      </c>
      <c r="AR161" s="30"/>
      <c r="AS161" s="32">
        <v>-9.3903381532265996E-3</v>
      </c>
      <c r="AT161" s="30"/>
      <c r="AU161" s="32">
        <v>1.9104187598099301E-2</v>
      </c>
      <c r="AV161" s="30"/>
      <c r="AW161" s="32">
        <v>1.8245047303300801E-2</v>
      </c>
      <c r="AX161" s="30"/>
      <c r="AY161" s="32">
        <v>8.5914029479844704E-4</v>
      </c>
      <c r="AZ161" s="30"/>
      <c r="BA161" s="32">
        <v>4.67858435701293E-3</v>
      </c>
      <c r="BB161" s="30"/>
      <c r="BC161" s="32">
        <v>-1.4630182370484201E-2</v>
      </c>
      <c r="BD161" s="30"/>
      <c r="BE161" s="32"/>
      <c r="BF161" s="30"/>
    </row>
    <row r="162" spans="1:58" x14ac:dyDescent="0.2">
      <c r="A162" s="28">
        <v>2017</v>
      </c>
      <c r="B162" s="28">
        <v>3</v>
      </c>
      <c r="C162" s="32"/>
      <c r="D162" s="30"/>
      <c r="E162" s="32">
        <v>3.19263645419849E-2</v>
      </c>
      <c r="F162" s="30"/>
      <c r="G162" s="32">
        <v>1.08981254845186E-2</v>
      </c>
      <c r="H162" s="30"/>
      <c r="I162" s="32">
        <v>9.1049267932241402E-3</v>
      </c>
      <c r="J162" s="30"/>
      <c r="K162" s="32">
        <v>1.79319869129446E-3</v>
      </c>
      <c r="L162" s="30"/>
      <c r="M162" s="32">
        <v>2.10282390574663E-2</v>
      </c>
      <c r="N162" s="30"/>
      <c r="O162" s="32">
        <v>1.3376219736335701E-2</v>
      </c>
      <c r="P162" s="30"/>
      <c r="Q162" s="32">
        <v>1.2249705236172001E-3</v>
      </c>
      <c r="R162" s="30"/>
      <c r="S162" s="32">
        <v>1.21512492127185E-2</v>
      </c>
      <c r="T162" s="30"/>
      <c r="U162" s="32">
        <v>-3.00838272734168E-2</v>
      </c>
      <c r="V162" s="30"/>
      <c r="W162" s="32">
        <v>3.7735846594547498E-2</v>
      </c>
      <c r="X162" s="30"/>
      <c r="Y162" s="32">
        <v>-1.8372920354219301E-2</v>
      </c>
      <c r="Z162" s="30"/>
      <c r="AA162" s="32">
        <v>5.7679922512170302E-3</v>
      </c>
      <c r="AB162" s="30"/>
      <c r="AC162" s="32">
        <v>-1.2746836442370301E-4</v>
      </c>
      <c r="AD162" s="30"/>
      <c r="AE162" s="32">
        <v>4.03667975398024E-2</v>
      </c>
      <c r="AF162" s="30"/>
      <c r="AG162" s="32">
        <v>1.05290515804579E-2</v>
      </c>
      <c r="AH162" s="30"/>
      <c r="AI162" s="32">
        <v>5.8954606156407302E-3</v>
      </c>
      <c r="AJ162" s="30"/>
      <c r="AK162" s="32">
        <v>-2.4140912605436299E-2</v>
      </c>
      <c r="AL162" s="30"/>
      <c r="AM162" s="32">
        <v>-1.18273294884172E-2</v>
      </c>
      <c r="AN162" s="30"/>
      <c r="AO162" s="32">
        <v>-9.5157941135891894E-3</v>
      </c>
      <c r="AP162" s="30"/>
      <c r="AQ162" s="32">
        <v>-7.1072744909757802E-3</v>
      </c>
      <c r="AR162" s="30"/>
      <c r="AS162" s="32">
        <v>-1.23135831170191E-2</v>
      </c>
      <c r="AT162" s="30"/>
      <c r="AU162" s="32">
        <v>6.3058129069177404E-2</v>
      </c>
      <c r="AV162" s="30"/>
      <c r="AW162" s="32">
        <v>2.4274345220854299E-2</v>
      </c>
      <c r="AX162" s="30"/>
      <c r="AY162" s="32">
        <v>3.8783783848323101E-2</v>
      </c>
      <c r="AZ162" s="30"/>
      <c r="BA162" s="32">
        <v>3.2888323232682398E-2</v>
      </c>
      <c r="BB162" s="30"/>
      <c r="BC162" s="32">
        <v>-1.9420857607994901E-2</v>
      </c>
      <c r="BD162" s="30"/>
      <c r="BE162" s="32"/>
      <c r="BF162" s="30"/>
    </row>
    <row r="163" spans="1:58" x14ac:dyDescent="0.2">
      <c r="A163" s="28">
        <v>2017</v>
      </c>
      <c r="B163" s="28">
        <v>4</v>
      </c>
      <c r="C163" s="32"/>
      <c r="D163" s="30"/>
      <c r="E163" s="32">
        <v>2.2503483540706901E-2</v>
      </c>
      <c r="F163" s="30"/>
      <c r="G163" s="32">
        <v>5.6538240139343303E-3</v>
      </c>
      <c r="H163" s="30"/>
      <c r="I163" s="32">
        <v>3.5653888828893199E-3</v>
      </c>
      <c r="J163" s="30"/>
      <c r="K163" s="32">
        <v>2.0884351310450199E-3</v>
      </c>
      <c r="L163" s="30"/>
      <c r="M163" s="32">
        <v>1.68496595267725E-2</v>
      </c>
      <c r="N163" s="30"/>
      <c r="O163" s="32">
        <v>1.30615736614558E-2</v>
      </c>
      <c r="P163" s="30"/>
      <c r="Q163" s="32">
        <v>2.4092999199103902E-3</v>
      </c>
      <c r="R163" s="30"/>
      <c r="S163" s="32">
        <v>1.06522737415454E-2</v>
      </c>
      <c r="T163" s="30"/>
      <c r="U163" s="32">
        <v>2.0933585445190198E-2</v>
      </c>
      <c r="V163" s="30"/>
      <c r="W163" s="32">
        <v>-1.7145499579873501E-2</v>
      </c>
      <c r="X163" s="30"/>
      <c r="Y163" s="32">
        <v>3.0827338074604798E-3</v>
      </c>
      <c r="Z163" s="30"/>
      <c r="AA163" s="32">
        <v>-3.0223150396773899E-2</v>
      </c>
      <c r="AB163" s="30"/>
      <c r="AC163" s="32">
        <v>-1.6944302611180899E-2</v>
      </c>
      <c r="AD163" s="30"/>
      <c r="AE163" s="32">
        <v>3.0654410007103401E-2</v>
      </c>
      <c r="AF163" s="30"/>
      <c r="AG163" s="32">
        <v>1.8411719000420899E-2</v>
      </c>
      <c r="AH163" s="30"/>
      <c r="AI163" s="32">
        <v>-1.32788477855929E-2</v>
      </c>
      <c r="AJ163" s="30"/>
      <c r="AK163" s="32">
        <v>3.3305884204234297E-2</v>
      </c>
      <c r="AL163" s="30"/>
      <c r="AM163" s="32">
        <v>3.7241131792187403E-2</v>
      </c>
      <c r="AN163" s="30"/>
      <c r="AO163" s="32">
        <v>-2.0695887566837799E-2</v>
      </c>
      <c r="AP163" s="30"/>
      <c r="AQ163" s="32">
        <v>-1.9540152061569699E-2</v>
      </c>
      <c r="AR163" s="30"/>
      <c r="AS163" s="32">
        <v>-3.9352475879530502E-3</v>
      </c>
      <c r="AT163" s="30"/>
      <c r="AU163" s="32">
        <v>2.8128031552499998E-2</v>
      </c>
      <c r="AV163" s="30"/>
      <c r="AW163" s="32">
        <v>1.87153976753901E-2</v>
      </c>
      <c r="AX163" s="30"/>
      <c r="AY163" s="32">
        <v>9.4126338771098293E-3</v>
      </c>
      <c r="AZ163" s="30"/>
      <c r="BA163" s="32">
        <v>2.2691481662702701E-2</v>
      </c>
      <c r="BB163" s="30"/>
      <c r="BC163" s="32">
        <v>-2.3475399649522801E-2</v>
      </c>
      <c r="BD163" s="30"/>
      <c r="BE163" s="32"/>
      <c r="BF163" s="30"/>
    </row>
    <row r="164" spans="1:58" x14ac:dyDescent="0.2">
      <c r="A164" s="28">
        <v>2018</v>
      </c>
      <c r="B164" s="28">
        <v>1</v>
      </c>
      <c r="C164" s="32"/>
      <c r="D164" s="30"/>
      <c r="E164" s="32">
        <v>-3.9143148611685698E-2</v>
      </c>
      <c r="F164" s="30"/>
      <c r="G164" s="32">
        <v>3.4747794236912998E-3</v>
      </c>
      <c r="H164" s="30"/>
      <c r="I164" s="32">
        <v>1.9520232515894301E-3</v>
      </c>
      <c r="J164" s="30"/>
      <c r="K164" s="32">
        <v>1.52275617210187E-3</v>
      </c>
      <c r="L164" s="30"/>
      <c r="M164" s="32">
        <v>-4.2617928035376999E-2</v>
      </c>
      <c r="N164" s="30"/>
      <c r="O164" s="32">
        <v>1.29348966115137E-2</v>
      </c>
      <c r="P164" s="30"/>
      <c r="Q164" s="32">
        <v>5.1358502844916403E-4</v>
      </c>
      <c r="R164" s="30"/>
      <c r="S164" s="32">
        <v>1.2421311583064599E-2</v>
      </c>
      <c r="T164" s="30"/>
      <c r="U164" s="32">
        <v>-6.6244634168858198E-3</v>
      </c>
      <c r="V164" s="30"/>
      <c r="W164" s="32">
        <v>-4.8928361230004901E-2</v>
      </c>
      <c r="X164" s="30"/>
      <c r="Y164" s="32">
        <v>7.5132339987695695E-2</v>
      </c>
      <c r="Z164" s="30"/>
      <c r="AA164" s="32">
        <v>7.0229028816871306E-2</v>
      </c>
      <c r="AB164" s="30"/>
      <c r="AC164" s="32">
        <v>5.1764654867911798E-2</v>
      </c>
      <c r="AD164" s="30"/>
      <c r="AE164" s="32">
        <v>4.4267156817393502E-2</v>
      </c>
      <c r="AF164" s="30"/>
      <c r="AG164" s="32">
        <v>1.05711478627126E-2</v>
      </c>
      <c r="AH164" s="30"/>
      <c r="AI164" s="32">
        <v>1.84643739489595E-2</v>
      </c>
      <c r="AJ164" s="30"/>
      <c r="AK164" s="32">
        <v>4.9033111708244098E-3</v>
      </c>
      <c r="AL164" s="30"/>
      <c r="AM164" s="32">
        <v>9.5171633611885204E-3</v>
      </c>
      <c r="AN164" s="30"/>
      <c r="AO164" s="32">
        <v>-2.7405141315804502E-2</v>
      </c>
      <c r="AP164" s="30"/>
      <c r="AQ164" s="32">
        <v>-2.7945326860118299E-2</v>
      </c>
      <c r="AR164" s="30"/>
      <c r="AS164" s="32">
        <v>-4.6138521903641098E-3</v>
      </c>
      <c r="AT164" s="30"/>
      <c r="AU164" s="32">
        <v>7.5172833843378195E-2</v>
      </c>
      <c r="AV164" s="30"/>
      <c r="AW164" s="32">
        <v>1.6409676035205101E-2</v>
      </c>
      <c r="AX164" s="30"/>
      <c r="AY164" s="32">
        <v>5.8763157808173198E-2</v>
      </c>
      <c r="AZ164" s="30"/>
      <c r="BA164" s="32">
        <v>4.0298783859213698E-2</v>
      </c>
      <c r="BB164" s="30"/>
      <c r="BC164" s="32">
        <v>-3.2559179050482397E-2</v>
      </c>
      <c r="BD164" s="30"/>
      <c r="BE164" s="32"/>
      <c r="BF164" s="30"/>
    </row>
    <row r="165" spans="1:58" x14ac:dyDescent="0.2">
      <c r="A165" s="28">
        <v>2018</v>
      </c>
      <c r="B165" s="28">
        <v>2</v>
      </c>
      <c r="C165" s="32"/>
      <c r="D165" s="30"/>
      <c r="E165" s="32">
        <v>3.49388234727665E-2</v>
      </c>
      <c r="F165" s="30"/>
      <c r="G165" s="32">
        <v>1.93686794178652E-3</v>
      </c>
      <c r="H165" s="30"/>
      <c r="I165" s="32">
        <v>7.03301977706661E-4</v>
      </c>
      <c r="J165" s="30"/>
      <c r="K165" s="32">
        <v>1.2335659640798601E-3</v>
      </c>
      <c r="L165" s="30"/>
      <c r="M165" s="32">
        <v>3.3001955530979898E-2</v>
      </c>
      <c r="N165" s="30"/>
      <c r="O165" s="32">
        <v>8.0546266578444096E-3</v>
      </c>
      <c r="P165" s="30"/>
      <c r="Q165" s="32">
        <v>1.4315355763998101E-3</v>
      </c>
      <c r="R165" s="30"/>
      <c r="S165" s="32">
        <v>6.6230910814446004E-3</v>
      </c>
      <c r="T165" s="30"/>
      <c r="U165" s="32">
        <v>1.8659591708922899E-2</v>
      </c>
      <c r="V165" s="30"/>
      <c r="W165" s="32">
        <v>6.2877371642126303E-3</v>
      </c>
      <c r="X165" s="30"/>
      <c r="Y165" s="32">
        <v>9.5168321600776797E-3</v>
      </c>
      <c r="Z165" s="30"/>
      <c r="AA165" s="32">
        <v>2.4080753047331E-2</v>
      </c>
      <c r="AB165" s="30"/>
      <c r="AC165" s="32">
        <v>3.6058890602435299E-3</v>
      </c>
      <c r="AD165" s="30"/>
      <c r="AE165" s="32">
        <v>2.9821588767727E-2</v>
      </c>
      <c r="AF165" s="30"/>
      <c r="AG165" s="32">
        <v>1.82561242477048E-2</v>
      </c>
      <c r="AH165" s="30"/>
      <c r="AI165" s="32">
        <v>2.0474863987087501E-2</v>
      </c>
      <c r="AJ165" s="30"/>
      <c r="AK165" s="32">
        <v>-1.45639208872533E-2</v>
      </c>
      <c r="AL165" s="30"/>
      <c r="AM165" s="32">
        <v>-1.3596820516478701E-2</v>
      </c>
      <c r="AN165" s="30"/>
      <c r="AO165" s="32">
        <v>-2.3057440042185198E-2</v>
      </c>
      <c r="AP165" s="30"/>
      <c r="AQ165" s="32">
        <v>-2.3757339094963401E-2</v>
      </c>
      <c r="AR165" s="30"/>
      <c r="AS165" s="32">
        <v>-9.6710037077463195E-4</v>
      </c>
      <c r="AT165" s="30"/>
      <c r="AU165" s="32">
        <v>5.0520503389659202E-2</v>
      </c>
      <c r="AV165" s="30"/>
      <c r="AW165" s="32">
        <v>9.9914945996309196E-3</v>
      </c>
      <c r="AX165" s="30"/>
      <c r="AY165" s="32">
        <v>4.0529008790028298E-2</v>
      </c>
      <c r="AZ165" s="30"/>
      <c r="BA165" s="32">
        <v>2.0054144802940901E-2</v>
      </c>
      <c r="BB165" s="30"/>
      <c r="BC165" s="32">
        <v>-2.4724439465738001E-2</v>
      </c>
      <c r="BD165" s="30"/>
      <c r="BE165" s="32"/>
      <c r="BF165" s="30"/>
    </row>
    <row r="166" spans="1:58" x14ac:dyDescent="0.2">
      <c r="A166" s="28">
        <v>2018</v>
      </c>
      <c r="B166" s="28">
        <v>3</v>
      </c>
      <c r="C166" s="32"/>
      <c r="D166" s="30"/>
      <c r="E166" s="32">
        <v>1.8797345903035698E-2</v>
      </c>
      <c r="F166" s="30"/>
      <c r="G166" s="32">
        <v>-1.05694737485639E-3</v>
      </c>
      <c r="H166" s="30"/>
      <c r="I166" s="32">
        <v>-1.8344145881696299E-3</v>
      </c>
      <c r="J166" s="30"/>
      <c r="K166" s="32">
        <v>7.7746721331324196E-4</v>
      </c>
      <c r="L166" s="30"/>
      <c r="M166" s="32">
        <v>1.9854293277892E-2</v>
      </c>
      <c r="N166" s="30"/>
      <c r="O166" s="32">
        <v>-1.0344242375041699E-3</v>
      </c>
      <c r="P166" s="30"/>
      <c r="Q166" s="32">
        <v>-1.6330173279602999E-4</v>
      </c>
      <c r="R166" s="30"/>
      <c r="S166" s="32">
        <v>-8.7112250470813997E-4</v>
      </c>
      <c r="T166" s="30"/>
      <c r="U166" s="32">
        <v>4.3763763176695301E-2</v>
      </c>
      <c r="V166" s="30"/>
      <c r="W166" s="32">
        <v>-2.2875045661299099E-2</v>
      </c>
      <c r="X166" s="30"/>
      <c r="Y166" s="32">
        <v>1.0664352400324499E-2</v>
      </c>
      <c r="Z166" s="30"/>
      <c r="AA166" s="32">
        <v>1.6087015390265198E-2</v>
      </c>
      <c r="AB166" s="30"/>
      <c r="AC166" s="32">
        <v>1.12475675097382E-2</v>
      </c>
      <c r="AD166" s="30"/>
      <c r="AE166" s="32">
        <v>-4.8945150549566298E-3</v>
      </c>
      <c r="AF166" s="30"/>
      <c r="AG166" s="32">
        <v>5.23615863614288E-4</v>
      </c>
      <c r="AH166" s="30"/>
      <c r="AI166" s="32">
        <v>4.8394478805270499E-3</v>
      </c>
      <c r="AJ166" s="30"/>
      <c r="AK166" s="32">
        <v>-5.4226629899406797E-3</v>
      </c>
      <c r="AL166" s="30"/>
      <c r="AM166" s="32">
        <v>-1.12873763602373E-2</v>
      </c>
      <c r="AN166" s="30"/>
      <c r="AO166" s="32">
        <v>-7.6375092287422498E-3</v>
      </c>
      <c r="AP166" s="30"/>
      <c r="AQ166" s="32">
        <v>-1.04011994868394E-2</v>
      </c>
      <c r="AR166" s="30"/>
      <c r="AS166" s="32">
        <v>5.86471337029659E-3</v>
      </c>
      <c r="AT166" s="30"/>
      <c r="AU166" s="32">
        <v>-9.7655787567922907E-3</v>
      </c>
      <c r="AV166" s="30"/>
      <c r="AW166" s="32">
        <v>-2.0913716123605501E-3</v>
      </c>
      <c r="AX166" s="30"/>
      <c r="AY166" s="32">
        <v>-7.6742071444317397E-3</v>
      </c>
      <c r="AZ166" s="30"/>
      <c r="BA166" s="32">
        <v>-1.2513655024958799E-2</v>
      </c>
      <c r="BB166" s="30"/>
      <c r="BC166" s="32">
        <v>-4.5364861165427799E-3</v>
      </c>
      <c r="BD166" s="30"/>
      <c r="BE166" s="32"/>
      <c r="BF166" s="30"/>
    </row>
    <row r="167" spans="1:58" x14ac:dyDescent="0.2">
      <c r="A167" s="28">
        <v>2018</v>
      </c>
      <c r="B167" s="28">
        <v>4</v>
      </c>
      <c r="C167" s="32"/>
      <c r="D167" s="30"/>
      <c r="E167" s="32">
        <v>3.20164524442966E-2</v>
      </c>
      <c r="F167" s="30"/>
      <c r="G167" s="32">
        <v>1.19047028372534E-3</v>
      </c>
      <c r="H167" s="30"/>
      <c r="I167" s="32">
        <v>9.1807739641535703E-4</v>
      </c>
      <c r="J167" s="30"/>
      <c r="K167" s="32">
        <v>2.7239288730997901E-4</v>
      </c>
      <c r="L167" s="30"/>
      <c r="M167" s="32">
        <v>3.0825982160571301E-2</v>
      </c>
      <c r="N167" s="30"/>
      <c r="O167" s="32">
        <v>-4.3998475995822304E-3</v>
      </c>
      <c r="P167" s="30"/>
      <c r="Q167" s="32">
        <v>-1.61407552272474E-3</v>
      </c>
      <c r="R167" s="30"/>
      <c r="S167" s="32">
        <v>-2.7857720768574902E-3</v>
      </c>
      <c r="T167" s="30"/>
      <c r="U167" s="32">
        <v>-6.0019366154103501E-4</v>
      </c>
      <c r="V167" s="30"/>
      <c r="W167" s="32">
        <v>3.5826023421694497E-2</v>
      </c>
      <c r="X167" s="30"/>
      <c r="Y167" s="32">
        <v>-8.3995301495139695E-3</v>
      </c>
      <c r="Z167" s="30"/>
      <c r="AA167" s="32">
        <v>-1.0876780269991801E-2</v>
      </c>
      <c r="AB167" s="30"/>
      <c r="AC167" s="32">
        <v>-1.6041091105855498E-2</v>
      </c>
      <c r="AD167" s="30"/>
      <c r="AE167" s="32">
        <v>2.1209860006898E-2</v>
      </c>
      <c r="AF167" s="30"/>
      <c r="AG167" s="32">
        <v>2.4797776807726098E-2</v>
      </c>
      <c r="AH167" s="30"/>
      <c r="AI167" s="32">
        <v>5.16431083586369E-3</v>
      </c>
      <c r="AJ167" s="30"/>
      <c r="AK167" s="32">
        <v>2.4772501204778298E-3</v>
      </c>
      <c r="AL167" s="30"/>
      <c r="AM167" s="32">
        <v>1.48357453684722E-3</v>
      </c>
      <c r="AN167" s="30"/>
      <c r="AO167" s="32">
        <v>-1.60455310788313E-3</v>
      </c>
      <c r="AP167" s="30"/>
      <c r="AQ167" s="32">
        <v>1.56721668652302E-4</v>
      </c>
      <c r="AR167" s="30"/>
      <c r="AS167" s="32">
        <v>9.9367558363060399E-4</v>
      </c>
      <c r="AT167" s="30"/>
      <c r="AU167" s="32">
        <v>2.3066718704040801E-2</v>
      </c>
      <c r="AV167" s="30"/>
      <c r="AW167" s="32">
        <v>-3.2093773158568899E-3</v>
      </c>
      <c r="AX167" s="30"/>
      <c r="AY167" s="32">
        <v>2.62760960198976E-2</v>
      </c>
      <c r="AZ167" s="30"/>
      <c r="BA167" s="32">
        <v>2.1111785184034001E-2</v>
      </c>
      <c r="BB167" s="30"/>
      <c r="BC167" s="32">
        <v>1.1503972522829099E-3</v>
      </c>
      <c r="BD167" s="30"/>
      <c r="BE167" s="32"/>
      <c r="BF167" s="30"/>
    </row>
    <row r="168" spans="1:58" x14ac:dyDescent="0.2">
      <c r="A168" s="28">
        <v>2019</v>
      </c>
      <c r="B168" s="28">
        <v>1</v>
      </c>
      <c r="C168" s="32"/>
      <c r="D168" s="30"/>
      <c r="E168" s="32">
        <v>2.7053376036359499E-2</v>
      </c>
      <c r="F168" s="30"/>
      <c r="G168" s="32">
        <v>4.5579636263707998E-3</v>
      </c>
      <c r="H168" s="30"/>
      <c r="I168" s="32">
        <v>3.7802415889147001E-3</v>
      </c>
      <c r="J168" s="30"/>
      <c r="K168" s="32">
        <v>7.7772203745610398E-4</v>
      </c>
      <c r="L168" s="30"/>
      <c r="M168" s="32">
        <v>2.2495412409988699E-2</v>
      </c>
      <c r="N168" s="30"/>
      <c r="O168" s="32">
        <v>-4.6699803811929702E-3</v>
      </c>
      <c r="P168" s="30"/>
      <c r="Q168" s="32">
        <v>-4.72583322633522E-4</v>
      </c>
      <c r="R168" s="30"/>
      <c r="S168" s="32">
        <v>-4.1973970585594501E-3</v>
      </c>
      <c r="T168" s="30"/>
      <c r="U168" s="32">
        <v>1.44753582017182E-2</v>
      </c>
      <c r="V168" s="30"/>
      <c r="W168" s="32">
        <v>1.2690034589463399E-2</v>
      </c>
      <c r="X168" s="30"/>
      <c r="Y168" s="32">
        <v>-1.5262265864035601E-2</v>
      </c>
      <c r="Z168" s="30"/>
      <c r="AA168" s="32">
        <v>-3.5559756286204003E-2</v>
      </c>
      <c r="AB168" s="30"/>
      <c r="AC168" s="32">
        <v>-3.5289458991558997E-2</v>
      </c>
      <c r="AD168" s="30"/>
      <c r="AE168" s="32">
        <v>1.4002946785121599E-3</v>
      </c>
      <c r="AF168" s="30"/>
      <c r="AG168" s="32">
        <v>1.80214000306874E-2</v>
      </c>
      <c r="AH168" s="30"/>
      <c r="AI168" s="32">
        <v>-2.7029729464499798E-4</v>
      </c>
      <c r="AJ168" s="30"/>
      <c r="AK168" s="32">
        <v>2.0297490422168399E-2</v>
      </c>
      <c r="AL168" s="30"/>
      <c r="AM168" s="32">
        <v>1.55913764811033E-2</v>
      </c>
      <c r="AN168" s="30"/>
      <c r="AO168" s="32">
        <v>-6.6910503661457704E-3</v>
      </c>
      <c r="AP168" s="30"/>
      <c r="AQ168" s="32">
        <v>-7.3693235562980498E-3</v>
      </c>
      <c r="AR168" s="30"/>
      <c r="AS168" s="32">
        <v>4.7061139410650103E-3</v>
      </c>
      <c r="AT168" s="30"/>
      <c r="AU168" s="32">
        <v>-2.1038414161375199E-5</v>
      </c>
      <c r="AV168" s="30"/>
      <c r="AW168" s="32">
        <v>-1.12016754822167E-4</v>
      </c>
      <c r="AX168" s="30"/>
      <c r="AY168" s="32">
        <v>9.0978340660791401E-5</v>
      </c>
      <c r="AZ168" s="30"/>
      <c r="BA168" s="32">
        <v>3.6127563530578897E-4</v>
      </c>
      <c r="BB168" s="30"/>
      <c r="BC168" s="32">
        <v>-2.66320961523304E-3</v>
      </c>
      <c r="BD168" s="30"/>
      <c r="BE168" s="32"/>
      <c r="BF168" s="30"/>
    </row>
    <row r="169" spans="1:58" x14ac:dyDescent="0.2">
      <c r="A169" s="28">
        <v>2019</v>
      </c>
      <c r="B169" s="28">
        <v>2</v>
      </c>
      <c r="C169" s="32"/>
      <c r="D169" s="30"/>
      <c r="E169" s="32">
        <v>1.4010702794329101E-2</v>
      </c>
      <c r="F169" s="30"/>
      <c r="G169" s="32">
        <v>8.7928355525915998E-3</v>
      </c>
      <c r="H169" s="30"/>
      <c r="I169" s="32">
        <v>7.9889076480676603E-3</v>
      </c>
      <c r="J169" s="30"/>
      <c r="K169" s="32">
        <v>8.03927904523948E-4</v>
      </c>
      <c r="L169" s="30"/>
      <c r="M169" s="32">
        <v>5.2178672417374601E-3</v>
      </c>
      <c r="N169" s="30"/>
      <c r="O169" s="32">
        <v>-4.1468161460546001E-3</v>
      </c>
      <c r="P169" s="30"/>
      <c r="Q169" s="32">
        <v>-1.79868944605612E-3</v>
      </c>
      <c r="R169" s="30"/>
      <c r="S169" s="32">
        <v>-2.34812669999848E-3</v>
      </c>
      <c r="T169" s="30"/>
      <c r="U169" s="32">
        <v>-5.6656565830273198E-3</v>
      </c>
      <c r="V169" s="30"/>
      <c r="W169" s="32">
        <v>1.5030339970819401E-2</v>
      </c>
      <c r="X169" s="30"/>
      <c r="Y169" s="32">
        <v>-9.8981787125995997E-3</v>
      </c>
      <c r="Z169" s="30"/>
      <c r="AA169" s="32">
        <v>-6.3732701129525799E-3</v>
      </c>
      <c r="AB169" s="30"/>
      <c r="AC169" s="32">
        <v>1.6388946189076999E-3</v>
      </c>
      <c r="AD169" s="30"/>
      <c r="AE169" s="32">
        <v>1.3136663217044001E-2</v>
      </c>
      <c r="AF169" s="30"/>
      <c r="AG169" s="32">
        <v>1.17157235990153E-2</v>
      </c>
      <c r="AH169" s="30"/>
      <c r="AI169" s="32">
        <v>-8.0121647318602794E-3</v>
      </c>
      <c r="AJ169" s="30"/>
      <c r="AK169" s="32">
        <v>-3.5249085996470302E-3</v>
      </c>
      <c r="AL169" s="30"/>
      <c r="AM169" s="32">
        <v>-1.4779415971857999E-3</v>
      </c>
      <c r="AN169" s="30"/>
      <c r="AO169" s="32">
        <v>-2.5922079354092102E-3</v>
      </c>
      <c r="AP169" s="30"/>
      <c r="AQ169" s="32">
        <v>-1.1691215863140899E-3</v>
      </c>
      <c r="AR169" s="30"/>
      <c r="AS169" s="32">
        <v>-2.0469670024612298E-3</v>
      </c>
      <c r="AT169" s="30"/>
      <c r="AU169" s="32">
        <v>1.2994269253532101E-2</v>
      </c>
      <c r="AV169" s="30"/>
      <c r="AW169" s="32">
        <v>4.6460194065370101E-3</v>
      </c>
      <c r="AX169" s="30"/>
      <c r="AY169" s="32">
        <v>8.3482498469950994E-3</v>
      </c>
      <c r="AZ169" s="30"/>
      <c r="BA169" s="32">
        <v>1.6360414578855401E-2</v>
      </c>
      <c r="BB169" s="30"/>
      <c r="BC169" s="32">
        <v>-3.2160885887753199E-3</v>
      </c>
      <c r="BD169" s="30"/>
      <c r="BE169" s="32"/>
      <c r="BF169" s="30"/>
    </row>
    <row r="170" spans="1:58" x14ac:dyDescent="0.2">
      <c r="A170" s="28">
        <v>2019</v>
      </c>
      <c r="B170" s="28">
        <v>3</v>
      </c>
      <c r="C170" s="32"/>
      <c r="D170" s="30"/>
      <c r="E170" s="32">
        <v>7.2067680807205801E-3</v>
      </c>
      <c r="F170" s="30"/>
      <c r="G170" s="32">
        <v>1.00306187246588E-2</v>
      </c>
      <c r="H170" s="30"/>
      <c r="I170" s="32">
        <v>8.6204995078942807E-3</v>
      </c>
      <c r="J170" s="30"/>
      <c r="K170" s="32">
        <v>1.4101192167644699E-3</v>
      </c>
      <c r="L170" s="30"/>
      <c r="M170" s="32">
        <v>-2.8238506439381798E-3</v>
      </c>
      <c r="N170" s="30"/>
      <c r="O170" s="32">
        <v>3.2687087703159299E-3</v>
      </c>
      <c r="P170" s="30"/>
      <c r="Q170" s="32">
        <v>-9.9218301599542395E-4</v>
      </c>
      <c r="R170" s="30"/>
      <c r="S170" s="32">
        <v>4.2608917863113504E-3</v>
      </c>
      <c r="T170" s="30"/>
      <c r="U170" s="32">
        <v>3.6721325368622199E-3</v>
      </c>
      <c r="V170" s="30"/>
      <c r="W170" s="32">
        <v>-9.7646919511163201E-3</v>
      </c>
      <c r="X170" s="30"/>
      <c r="Y170" s="32">
        <v>8.2782684847000892E-3</v>
      </c>
      <c r="Z170" s="30"/>
      <c r="AA170" s="32">
        <v>2.2843748122638799E-2</v>
      </c>
      <c r="AB170" s="30"/>
      <c r="AC170" s="32">
        <v>2.8758900048803701E-2</v>
      </c>
      <c r="AD170" s="30"/>
      <c r="AE170" s="32">
        <v>2.90196353409168E-2</v>
      </c>
      <c r="AF170" s="30"/>
      <c r="AG170" s="32">
        <v>2.97731759859075E-2</v>
      </c>
      <c r="AH170" s="30"/>
      <c r="AI170" s="32">
        <v>-5.91515192616489E-3</v>
      </c>
      <c r="AJ170" s="30"/>
      <c r="AK170" s="32">
        <v>-1.4565479637938699E-2</v>
      </c>
      <c r="AL170" s="30"/>
      <c r="AM170" s="32">
        <v>-3.3438254036401499E-3</v>
      </c>
      <c r="AN170" s="30"/>
      <c r="AO170" s="32">
        <v>-1.9326589810300599E-2</v>
      </c>
      <c r="AP170" s="30"/>
      <c r="AQ170" s="32">
        <v>-1.6466255334864399E-2</v>
      </c>
      <c r="AR170" s="30"/>
      <c r="AS170" s="32">
        <v>-1.1221654234298601E-2</v>
      </c>
      <c r="AT170" s="30"/>
      <c r="AU170" s="32">
        <v>3.9500813597721403E-2</v>
      </c>
      <c r="AV170" s="30"/>
      <c r="AW170" s="32">
        <v>1.32993274949747E-2</v>
      </c>
      <c r="AX170" s="30"/>
      <c r="AY170" s="32">
        <v>2.62014861027467E-2</v>
      </c>
      <c r="AZ170" s="30"/>
      <c r="BA170" s="32">
        <v>3.2116638028911598E-2</v>
      </c>
      <c r="BB170" s="30"/>
      <c r="BC170" s="32">
        <v>-2.7687909569163002E-2</v>
      </c>
      <c r="BD170" s="30"/>
      <c r="BE170" s="32"/>
      <c r="BF170" s="30"/>
    </row>
    <row r="171" spans="1:58" x14ac:dyDescent="0.2">
      <c r="A171" s="28">
        <v>2019</v>
      </c>
      <c r="B171" s="28">
        <v>4</v>
      </c>
      <c r="C171" s="32"/>
      <c r="D171" s="30"/>
      <c r="E171" s="32">
        <v>1.90371274443095E-2</v>
      </c>
      <c r="F171" s="30"/>
      <c r="G171" s="32">
        <v>1.05862459746063E-2</v>
      </c>
      <c r="H171" s="30"/>
      <c r="I171" s="32">
        <v>8.5637427490476495E-3</v>
      </c>
      <c r="J171" s="30"/>
      <c r="K171" s="32">
        <v>2.0225032255586101E-3</v>
      </c>
      <c r="L171" s="30"/>
      <c r="M171" s="32">
        <v>8.4508814697032402E-3</v>
      </c>
      <c r="N171" s="30"/>
      <c r="O171" s="32">
        <v>1.38449456381604E-2</v>
      </c>
      <c r="P171" s="30"/>
      <c r="Q171" s="32">
        <v>9.2626216111358102E-5</v>
      </c>
      <c r="R171" s="30"/>
      <c r="S171" s="32">
        <v>1.3752319422049099E-2</v>
      </c>
      <c r="T171" s="30"/>
      <c r="U171" s="32">
        <v>5.4394169078358298E-3</v>
      </c>
      <c r="V171" s="30"/>
      <c r="W171" s="32">
        <v>-1.0833481076293E-2</v>
      </c>
      <c r="X171" s="30"/>
      <c r="Y171" s="32">
        <v>-5.7850199069415598E-3</v>
      </c>
      <c r="Z171" s="30"/>
      <c r="AA171" s="32">
        <v>3.6628164901079401E-3</v>
      </c>
      <c r="AB171" s="30"/>
      <c r="AC171" s="32">
        <v>8.1407789102787998E-3</v>
      </c>
      <c r="AD171" s="30"/>
      <c r="AE171" s="32">
        <v>3.90387488267717E-3</v>
      </c>
      <c r="AF171" s="30"/>
      <c r="AG171" s="32">
        <v>2.6162971262340901E-3</v>
      </c>
      <c r="AH171" s="30"/>
      <c r="AI171" s="32">
        <v>-4.4779624201708602E-3</v>
      </c>
      <c r="AJ171" s="30"/>
      <c r="AK171" s="32">
        <v>-9.4478363970495107E-3</v>
      </c>
      <c r="AL171" s="30"/>
      <c r="AM171" s="32">
        <v>-1.5151637245452299E-3</v>
      </c>
      <c r="AN171" s="30"/>
      <c r="AO171" s="32">
        <v>-5.2689020041392001E-3</v>
      </c>
      <c r="AP171" s="30"/>
      <c r="AQ171" s="32">
        <v>-8.6140388531717703E-3</v>
      </c>
      <c r="AR171" s="30"/>
      <c r="AS171" s="32">
        <v>-7.9326726725042693E-3</v>
      </c>
      <c r="AT171" s="30"/>
      <c r="AU171" s="32">
        <v>2.4359402155208199E-2</v>
      </c>
      <c r="AV171" s="30"/>
      <c r="AW171" s="32">
        <v>2.44311916127667E-2</v>
      </c>
      <c r="AX171" s="30"/>
      <c r="AY171" s="32">
        <v>-7.1789457558543205E-5</v>
      </c>
      <c r="AZ171" s="30"/>
      <c r="BA171" s="32">
        <v>4.40617296261231E-3</v>
      </c>
      <c r="BB171" s="30"/>
      <c r="BC171" s="32">
        <v>-1.6546711525676001E-2</v>
      </c>
      <c r="BD171" s="30"/>
      <c r="BE171" s="32"/>
      <c r="BF171" s="30"/>
    </row>
    <row r="172" spans="1:58" x14ac:dyDescent="0.2">
      <c r="A172" s="28">
        <v>2020</v>
      </c>
      <c r="B172" s="28">
        <v>1</v>
      </c>
      <c r="C172" s="32"/>
      <c r="D172" s="30"/>
      <c r="E172" s="32">
        <v>3.2717526171787303E-2</v>
      </c>
      <c r="F172" s="30"/>
      <c r="G172" s="32">
        <v>-3.68580888807014E-3</v>
      </c>
      <c r="H172" s="30"/>
      <c r="I172" s="32">
        <v>-7.6660951931582198E-3</v>
      </c>
      <c r="J172" s="30"/>
      <c r="K172" s="32">
        <v>3.9802863050880802E-3</v>
      </c>
      <c r="L172" s="30"/>
      <c r="M172" s="32">
        <v>3.6403335059857399E-2</v>
      </c>
      <c r="N172" s="30"/>
      <c r="O172" s="32">
        <v>7.3432794403499304E-3</v>
      </c>
      <c r="P172" s="30"/>
      <c r="Q172" s="32">
        <v>1.1589045103649199E-3</v>
      </c>
      <c r="R172" s="30"/>
      <c r="S172" s="32">
        <v>6.1843749299850198E-3</v>
      </c>
      <c r="T172" s="30"/>
      <c r="U172" s="32">
        <v>1.6464809236568598E-2</v>
      </c>
      <c r="V172" s="30"/>
      <c r="W172" s="32">
        <v>1.25952463829389E-2</v>
      </c>
      <c r="X172" s="30"/>
      <c r="Y172" s="32">
        <v>-3.2678376682512403E-2</v>
      </c>
      <c r="Z172" s="30"/>
      <c r="AA172" s="32">
        <v>-1.0695485025010901E-2</v>
      </c>
      <c r="AB172" s="30"/>
      <c r="AC172" s="32">
        <v>8.4485925334818208E-3</v>
      </c>
      <c r="AD172" s="30"/>
      <c r="AE172" s="32">
        <v>9.2989787719670002E-3</v>
      </c>
      <c r="AF172" s="30"/>
      <c r="AG172" s="32">
        <v>1.4786385172899799E-2</v>
      </c>
      <c r="AH172" s="30"/>
      <c r="AI172" s="32">
        <v>-1.9144077558492699E-2</v>
      </c>
      <c r="AJ172" s="30"/>
      <c r="AK172" s="32">
        <v>-2.1982891657501499E-2</v>
      </c>
      <c r="AL172" s="30"/>
      <c r="AM172" s="32">
        <v>-4.3585571547200396E-3</v>
      </c>
      <c r="AN172" s="30"/>
      <c r="AO172" s="32">
        <v>7.4041174693264197E-3</v>
      </c>
      <c r="AP172" s="30"/>
      <c r="AQ172" s="32">
        <v>5.0116415698454597E-3</v>
      </c>
      <c r="AR172" s="30"/>
      <c r="AS172" s="32">
        <v>-1.7624334502781499E-2</v>
      </c>
      <c r="AT172" s="30"/>
      <c r="AU172" s="32">
        <v>-3.8129668143577098E-3</v>
      </c>
      <c r="AV172" s="30"/>
      <c r="AW172" s="32">
        <v>3.6574705522797999E-3</v>
      </c>
      <c r="AX172" s="30"/>
      <c r="AY172" s="32">
        <v>-7.4704373666375102E-3</v>
      </c>
      <c r="AZ172" s="30"/>
      <c r="BA172" s="32">
        <v>1.1673640191855199E-2</v>
      </c>
      <c r="BB172" s="30"/>
      <c r="BC172" s="32">
        <v>-1.2612692932935999E-2</v>
      </c>
      <c r="BD172" s="30"/>
      <c r="BE172" s="32"/>
      <c r="BF172" s="30"/>
    </row>
    <row r="173" spans="1:58" x14ac:dyDescent="0.2">
      <c r="A173" s="28">
        <v>2020</v>
      </c>
      <c r="B173" s="28">
        <v>2</v>
      </c>
      <c r="C173" s="32"/>
      <c r="D173" s="30"/>
      <c r="E173" s="32">
        <v>-5.1343099362188102E-2</v>
      </c>
      <c r="F173" s="30"/>
      <c r="G173" s="32">
        <v>-4.2321091327653701E-2</v>
      </c>
      <c r="H173" s="30"/>
      <c r="I173" s="32">
        <v>-4.6467205818832402E-2</v>
      </c>
      <c r="J173" s="30"/>
      <c r="K173" s="32">
        <v>4.1461144911786301E-3</v>
      </c>
      <c r="L173" s="30"/>
      <c r="M173" s="32">
        <v>-9.0220080345343595E-3</v>
      </c>
      <c r="N173" s="30"/>
      <c r="O173" s="32">
        <v>-1.6558048204607701E-2</v>
      </c>
      <c r="P173" s="30"/>
      <c r="Q173" s="32">
        <v>-3.02125730391406E-3</v>
      </c>
      <c r="R173" s="30"/>
      <c r="S173" s="32">
        <v>-1.3536790900693599E-2</v>
      </c>
      <c r="T173" s="30"/>
      <c r="U173" s="32">
        <v>-9.8323495190552803E-3</v>
      </c>
      <c r="V173" s="30"/>
      <c r="W173" s="32">
        <v>1.7368389689128599E-2</v>
      </c>
      <c r="X173" s="30"/>
      <c r="Y173" s="32">
        <v>-1.82508386363988E-2</v>
      </c>
      <c r="Z173" s="30"/>
      <c r="AA173" s="32">
        <v>-5.5302253981615E-2</v>
      </c>
      <c r="AB173" s="30"/>
      <c r="AC173" s="32">
        <v>-2.1146909398264298E-2</v>
      </c>
      <c r="AD173" s="30"/>
      <c r="AE173" s="32">
        <v>-3.95812000205411E-2</v>
      </c>
      <c r="AF173" s="30"/>
      <c r="AG173" s="32">
        <v>-3.7489707124069301E-2</v>
      </c>
      <c r="AH173" s="30"/>
      <c r="AI173" s="32">
        <v>-3.4155344583350802E-2</v>
      </c>
      <c r="AJ173" s="30"/>
      <c r="AK173" s="32">
        <v>3.70514153452162E-2</v>
      </c>
      <c r="AL173" s="30"/>
      <c r="AM173" s="32">
        <v>1.65619317825925E-2</v>
      </c>
      <c r="AN173" s="30"/>
      <c r="AO173" s="32">
        <v>4.7677574465257097E-2</v>
      </c>
      <c r="AP173" s="30"/>
      <c r="AQ173" s="32">
        <v>4.2366984332772001E-2</v>
      </c>
      <c r="AR173" s="30"/>
      <c r="AS173" s="32">
        <v>2.0489483562623801E-2</v>
      </c>
      <c r="AT173" s="30"/>
      <c r="AU173" s="32">
        <v>-0.122618056374927</v>
      </c>
      <c r="AV173" s="30"/>
      <c r="AW173" s="32">
        <v>-5.8879139532261399E-2</v>
      </c>
      <c r="AX173" s="30"/>
      <c r="AY173" s="32">
        <v>-6.3738916842665902E-2</v>
      </c>
      <c r="AZ173" s="30"/>
      <c r="BA173" s="32">
        <v>-2.95835722593151E-2</v>
      </c>
      <c r="BB173" s="30"/>
      <c r="BC173" s="32">
        <v>6.2856467895395701E-2</v>
      </c>
      <c r="BD173" s="30"/>
      <c r="BE173" s="32"/>
      <c r="BF173" s="30"/>
    </row>
    <row r="174" spans="1:58" x14ac:dyDescent="0.2">
      <c r="A174" s="28">
        <v>2020</v>
      </c>
      <c r="B174" s="28">
        <v>3</v>
      </c>
      <c r="C174" s="32"/>
      <c r="D174" s="30"/>
      <c r="E174" s="32">
        <v>5.7204691711682997E-3</v>
      </c>
      <c r="F174" s="30"/>
      <c r="G174" s="32">
        <v>-4.4409472101688899E-3</v>
      </c>
      <c r="H174" s="30"/>
      <c r="I174" s="32">
        <v>-8.6204073388947804E-3</v>
      </c>
      <c r="J174" s="30"/>
      <c r="K174" s="32">
        <v>4.1794601287258896E-3</v>
      </c>
      <c r="L174" s="30"/>
      <c r="M174" s="32">
        <v>1.0161416381337199E-2</v>
      </c>
      <c r="N174" s="30"/>
      <c r="O174" s="32">
        <v>5.7972875153658298E-3</v>
      </c>
      <c r="P174" s="30"/>
      <c r="Q174" s="32">
        <v>-1.99481745594471E-5</v>
      </c>
      <c r="R174" s="30"/>
      <c r="S174" s="32">
        <v>5.8172356899252797E-3</v>
      </c>
      <c r="T174" s="30"/>
      <c r="U174" s="32">
        <v>-2.68970094267818E-2</v>
      </c>
      <c r="V174" s="30"/>
      <c r="W174" s="32">
        <v>3.12611382927531E-2</v>
      </c>
      <c r="X174" s="30"/>
      <c r="Y174" s="32">
        <v>-1.9829956941402199E-2</v>
      </c>
      <c r="Z174" s="30"/>
      <c r="AA174" s="32">
        <v>-5.2958227370241098E-2</v>
      </c>
      <c r="AB174" s="30"/>
      <c r="AC174" s="32">
        <v>-1.9307562113210101E-2</v>
      </c>
      <c r="AD174" s="30"/>
      <c r="AE174" s="32">
        <v>-2.5606068541998901E-3</v>
      </c>
      <c r="AF174" s="30"/>
      <c r="AG174" s="32">
        <v>-1.08023506456798E-2</v>
      </c>
      <c r="AH174" s="30"/>
      <c r="AI174" s="32">
        <v>-3.3650665257030997E-2</v>
      </c>
      <c r="AJ174" s="30"/>
      <c r="AK174" s="32">
        <v>3.3128270428838903E-2</v>
      </c>
      <c r="AL174" s="30"/>
      <c r="AM174" s="32">
        <v>1.33894845835684E-2</v>
      </c>
      <c r="AN174" s="30"/>
      <c r="AO174" s="32">
        <v>1.8078879826000999E-2</v>
      </c>
      <c r="AP174" s="30"/>
      <c r="AQ174" s="32">
        <v>1.8387903276237998E-2</v>
      </c>
      <c r="AR174" s="30"/>
      <c r="AS174" s="32">
        <v>1.9738785845270501E-2</v>
      </c>
      <c r="AT174" s="30"/>
      <c r="AU174" s="32">
        <v>-2.5339167464960601E-2</v>
      </c>
      <c r="AV174" s="30"/>
      <c r="AW174" s="32">
        <v>1.3563403051969399E-3</v>
      </c>
      <c r="AX174" s="30"/>
      <c r="AY174" s="32">
        <v>-2.6695507770157601E-2</v>
      </c>
      <c r="AZ174" s="30"/>
      <c r="BA174" s="32">
        <v>6.9551574868734001E-3</v>
      </c>
      <c r="BB174" s="30"/>
      <c r="BC174" s="32">
        <v>3.8126689121508503E-2</v>
      </c>
      <c r="BD174" s="30"/>
      <c r="BE174" s="32"/>
      <c r="BF174" s="30"/>
    </row>
    <row r="175" spans="1:58" x14ac:dyDescent="0.2">
      <c r="A175" s="28">
        <v>2020</v>
      </c>
      <c r="B175" s="28">
        <v>4</v>
      </c>
      <c r="C175" s="32"/>
      <c r="D175" s="30"/>
      <c r="E175" s="32">
        <v>-4.4453697532376903E-3</v>
      </c>
      <c r="F175" s="30"/>
      <c r="G175" s="32">
        <v>-9.8749682458454495E-3</v>
      </c>
      <c r="H175" s="30"/>
      <c r="I175" s="32">
        <v>-1.44054272848127E-2</v>
      </c>
      <c r="J175" s="30"/>
      <c r="K175" s="32">
        <v>4.5304590389672996E-3</v>
      </c>
      <c r="L175" s="30"/>
      <c r="M175" s="32">
        <v>5.42959849260776E-3</v>
      </c>
      <c r="N175" s="30"/>
      <c r="O175" s="32">
        <v>-2.8583876411666501E-3</v>
      </c>
      <c r="P175" s="30"/>
      <c r="Q175" s="32">
        <v>-1.8136156380684899E-3</v>
      </c>
      <c r="R175" s="30"/>
      <c r="S175" s="32">
        <v>-1.04477200309817E-3</v>
      </c>
      <c r="T175" s="30"/>
      <c r="U175" s="32">
        <v>-9.6997067268049207E-3</v>
      </c>
      <c r="V175" s="30"/>
      <c r="W175" s="32">
        <v>1.7987692860579298E-2</v>
      </c>
      <c r="X175" s="30"/>
      <c r="Y175" s="32">
        <v>-2.1461912788985102E-3</v>
      </c>
      <c r="Z175" s="30"/>
      <c r="AA175" s="32">
        <v>-1.7058440223512199E-2</v>
      </c>
      <c r="AB175" s="30"/>
      <c r="AC175" s="32">
        <v>-8.1511937752193307E-3</v>
      </c>
      <c r="AD175" s="30"/>
      <c r="AE175" s="32">
        <v>-4.4345806913060996E-3</v>
      </c>
      <c r="AF175" s="30"/>
      <c r="AG175" s="32">
        <v>-4.1909998234124798E-4</v>
      </c>
      <c r="AH175" s="30"/>
      <c r="AI175" s="32">
        <v>-8.9072464482928496E-3</v>
      </c>
      <c r="AJ175" s="30"/>
      <c r="AK175" s="32">
        <v>1.4912248944613699E-2</v>
      </c>
      <c r="AL175" s="30"/>
      <c r="AM175" s="32">
        <v>6.9152723008020604E-3</v>
      </c>
      <c r="AN175" s="30"/>
      <c r="AO175" s="32">
        <v>1.37150128962992E-2</v>
      </c>
      <c r="AP175" s="30"/>
      <c r="AQ175" s="32">
        <v>1.2691493394284201E-2</v>
      </c>
      <c r="AR175" s="30"/>
      <c r="AS175" s="32">
        <v>7.9969766438116006E-3</v>
      </c>
      <c r="AT175" s="30"/>
      <c r="AU175" s="32">
        <v>-1.7580324343427101E-2</v>
      </c>
      <c r="AV175" s="30"/>
      <c r="AW175" s="32">
        <v>-1.2733355887012099E-2</v>
      </c>
      <c r="AX175" s="30"/>
      <c r="AY175" s="32">
        <v>-4.8469684564149797E-3</v>
      </c>
      <c r="AZ175" s="30"/>
      <c r="BA175" s="32">
        <v>4.0602779918778699E-3</v>
      </c>
      <c r="BB175" s="30"/>
      <c r="BC175" s="32">
        <v>2.0688470038095801E-2</v>
      </c>
      <c r="BD175" s="30"/>
      <c r="BE175" s="32"/>
      <c r="BF175" s="30"/>
    </row>
    <row r="176" spans="1:58" x14ac:dyDescent="0.2">
      <c r="A176" s="28">
        <v>2021</v>
      </c>
      <c r="B176" s="28">
        <v>1</v>
      </c>
      <c r="C176" s="32"/>
      <c r="D176" s="30"/>
      <c r="E176" s="32">
        <v>-3.2793319428299501E-2</v>
      </c>
      <c r="F176" s="30"/>
      <c r="G176" s="32">
        <v>-1.3862966625251201E-2</v>
      </c>
      <c r="H176" s="30"/>
      <c r="I176" s="32">
        <v>-1.81936063631256E-2</v>
      </c>
      <c r="J176" s="30"/>
      <c r="K176" s="32">
        <v>4.3306397378743604E-3</v>
      </c>
      <c r="L176" s="30"/>
      <c r="M176" s="32">
        <v>-1.8930352803048299E-2</v>
      </c>
      <c r="N176" s="30"/>
      <c r="O176" s="32">
        <v>-2.4276291735069199E-3</v>
      </c>
      <c r="P176" s="30"/>
      <c r="Q176" s="32">
        <v>-2.5147992998612E-3</v>
      </c>
      <c r="R176" s="30"/>
      <c r="S176" s="32">
        <v>8.7170126354283394E-5</v>
      </c>
      <c r="T176" s="30"/>
      <c r="U176" s="32">
        <v>-2.3800457654895898E-2</v>
      </c>
      <c r="V176" s="30"/>
      <c r="W176" s="32">
        <v>7.2977340253544999E-3</v>
      </c>
      <c r="X176" s="30"/>
      <c r="Y176" s="32">
        <v>4.2992284421644003E-2</v>
      </c>
      <c r="Z176" s="30"/>
      <c r="AA176" s="32">
        <v>5.2601986921574903E-2</v>
      </c>
      <c r="AB176" s="30"/>
      <c r="AC176" s="32">
        <v>5.8195333868536099E-2</v>
      </c>
      <c r="AD176" s="30"/>
      <c r="AE176" s="32">
        <v>3.02576775761936E-2</v>
      </c>
      <c r="AF176" s="30"/>
      <c r="AG176" s="32">
        <v>8.78516622608406E-3</v>
      </c>
      <c r="AH176" s="30"/>
      <c r="AI176" s="32">
        <v>-5.59334694696117E-3</v>
      </c>
      <c r="AJ176" s="30"/>
      <c r="AK176" s="32">
        <v>-9.6097024999309E-3</v>
      </c>
      <c r="AL176" s="30"/>
      <c r="AM176" s="32">
        <v>-2.9185888346888102E-2</v>
      </c>
      <c r="AN176" s="30"/>
      <c r="AO176" s="32">
        <v>7.1648425645313603E-3</v>
      </c>
      <c r="AP176" s="30"/>
      <c r="AQ176" s="32">
        <v>8.1240155944090793E-3</v>
      </c>
      <c r="AR176" s="30"/>
      <c r="AS176" s="32">
        <v>1.9576185846957202E-2</v>
      </c>
      <c r="AT176" s="30"/>
      <c r="AU176" s="32">
        <v>6.2992212068740802E-3</v>
      </c>
      <c r="AV176" s="30"/>
      <c r="AW176" s="32">
        <v>-1.6290595798758099E-2</v>
      </c>
      <c r="AX176" s="30"/>
      <c r="AY176" s="32">
        <v>2.2589817005632201E-2</v>
      </c>
      <c r="AZ176" s="30"/>
      <c r="BA176" s="32">
        <v>2.8183163952593401E-2</v>
      </c>
      <c r="BB176" s="30"/>
      <c r="BC176" s="32">
        <v>2.7700201441366298E-2</v>
      </c>
      <c r="BD176" s="30"/>
      <c r="BE176" s="32"/>
      <c r="BF176" s="30"/>
    </row>
    <row r="177" spans="1:58" x14ac:dyDescent="0.2">
      <c r="A177" s="28">
        <v>2021</v>
      </c>
      <c r="B177" s="28">
        <v>2</v>
      </c>
      <c r="C177" s="32"/>
      <c r="D177" s="30"/>
      <c r="E177" s="32">
        <v>5.0424453198293501E-2</v>
      </c>
      <c r="F177" s="30"/>
      <c r="G177" s="32">
        <v>4.3416986705969197E-2</v>
      </c>
      <c r="H177" s="30"/>
      <c r="I177" s="32">
        <v>3.90966079445738E-2</v>
      </c>
      <c r="J177" s="30"/>
      <c r="K177" s="32">
        <v>4.32037876139541E-3</v>
      </c>
      <c r="L177" s="30"/>
      <c r="M177" s="32">
        <v>7.00746649232437E-3</v>
      </c>
      <c r="N177" s="30"/>
      <c r="O177" s="32">
        <v>3.13829189544075E-2</v>
      </c>
      <c r="P177" s="30"/>
      <c r="Q177" s="32">
        <v>1.1270260467171401E-4</v>
      </c>
      <c r="R177" s="30"/>
      <c r="S177" s="32">
        <v>3.1270216349735799E-2</v>
      </c>
      <c r="T177" s="30"/>
      <c r="U177" s="32">
        <v>5.8391658140383397E-3</v>
      </c>
      <c r="V177" s="30"/>
      <c r="W177" s="32">
        <v>-3.0214618276121499E-2</v>
      </c>
      <c r="X177" s="30"/>
      <c r="Y177" s="32">
        <v>6.0649310710093399E-2</v>
      </c>
      <c r="Z177" s="30"/>
      <c r="AA177" s="32">
        <v>9.6168294649315297E-2</v>
      </c>
      <c r="AB177" s="30"/>
      <c r="AC177" s="32">
        <v>6.9399416875111003E-2</v>
      </c>
      <c r="AD177" s="30"/>
      <c r="AE177" s="32">
        <v>6.9677910659756204E-2</v>
      </c>
      <c r="AF177" s="30"/>
      <c r="AG177" s="32">
        <v>6.4462588180836403E-2</v>
      </c>
      <c r="AH177" s="30"/>
      <c r="AI177" s="32">
        <v>2.6768877774204301E-2</v>
      </c>
      <c r="AJ177" s="30"/>
      <c r="AK177" s="32">
        <v>-3.5518983939221899E-2</v>
      </c>
      <c r="AL177" s="30"/>
      <c r="AM177" s="32">
        <v>-9.3665177284238503E-3</v>
      </c>
      <c r="AN177" s="30"/>
      <c r="AO177" s="32">
        <v>-3.7382931447135198E-2</v>
      </c>
      <c r="AP177" s="30"/>
      <c r="AQ177" s="32">
        <v>-3.2688056136113003E-2</v>
      </c>
      <c r="AR177" s="30"/>
      <c r="AS177" s="32">
        <v>-2.6152466210798E-2</v>
      </c>
      <c r="AT177" s="30"/>
      <c r="AU177" s="32">
        <v>0.16407512044125999</v>
      </c>
      <c r="AV177" s="30"/>
      <c r="AW177" s="32">
        <v>7.4799905660376698E-2</v>
      </c>
      <c r="AX177" s="30"/>
      <c r="AY177" s="32">
        <v>8.9275214780883003E-2</v>
      </c>
      <c r="AZ177" s="30"/>
      <c r="BA177" s="32">
        <v>6.2506337006678694E-2</v>
      </c>
      <c r="BB177" s="30"/>
      <c r="BC177" s="32">
        <v>-5.8840522346910999E-2</v>
      </c>
      <c r="BD177" s="30"/>
      <c r="BE177" s="32"/>
      <c r="BF177" s="30"/>
    </row>
    <row r="178" spans="1:58" x14ac:dyDescent="0.2">
      <c r="A178" s="28">
        <v>2021</v>
      </c>
      <c r="B178" s="28">
        <v>3</v>
      </c>
      <c r="C178" s="32"/>
      <c r="D178" s="30"/>
      <c r="E178" s="32">
        <v>-2.0873148582800798E-2</v>
      </c>
      <c r="F178" s="30"/>
      <c r="G178" s="32">
        <v>1.2452013141886001E-2</v>
      </c>
      <c r="H178" s="30"/>
      <c r="I178" s="32">
        <v>8.7285065337393899E-3</v>
      </c>
      <c r="J178" s="30"/>
      <c r="K178" s="32">
        <v>3.72350660814661E-3</v>
      </c>
      <c r="L178" s="30"/>
      <c r="M178" s="32">
        <v>-3.3325161724686803E-2</v>
      </c>
      <c r="N178" s="30"/>
      <c r="O178" s="32">
        <v>4.0306747718547699E-3</v>
      </c>
      <c r="P178" s="30"/>
      <c r="Q178" s="32">
        <v>-4.0943873788677303E-3</v>
      </c>
      <c r="R178" s="30"/>
      <c r="S178" s="32">
        <v>8.1250621507224993E-3</v>
      </c>
      <c r="T178" s="30"/>
      <c r="U178" s="32">
        <v>6.1911414518888101E-3</v>
      </c>
      <c r="V178" s="30"/>
      <c r="W178" s="32">
        <v>-4.3546977948430397E-2</v>
      </c>
      <c r="X178" s="30"/>
      <c r="Y178" s="32">
        <v>8.7779225408732994E-2</v>
      </c>
      <c r="Z178" s="30"/>
      <c r="AA178" s="32">
        <v>8.44604962611121E-2</v>
      </c>
      <c r="AB178" s="30"/>
      <c r="AC178" s="32">
        <v>5.2845302555127503E-2</v>
      </c>
      <c r="AD178" s="30"/>
      <c r="AE178" s="32">
        <v>4.6781858415081201E-2</v>
      </c>
      <c r="AF178" s="30"/>
      <c r="AG178" s="32">
        <v>4.2897487566168402E-2</v>
      </c>
      <c r="AH178" s="30"/>
      <c r="AI178" s="32">
        <v>3.16151937059845E-2</v>
      </c>
      <c r="AJ178" s="30"/>
      <c r="AK178" s="32">
        <v>3.3187291476209002E-3</v>
      </c>
      <c r="AL178" s="30"/>
      <c r="AM178" s="32">
        <v>2.53796356547734E-2</v>
      </c>
      <c r="AN178" s="30"/>
      <c r="AO178" s="32">
        <v>-6.7035507800063997E-3</v>
      </c>
      <c r="AP178" s="30"/>
      <c r="AQ178" s="32">
        <v>-9.5096186351313408E-3</v>
      </c>
      <c r="AR178" s="30"/>
      <c r="AS178" s="32">
        <v>-2.2060906507152499E-2</v>
      </c>
      <c r="AT178" s="30"/>
      <c r="AU178" s="32">
        <v>9.2285460516327203E-2</v>
      </c>
      <c r="AV178" s="30"/>
      <c r="AW178" s="32">
        <v>1.6482687913740801E-2</v>
      </c>
      <c r="AX178" s="30"/>
      <c r="AY178" s="32">
        <v>7.5802772602586499E-2</v>
      </c>
      <c r="AZ178" s="30"/>
      <c r="BA178" s="32">
        <v>4.4187578896601902E-2</v>
      </c>
      <c r="BB178" s="30"/>
      <c r="BC178" s="32">
        <v>-3.1570525142283798E-2</v>
      </c>
      <c r="BD178" s="30"/>
      <c r="BE178" s="32"/>
      <c r="BF178" s="30"/>
    </row>
    <row r="179" spans="1:58" x14ac:dyDescent="0.2">
      <c r="A179" s="28">
        <v>2021</v>
      </c>
      <c r="B179" s="28">
        <v>4</v>
      </c>
      <c r="C179" s="32"/>
      <c r="D179" s="30"/>
      <c r="E179" s="32">
        <v>2.3825320556959999E-2</v>
      </c>
      <c r="F179" s="30"/>
      <c r="G179" s="32">
        <v>1.8033513306452899E-2</v>
      </c>
      <c r="H179" s="30"/>
      <c r="I179" s="32">
        <v>1.5908106923345801E-2</v>
      </c>
      <c r="J179" s="30"/>
      <c r="K179" s="32">
        <v>2.1254063831071201E-3</v>
      </c>
      <c r="L179" s="30"/>
      <c r="M179" s="32">
        <v>5.7918072505070998E-3</v>
      </c>
      <c r="N179" s="30"/>
      <c r="O179" s="32">
        <v>7.6881197125814402E-3</v>
      </c>
      <c r="P179" s="30"/>
      <c r="Q179" s="32">
        <v>-4.6389882548270502E-3</v>
      </c>
      <c r="R179" s="30"/>
      <c r="S179" s="32">
        <v>1.2327107967408499E-2</v>
      </c>
      <c r="T179" s="30"/>
      <c r="U179" s="32">
        <v>-4.8917199774774498E-3</v>
      </c>
      <c r="V179" s="30"/>
      <c r="W179" s="32">
        <v>2.9954075154031098E-3</v>
      </c>
      <c r="X179" s="30"/>
      <c r="Y179" s="32">
        <v>3.7685798020358E-2</v>
      </c>
      <c r="Z179" s="30"/>
      <c r="AA179" s="32">
        <v>0.112002868636275</v>
      </c>
      <c r="AB179" s="30"/>
      <c r="AC179" s="32">
        <v>8.0474759219205105E-2</v>
      </c>
      <c r="AD179" s="30"/>
      <c r="AE179" s="32">
        <v>5.0719897788197903E-2</v>
      </c>
      <c r="AF179" s="30"/>
      <c r="AG179" s="32">
        <v>4.5111539930796397E-2</v>
      </c>
      <c r="AH179" s="30"/>
      <c r="AI179" s="32">
        <v>3.1528109417070099E-2</v>
      </c>
      <c r="AJ179" s="30"/>
      <c r="AK179" s="32">
        <v>-7.4317070615917205E-2</v>
      </c>
      <c r="AL179" s="30"/>
      <c r="AM179" s="32">
        <v>-5.2339487255923203E-2</v>
      </c>
      <c r="AN179" s="30"/>
      <c r="AO179" s="32">
        <v>-1.40244414794349E-2</v>
      </c>
      <c r="AP179" s="30"/>
      <c r="AQ179" s="32">
        <v>-1.30974291690714E-2</v>
      </c>
      <c r="AR179" s="30"/>
      <c r="AS179" s="32">
        <v>-2.1977583359993998E-2</v>
      </c>
      <c r="AT179" s="30"/>
      <c r="AU179" s="32">
        <v>0.101477851083861</v>
      </c>
      <c r="AV179" s="30"/>
      <c r="AW179" s="32">
        <v>2.57216330190344E-2</v>
      </c>
      <c r="AX179" s="30"/>
      <c r="AY179" s="32">
        <v>7.5756218064826603E-2</v>
      </c>
      <c r="AZ179" s="30"/>
      <c r="BA179" s="32">
        <v>4.4228108647756503E-2</v>
      </c>
      <c r="BB179" s="30"/>
      <c r="BC179" s="32">
        <v>-3.5075012529065398E-2</v>
      </c>
      <c r="BD179" s="30"/>
      <c r="BE179" s="32"/>
      <c r="BF179" s="30"/>
    </row>
    <row r="180" spans="1:58" x14ac:dyDescent="0.2">
      <c r="A180" s="28">
        <v>2022</v>
      </c>
      <c r="B180" s="28">
        <v>1</v>
      </c>
      <c r="C180" s="32"/>
      <c r="D180" s="30"/>
      <c r="E180" s="32">
        <v>1.6098955830736901E-2</v>
      </c>
      <c r="F180" s="30"/>
      <c r="G180" s="32">
        <v>3.9402921063855803E-2</v>
      </c>
      <c r="H180" s="30"/>
      <c r="I180" s="32">
        <v>3.94984520567149E-2</v>
      </c>
      <c r="J180" s="30"/>
      <c r="K180" s="32">
        <v>-9.5530992859034898E-5</v>
      </c>
      <c r="L180" s="30"/>
      <c r="M180" s="32">
        <v>-2.3303965233118899E-2</v>
      </c>
      <c r="N180" s="30"/>
      <c r="O180" s="32">
        <v>5.6296273424298396E-3</v>
      </c>
      <c r="P180" s="30"/>
      <c r="Q180" s="32">
        <v>-5.3327322292755002E-3</v>
      </c>
      <c r="R180" s="30"/>
      <c r="S180" s="32">
        <v>1.0962359571705301E-2</v>
      </c>
      <c r="T180" s="30"/>
      <c r="U180" s="32">
        <v>-1.39897336103298E-2</v>
      </c>
      <c r="V180" s="30"/>
      <c r="W180" s="32">
        <v>-1.49438589652189E-2</v>
      </c>
      <c r="X180" s="30"/>
      <c r="Y180" s="32">
        <v>4.7082552534459803E-2</v>
      </c>
      <c r="Z180" s="30"/>
      <c r="AA180" s="32">
        <v>9.0726175792171501E-2</v>
      </c>
      <c r="AB180" s="30"/>
      <c r="AC180" s="32">
        <v>7.0900939754872105E-2</v>
      </c>
      <c r="AD180" s="30"/>
      <c r="AE180" s="32">
        <v>5.5302866060204202E-2</v>
      </c>
      <c r="AF180" s="30"/>
      <c r="AG180" s="32">
        <v>3.63069401031327E-2</v>
      </c>
      <c r="AH180" s="30"/>
      <c r="AI180" s="32">
        <v>1.98252360372995E-2</v>
      </c>
      <c r="AJ180" s="30"/>
      <c r="AK180" s="32">
        <v>-4.3643623257711699E-2</v>
      </c>
      <c r="AL180" s="30"/>
      <c r="AM180" s="32">
        <v>-2.75918054452002E-2</v>
      </c>
      <c r="AN180" s="30"/>
      <c r="AO180" s="32">
        <v>-3.0187518113504602E-2</v>
      </c>
      <c r="AP180" s="30"/>
      <c r="AQ180" s="32">
        <v>-2.4225479430079602E-2</v>
      </c>
      <c r="AR180" s="30"/>
      <c r="AS180" s="32">
        <v>-1.6051817812511499E-2</v>
      </c>
      <c r="AT180" s="30"/>
      <c r="AU180" s="32">
        <v>0.117448539218118</v>
      </c>
      <c r="AV180" s="30"/>
      <c r="AW180" s="32">
        <v>4.5032548406285698E-2</v>
      </c>
      <c r="AX180" s="30"/>
      <c r="AY180" s="32">
        <v>7.2415990811831907E-2</v>
      </c>
      <c r="AZ180" s="30"/>
      <c r="BA180" s="32">
        <v>5.2590754774532497E-2</v>
      </c>
      <c r="BB180" s="30"/>
      <c r="BC180" s="32">
        <v>-4.0277297242591097E-2</v>
      </c>
      <c r="BD180" s="30"/>
      <c r="BE180" s="32"/>
      <c r="BF180" s="30"/>
    </row>
    <row r="181" spans="1:58" x14ac:dyDescent="0.2">
      <c r="A181" s="28">
        <v>2022</v>
      </c>
      <c r="B181" s="28">
        <v>2</v>
      </c>
      <c r="C181" s="32"/>
      <c r="D181" s="30"/>
      <c r="E181" s="32">
        <v>6.4875117161199203E-2</v>
      </c>
      <c r="F181" s="30"/>
      <c r="G181" s="32">
        <v>2.3280537835517499E-2</v>
      </c>
      <c r="H181" s="30"/>
      <c r="I181" s="32">
        <v>2.4272225746946301E-2</v>
      </c>
      <c r="J181" s="30"/>
      <c r="K181" s="32">
        <v>-9.9168791142880894E-4</v>
      </c>
      <c r="L181" s="30"/>
      <c r="M181" s="32">
        <v>4.1594579325681801E-2</v>
      </c>
      <c r="N181" s="30"/>
      <c r="O181" s="32">
        <v>1.6857622571454999E-3</v>
      </c>
      <c r="P181" s="30"/>
      <c r="Q181" s="32">
        <v>-5.2368107923896302E-3</v>
      </c>
      <c r="R181" s="30"/>
      <c r="S181" s="32">
        <v>6.9225730495351299E-3</v>
      </c>
      <c r="T181" s="30"/>
      <c r="U181" s="32">
        <v>4.1204707599779497E-2</v>
      </c>
      <c r="V181" s="30"/>
      <c r="W181" s="32">
        <v>-1.2958905312432201E-3</v>
      </c>
      <c r="X181" s="30"/>
      <c r="Y181" s="32">
        <v>-2.48228838952529E-2</v>
      </c>
      <c r="Z181" s="30"/>
      <c r="AA181" s="32">
        <v>-1.00672270371952E-2</v>
      </c>
      <c r="AB181" s="30"/>
      <c r="AC181" s="32">
        <v>-3.27137908360099E-2</v>
      </c>
      <c r="AD181" s="30"/>
      <c r="AE181" s="32">
        <v>-1.0750103868813501E-2</v>
      </c>
      <c r="AF181" s="30"/>
      <c r="AG181" s="32">
        <v>2.0499796274097499E-2</v>
      </c>
      <c r="AH181" s="30"/>
      <c r="AI181" s="32">
        <v>2.26465637988147E-2</v>
      </c>
      <c r="AJ181" s="30"/>
      <c r="AK181" s="32">
        <v>-1.47556568580577E-2</v>
      </c>
      <c r="AL181" s="30"/>
      <c r="AM181" s="32">
        <v>-2.4955632066574599E-3</v>
      </c>
      <c r="AN181" s="30"/>
      <c r="AO181" s="32">
        <v>-2.11857033040081E-2</v>
      </c>
      <c r="AP181" s="30"/>
      <c r="AQ181" s="32">
        <v>-2.11071888571314E-2</v>
      </c>
      <c r="AR181" s="30"/>
      <c r="AS181" s="32">
        <v>-1.2260093651400201E-2</v>
      </c>
      <c r="AT181" s="30"/>
      <c r="AU181" s="32">
        <v>3.2214808174698399E-2</v>
      </c>
      <c r="AV181" s="30"/>
      <c r="AW181" s="32">
        <v>2.4966300092662999E-2</v>
      </c>
      <c r="AX181" s="30"/>
      <c r="AY181" s="32">
        <v>7.2485080820354902E-3</v>
      </c>
      <c r="AZ181" s="30"/>
      <c r="BA181" s="32">
        <v>-1.5398055716779199E-2</v>
      </c>
      <c r="BB181" s="30"/>
      <c r="BC181" s="32">
        <v>-3.3367282508531597E-2</v>
      </c>
      <c r="BD181" s="30"/>
      <c r="BE181" s="32"/>
      <c r="BF181" s="30"/>
    </row>
    <row r="182" spans="1:58" x14ac:dyDescent="0.2">
      <c r="A182" s="28">
        <v>2022</v>
      </c>
      <c r="B182" s="28">
        <v>3</v>
      </c>
      <c r="C182" s="32"/>
      <c r="D182" s="30"/>
      <c r="E182" s="32">
        <v>1.15004704770956E-2</v>
      </c>
      <c r="F182" s="30"/>
      <c r="G182" s="32">
        <v>1.5687165944338201E-2</v>
      </c>
      <c r="H182" s="30"/>
      <c r="I182" s="32">
        <v>1.6828777265926801E-2</v>
      </c>
      <c r="J182" s="30"/>
      <c r="K182" s="32">
        <v>-1.1416113215886501E-3</v>
      </c>
      <c r="L182" s="30"/>
      <c r="M182" s="32">
        <v>-4.1866954672425804E-3</v>
      </c>
      <c r="N182" s="30"/>
      <c r="O182" s="32">
        <v>4.7627088964484901E-3</v>
      </c>
      <c r="P182" s="30"/>
      <c r="Q182" s="32">
        <v>-7.6457970414319397E-3</v>
      </c>
      <c r="R182" s="30"/>
      <c r="S182" s="32">
        <v>1.24085059378804E-2</v>
      </c>
      <c r="T182" s="30"/>
      <c r="U182" s="32">
        <v>-1.46753989747896E-3</v>
      </c>
      <c r="V182" s="30"/>
      <c r="W182" s="32">
        <v>-7.4818644662120997E-3</v>
      </c>
      <c r="X182" s="30"/>
      <c r="Y182" s="32">
        <v>1.15243906824724E-2</v>
      </c>
      <c r="Z182" s="30"/>
      <c r="AA182" s="32">
        <v>7.8009193920026407E-2</v>
      </c>
      <c r="AB182" s="30"/>
      <c r="AC182" s="32">
        <v>5.8801086481987501E-2</v>
      </c>
      <c r="AD182" s="30"/>
      <c r="AE182" s="32">
        <v>1.5913478402741901E-2</v>
      </c>
      <c r="AF182" s="30"/>
      <c r="AG182" s="32">
        <v>1.29654054399089E-2</v>
      </c>
      <c r="AH182" s="30"/>
      <c r="AI182" s="32">
        <v>1.9208107438038999E-2</v>
      </c>
      <c r="AJ182" s="30"/>
      <c r="AK182" s="32">
        <v>-6.6484803237553999E-2</v>
      </c>
      <c r="AL182" s="30"/>
      <c r="AM182" s="32">
        <v>-6.0889213942248201E-2</v>
      </c>
      <c r="AN182" s="30"/>
      <c r="AO182" s="32">
        <v>-1.9839941413537801E-2</v>
      </c>
      <c r="AP182" s="30"/>
      <c r="AQ182" s="32">
        <v>-2.17717744707519E-2</v>
      </c>
      <c r="AR182" s="30"/>
      <c r="AS182" s="32">
        <v>-5.5955892953057796E-3</v>
      </c>
      <c r="AT182" s="30"/>
      <c r="AU182" s="32">
        <v>5.1859764823104601E-2</v>
      </c>
      <c r="AV182" s="30"/>
      <c r="AW182" s="32">
        <v>2.0449874840786701E-2</v>
      </c>
      <c r="AX182" s="30"/>
      <c r="AY182" s="32">
        <v>3.1409889982318001E-2</v>
      </c>
      <c r="AZ182" s="30"/>
      <c r="BA182" s="32">
        <v>1.2201782544279E-2</v>
      </c>
      <c r="BB182" s="30"/>
      <c r="BC182" s="32">
        <v>-2.7367363766057601E-2</v>
      </c>
      <c r="BD182" s="30"/>
      <c r="BE182" s="32"/>
      <c r="BF182" s="30"/>
    </row>
    <row r="183" spans="1:58" x14ac:dyDescent="0.2">
      <c r="A183" s="28">
        <v>2022</v>
      </c>
      <c r="B183" s="28">
        <v>4</v>
      </c>
      <c r="C183" s="32"/>
      <c r="D183" s="30"/>
      <c r="E183" s="32">
        <v>-2.9129428231045901E-3</v>
      </c>
      <c r="F183" s="30"/>
      <c r="G183" s="32">
        <v>1.3639868101812299E-2</v>
      </c>
      <c r="H183" s="30"/>
      <c r="I183" s="32">
        <v>1.41095675165612E-2</v>
      </c>
      <c r="J183" s="30"/>
      <c r="K183" s="32">
        <v>-4.6969941474884602E-4</v>
      </c>
      <c r="L183" s="30"/>
      <c r="M183" s="32">
        <v>-1.6552810924916901E-2</v>
      </c>
      <c r="N183" s="30"/>
      <c r="O183" s="32">
        <v>-1.1272801369887899E-3</v>
      </c>
      <c r="P183" s="30"/>
      <c r="Q183" s="32">
        <v>-5.1524865639962E-3</v>
      </c>
      <c r="R183" s="30"/>
      <c r="S183" s="32">
        <v>4.0252064270074103E-3</v>
      </c>
      <c r="T183" s="30"/>
      <c r="U183" s="32">
        <v>-1.71351910317232E-3</v>
      </c>
      <c r="V183" s="30"/>
      <c r="W183" s="32">
        <v>-1.37120116847558E-2</v>
      </c>
      <c r="X183" s="30"/>
      <c r="Y183" s="32">
        <v>2.0190940327674201E-2</v>
      </c>
      <c r="Z183" s="30"/>
      <c r="AA183" s="32">
        <v>3.93243685239529E-2</v>
      </c>
      <c r="AB183" s="30"/>
      <c r="AC183" s="32">
        <v>3.84416473171399E-2</v>
      </c>
      <c r="AD183" s="30"/>
      <c r="AE183" s="32">
        <v>2.03663114384076E-2</v>
      </c>
      <c r="AF183" s="30"/>
      <c r="AG183" s="32">
        <v>-4.9995017497131101E-3</v>
      </c>
      <c r="AH183" s="30"/>
      <c r="AI183" s="32">
        <v>8.8272120681308298E-4</v>
      </c>
      <c r="AJ183" s="30"/>
      <c r="AK183" s="32">
        <v>-1.91334281962788E-2</v>
      </c>
      <c r="AL183" s="30"/>
      <c r="AM183" s="32">
        <v>-2.28758453099537E-2</v>
      </c>
      <c r="AN183" s="30"/>
      <c r="AO183" s="32">
        <v>-1.8641474140824899E-2</v>
      </c>
      <c r="AP183" s="30"/>
      <c r="AQ183" s="32">
        <v>-1.8417831175121399E-2</v>
      </c>
      <c r="AR183" s="30"/>
      <c r="AS183" s="32">
        <v>3.7424171136749501E-3</v>
      </c>
      <c r="AT183" s="30"/>
      <c r="AU183" s="32">
        <v>3.3666930669188397E-2</v>
      </c>
      <c r="AV183" s="30"/>
      <c r="AW183" s="32">
        <v>1.2512587964823499E-2</v>
      </c>
      <c r="AX183" s="30"/>
      <c r="AY183" s="32">
        <v>2.1154342704364899E-2</v>
      </c>
      <c r="AZ183" s="30"/>
      <c r="BA183" s="32">
        <v>2.0271621497551798E-2</v>
      </c>
      <c r="BB183" s="30"/>
      <c r="BC183" s="32">
        <v>-1.46754140614465E-2</v>
      </c>
      <c r="BD183" s="30"/>
      <c r="BE183" s="32"/>
      <c r="BF183" s="30"/>
    </row>
    <row r="184" spans="1:58" x14ac:dyDescent="0.2">
      <c r="A184" s="28">
        <v>2023</v>
      </c>
      <c r="B184" s="28">
        <v>1</v>
      </c>
      <c r="C184" s="32"/>
      <c r="D184" s="30"/>
      <c r="E184" s="32">
        <v>6.0308758923786197E-2</v>
      </c>
      <c r="F184" s="30"/>
      <c r="G184" s="32">
        <v>1.06133008238128E-2</v>
      </c>
      <c r="H184" s="30"/>
      <c r="I184" s="32">
        <v>9.8333816192153894E-3</v>
      </c>
      <c r="J184" s="30"/>
      <c r="K184" s="32">
        <v>7.7991920459740901E-4</v>
      </c>
      <c r="L184" s="30"/>
      <c r="M184" s="32">
        <v>4.9695458099973402E-2</v>
      </c>
      <c r="N184" s="30"/>
      <c r="O184" s="32">
        <v>1.18676301677887E-2</v>
      </c>
      <c r="P184" s="30"/>
      <c r="Q184" s="32">
        <v>-1.1239747179576901E-3</v>
      </c>
      <c r="R184" s="30"/>
      <c r="S184" s="32">
        <v>1.29916048857464E-2</v>
      </c>
      <c r="T184" s="30"/>
      <c r="U184" s="32">
        <v>3.6005098858423901E-2</v>
      </c>
      <c r="V184" s="30"/>
      <c r="W184" s="32">
        <v>1.82272907376085E-3</v>
      </c>
      <c r="X184" s="30"/>
      <c r="Y184" s="32">
        <v>-4.2217174907628503E-2</v>
      </c>
      <c r="Z184" s="30"/>
      <c r="AA184" s="32">
        <v>2.8713823966183302E-3</v>
      </c>
      <c r="AB184" s="30"/>
      <c r="AC184" s="32">
        <v>-7.8562332232194106E-3</v>
      </c>
      <c r="AD184" s="30"/>
      <c r="AE184" s="32">
        <v>-3.1729534666072097E-2</v>
      </c>
      <c r="AF184" s="30"/>
      <c r="AG184" s="32">
        <v>1.3365372774190899E-2</v>
      </c>
      <c r="AH184" s="30"/>
      <c r="AI184" s="32">
        <v>1.07276156198377E-2</v>
      </c>
      <c r="AJ184" s="30"/>
      <c r="AK184" s="32">
        <v>-4.5088557304246803E-2</v>
      </c>
      <c r="AL184" s="30"/>
      <c r="AM184" s="32">
        <v>-4.1174091812796201E-2</v>
      </c>
      <c r="AN184" s="30"/>
      <c r="AO184" s="32">
        <v>-2.1234976422502799E-2</v>
      </c>
      <c r="AP184" s="30"/>
      <c r="AQ184" s="32">
        <v>-2.1493251953055799E-2</v>
      </c>
      <c r="AR184" s="30"/>
      <c r="AS184" s="32">
        <v>-3.9144654914506404E-3</v>
      </c>
      <c r="AT184" s="30"/>
      <c r="AU184" s="32">
        <v>7.4942026022403099E-3</v>
      </c>
      <c r="AV184" s="30"/>
      <c r="AW184" s="32">
        <v>2.2480930991601498E-2</v>
      </c>
      <c r="AX184" s="30"/>
      <c r="AY184" s="32">
        <v>-1.4986728389361201E-2</v>
      </c>
      <c r="AZ184" s="30"/>
      <c r="BA184" s="32">
        <v>-2.5714344009198899E-2</v>
      </c>
      <c r="BB184" s="30"/>
      <c r="BC184" s="32">
        <v>-2.54077174445064E-2</v>
      </c>
      <c r="BD184" s="30"/>
      <c r="BE184" s="32"/>
      <c r="BF184" s="30"/>
    </row>
    <row r="185" spans="1:58" x14ac:dyDescent="0.2">
      <c r="A185" s="28">
        <v>2023</v>
      </c>
      <c r="B185" s="28">
        <v>2</v>
      </c>
      <c r="C185" s="32"/>
      <c r="D185" s="30"/>
      <c r="E185" s="32">
        <v>-2.19129311122629E-2</v>
      </c>
      <c r="F185" s="30"/>
      <c r="G185" s="32">
        <v>7.1342539958573498E-3</v>
      </c>
      <c r="H185" s="30"/>
      <c r="I185" s="32">
        <v>5.7425533518681501E-3</v>
      </c>
      <c r="J185" s="30"/>
      <c r="K185" s="32">
        <v>1.3917006439891899E-3</v>
      </c>
      <c r="L185" s="30"/>
      <c r="M185" s="32">
        <v>-2.9047185108120301E-2</v>
      </c>
      <c r="N185" s="30"/>
      <c r="O185" s="32">
        <v>5.22996042742295E-3</v>
      </c>
      <c r="P185" s="30"/>
      <c r="Q185" s="32">
        <v>-2.1625059849582399E-3</v>
      </c>
      <c r="R185" s="30"/>
      <c r="S185" s="32">
        <v>7.3924664123811903E-3</v>
      </c>
      <c r="T185" s="30"/>
      <c r="U185" s="32">
        <v>-2.9158756372020599E-2</v>
      </c>
      <c r="V185" s="30"/>
      <c r="W185" s="32">
        <v>-5.1183891635226304E-3</v>
      </c>
      <c r="X185" s="30"/>
      <c r="Y185" s="32">
        <v>2.7562517686697301E-2</v>
      </c>
      <c r="Z185" s="30"/>
      <c r="AA185" s="32">
        <v>5.7626757967960802E-2</v>
      </c>
      <c r="AB185" s="30"/>
      <c r="AC185" s="32">
        <v>5.99680131483009E-2</v>
      </c>
      <c r="AD185" s="30"/>
      <c r="AE185" s="32">
        <v>2.40611903509752E-2</v>
      </c>
      <c r="AF185" s="30"/>
      <c r="AG185" s="32">
        <v>4.2400978037029999E-4</v>
      </c>
      <c r="AH185" s="30"/>
      <c r="AI185" s="32">
        <v>-2.3412551803400701E-3</v>
      </c>
      <c r="AJ185" s="30"/>
      <c r="AK185" s="32">
        <v>-3.0064240281263501E-2</v>
      </c>
      <c r="AL185" s="30"/>
      <c r="AM185" s="32">
        <v>-2.7581089758890599E-2</v>
      </c>
      <c r="AN185" s="30"/>
      <c r="AO185" s="32">
        <v>2.66619057320795E-3</v>
      </c>
      <c r="AP185" s="30"/>
      <c r="AQ185" s="32">
        <v>2.6052899071192801E-3</v>
      </c>
      <c r="AR185" s="30"/>
      <c r="AS185" s="32">
        <v>-2.4831505223728398E-3</v>
      </c>
      <c r="AT185" s="30"/>
      <c r="AU185" s="32">
        <v>3.4686203561708498E-2</v>
      </c>
      <c r="AV185" s="30"/>
      <c r="AW185" s="32">
        <v>1.23642144232803E-2</v>
      </c>
      <c r="AX185" s="30"/>
      <c r="AY185" s="32">
        <v>2.23219891384282E-2</v>
      </c>
      <c r="AZ185" s="30"/>
      <c r="BA185" s="32">
        <v>2.4663244318768301E-2</v>
      </c>
      <c r="BB185" s="30"/>
      <c r="BC185" s="32">
        <v>1.2213938474644001E-4</v>
      </c>
      <c r="BD185" s="30"/>
      <c r="BE185" s="32"/>
      <c r="BF185" s="30"/>
    </row>
    <row r="186" spans="1:58" x14ac:dyDescent="0.2">
      <c r="A186" s="28">
        <v>2023</v>
      </c>
      <c r="B186" s="28">
        <v>3</v>
      </c>
      <c r="C186" s="32"/>
      <c r="D186" s="30"/>
      <c r="E186" s="32">
        <v>3.4287353295573399E-2</v>
      </c>
      <c r="F186" s="30"/>
      <c r="G186" s="32">
        <v>5.9361731932930702E-3</v>
      </c>
      <c r="H186" s="30"/>
      <c r="I186" s="32">
        <v>3.9384565445826402E-3</v>
      </c>
      <c r="J186" s="30"/>
      <c r="K186" s="32">
        <v>1.9977166487104301E-3</v>
      </c>
      <c r="L186" s="30"/>
      <c r="M186" s="32">
        <v>2.83511801022804E-2</v>
      </c>
      <c r="N186" s="30"/>
      <c r="O186" s="32">
        <v>3.63349200659743E-3</v>
      </c>
      <c r="P186" s="30"/>
      <c r="Q186" s="32">
        <v>-2.9236478395286002E-4</v>
      </c>
      <c r="R186" s="30"/>
      <c r="S186" s="32">
        <v>3.9258567905502903E-3</v>
      </c>
      <c r="T186" s="30"/>
      <c r="U186" s="32">
        <v>1.76356847075652E-2</v>
      </c>
      <c r="V186" s="30"/>
      <c r="W186" s="32">
        <v>7.0820033881177401E-3</v>
      </c>
      <c r="X186" s="30"/>
      <c r="Y186" s="32">
        <v>-3.1052281683197999E-2</v>
      </c>
      <c r="Z186" s="30"/>
      <c r="AA186" s="32">
        <v>-7.3180581737056397E-2</v>
      </c>
      <c r="AB186" s="30"/>
      <c r="AC186" s="32">
        <v>-6.9844539917014795E-2</v>
      </c>
      <c r="AD186" s="30"/>
      <c r="AE186" s="32">
        <v>-3.0251299028601401E-2</v>
      </c>
      <c r="AF186" s="30"/>
      <c r="AG186" s="32">
        <v>4.1734232837985002E-3</v>
      </c>
      <c r="AH186" s="30"/>
      <c r="AI186" s="32">
        <v>-3.3360418200416202E-3</v>
      </c>
      <c r="AJ186" s="30"/>
      <c r="AK186" s="32">
        <v>4.2128300053858397E-2</v>
      </c>
      <c r="AL186" s="30"/>
      <c r="AM186" s="32">
        <v>4.5876062079063001E-2</v>
      </c>
      <c r="AN186" s="30"/>
      <c r="AO186" s="32">
        <v>9.2640541973539395E-3</v>
      </c>
      <c r="AP186" s="30"/>
      <c r="AQ186" s="32">
        <v>1.0556783295721E-2</v>
      </c>
      <c r="AR186" s="30"/>
      <c r="AS186" s="32">
        <v>-3.74776202520463E-3</v>
      </c>
      <c r="AT186" s="30"/>
      <c r="AU186" s="32">
        <v>-2.1209634365706099E-2</v>
      </c>
      <c r="AV186" s="30"/>
      <c r="AW186" s="32">
        <v>9.5696651998904998E-3</v>
      </c>
      <c r="AX186" s="30"/>
      <c r="AY186" s="32">
        <v>-3.07792995655966E-2</v>
      </c>
      <c r="AZ186" s="30"/>
      <c r="BA186" s="32">
        <v>-2.7443257745554998E-2</v>
      </c>
      <c r="BB186" s="30"/>
      <c r="BC186" s="32">
        <v>6.8090212705163499E-3</v>
      </c>
      <c r="BD186" s="30"/>
      <c r="BE186" s="32"/>
      <c r="BF186" s="30"/>
    </row>
    <row r="187" spans="1:58" x14ac:dyDescent="0.2">
      <c r="A187" s="28">
        <v>2023</v>
      </c>
      <c r="B187" s="28">
        <v>4</v>
      </c>
      <c r="C187" s="32"/>
      <c r="D187" s="30"/>
      <c r="E187" s="32">
        <v>4.1864882689842002E-2</v>
      </c>
      <c r="F187" s="30"/>
      <c r="G187" s="32">
        <v>9.9085078172915404E-3</v>
      </c>
      <c r="H187" s="30"/>
      <c r="I187" s="32">
        <v>7.6402124086197096E-3</v>
      </c>
      <c r="J187" s="30"/>
      <c r="K187" s="32">
        <v>2.2682954086718299E-3</v>
      </c>
      <c r="L187" s="30"/>
      <c r="M187" s="32">
        <v>3.19563748725505E-2</v>
      </c>
      <c r="N187" s="30"/>
      <c r="O187" s="32">
        <v>2.72624532507548E-3</v>
      </c>
      <c r="P187" s="30"/>
      <c r="Q187" s="32">
        <v>-1.06145741760254E-3</v>
      </c>
      <c r="R187" s="30"/>
      <c r="S187" s="32">
        <v>3.7877027426780202E-3</v>
      </c>
      <c r="T187" s="30"/>
      <c r="U187" s="32">
        <v>3.5447187199726601E-2</v>
      </c>
      <c r="V187" s="30"/>
      <c r="W187" s="32">
        <v>-6.2170576522515598E-3</v>
      </c>
      <c r="X187" s="30"/>
      <c r="Y187" s="32">
        <v>-3.5590659901793303E-2</v>
      </c>
      <c r="Z187" s="30"/>
      <c r="AA187" s="32">
        <v>-6.4290544667343894E-2</v>
      </c>
      <c r="AB187" s="30"/>
      <c r="AC187" s="32">
        <v>-5.1775476462511502E-2</v>
      </c>
      <c r="AD187" s="30"/>
      <c r="AE187" s="32">
        <v>-3.2156673367721399E-2</v>
      </c>
      <c r="AF187" s="30"/>
      <c r="AG187" s="32">
        <v>-1.41527693037558E-3</v>
      </c>
      <c r="AH187" s="30"/>
      <c r="AI187" s="32">
        <v>-1.25150682048324E-2</v>
      </c>
      <c r="AJ187" s="30"/>
      <c r="AK187" s="32">
        <v>2.8699884765550701E-2</v>
      </c>
      <c r="AL187" s="30"/>
      <c r="AM187" s="32">
        <v>2.7742721029801201E-2</v>
      </c>
      <c r="AN187" s="30"/>
      <c r="AO187" s="32">
        <v>-5.4399951682695697E-3</v>
      </c>
      <c r="AP187" s="30"/>
      <c r="AQ187" s="32">
        <v>-1.5663411645734E-3</v>
      </c>
      <c r="AR187" s="30"/>
      <c r="AS187" s="32">
        <v>9.5716373574948003E-4</v>
      </c>
      <c r="AT187" s="30"/>
      <c r="AU187" s="32">
        <v>-2.85637869828539E-2</v>
      </c>
      <c r="AV187" s="30"/>
      <c r="AW187" s="32">
        <v>1.2634753142367E-2</v>
      </c>
      <c r="AX187" s="30"/>
      <c r="AY187" s="32">
        <v>-4.1198540125220902E-2</v>
      </c>
      <c r="AZ187" s="30"/>
      <c r="BA187" s="32">
        <v>-2.86834719203885E-2</v>
      </c>
      <c r="BB187" s="30"/>
      <c r="BC187" s="32">
        <v>-6.0917742882392496E-4</v>
      </c>
      <c r="BD187" s="30"/>
      <c r="BE187" s="32"/>
      <c r="BF187" s="30"/>
    </row>
    <row r="188" spans="1:58" x14ac:dyDescent="0.2">
      <c r="A188" s="28">
        <v>2024</v>
      </c>
      <c r="B188" s="28">
        <v>1</v>
      </c>
      <c r="C188" s="32"/>
      <c r="D188" s="30"/>
      <c r="E188" s="32">
        <v>-4.53604503193586E-3</v>
      </c>
      <c r="F188" s="30"/>
      <c r="G188" s="32">
        <v>1.22751863949104E-2</v>
      </c>
      <c r="H188" s="30"/>
      <c r="I188" s="32">
        <v>1.05710020727076E-2</v>
      </c>
      <c r="J188" s="30"/>
      <c r="K188" s="32">
        <v>1.7041843222028699E-3</v>
      </c>
      <c r="L188" s="30"/>
      <c r="M188" s="32">
        <v>-1.6811231426846301E-2</v>
      </c>
      <c r="N188" s="30"/>
      <c r="O188" s="32">
        <v>-8.13727089310462E-4</v>
      </c>
      <c r="P188" s="30"/>
      <c r="Q188" s="32">
        <v>-1.64639121956575E-3</v>
      </c>
      <c r="R188" s="30"/>
      <c r="S188" s="32">
        <v>8.3266413025529103E-4</v>
      </c>
      <c r="T188" s="30"/>
      <c r="U188" s="32">
        <v>-3.12728917470385E-3</v>
      </c>
      <c r="V188" s="30"/>
      <c r="W188" s="32">
        <v>-1.2870215162832E-2</v>
      </c>
      <c r="X188" s="30"/>
      <c r="Y188" s="32">
        <v>6.4209617785362704E-3</v>
      </c>
      <c r="Z188" s="30"/>
      <c r="AA188" s="32">
        <v>5.5773949236058197E-3</v>
      </c>
      <c r="AB188" s="30"/>
      <c r="AC188" s="32">
        <v>4.8161459360833902E-4</v>
      </c>
      <c r="AD188" s="30"/>
      <c r="AE188" s="32">
        <v>-7.2649653612786103E-3</v>
      </c>
      <c r="AF188" s="30"/>
      <c r="AG188" s="32">
        <v>-8.9339964984519894E-3</v>
      </c>
      <c r="AH188" s="30"/>
      <c r="AI188" s="32">
        <v>5.0957803299974801E-3</v>
      </c>
      <c r="AJ188" s="30"/>
      <c r="AK188" s="32">
        <v>8.43566854930451E-4</v>
      </c>
      <c r="AL188" s="30"/>
      <c r="AM188" s="32">
        <v>1.1282671176256399E-2</v>
      </c>
      <c r="AN188" s="30"/>
      <c r="AO188" s="32">
        <v>4.80522071654799E-3</v>
      </c>
      <c r="AP188" s="30"/>
      <c r="AQ188" s="32">
        <v>2.80802275851884E-3</v>
      </c>
      <c r="AR188" s="30"/>
      <c r="AS188" s="32">
        <v>-1.0439104321326E-2</v>
      </c>
      <c r="AT188" s="30"/>
      <c r="AU188" s="32">
        <v>1.26432874841114E-2</v>
      </c>
      <c r="AV188" s="30"/>
      <c r="AW188" s="32">
        <v>1.14614593056E-2</v>
      </c>
      <c r="AX188" s="30"/>
      <c r="AY188" s="32">
        <v>1.18182817851143E-3</v>
      </c>
      <c r="AZ188" s="30"/>
      <c r="BA188" s="32">
        <v>-3.9139521514860503E-3</v>
      </c>
      <c r="BB188" s="30"/>
      <c r="BC188" s="32">
        <v>-7.6310815628071399E-3</v>
      </c>
      <c r="BD188" s="30"/>
      <c r="BE188" s="32"/>
      <c r="BF188" s="30"/>
    </row>
    <row r="189" spans="1:58" x14ac:dyDescent="0.2">
      <c r="A189" s="28">
        <v>2024</v>
      </c>
      <c r="B189" s="28">
        <v>2</v>
      </c>
      <c r="C189" s="32"/>
      <c r="D189" s="30"/>
      <c r="E189" s="32">
        <v>1.24390943979276E-3</v>
      </c>
      <c r="F189" s="30"/>
      <c r="G189" s="32">
        <v>1.22520530522828E-2</v>
      </c>
      <c r="H189" s="30"/>
      <c r="I189" s="32">
        <v>1.0690198836054401E-2</v>
      </c>
      <c r="J189" s="30"/>
      <c r="K189" s="32">
        <v>1.5618542162283799E-3</v>
      </c>
      <c r="L189" s="30"/>
      <c r="M189" s="32">
        <v>-1.10081436124901E-2</v>
      </c>
      <c r="N189" s="30"/>
      <c r="O189" s="32">
        <v>3.09476784004145E-3</v>
      </c>
      <c r="P189" s="30"/>
      <c r="Q189" s="32">
        <v>-1.5079501026898101E-3</v>
      </c>
      <c r="R189" s="30"/>
      <c r="S189" s="32">
        <v>4.6027179427312603E-3</v>
      </c>
      <c r="T189" s="30"/>
      <c r="U189" s="32">
        <v>-1.20340902043741E-2</v>
      </c>
      <c r="V189" s="30"/>
      <c r="W189" s="32">
        <v>-2.0688212481574002E-3</v>
      </c>
      <c r="X189" s="30"/>
      <c r="Y189" s="32">
        <v>1.75406367185439E-2</v>
      </c>
      <c r="Z189" s="30"/>
      <c r="AA189" s="32">
        <v>1.28557525524152E-2</v>
      </c>
      <c r="AB189" s="30"/>
      <c r="AC189" s="32">
        <v>-3.6003679398834299E-3</v>
      </c>
      <c r="AD189" s="30"/>
      <c r="AE189" s="32">
        <v>2.5308716222018801E-2</v>
      </c>
      <c r="AF189" s="30"/>
      <c r="AG189" s="32">
        <v>3.42455340387577E-2</v>
      </c>
      <c r="AH189" s="30"/>
      <c r="AI189" s="32">
        <v>1.6456120492298699E-2</v>
      </c>
      <c r="AJ189" s="30"/>
      <c r="AK189" s="32">
        <v>4.6848841661286901E-3</v>
      </c>
      <c r="AL189" s="30"/>
      <c r="AM189" s="32">
        <v>1.3674095286161101E-2</v>
      </c>
      <c r="AN189" s="30"/>
      <c r="AO189" s="32">
        <v>-2.4019406795943499E-2</v>
      </c>
      <c r="AP189" s="30"/>
      <c r="AQ189" s="32">
        <v>-2.2963028192403499E-2</v>
      </c>
      <c r="AR189" s="30"/>
      <c r="AS189" s="32">
        <v>-8.9892111200324497E-3</v>
      </c>
      <c r="AT189" s="30"/>
      <c r="AU189" s="32">
        <v>6.2770875675146803E-2</v>
      </c>
      <c r="AV189" s="30"/>
      <c r="AW189" s="32">
        <v>1.53468208923243E-2</v>
      </c>
      <c r="AX189" s="30"/>
      <c r="AY189" s="32">
        <v>4.7424054782822501E-2</v>
      </c>
      <c r="AZ189" s="30"/>
      <c r="BA189" s="32">
        <v>3.0967934290523799E-2</v>
      </c>
      <c r="BB189" s="30"/>
      <c r="BC189" s="32">
        <v>-3.1952239312436001E-2</v>
      </c>
      <c r="BD189" s="30"/>
      <c r="BE189" s="32"/>
      <c r="BF189" s="30"/>
    </row>
    <row r="190" spans="1:58" x14ac:dyDescent="0.2">
      <c r="A190" s="28">
        <v>2024</v>
      </c>
      <c r="B190" s="28">
        <v>3</v>
      </c>
      <c r="C190" s="32"/>
      <c r="D190" s="30"/>
      <c r="E190" s="32">
        <v>3.2359019608972299E-2</v>
      </c>
      <c r="F190" s="30"/>
      <c r="G190" s="32">
        <v>1.4180504107121799E-2</v>
      </c>
      <c r="H190" s="30"/>
      <c r="I190" s="32">
        <v>1.2779778261390901E-2</v>
      </c>
      <c r="J190" s="30"/>
      <c r="K190" s="32">
        <v>1.40072584573092E-3</v>
      </c>
      <c r="L190" s="30"/>
      <c r="M190" s="32">
        <v>1.8178515501850501E-2</v>
      </c>
      <c r="N190" s="30"/>
      <c r="O190" s="32">
        <v>6.6312645651582405E-4</v>
      </c>
      <c r="P190" s="30"/>
      <c r="Q190" s="32">
        <v>-3.5034198137227099E-4</v>
      </c>
      <c r="R190" s="30"/>
      <c r="S190" s="32">
        <v>1.0134684378880899E-3</v>
      </c>
      <c r="T190" s="30"/>
      <c r="U190" s="32">
        <v>9.9290678755780508E-3</v>
      </c>
      <c r="V190" s="30"/>
      <c r="W190" s="32">
        <v>7.5863211697565804E-3</v>
      </c>
      <c r="X190" s="30"/>
      <c r="Y190" s="32">
        <v>-1.2392747283814801E-2</v>
      </c>
      <c r="Z190" s="30"/>
      <c r="AA190" s="32">
        <v>-3.3197899000276801E-3</v>
      </c>
      <c r="AB190" s="30"/>
      <c r="AC190" s="32">
        <v>-1.2368598441705399E-2</v>
      </c>
      <c r="AD190" s="30"/>
      <c r="AE190" s="32">
        <v>6.6022398168186103E-3</v>
      </c>
      <c r="AF190" s="30"/>
      <c r="AG190" s="32">
        <v>1.02339873516827E-2</v>
      </c>
      <c r="AH190" s="30"/>
      <c r="AI190" s="32">
        <v>9.0488085416777098E-3</v>
      </c>
      <c r="AJ190" s="30"/>
      <c r="AK190" s="32">
        <v>-9.0729573837871596E-3</v>
      </c>
      <c r="AL190" s="30"/>
      <c r="AM190" s="32">
        <v>-1.5889621769200901E-3</v>
      </c>
      <c r="AN190" s="30"/>
      <c r="AO190" s="32">
        <v>-1.50298056770325E-2</v>
      </c>
      <c r="AP190" s="30"/>
      <c r="AQ190" s="32">
        <v>-1.24981702153546E-2</v>
      </c>
      <c r="AR190" s="30"/>
      <c r="AS190" s="32">
        <v>-7.4839952068670697E-3</v>
      </c>
      <c r="AT190" s="30"/>
      <c r="AU190" s="32">
        <v>3.0019369871801101E-2</v>
      </c>
      <c r="AV190" s="30"/>
      <c r="AW190" s="32">
        <v>1.4843630563637701E-2</v>
      </c>
      <c r="AX190" s="30"/>
      <c r="AY190" s="32">
        <v>1.5175739308163501E-2</v>
      </c>
      <c r="AZ190" s="30"/>
      <c r="BA190" s="32">
        <v>6.1269307664857404E-3</v>
      </c>
      <c r="BB190" s="30"/>
      <c r="BC190" s="32">
        <v>-1.9982165422221702E-2</v>
      </c>
      <c r="BD190" s="30"/>
      <c r="BE190" s="32"/>
      <c r="BF190" s="30"/>
    </row>
    <row r="191" spans="1:58" x14ac:dyDescent="0.2">
      <c r="A191" s="28">
        <v>2024</v>
      </c>
      <c r="B191" s="28">
        <v>4</v>
      </c>
      <c r="C191" s="32"/>
      <c r="D191" s="30"/>
      <c r="E191" s="32">
        <v>-7.5652031989327699E-3</v>
      </c>
      <c r="F191" s="30"/>
      <c r="G191" s="32">
        <v>1.3966804466852801E-2</v>
      </c>
      <c r="H191" s="30"/>
      <c r="I191" s="32">
        <v>1.2523956410970099E-2</v>
      </c>
      <c r="J191" s="30"/>
      <c r="K191" s="32">
        <v>1.44284805588269E-3</v>
      </c>
      <c r="L191" s="30"/>
      <c r="M191" s="32">
        <v>-2.1532007665785599E-2</v>
      </c>
      <c r="N191" s="30"/>
      <c r="O191" s="32">
        <v>2.0395185739132799E-3</v>
      </c>
      <c r="P191" s="30"/>
      <c r="Q191" s="32">
        <v>-9.4894102918317597E-4</v>
      </c>
      <c r="R191" s="30"/>
      <c r="S191" s="32">
        <v>2.9884596030964501E-3</v>
      </c>
      <c r="T191" s="30"/>
      <c r="U191" s="32">
        <v>-1.8345049480541501E-2</v>
      </c>
      <c r="V191" s="30"/>
      <c r="W191" s="32">
        <v>-5.2264767591573202E-3</v>
      </c>
      <c r="X191" s="30"/>
      <c r="Y191" s="32">
        <v>2.2459339787409702E-2</v>
      </c>
      <c r="Z191" s="30"/>
      <c r="AA191" s="32">
        <v>3.2612716106267099E-2</v>
      </c>
      <c r="AB191" s="30"/>
      <c r="AC191" s="32">
        <v>1.15537750799881E-2</v>
      </c>
      <c r="AD191" s="30"/>
      <c r="AE191" s="32">
        <v>1.8859772993431698E-2</v>
      </c>
      <c r="AF191" s="30"/>
      <c r="AG191" s="32">
        <v>4.0028059760362E-2</v>
      </c>
      <c r="AH191" s="30"/>
      <c r="AI191" s="32">
        <v>2.1058941026279001E-2</v>
      </c>
      <c r="AJ191" s="30"/>
      <c r="AK191" s="32">
        <v>-1.0153376318857399E-2</v>
      </c>
      <c r="AL191" s="30"/>
      <c r="AM191" s="32">
        <v>-5.0318804780562602E-3</v>
      </c>
      <c r="AN191" s="30"/>
      <c r="AO191" s="32">
        <v>-1.29903021072769E-2</v>
      </c>
      <c r="AP191" s="30"/>
      <c r="AQ191" s="32">
        <v>-1.37953491243793E-2</v>
      </c>
      <c r="AR191" s="30"/>
      <c r="AS191" s="32">
        <v>-5.1214958408011399E-3</v>
      </c>
      <c r="AT191" s="30"/>
      <c r="AU191" s="32">
        <v>5.2156031034198899E-2</v>
      </c>
      <c r="AV191" s="30"/>
      <c r="AW191" s="32">
        <v>1.6006323040766102E-2</v>
      </c>
      <c r="AX191" s="30"/>
      <c r="AY191" s="32">
        <v>3.6149707993432798E-2</v>
      </c>
      <c r="AZ191" s="30"/>
      <c r="BA191" s="32">
        <v>1.5090766967153901E-2</v>
      </c>
      <c r="BB191" s="30"/>
      <c r="BC191" s="32">
        <v>-1.89168449651805E-2</v>
      </c>
      <c r="BD191" s="30"/>
      <c r="BE191" s="32"/>
      <c r="BF191" s="30"/>
    </row>
    <row r="192" spans="1:58" x14ac:dyDescent="0.2">
      <c r="A192" s="28">
        <v>2025</v>
      </c>
      <c r="B192" s="28">
        <v>1</v>
      </c>
      <c r="C192" s="32"/>
      <c r="D192" s="30"/>
      <c r="E192" s="32">
        <v>-4.6312805478591302E-3</v>
      </c>
      <c r="F192" s="30"/>
      <c r="G192" s="32">
        <v>9.7376531153023794E-3</v>
      </c>
      <c r="H192" s="30"/>
      <c r="I192" s="32">
        <v>8.4370919519432992E-3</v>
      </c>
      <c r="J192" s="30"/>
      <c r="K192" s="32">
        <v>1.3005611633590799E-3</v>
      </c>
      <c r="L192" s="30"/>
      <c r="M192" s="32">
        <v>-1.43689336631615E-2</v>
      </c>
      <c r="N192" s="30"/>
      <c r="O192" s="32">
        <v>5.2455022433085395E-4</v>
      </c>
      <c r="P192" s="30"/>
      <c r="Q192" s="32">
        <v>-6.43302322341091E-4</v>
      </c>
      <c r="R192" s="30"/>
      <c r="S192" s="32">
        <v>1.16785254667194E-3</v>
      </c>
      <c r="T192" s="30"/>
      <c r="U192" s="32">
        <v>3.8916129447976698E-3</v>
      </c>
      <c r="V192" s="30"/>
      <c r="W192" s="32">
        <v>-1.8785096832289998E-2</v>
      </c>
      <c r="X192" s="30"/>
      <c r="Y192" s="32">
        <v>3.0576027334525201E-2</v>
      </c>
      <c r="Z192" s="30"/>
      <c r="AA192" s="32">
        <v>8.3413303222389407E-2</v>
      </c>
      <c r="AB192" s="30"/>
      <c r="AC192" s="32">
        <v>8.1291657679333301E-2</v>
      </c>
      <c r="AD192" s="30"/>
      <c r="AE192" s="32">
        <v>5.1546072959647998E-2</v>
      </c>
      <c r="AF192" s="30"/>
      <c r="AG192" s="32">
        <v>4.52642540523506E-2</v>
      </c>
      <c r="AH192" s="30"/>
      <c r="AI192" s="32">
        <v>2.1216455430560499E-3</v>
      </c>
      <c r="AJ192" s="30"/>
      <c r="AK192" s="32">
        <v>-5.2837275887864202E-2</v>
      </c>
      <c r="AL192" s="30"/>
      <c r="AM192" s="32">
        <v>-5.51235215399343E-2</v>
      </c>
      <c r="AN192" s="30"/>
      <c r="AO192" s="32">
        <v>-3.6376120080246203E-2</v>
      </c>
      <c r="AP192" s="30"/>
      <c r="AQ192" s="32">
        <v>-3.61235397163353E-2</v>
      </c>
      <c r="AR192" s="30"/>
      <c r="AS192" s="32">
        <v>2.2862456520700999E-3</v>
      </c>
      <c r="AT192" s="30"/>
      <c r="AU192" s="32">
        <v>5.5890427906133501E-2</v>
      </c>
      <c r="AV192" s="30"/>
      <c r="AW192" s="32">
        <v>1.0262203339633199E-2</v>
      </c>
      <c r="AX192" s="30"/>
      <c r="AY192" s="32">
        <v>4.56282245665003E-2</v>
      </c>
      <c r="AZ192" s="30"/>
      <c r="BA192" s="32">
        <v>4.3506579023444299E-2</v>
      </c>
      <c r="BB192" s="30"/>
      <c r="BC192" s="32">
        <v>-3.3837294064265201E-2</v>
      </c>
      <c r="BD192" s="30"/>
      <c r="BE192" s="32"/>
      <c r="BF192" s="30"/>
    </row>
    <row r="193" spans="1:58" x14ac:dyDescent="0.2">
      <c r="A193" s="28">
        <v>2025</v>
      </c>
      <c r="B193" s="28">
        <v>2</v>
      </c>
      <c r="C193" s="32"/>
      <c r="D193" s="30"/>
      <c r="E193" s="32">
        <v>6.2746882490940695E-2</v>
      </c>
      <c r="F193" s="30"/>
      <c r="G193" s="32">
        <v>9.7235742739766092E-3</v>
      </c>
      <c r="H193" s="30"/>
      <c r="I193" s="32">
        <v>7.7964476956672102E-3</v>
      </c>
      <c r="J193" s="30"/>
      <c r="K193" s="32">
        <v>1.9271265783094001E-3</v>
      </c>
      <c r="L193" s="30"/>
      <c r="M193" s="32">
        <v>5.3023308216964098E-2</v>
      </c>
      <c r="N193" s="30"/>
      <c r="O193" s="32">
        <v>-5.3179066141657199E-3</v>
      </c>
      <c r="P193" s="30"/>
      <c r="Q193" s="32">
        <v>-1.0326798035419E-3</v>
      </c>
      <c r="R193" s="30"/>
      <c r="S193" s="32">
        <v>-4.2852268106238203E-3</v>
      </c>
      <c r="T193" s="30"/>
      <c r="U193" s="32">
        <v>1.93583312583527E-2</v>
      </c>
      <c r="V193" s="30"/>
      <c r="W193" s="32">
        <v>3.8982883572777099E-2</v>
      </c>
      <c r="X193" s="30"/>
      <c r="Y193" s="32">
        <v>-4.8979089975265303E-2</v>
      </c>
      <c r="Z193" s="30"/>
      <c r="AA193" s="32">
        <v>1.83241515732715E-3</v>
      </c>
      <c r="AB193" s="30"/>
      <c r="AC193" s="32">
        <v>6.4520782509395903E-3</v>
      </c>
      <c r="AD193" s="30"/>
      <c r="AE193" s="32">
        <v>-1.6589524175859101E-3</v>
      </c>
      <c r="AF193" s="30"/>
      <c r="AG193" s="32">
        <v>2.0018764587423901E-3</v>
      </c>
      <c r="AH193" s="30"/>
      <c r="AI193" s="32">
        <v>-4.6196630936124403E-3</v>
      </c>
      <c r="AJ193" s="30"/>
      <c r="AK193" s="32">
        <v>-5.0811505132592499E-2</v>
      </c>
      <c r="AL193" s="30"/>
      <c r="AM193" s="32">
        <v>-6.5322048445707895E-2</v>
      </c>
      <c r="AN193" s="30"/>
      <c r="AO193" s="32">
        <v>-1.2077363395848299E-2</v>
      </c>
      <c r="AP193" s="30"/>
      <c r="AQ193" s="32">
        <v>-8.3405244762428804E-3</v>
      </c>
      <c r="AR193" s="30"/>
      <c r="AS193" s="32">
        <v>1.4510543313115401E-2</v>
      </c>
      <c r="AT193" s="30"/>
      <c r="AU193" s="32">
        <v>-1.17605575795498E-2</v>
      </c>
      <c r="AV193" s="30"/>
      <c r="AW193" s="32">
        <v>4.4056676598108902E-3</v>
      </c>
      <c r="AX193" s="30"/>
      <c r="AY193" s="32">
        <v>-1.6166225239360701E-2</v>
      </c>
      <c r="AZ193" s="30"/>
      <c r="BA193" s="32">
        <v>-1.15465621457483E-2</v>
      </c>
      <c r="BB193" s="30"/>
      <c r="BC193" s="32">
        <v>6.1700188368724899E-3</v>
      </c>
      <c r="BD193" s="30"/>
      <c r="BE193" s="32"/>
      <c r="BF193" s="30"/>
    </row>
    <row r="194" spans="1:58" x14ac:dyDescent="0.2">
      <c r="A194" s="28">
        <v>2025</v>
      </c>
      <c r="B194" s="28">
        <v>3</v>
      </c>
      <c r="C194" s="32"/>
      <c r="D194" s="30"/>
      <c r="E194" s="32">
        <v>2.63787003666025E-2</v>
      </c>
      <c r="F194" s="30"/>
      <c r="G194" s="32">
        <v>7.98987539092684E-3</v>
      </c>
      <c r="H194" s="30"/>
      <c r="I194" s="32">
        <v>6.9126548492704403E-3</v>
      </c>
      <c r="J194" s="30"/>
      <c r="K194" s="32">
        <v>1.0772205416564101E-3</v>
      </c>
      <c r="L194" s="30"/>
      <c r="M194" s="32">
        <v>1.8388824975675701E-2</v>
      </c>
      <c r="N194" s="30"/>
      <c r="O194" s="32">
        <v>-2.55258409510873E-3</v>
      </c>
      <c r="P194" s="30"/>
      <c r="Q194" s="32">
        <v>-1.2285266409163499E-3</v>
      </c>
      <c r="R194" s="30"/>
      <c r="S194" s="32">
        <v>-1.3240574541923799E-3</v>
      </c>
      <c r="T194" s="30"/>
      <c r="U194" s="32">
        <v>2.1290689673815299E-3</v>
      </c>
      <c r="V194" s="30"/>
      <c r="W194" s="32">
        <v>1.8812340103402901E-2</v>
      </c>
      <c r="X194" s="30"/>
      <c r="Y194" s="32">
        <v>-2.0742137439228502E-2</v>
      </c>
      <c r="Z194" s="30"/>
      <c r="AA194" s="32">
        <v>4.59434212011718E-2</v>
      </c>
      <c r="AB194" s="30"/>
      <c r="AC194" s="32">
        <v>4.1693066578635397E-2</v>
      </c>
      <c r="AD194" s="30"/>
      <c r="AE194" s="32">
        <v>1.7246275753686299E-2</v>
      </c>
      <c r="AF194" s="30"/>
      <c r="AG194" s="32">
        <v>-3.1619473472225602E-3</v>
      </c>
      <c r="AH194" s="30"/>
      <c r="AI194" s="32">
        <v>4.25035462253641E-3</v>
      </c>
      <c r="AJ194" s="30"/>
      <c r="AK194" s="32">
        <v>-6.6685558640400294E-2</v>
      </c>
      <c r="AL194" s="30"/>
      <c r="AM194" s="32">
        <v>-6.9282978311339102E-2</v>
      </c>
      <c r="AN194" s="30"/>
      <c r="AO194" s="32">
        <v>-2.64302310760966E-2</v>
      </c>
      <c r="AP194" s="30"/>
      <c r="AQ194" s="32">
        <v>-1.7708092303424398E-2</v>
      </c>
      <c r="AR194" s="30"/>
      <c r="AS194" s="32">
        <v>2.5974196709387699E-3</v>
      </c>
      <c r="AT194" s="30"/>
      <c r="AU194" s="32">
        <v>1.86181665924782E-2</v>
      </c>
      <c r="AV194" s="30"/>
      <c r="AW194" s="32">
        <v>5.4372912958181099E-3</v>
      </c>
      <c r="AX194" s="30"/>
      <c r="AY194" s="32">
        <v>1.318087529666E-2</v>
      </c>
      <c r="AZ194" s="30"/>
      <c r="BA194" s="32">
        <v>8.9305206741236397E-3</v>
      </c>
      <c r="BB194" s="30"/>
      <c r="BC194" s="32">
        <v>-1.51106726324857E-2</v>
      </c>
      <c r="BD194" s="30"/>
      <c r="BE194" s="32"/>
      <c r="BF194" s="30"/>
    </row>
    <row r="195" spans="1:58" x14ac:dyDescent="0.2">
      <c r="A195" s="28">
        <v>2025</v>
      </c>
      <c r="B195" s="28">
        <v>4</v>
      </c>
      <c r="C195" s="32"/>
      <c r="D195" s="30"/>
      <c r="E195" s="32">
        <v>6.1135966762518701E-2</v>
      </c>
      <c r="F195" s="30"/>
      <c r="G195" s="32">
        <v>7.5883799188598399E-3</v>
      </c>
      <c r="H195" s="30"/>
      <c r="I195" s="32">
        <v>7.3424185622472304E-3</v>
      </c>
      <c r="J195" s="30"/>
      <c r="K195" s="32">
        <v>2.45961356612612E-4</v>
      </c>
      <c r="L195" s="30"/>
      <c r="M195" s="32">
        <v>5.3547586843658901E-2</v>
      </c>
      <c r="N195" s="30"/>
      <c r="O195" s="32">
        <v>1.64754703193005E-3</v>
      </c>
      <c r="P195" s="30"/>
      <c r="Q195" s="32">
        <v>1.42600896286545E-3</v>
      </c>
      <c r="R195" s="30"/>
      <c r="S195" s="32">
        <v>2.2153806906460101E-4</v>
      </c>
      <c r="T195" s="30"/>
      <c r="U195" s="32">
        <v>3.48994195636044E-2</v>
      </c>
      <c r="V195" s="30"/>
      <c r="W195" s="32">
        <v>1.7000620248124501E-2</v>
      </c>
      <c r="X195" s="30"/>
      <c r="Y195" s="32">
        <v>-5.4072001720495297E-2</v>
      </c>
      <c r="Z195" s="30"/>
      <c r="AA195" s="32">
        <v>5.0259139259729302E-3</v>
      </c>
      <c r="AB195" s="30"/>
      <c r="AC195" s="32">
        <v>1.5950325160916101E-2</v>
      </c>
      <c r="AD195" s="30"/>
      <c r="AE195" s="32">
        <v>6.73727966309399E-3</v>
      </c>
      <c r="AF195" s="30"/>
      <c r="AG195" s="32">
        <v>-1.75748116809454E-2</v>
      </c>
      <c r="AH195" s="30"/>
      <c r="AI195" s="32">
        <v>-1.0924411234943201E-2</v>
      </c>
      <c r="AJ195" s="30"/>
      <c r="AK195" s="32">
        <v>-5.9097915646468199E-2</v>
      </c>
      <c r="AL195" s="30"/>
      <c r="AM195" s="32">
        <v>-6.5802916010323995E-2</v>
      </c>
      <c r="AN195" s="30"/>
      <c r="AO195" s="32">
        <v>-2.56938747384917E-2</v>
      </c>
      <c r="AP195" s="30"/>
      <c r="AQ195" s="32">
        <v>-2.6515838209245499E-2</v>
      </c>
      <c r="AR195" s="30"/>
      <c r="AS195" s="32">
        <v>6.7050003638557398E-3</v>
      </c>
      <c r="AT195" s="30"/>
      <c r="AU195" s="32">
        <v>-8.0246166761911708E-3</v>
      </c>
      <c r="AV195" s="30"/>
      <c r="AW195" s="32">
        <v>9.2359269507898897E-3</v>
      </c>
      <c r="AX195" s="30"/>
      <c r="AY195" s="32">
        <v>-1.7260543626981099E-2</v>
      </c>
      <c r="AZ195" s="30"/>
      <c r="BA195" s="32">
        <v>-6.3361323920378496E-3</v>
      </c>
      <c r="BB195" s="30"/>
      <c r="BC195" s="32">
        <v>-1.98108378453897E-2</v>
      </c>
      <c r="BD195" s="30"/>
      <c r="BE195" s="32"/>
      <c r="BF195" s="30"/>
    </row>
    <row r="196" spans="1:58" x14ac:dyDescent="0.2">
      <c r="A196" s="28"/>
      <c r="B196" s="28"/>
      <c r="C196" s="32"/>
      <c r="D196" s="30"/>
      <c r="E196" s="32"/>
      <c r="F196" s="30"/>
      <c r="G196" s="32"/>
      <c r="H196" s="30"/>
      <c r="I196" s="32"/>
      <c r="J196" s="30"/>
      <c r="K196" s="32"/>
      <c r="L196" s="30"/>
      <c r="M196" s="32"/>
      <c r="N196" s="30"/>
      <c r="O196" s="32"/>
      <c r="P196" s="30"/>
      <c r="Q196" s="32"/>
      <c r="R196" s="30"/>
      <c r="S196" s="32"/>
      <c r="T196" s="30"/>
      <c r="U196" s="32"/>
      <c r="V196" s="30"/>
      <c r="W196" s="32"/>
      <c r="X196" s="30"/>
      <c r="Y196" s="32"/>
      <c r="Z196" s="30"/>
      <c r="AA196" s="32"/>
      <c r="AB196" s="30"/>
      <c r="AC196" s="32"/>
      <c r="AD196" s="30"/>
      <c r="AE196" s="32"/>
      <c r="AF196" s="30"/>
      <c r="AG196" s="32"/>
      <c r="AH196" s="30"/>
      <c r="AI196" s="32"/>
      <c r="AJ196" s="30"/>
      <c r="AK196" s="32"/>
      <c r="AL196" s="30"/>
      <c r="AM196" s="32"/>
      <c r="AN196" s="30"/>
      <c r="AO196" s="32"/>
      <c r="AP196" s="30"/>
      <c r="AQ196" s="32"/>
      <c r="AR196" s="30"/>
      <c r="AS196" s="32"/>
      <c r="AT196" s="30"/>
      <c r="AU196" s="32"/>
      <c r="AV196" s="30"/>
      <c r="AW196" s="32"/>
      <c r="AX196" s="30"/>
      <c r="AY196" s="32"/>
      <c r="AZ196" s="30"/>
      <c r="BA196" s="32"/>
      <c r="BB196" s="30"/>
      <c r="BC196" s="32"/>
      <c r="BD196" s="30"/>
      <c r="BE196" s="32"/>
      <c r="BF196" s="30"/>
    </row>
  </sheetData>
  <sheetProtection password="DD0B" sheet="1"/>
  <mergeCells count="65">
    <mergeCell ref="BC6:BD10"/>
    <mergeCell ref="BA7:BB10"/>
    <mergeCell ref="AU6:AV10"/>
    <mergeCell ref="AS11:AT11"/>
    <mergeCell ref="AS7:AT10"/>
    <mergeCell ref="AU11:AV11"/>
    <mergeCell ref="AW11:AX11"/>
    <mergeCell ref="AY11:AZ11"/>
    <mergeCell ref="BA11:BB11"/>
    <mergeCell ref="BC11:BD11"/>
    <mergeCell ref="AM11:AN11"/>
    <mergeCell ref="AO11:AP11"/>
    <mergeCell ref="AM8:AN10"/>
    <mergeCell ref="AO8:AP10"/>
    <mergeCell ref="AQ8:AR10"/>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C11:D11"/>
    <mergeCell ref="E11:F11"/>
    <mergeCell ref="G11:H11"/>
    <mergeCell ref="I11:J11"/>
    <mergeCell ref="K11:L11"/>
    <mergeCell ref="M11:N11"/>
    <mergeCell ref="G7:H10"/>
    <mergeCell ref="I7:J10"/>
    <mergeCell ref="K7:L10"/>
    <mergeCell ref="M7:N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Q8:R10"/>
    <mergeCell ref="S8:T10"/>
    <mergeCell ref="AC8:AD10"/>
    <mergeCell ref="AG8:AH10"/>
    <mergeCell ref="O7:T7"/>
    <mergeCell ref="AE8:AF10"/>
    <mergeCell ref="W7:X10"/>
    <mergeCell ref="AA7:AB10"/>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le07"/>
  <dimension ref="A1:BJ58"/>
  <sheetViews>
    <sheetView showGridLines="0" workbookViewId="0">
      <pane xSplit="2" ySplit="11" topLeftCell="C12" activePane="bottomRight" state="frozen"/>
      <selection pane="topRight"/>
      <selection pane="bottomLeft"/>
      <selection pane="bottomRight" activeCell="AK12" activeCellId="5" sqref="C12:C57 I12:I57 K12:K57 O12:O57 AA12:AA57 AK12:AK57"/>
    </sheetView>
  </sheetViews>
  <sheetFormatPr baseColWidth="10" defaultRowHeight="10" x14ac:dyDescent="0.2"/>
  <cols>
    <col min="1" max="1" width="9.77734375" customWidth="1"/>
    <col min="2" max="2" width="2.6640625" customWidth="1"/>
    <col min="3" max="58" width="9.77734375" customWidth="1"/>
    <col min="59" max="256" width="10.33203125" customWidth="1"/>
  </cols>
  <sheetData>
    <row r="1" spans="1:62" ht="11.25" customHeight="1" x14ac:dyDescent="0.25">
      <c r="A1" s="6" t="str">
        <f ca="1">IF(INDIRECT("beschriftung!"&amp;ADDRESS(beschriftung!$C$1*12+ROW(beschriftung!$A1)-1,COLUMN(beschriftung!B$1)))="","",INDIRECT("beschriftung!"&amp;ADDRESS(beschriftung!$C$1*12+ROW(beschriftung!$A1)-1,COLUMN(beschriftung!B$1))))</f>
        <v>ESA 2010, Annual aggregates of Gross Domestic Product, expenditure approach (SFSO, SECO), raw data</v>
      </c>
      <c r="C1" s="7"/>
      <c r="D1" s="19"/>
      <c r="E1" s="7"/>
      <c r="F1" s="19"/>
      <c r="G1" s="7"/>
      <c r="H1" s="19"/>
      <c r="I1" s="7"/>
      <c r="J1" s="19"/>
      <c r="K1" s="7"/>
      <c r="L1" s="19"/>
      <c r="M1" s="7"/>
      <c r="N1" s="19"/>
      <c r="O1" s="7"/>
      <c r="P1" s="19"/>
      <c r="Q1" s="7"/>
      <c r="R1" s="19"/>
      <c r="S1" s="7"/>
      <c r="T1" s="19"/>
      <c r="U1" s="7"/>
      <c r="V1" s="19"/>
      <c r="W1" s="7"/>
      <c r="X1" s="19"/>
      <c r="Y1" s="7"/>
      <c r="Z1" s="19"/>
      <c r="AA1" s="7"/>
      <c r="AB1" s="19"/>
      <c r="AC1" s="7"/>
      <c r="AD1" s="19"/>
      <c r="AE1" s="7"/>
      <c r="AF1" s="19"/>
      <c r="AG1" s="7"/>
      <c r="AH1" s="19"/>
      <c r="AI1" s="7"/>
      <c r="AJ1" s="19"/>
      <c r="AK1" s="7"/>
      <c r="AL1" s="19"/>
      <c r="AM1" s="7"/>
      <c r="AN1" s="19"/>
      <c r="AO1" s="7"/>
      <c r="AP1" s="19"/>
      <c r="AQ1" s="7"/>
      <c r="AR1" s="19"/>
      <c r="AS1" s="7"/>
      <c r="AT1" s="19"/>
      <c r="AU1" s="7"/>
      <c r="AW1" s="7"/>
      <c r="AY1" s="7"/>
      <c r="BA1" s="7"/>
      <c r="BC1" s="7"/>
    </row>
    <row r="2" spans="1:62" ht="11.25" customHeight="1" x14ac:dyDescent="0.2">
      <c r="A2" s="4" t="str">
        <f ca="1">IF(INDIRECT("beschriftung!"&amp;ADDRESS(beschriftung!$C$1*12+ROW(beschriftung!$A2)-1,COLUMN(beschriftung!B$1)))="","",INDIRECT("beschriftung!"&amp;ADDRESS(beschriftung!$C$1*12+ROW(beschriftung!$A2)-1,COLUMN(beschriftung!B$1))))</f>
        <v>In Mio. Swiss Francs, at current prices, percentage change to previous year</v>
      </c>
      <c r="C2" s="7"/>
      <c r="D2" s="19"/>
      <c r="E2" s="7"/>
      <c r="F2" s="19"/>
      <c r="G2" s="7"/>
      <c r="H2" s="19"/>
      <c r="I2" s="7"/>
      <c r="J2" s="19"/>
      <c r="K2" s="7"/>
      <c r="L2" s="19"/>
      <c r="M2" s="7"/>
      <c r="N2" s="19"/>
      <c r="O2" s="7"/>
      <c r="P2" s="19"/>
      <c r="Q2" s="7"/>
      <c r="R2" s="19"/>
      <c r="S2" s="7"/>
      <c r="T2" s="19"/>
      <c r="U2" s="7"/>
      <c r="V2" s="19"/>
      <c r="W2" s="7"/>
      <c r="X2" s="19"/>
      <c r="Y2" s="7"/>
      <c r="Z2" s="19"/>
      <c r="AA2" s="7"/>
      <c r="AB2" s="19"/>
      <c r="AC2" s="7"/>
      <c r="AD2" s="19"/>
      <c r="AE2" s="7"/>
      <c r="AF2" s="19"/>
      <c r="AG2" s="7"/>
      <c r="AH2" s="19"/>
      <c r="AI2" s="7"/>
      <c r="AJ2" s="19"/>
      <c r="AK2" s="7"/>
      <c r="AL2" s="19"/>
      <c r="AM2" s="7"/>
      <c r="AN2" s="19"/>
      <c r="AO2" s="7"/>
      <c r="AP2" s="19"/>
      <c r="AQ2" s="7"/>
      <c r="AR2" s="19"/>
      <c r="AS2" s="7"/>
      <c r="AT2" s="19"/>
      <c r="AU2" s="7"/>
      <c r="AW2" s="7"/>
      <c r="AY2" s="7"/>
      <c r="BA2" s="7"/>
      <c r="BC2" s="7"/>
    </row>
    <row r="3" spans="1:62" ht="11.25" customHeight="1" x14ac:dyDescent="0.2">
      <c r="A3" s="4" t="str">
        <f ca="1">IF(INDIRECT("beschriftung!"&amp;ADDRESS(beschriftung!$C$1*12+ROW(beschriftung!$A5)-1,COLUMN(beschriftung!B$1)))="","",INDIRECT("beschriftung!"&amp;ADDRESS(beschriftung!$C$1*12+ROW(beschriftung!$A5)-1,COLUMN(beschriftung!B$1))))</f>
        <v/>
      </c>
      <c r="C3" s="7"/>
      <c r="D3" s="19"/>
      <c r="E3" s="7"/>
      <c r="F3" s="19"/>
      <c r="G3" s="7"/>
      <c r="H3" s="19"/>
      <c r="I3" s="7"/>
      <c r="J3" s="19"/>
      <c r="K3" s="7"/>
      <c r="L3" s="19"/>
      <c r="M3" s="7"/>
      <c r="N3" s="19"/>
      <c r="O3" s="7"/>
      <c r="P3" s="19"/>
      <c r="Q3" s="7"/>
      <c r="R3" s="19"/>
      <c r="S3" s="7"/>
      <c r="T3" s="19"/>
      <c r="U3" s="7"/>
      <c r="V3" s="19"/>
      <c r="W3" s="7"/>
      <c r="X3" s="19"/>
      <c r="Y3" s="7"/>
      <c r="Z3" s="19"/>
      <c r="AA3" s="7"/>
      <c r="AB3" s="19"/>
      <c r="AC3" s="7"/>
      <c r="AD3" s="19"/>
      <c r="AE3" s="7"/>
      <c r="AF3" s="19"/>
      <c r="AG3" s="7"/>
      <c r="AH3" s="19"/>
      <c r="AI3" s="7"/>
      <c r="AJ3" s="19"/>
      <c r="AK3" s="7"/>
      <c r="AL3" s="19"/>
      <c r="AM3" s="7"/>
      <c r="AN3" s="19"/>
      <c r="AO3" s="7"/>
      <c r="AP3" s="19"/>
      <c r="AQ3" s="7"/>
      <c r="AR3" s="19"/>
      <c r="AS3" s="7"/>
      <c r="AT3" s="19"/>
      <c r="AU3" s="7"/>
      <c r="AW3" s="7"/>
      <c r="AY3" s="7"/>
      <c r="BA3" s="7"/>
      <c r="BC3" s="7"/>
    </row>
    <row r="4" spans="1:62" ht="11.25" customHeight="1" x14ac:dyDescent="0.2">
      <c r="A4" s="9"/>
      <c r="C4" s="43" t="str">
        <f ca="1">IF(INDIRECT("beschriftung!"&amp;ADDRESS(beschriftung!$C$1*12+ROW(beschriftung!$A5)-1,COLUMN(beschriftung!C$1)))="","",INDIRECT("beschriftung!"&amp;ADDRESS(beschriftung!$C$1*12+ROW(beschriftung!$A5)-1,COLUMN(beschriftung!C$1))))</f>
        <v>Gross domestic product</v>
      </c>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4"/>
      <c r="AU4" s="16"/>
      <c r="AV4" s="12"/>
      <c r="AW4" s="16"/>
      <c r="AX4" s="12"/>
      <c r="AY4" s="16"/>
      <c r="AZ4" s="12"/>
      <c r="BA4" s="16"/>
      <c r="BB4" s="12"/>
      <c r="BC4" s="20"/>
      <c r="BD4" s="5"/>
      <c r="BE4" s="5"/>
      <c r="BF4" s="5"/>
      <c r="BG4" s="5"/>
      <c r="BH4" s="5"/>
      <c r="BI4" s="5"/>
      <c r="BJ4" s="5"/>
    </row>
    <row r="5" spans="1:62" ht="11.25" customHeight="1" x14ac:dyDescent="0.2">
      <c r="A5" s="9"/>
      <c r="C5" s="45"/>
      <c r="D5" s="46"/>
      <c r="E5" s="43" t="str">
        <f ca="1">IF(INDIRECT("beschriftung!"&amp;ADDRESS(beschriftung!$C$1*12+ROW(beschriftung!$A6)-1,COLUMN(beschriftung!E$1)))="","",INDIRECT("beschriftung!"&amp;ADDRESS(beschriftung!$C$1*12+ROW(beschriftung!$A6)-1,COLUMN(beschriftung!E$1))))</f>
        <v>Internal demand</v>
      </c>
      <c r="F5" s="47"/>
      <c r="G5" s="47"/>
      <c r="H5" s="47"/>
      <c r="I5" s="47"/>
      <c r="J5" s="47"/>
      <c r="K5" s="47"/>
      <c r="L5" s="47"/>
      <c r="M5" s="47"/>
      <c r="N5" s="47"/>
      <c r="O5" s="47"/>
      <c r="P5" s="47"/>
      <c r="Q5" s="47"/>
      <c r="R5" s="47"/>
      <c r="S5" s="47"/>
      <c r="T5" s="47"/>
      <c r="U5" s="47"/>
      <c r="V5" s="47"/>
      <c r="W5" s="47"/>
      <c r="X5" s="44"/>
      <c r="Y5" s="43" t="str">
        <f ca="1">IF(INDIRECT("beschriftung!"&amp;ADDRESS(beschriftung!$C$1*12+ROW(beschriftung!$A6)-1,COLUMN(beschriftung!Y$1)))="","",INDIRECT("beschriftung!"&amp;ADDRESS(beschriftung!$C$1*12+ROW(beschriftung!$A6)-1,COLUMN(beschriftung!Y$1))))</f>
        <v>Trade balance (goods and services)</v>
      </c>
      <c r="Z5" s="47"/>
      <c r="AA5" s="47"/>
      <c r="AB5" s="47"/>
      <c r="AC5" s="47"/>
      <c r="AD5" s="47"/>
      <c r="AE5" s="47"/>
      <c r="AF5" s="47"/>
      <c r="AG5" s="47"/>
      <c r="AH5" s="47"/>
      <c r="AI5" s="47"/>
      <c r="AJ5" s="47"/>
      <c r="AK5" s="47"/>
      <c r="AL5" s="47"/>
      <c r="AM5" s="47"/>
      <c r="AN5" s="47"/>
      <c r="AO5" s="47"/>
      <c r="AP5" s="47"/>
      <c r="AQ5" s="47"/>
      <c r="AR5" s="47"/>
      <c r="AS5" s="47"/>
      <c r="AT5" s="47"/>
      <c r="AU5" s="50" t="str">
        <f ca="1">IF(INDIRECT("beschriftung!"&amp;ADDRESS(beschriftung!$C$1*12+ROW(beschriftung!$A6)-1,COLUMN(beschriftung!AU$1)))="","",INDIRECT("beschriftung!"&amp;ADDRESS(beschriftung!$C$1*12+ROW(beschriftung!$A6)-1,COLUMN(beschriftung!AU$1))))</f>
        <v>Global demand excluding inventories change, stat. discrepancies and valuables</v>
      </c>
      <c r="AV5" s="51"/>
      <c r="AW5" s="51"/>
      <c r="AX5" s="51"/>
      <c r="AY5" s="51"/>
      <c r="AZ5" s="51"/>
      <c r="BA5" s="51"/>
      <c r="BB5" s="51"/>
      <c r="BC5" s="17"/>
      <c r="BD5" s="13"/>
      <c r="BE5" s="14"/>
      <c r="BF5" s="14"/>
      <c r="BG5" s="14"/>
      <c r="BH5" s="14"/>
      <c r="BI5" s="14"/>
      <c r="BJ5" s="14"/>
    </row>
    <row r="6" spans="1:62" ht="11.25" customHeight="1" x14ac:dyDescent="0.2">
      <c r="A6" s="9"/>
      <c r="C6" s="45"/>
      <c r="D6" s="46"/>
      <c r="E6" s="45"/>
      <c r="F6" s="46"/>
      <c r="G6" s="43" t="str">
        <f ca="1">IF(INDIRECT("beschriftung!"&amp;ADDRESS(beschriftung!$C$1*12+ROW(beschriftung!$A7)-1,COLUMN(beschriftung!G$1)))="","",INDIRECT("beschriftung!"&amp;ADDRESS(beschriftung!$C$1*12+ROW(beschriftung!$A7)-1,COLUMN(beschriftung!G$1))))</f>
        <v>Final consumption expenditure</v>
      </c>
      <c r="H6" s="47"/>
      <c r="I6" s="47"/>
      <c r="J6" s="47"/>
      <c r="K6" s="47"/>
      <c r="L6" s="44"/>
      <c r="M6" s="43" t="str">
        <f ca="1">IF(INDIRECT("beschriftung!"&amp;ADDRESS(beschriftung!$C$1*12+ROW(beschriftung!$A7)-1,COLUMN(beschriftung!M$1)))="","",INDIRECT("beschriftung!"&amp;ADDRESS(beschriftung!$C$1*12+ROW(beschriftung!$A7)-1,COLUMN(beschriftung!M$1))))</f>
        <v xml:space="preserve">Gross capital formation </v>
      </c>
      <c r="N6" s="47"/>
      <c r="O6" s="47"/>
      <c r="P6" s="47"/>
      <c r="Q6" s="47"/>
      <c r="R6" s="47"/>
      <c r="S6" s="47"/>
      <c r="T6" s="47"/>
      <c r="U6" s="47"/>
      <c r="V6" s="47"/>
      <c r="W6" s="47"/>
      <c r="X6" s="44"/>
      <c r="Y6" s="45"/>
      <c r="Z6" s="46"/>
      <c r="AA6" s="43" t="str">
        <f ca="1">IF(INDIRECT("beschriftung!"&amp;ADDRESS(beschriftung!$C$1*12+ROW(beschriftung!$A7)-1,COLUMN(beschriftung!AA$1)))="","",INDIRECT("beschriftung!"&amp;ADDRESS(beschriftung!$C$1*12+ROW(beschriftung!$A7)-1,COLUMN(beschriftung!AA$1))))</f>
        <v>Exports of goods and services</v>
      </c>
      <c r="AB6" s="47"/>
      <c r="AC6" s="47"/>
      <c r="AD6" s="47"/>
      <c r="AE6" s="47"/>
      <c r="AF6" s="47"/>
      <c r="AG6" s="47"/>
      <c r="AH6" s="47"/>
      <c r="AI6" s="47"/>
      <c r="AJ6" s="44"/>
      <c r="AK6" s="43" t="str">
        <f ca="1">IF(INDIRECT("beschriftung!"&amp;ADDRESS(beschriftung!$C$1*12+ROW(beschriftung!$A7)-1,COLUMN(beschriftung!AK$1)))="","",INDIRECT("beschriftung!"&amp;ADDRESS(beschriftung!$C$1*12+ROW(beschriftung!$A7)-1,COLUMN(beschriftung!AK$1))))</f>
        <v>Imports of goods and services</v>
      </c>
      <c r="AL6" s="47"/>
      <c r="AM6" s="47"/>
      <c r="AN6" s="47"/>
      <c r="AO6" s="47"/>
      <c r="AP6" s="47"/>
      <c r="AQ6" s="47"/>
      <c r="AR6" s="47"/>
      <c r="AS6" s="47"/>
      <c r="AT6" s="47"/>
      <c r="AU6" s="58"/>
      <c r="AV6" s="59"/>
      <c r="AW6" s="52" t="str">
        <f ca="1">IF(INDIRECT("beschriftung!"&amp;ADDRESS(beschriftung!$C$1*12+ROW(beschriftung!$A7)-1,COLUMN(beschriftung!AW$1)))="","",INDIRECT("beschriftung!"&amp;ADDRESS(beschriftung!$C$1*12+ROW(beschriftung!$A7)-1,COLUMN(beschriftung!AW$1))))</f>
        <v>Final domestic demand</v>
      </c>
      <c r="AX6" s="53"/>
      <c r="AY6" s="52" t="str">
        <f ca="1">IF(INDIRECT("beschriftung!"&amp;ADDRESS(beschriftung!$C$1*12+ROW(beschriftung!$A7)-1,COLUMN(beschriftung!AY$1)))="","",INDIRECT("beschriftung!"&amp;ADDRESS(beschriftung!$C$1*12+ROW(beschriftung!$A7)-1,COLUMN(beschriftung!AY$1))))</f>
        <v>Exports of goods and services (excluding valuables)</v>
      </c>
      <c r="AZ6" s="56"/>
      <c r="BA6" s="18"/>
      <c r="BB6" s="15"/>
      <c r="BC6" s="52" t="str">
        <f ca="1">IF(INDIRECT("beschriftung!"&amp;ADDRESS(beschriftung!$C$1*12+ROW(beschriftung!$A7)-1,COLUMN(beschriftung!BC$1)))="","",INDIRECT("beschriftung!"&amp;ADDRESS(beschriftung!$C$1*12+ROW(beschriftung!$A7)-1,COLUMN(beschriftung!BC$1))))</f>
        <v>Imports of goods and services (excluding valuables)</v>
      </c>
      <c r="BD6" s="53"/>
    </row>
    <row r="7" spans="1:62" ht="11.25" customHeight="1" x14ac:dyDescent="0.2">
      <c r="A7" s="10"/>
      <c r="B7" s="10"/>
      <c r="C7" s="45"/>
      <c r="D7" s="46"/>
      <c r="E7" s="45"/>
      <c r="F7" s="46"/>
      <c r="G7" s="45"/>
      <c r="H7" s="46"/>
      <c r="I7" s="43" t="str">
        <f ca="1">IF(INDIRECT("beschriftung!"&amp;ADDRESS(beschriftung!$C$1*12+ROW(beschriftung!$A8)-1,COLUMN(beschriftung!I$1)))="","",INDIRECT("beschriftung!"&amp;ADDRESS(beschriftung!$C$1*12+ROW(beschriftung!$A8)-1,COLUMN(beschriftung!I$1))))</f>
        <v>Households and NPISH</v>
      </c>
      <c r="J7" s="44"/>
      <c r="K7" s="43" t="str">
        <f ca="1">IF(INDIRECT("beschriftung!"&amp;ADDRESS(beschriftung!$C$1*12+ROW(beschriftung!$A8)-1,COLUMN(beschriftung!K$1)))="","",INDIRECT("beschriftung!"&amp;ADDRESS(beschriftung!$C$1*12+ROW(beschriftung!$A8)-1,COLUMN(beschriftung!K$1))))</f>
        <v>General government</v>
      </c>
      <c r="L7" s="44"/>
      <c r="M7" s="45"/>
      <c r="N7" s="46"/>
      <c r="O7" s="43" t="str">
        <f ca="1">IF(INDIRECT("beschriftung!"&amp;ADDRESS(beschriftung!$C$1*12+ROW(beschriftung!$A8)-1,COLUMN(beschriftung!O$1)))="","",INDIRECT("beschriftung!"&amp;ADDRESS(beschriftung!$C$1*12+ROW(beschriftung!$A8)-1,COLUMN(beschriftung!O$1))))</f>
        <v>Gross fixed capital formation</v>
      </c>
      <c r="P7" s="47"/>
      <c r="Q7" s="47"/>
      <c r="R7" s="47"/>
      <c r="S7" s="47"/>
      <c r="T7" s="44"/>
      <c r="U7" s="43" t="str">
        <f ca="1">IF(INDIRECT("beschriftung!"&amp;ADDRESS(beschriftung!$C$1*12+ROW(beschriftung!$A8)-1,COLUMN(beschriftung!U$1)))="","",INDIRECT("beschriftung!"&amp;ADDRESS(beschriftung!$C$1*12+ROW(beschriftung!$A8)-1,COLUMN(beschriftung!U$1))))</f>
        <v>Changes in inventories and statistical discrepancies</v>
      </c>
      <c r="V7" s="44"/>
      <c r="W7" s="43" t="str">
        <f ca="1">IF(INDIRECT("beschriftung!"&amp;ADDRESS(beschriftung!$C$1*12+ROW(beschriftung!$A8)-1,COLUMN(beschriftung!W$1)))="","",INDIRECT("beschriftung!"&amp;ADDRESS(beschriftung!$C$1*12+ROW(beschriftung!$A8)-1,COLUMN(beschriftung!W$1))))</f>
        <v>Acquisitions less disposals of valuables (including non-monetary gold)</v>
      </c>
      <c r="X7" s="44"/>
      <c r="Y7" s="45"/>
      <c r="Z7" s="46"/>
      <c r="AA7" s="45"/>
      <c r="AB7" s="46"/>
      <c r="AC7" s="43" t="str">
        <f ca="1">IF(INDIRECT("beschriftung!"&amp;ADDRESS(beschriftung!$C$1*12+ROW(beschriftung!$A8)-1,COLUMN(beschriftung!AC$1)))="","",INDIRECT("beschriftung!"&amp;ADDRESS(beschriftung!$C$1*12+ROW(beschriftung!$A8)-1,COLUMN(beschriftung!AC$1))))</f>
        <v>Exports (exp.) of goods</v>
      </c>
      <c r="AD7" s="47"/>
      <c r="AE7" s="47"/>
      <c r="AF7" s="47"/>
      <c r="AG7" s="47"/>
      <c r="AH7" s="44"/>
      <c r="AI7" s="43" t="str">
        <f ca="1">IF(INDIRECT("beschriftung!"&amp;ADDRESS(beschriftung!$C$1*12+ROW(beschriftung!$A8)-1,COLUMN(beschriftung!AI$1)))="","",INDIRECT("beschriftung!"&amp;ADDRESS(beschriftung!$C$1*12+ROW(beschriftung!$A8)-1,COLUMN(beschriftung!AI$1))))</f>
        <v>Exports of services</v>
      </c>
      <c r="AJ7" s="44"/>
      <c r="AK7" s="45"/>
      <c r="AL7" s="46"/>
      <c r="AM7" s="43" t="str">
        <f ca="1">IF(INDIRECT("beschriftung!"&amp;ADDRESS(beschriftung!$C$1*12+ROW(beschriftung!$A8)-1,COLUMN(beschriftung!AM$1)))="","",INDIRECT("beschriftung!"&amp;ADDRESS(beschriftung!$C$1*12+ROW(beschriftung!$A8)-1,COLUMN(beschriftung!AM$1))))</f>
        <v>Imports (imp.) of goods</v>
      </c>
      <c r="AN7" s="47"/>
      <c r="AO7" s="47"/>
      <c r="AP7" s="47"/>
      <c r="AQ7" s="47"/>
      <c r="AR7" s="44"/>
      <c r="AS7" s="43" t="str">
        <f ca="1">IF(INDIRECT("beschriftung!"&amp;ADDRESS(beschriftung!$C$1*12+ROW(beschriftung!$A8)-1,COLUMN(beschriftung!AS$1)))="","",INDIRECT("beschriftung!"&amp;ADDRESS(beschriftung!$C$1*12+ROW(beschriftung!$A8)-1,COLUMN(beschriftung!AS$1))))</f>
        <v>Imports of services</v>
      </c>
      <c r="AT7" s="47"/>
      <c r="AU7" s="58"/>
      <c r="AV7" s="59"/>
      <c r="AW7" s="54"/>
      <c r="AX7" s="55"/>
      <c r="AY7" s="54"/>
      <c r="AZ7" s="57"/>
      <c r="BA7" s="52" t="str">
        <f ca="1">IF(INDIRECT("beschriftung!"&amp;ADDRESS(beschriftung!$C$1*12+ROW(beschriftung!$A8)-1,COLUMN(beschriftung!BA$1)))="","",INDIRECT("beschriftung!"&amp;ADDRESS(beschriftung!$C$1*12+ROW(beschriftung!$A8)-1,COLUMN(beschriftung!BA$1))))</f>
        <v>thereof exports of goods excluding valuables</v>
      </c>
      <c r="BB7" s="53"/>
      <c r="BC7" s="54"/>
      <c r="BD7" s="55"/>
    </row>
    <row r="8" spans="1:62" ht="11.25" customHeight="1" x14ac:dyDescent="0.2">
      <c r="A8" s="11"/>
      <c r="B8" s="11"/>
      <c r="C8" s="45"/>
      <c r="D8" s="46"/>
      <c r="E8" s="45"/>
      <c r="F8" s="46"/>
      <c r="G8" s="45"/>
      <c r="H8" s="46"/>
      <c r="I8" s="45"/>
      <c r="J8" s="46"/>
      <c r="K8" s="45"/>
      <c r="L8" s="46"/>
      <c r="M8" s="45"/>
      <c r="N8" s="46"/>
      <c r="O8" s="45"/>
      <c r="P8" s="46"/>
      <c r="Q8" s="43" t="str">
        <f ca="1">IF(INDIRECT("beschriftung!"&amp;ADDRESS(beschriftung!$C$1*12+ROW(beschriftung!$A9)-1,COLUMN(beschriftung!Q$1)))="","",INDIRECT("beschriftung!"&amp;ADDRESS(beschriftung!$C$1*12+ROW(beschriftung!$A9)-1,COLUMN(beschriftung!Q$1))))</f>
        <v>Construction</v>
      </c>
      <c r="R8" s="44"/>
      <c r="S8" s="43" t="str">
        <f ca="1">IF(INDIRECT("beschriftung!"&amp;ADDRESS(beschriftung!$C$1*12+ROW(beschriftung!$A9)-1,COLUMN(beschriftung!S$1)))="","",INDIRECT("beschriftung!"&amp;ADDRESS(beschriftung!$C$1*12+ROW(beschriftung!$A9)-1,COLUMN(beschriftung!S$1))))</f>
        <v>Fixed assets and software</v>
      </c>
      <c r="T8" s="44"/>
      <c r="U8" s="45"/>
      <c r="V8" s="46"/>
      <c r="W8" s="45"/>
      <c r="X8" s="46"/>
      <c r="Y8" s="45"/>
      <c r="Z8" s="46"/>
      <c r="AA8" s="45"/>
      <c r="AB8" s="46"/>
      <c r="AC8" s="45"/>
      <c r="AD8" s="46"/>
      <c r="AE8" s="43" t="str">
        <f ca="1">IF(INDIRECT("beschriftung!"&amp;ADDRESS(beschriftung!$C$1*12+ROW(beschriftung!$A9)-1,COLUMN(beschriftung!AE$1)))="","",INDIRECT("beschriftung!"&amp;ADDRESS(beschriftung!$C$1*12+ROW(beschriftung!$A9)-1,COLUMN(beschriftung!AE$1))))</f>
        <v xml:space="preserve">thereof exp. of goods excluding non-monetary gold </v>
      </c>
      <c r="AF8" s="44"/>
      <c r="AG8" s="43" t="str">
        <f ca="1">IF(INDIRECT("beschriftung!"&amp;ADDRESS(beschriftung!$C$1*12+ROW(beschriftung!$A9)-1,COLUMN(beschriftung!AG$1)))="","",INDIRECT("beschriftung!"&amp;ADDRESS(beschriftung!$C$1*12+ROW(beschriftung!$A9)-1,COLUMN(beschriftung!AG$1))))</f>
        <v>thereof exp. of goods excluding valuables and merchanting</v>
      </c>
      <c r="AH8" s="44"/>
      <c r="AI8" s="45"/>
      <c r="AJ8" s="46"/>
      <c r="AK8" s="45"/>
      <c r="AL8" s="46"/>
      <c r="AM8" s="45"/>
      <c r="AN8" s="46"/>
      <c r="AO8" s="43" t="str">
        <f ca="1">IF(INDIRECT("beschriftung!"&amp;ADDRESS(beschriftung!$C$1*12+ROW(beschriftung!$A9)-1,COLUMN(beschriftung!AO$1)))="","",INDIRECT("beschriftung!"&amp;ADDRESS(beschriftung!$C$1*12+ROW(beschriftung!$A9)-1,COLUMN(beschriftung!AO$1))))</f>
        <v>thereof imp. of goods excluding non-monetary gold</v>
      </c>
      <c r="AP8" s="44"/>
      <c r="AQ8" s="43" t="str">
        <f ca="1">IF(INDIRECT("beschriftung!"&amp;ADDRESS(beschriftung!$C$1*12+ROW(beschriftung!$A9)-1,COLUMN(beschriftung!AQ$1)))="","",INDIRECT("beschriftung!"&amp;ADDRESS(beschriftung!$C$1*12+ROW(beschriftung!$A9)-1,COLUMN(beschriftung!AQ$1))))</f>
        <v>thereof imp. of goods excluding valuables</v>
      </c>
      <c r="AR8" s="44"/>
      <c r="AS8" s="45"/>
      <c r="AT8" s="61"/>
      <c r="AU8" s="58"/>
      <c r="AV8" s="59"/>
      <c r="AW8" s="54"/>
      <c r="AX8" s="55"/>
      <c r="AY8" s="54"/>
      <c r="AZ8" s="57"/>
      <c r="BA8" s="54"/>
      <c r="BB8" s="55"/>
      <c r="BC8" s="54"/>
      <c r="BD8" s="55"/>
    </row>
    <row r="9" spans="1:62" ht="11.25" customHeight="1" x14ac:dyDescent="0.2">
      <c r="A9" s="11"/>
      <c r="B9" s="11"/>
      <c r="C9" s="45"/>
      <c r="D9" s="46"/>
      <c r="E9" s="45"/>
      <c r="F9" s="46"/>
      <c r="G9" s="45"/>
      <c r="H9" s="46"/>
      <c r="I9" s="45"/>
      <c r="J9" s="46"/>
      <c r="K9" s="45"/>
      <c r="L9" s="46"/>
      <c r="M9" s="45"/>
      <c r="N9" s="46"/>
      <c r="O9" s="45"/>
      <c r="P9" s="46"/>
      <c r="Q9" s="45"/>
      <c r="R9" s="46"/>
      <c r="S9" s="45"/>
      <c r="T9" s="46"/>
      <c r="U9" s="45"/>
      <c r="V9" s="46"/>
      <c r="W9" s="45"/>
      <c r="X9" s="46"/>
      <c r="Y9" s="45"/>
      <c r="Z9" s="46"/>
      <c r="AA9" s="45"/>
      <c r="AB9" s="46"/>
      <c r="AC9" s="45"/>
      <c r="AD9" s="46"/>
      <c r="AE9" s="45"/>
      <c r="AF9" s="46"/>
      <c r="AG9" s="45"/>
      <c r="AH9" s="46"/>
      <c r="AI9" s="45"/>
      <c r="AJ9" s="46"/>
      <c r="AK9" s="45"/>
      <c r="AL9" s="46"/>
      <c r="AM9" s="45"/>
      <c r="AN9" s="46"/>
      <c r="AO9" s="45"/>
      <c r="AP9" s="46"/>
      <c r="AQ9" s="45"/>
      <c r="AR9" s="46"/>
      <c r="AS9" s="45"/>
      <c r="AT9" s="61"/>
      <c r="AU9" s="58"/>
      <c r="AV9" s="59"/>
      <c r="AW9" s="54"/>
      <c r="AX9" s="55"/>
      <c r="AY9" s="54"/>
      <c r="AZ9" s="57"/>
      <c r="BA9" s="54"/>
      <c r="BB9" s="55"/>
      <c r="BC9" s="54"/>
      <c r="BD9" s="55"/>
    </row>
    <row r="10" spans="1:62" ht="11.25" customHeight="1" x14ac:dyDescent="0.2">
      <c r="A10" s="11"/>
      <c r="B10" s="10"/>
      <c r="C10" s="45"/>
      <c r="D10" s="46"/>
      <c r="E10" s="45"/>
      <c r="F10" s="46"/>
      <c r="G10" s="45"/>
      <c r="H10" s="46"/>
      <c r="I10" s="45"/>
      <c r="J10" s="46"/>
      <c r="K10" s="45"/>
      <c r="L10" s="46"/>
      <c r="M10" s="45"/>
      <c r="N10" s="46"/>
      <c r="O10" s="45"/>
      <c r="P10" s="46"/>
      <c r="Q10" s="45"/>
      <c r="R10" s="46"/>
      <c r="S10" s="45"/>
      <c r="T10" s="46"/>
      <c r="U10" s="45"/>
      <c r="V10" s="46"/>
      <c r="W10" s="45"/>
      <c r="X10" s="46"/>
      <c r="Y10" s="45"/>
      <c r="Z10" s="46"/>
      <c r="AA10" s="45"/>
      <c r="AB10" s="46"/>
      <c r="AC10" s="45"/>
      <c r="AD10" s="46"/>
      <c r="AE10" s="45"/>
      <c r="AF10" s="46"/>
      <c r="AG10" s="45"/>
      <c r="AH10" s="46"/>
      <c r="AI10" s="45"/>
      <c r="AJ10" s="46"/>
      <c r="AK10" s="45"/>
      <c r="AL10" s="46"/>
      <c r="AM10" s="45"/>
      <c r="AN10" s="46"/>
      <c r="AO10" s="45"/>
      <c r="AP10" s="46"/>
      <c r="AQ10" s="45"/>
      <c r="AR10" s="46"/>
      <c r="AS10" s="45"/>
      <c r="AT10" s="61"/>
      <c r="AU10" s="58"/>
      <c r="AV10" s="59"/>
      <c r="AW10" s="54"/>
      <c r="AX10" s="55"/>
      <c r="AY10" s="54"/>
      <c r="AZ10" s="57"/>
      <c r="BA10" s="54"/>
      <c r="BB10" s="55"/>
      <c r="BC10" s="54"/>
      <c r="BD10" s="55"/>
    </row>
    <row r="11" spans="1:62" ht="11.25" customHeight="1" x14ac:dyDescent="0.2">
      <c r="A11" s="3"/>
      <c r="B11" s="8"/>
      <c r="C11" s="48" t="s">
        <v>167</v>
      </c>
      <c r="D11" s="49"/>
      <c r="E11" s="48" t="s">
        <v>182</v>
      </c>
      <c r="F11" s="49"/>
      <c r="G11" s="48" t="s">
        <v>168</v>
      </c>
      <c r="H11" s="49"/>
      <c r="I11" s="48" t="s">
        <v>184</v>
      </c>
      <c r="J11" s="49"/>
      <c r="K11" s="48" t="s">
        <v>185</v>
      </c>
      <c r="L11" s="49"/>
      <c r="M11" s="48" t="s">
        <v>169</v>
      </c>
      <c r="N11" s="49"/>
      <c r="O11" s="48" t="s">
        <v>170</v>
      </c>
      <c r="P11" s="49"/>
      <c r="Q11" s="48" t="s">
        <v>171</v>
      </c>
      <c r="R11" s="49"/>
      <c r="S11" s="48" t="s">
        <v>172</v>
      </c>
      <c r="T11" s="49"/>
      <c r="U11" s="48" t="s">
        <v>186</v>
      </c>
      <c r="V11" s="49"/>
      <c r="W11" s="48" t="s">
        <v>173</v>
      </c>
      <c r="X11" s="49"/>
      <c r="Y11" s="48" t="s">
        <v>187</v>
      </c>
      <c r="Z11" s="49"/>
      <c r="AA11" s="48" t="s">
        <v>174</v>
      </c>
      <c r="AB11" s="49"/>
      <c r="AC11" s="48" t="s">
        <v>175</v>
      </c>
      <c r="AD11" s="49"/>
      <c r="AE11" s="48" t="s">
        <v>176</v>
      </c>
      <c r="AF11" s="49"/>
      <c r="AG11" s="48"/>
      <c r="AH11" s="49"/>
      <c r="AI11" s="48" t="s">
        <v>177</v>
      </c>
      <c r="AJ11" s="49"/>
      <c r="AK11" s="48" t="s">
        <v>178</v>
      </c>
      <c r="AL11" s="49"/>
      <c r="AM11" s="48" t="s">
        <v>179</v>
      </c>
      <c r="AN11" s="49"/>
      <c r="AO11" s="48" t="s">
        <v>180</v>
      </c>
      <c r="AP11" s="49"/>
      <c r="AQ11" s="48"/>
      <c r="AR11" s="49"/>
      <c r="AS11" s="48" t="s">
        <v>181</v>
      </c>
      <c r="AT11" s="60"/>
      <c r="AU11" s="62" t="s">
        <v>188</v>
      </c>
      <c r="AV11" s="63"/>
      <c r="AW11" s="62" t="s">
        <v>183</v>
      </c>
      <c r="AX11" s="63"/>
      <c r="AY11" s="62"/>
      <c r="AZ11" s="63"/>
      <c r="BA11" s="62"/>
      <c r="BB11" s="63"/>
      <c r="BC11" s="62"/>
      <c r="BD11" s="63"/>
    </row>
    <row r="12" spans="1:62" x14ac:dyDescent="0.2">
      <c r="A12" s="28">
        <v>1980</v>
      </c>
      <c r="B12" s="28"/>
      <c r="C12" s="29">
        <v>208464.80421551599</v>
      </c>
      <c r="D12" s="30"/>
      <c r="E12" s="29">
        <v>213953.81861521699</v>
      </c>
      <c r="F12" s="30"/>
      <c r="G12" s="29">
        <v>139955.75076708701</v>
      </c>
      <c r="H12" s="30"/>
      <c r="I12" s="29">
        <v>120131.225909681</v>
      </c>
      <c r="J12" s="30"/>
      <c r="K12" s="29">
        <v>19824.524857406199</v>
      </c>
      <c r="L12" s="30"/>
      <c r="M12" s="29">
        <v>73998.067848129504</v>
      </c>
      <c r="N12" s="30"/>
      <c r="O12" s="29">
        <v>63526.074238167203</v>
      </c>
      <c r="P12" s="30"/>
      <c r="Q12" s="29">
        <v>26091.579182292298</v>
      </c>
      <c r="R12" s="30"/>
      <c r="S12" s="29">
        <v>37434.495055874897</v>
      </c>
      <c r="T12" s="30"/>
      <c r="U12" s="29">
        <v>9366.0315187461692</v>
      </c>
      <c r="V12" s="30"/>
      <c r="W12" s="29">
        <v>1105.96209121621</v>
      </c>
      <c r="X12" s="30"/>
      <c r="Y12" s="29">
        <v>-5489.0143997005798</v>
      </c>
      <c r="Z12" s="30"/>
      <c r="AA12" s="29">
        <v>94700.661004699607</v>
      </c>
      <c r="AB12" s="30"/>
      <c r="AC12" s="29">
        <v>72036.142252393707</v>
      </c>
      <c r="AD12" s="30"/>
      <c r="AE12" s="29">
        <v>50108.542252393803</v>
      </c>
      <c r="AF12" s="30"/>
      <c r="AG12" s="29">
        <v>44744.488945954501</v>
      </c>
      <c r="AH12" s="30"/>
      <c r="AI12" s="29">
        <v>22664.518752305899</v>
      </c>
      <c r="AJ12" s="30"/>
      <c r="AK12" s="29">
        <v>100189.6754044</v>
      </c>
      <c r="AL12" s="30"/>
      <c r="AM12" s="29">
        <v>82978.503920714706</v>
      </c>
      <c r="AN12" s="30"/>
      <c r="AO12" s="29">
        <v>60751.505500714702</v>
      </c>
      <c r="AP12" s="30"/>
      <c r="AQ12" s="29">
        <v>55436.062820839899</v>
      </c>
      <c r="AR12" s="30"/>
      <c r="AS12" s="29">
        <v>17211.171483685499</v>
      </c>
      <c r="AT12" s="30"/>
      <c r="AU12" s="29">
        <v>271746.00700129499</v>
      </c>
      <c r="AV12" s="30"/>
      <c r="AW12" s="29">
        <v>203481.82500525401</v>
      </c>
      <c r="AX12" s="30"/>
      <c r="AY12" s="29">
        <v>68264.181996041007</v>
      </c>
      <c r="AZ12" s="30"/>
      <c r="BA12" s="29">
        <v>45599.663243735202</v>
      </c>
      <c r="BB12" s="30"/>
      <c r="BC12" s="29">
        <v>72647.234304525395</v>
      </c>
      <c r="BD12" s="30"/>
      <c r="BE12" s="29"/>
      <c r="BF12" s="30"/>
    </row>
    <row r="13" spans="1:62" x14ac:dyDescent="0.2">
      <c r="A13" s="28">
        <v>1981</v>
      </c>
      <c r="B13" s="28"/>
      <c r="C13" s="29">
        <v>223793.42257401199</v>
      </c>
      <c r="D13" s="30">
        <v>7.3530965652354799E-2</v>
      </c>
      <c r="E13" s="29">
        <v>223651.77725119601</v>
      </c>
      <c r="F13" s="30">
        <v>4.5327345399804E-2</v>
      </c>
      <c r="G13" s="29">
        <v>150157.028361615</v>
      </c>
      <c r="H13" s="30">
        <v>7.2889306360155906E-2</v>
      </c>
      <c r="I13" s="29">
        <v>128517.07173238401</v>
      </c>
      <c r="J13" s="30">
        <v>6.9805712538123302E-2</v>
      </c>
      <c r="K13" s="29">
        <v>21639.956629230499</v>
      </c>
      <c r="L13" s="30">
        <v>9.1575045802224003E-2</v>
      </c>
      <c r="M13" s="29">
        <v>73494.748889580602</v>
      </c>
      <c r="N13" s="30">
        <v>-6.8017851436594796E-3</v>
      </c>
      <c r="O13" s="29">
        <v>68852.265039575403</v>
      </c>
      <c r="P13" s="30">
        <v>8.3842593223055498E-2</v>
      </c>
      <c r="Q13" s="29">
        <v>29183.608907173199</v>
      </c>
      <c r="R13" s="30">
        <v>0.11850680647875</v>
      </c>
      <c r="S13" s="29">
        <v>39668.656132402197</v>
      </c>
      <c r="T13" s="30">
        <v>5.96818809280764E-2</v>
      </c>
      <c r="U13" s="29">
        <v>7468.9214424842503</v>
      </c>
      <c r="V13" s="30"/>
      <c r="W13" s="29">
        <v>-2826.4375924789902</v>
      </c>
      <c r="X13" s="30"/>
      <c r="Y13" s="29">
        <v>141.645322816446</v>
      </c>
      <c r="Z13" s="30"/>
      <c r="AA13" s="29">
        <v>105879.32474753</v>
      </c>
      <c r="AB13" s="30">
        <v>0.118042087818959</v>
      </c>
      <c r="AC13" s="29">
        <v>80450.080711044298</v>
      </c>
      <c r="AD13" s="30">
        <v>0.116801624789548</v>
      </c>
      <c r="AE13" s="29">
        <v>54778.580711044298</v>
      </c>
      <c r="AF13" s="30">
        <v>9.3198449779836601E-2</v>
      </c>
      <c r="AG13" s="29">
        <v>48553.941005761597</v>
      </c>
      <c r="AH13" s="30">
        <v>8.5137905238082304E-2</v>
      </c>
      <c r="AI13" s="29">
        <v>25429.244036485499</v>
      </c>
      <c r="AJ13" s="30">
        <v>0.12198473368857</v>
      </c>
      <c r="AK13" s="29">
        <v>105737.679424713</v>
      </c>
      <c r="AL13" s="30">
        <v>5.5375007433845297E-2</v>
      </c>
      <c r="AM13" s="29">
        <v>86624.948387313198</v>
      </c>
      <c r="AN13" s="30">
        <v>4.3944446986929502E-2</v>
      </c>
      <c r="AO13" s="29">
        <v>62259.035041313298</v>
      </c>
      <c r="AP13" s="30">
        <v>2.48146861246239E-2</v>
      </c>
      <c r="AQ13" s="29">
        <v>58581.455431846298</v>
      </c>
      <c r="AR13" s="30">
        <v>5.6739105393753597E-2</v>
      </c>
      <c r="AS13" s="29">
        <v>19112.731037400099</v>
      </c>
      <c r="AT13" s="30">
        <v>0.110484028092866</v>
      </c>
      <c r="AU13" s="29">
        <v>294018.68760077399</v>
      </c>
      <c r="AV13" s="30">
        <v>8.19613905104144E-2</v>
      </c>
      <c r="AW13" s="29">
        <v>219009.29340118999</v>
      </c>
      <c r="AX13" s="30">
        <v>7.6308871298629094E-2</v>
      </c>
      <c r="AY13" s="29">
        <v>75009.394199583898</v>
      </c>
      <c r="AZ13" s="30">
        <v>9.8810415745317598E-2</v>
      </c>
      <c r="BA13" s="29">
        <v>49580.150163098398</v>
      </c>
      <c r="BB13" s="30">
        <v>8.7292024462704496E-2</v>
      </c>
      <c r="BC13" s="29">
        <v>77694.186469246401</v>
      </c>
      <c r="BD13" s="30">
        <v>6.9472048220927701E-2</v>
      </c>
      <c r="BE13" s="29"/>
      <c r="BF13" s="30"/>
    </row>
    <row r="14" spans="1:62" x14ac:dyDescent="0.2">
      <c r="A14" s="28">
        <v>1982</v>
      </c>
      <c r="B14" s="28"/>
      <c r="C14" s="29">
        <v>237092.138635243</v>
      </c>
      <c r="D14" s="30">
        <v>5.9424070235276003E-2</v>
      </c>
      <c r="E14" s="29">
        <v>236891.158565566</v>
      </c>
      <c r="F14" s="30">
        <v>5.9196405577858199E-2</v>
      </c>
      <c r="G14" s="29">
        <v>159819.97252827001</v>
      </c>
      <c r="H14" s="30">
        <v>6.4352260244420603E-2</v>
      </c>
      <c r="I14" s="29">
        <v>136314.86697329101</v>
      </c>
      <c r="J14" s="30">
        <v>6.0675170510761801E-2</v>
      </c>
      <c r="K14" s="29">
        <v>23505.1055549798</v>
      </c>
      <c r="L14" s="30">
        <v>8.6190049162572002E-2</v>
      </c>
      <c r="M14" s="29">
        <v>77071.186037295702</v>
      </c>
      <c r="N14" s="30">
        <v>4.8662485439447102E-2</v>
      </c>
      <c r="O14" s="29">
        <v>69221.446633553394</v>
      </c>
      <c r="P14" s="30">
        <v>5.3619382567264796E-3</v>
      </c>
      <c r="Q14" s="29">
        <v>29577.214664340401</v>
      </c>
      <c r="R14" s="30">
        <v>1.3487220117949899E-2</v>
      </c>
      <c r="S14" s="29">
        <v>39644.231969212997</v>
      </c>
      <c r="T14" s="30">
        <v>-6.15704326047961E-4</v>
      </c>
      <c r="U14" s="29">
        <v>5977.8063364858999</v>
      </c>
      <c r="V14" s="30"/>
      <c r="W14" s="29">
        <v>1871.9330672563699</v>
      </c>
      <c r="X14" s="30"/>
      <c r="Y14" s="29">
        <v>200.98006967682201</v>
      </c>
      <c r="Z14" s="30"/>
      <c r="AA14" s="29">
        <v>103100.90252395401</v>
      </c>
      <c r="AB14" s="30">
        <v>-2.62414048276324E-2</v>
      </c>
      <c r="AC14" s="29">
        <v>74659.731744933102</v>
      </c>
      <c r="AD14" s="30">
        <v>-7.19744332750719E-2</v>
      </c>
      <c r="AE14" s="29">
        <v>54484.631744933104</v>
      </c>
      <c r="AF14" s="30">
        <v>-5.36612964950345E-3</v>
      </c>
      <c r="AG14" s="29">
        <v>49306.659735440197</v>
      </c>
      <c r="AH14" s="30">
        <v>1.55027318913041E-2</v>
      </c>
      <c r="AI14" s="29">
        <v>28441.170779020398</v>
      </c>
      <c r="AJ14" s="30">
        <v>0.118443424358721</v>
      </c>
      <c r="AK14" s="29">
        <v>102899.922454277</v>
      </c>
      <c r="AL14" s="30">
        <v>-2.6837708051434799E-2</v>
      </c>
      <c r="AM14" s="29">
        <v>82683.183743762798</v>
      </c>
      <c r="AN14" s="30">
        <v>-4.5503803660882601E-2</v>
      </c>
      <c r="AO14" s="29">
        <v>59654.3296837628</v>
      </c>
      <c r="AP14" s="30">
        <v>-4.1836584133083103E-2</v>
      </c>
      <c r="AQ14" s="29">
        <v>56381.766908616599</v>
      </c>
      <c r="AR14" s="30">
        <v>-3.7549229649796102E-2</v>
      </c>
      <c r="AS14" s="29">
        <v>20216.738710513899</v>
      </c>
      <c r="AT14" s="30">
        <v>5.7762947166127003E-2</v>
      </c>
      <c r="AU14" s="29">
        <v>307712.83791788702</v>
      </c>
      <c r="AV14" s="30">
        <v>4.6575782066300198E-2</v>
      </c>
      <c r="AW14" s="29">
        <v>229041.41916182399</v>
      </c>
      <c r="AX14" s="30">
        <v>4.5806849585402001E-2</v>
      </c>
      <c r="AY14" s="29">
        <v>78671.418756063606</v>
      </c>
      <c r="AZ14" s="30">
        <v>4.8820878978650402E-2</v>
      </c>
      <c r="BA14" s="29">
        <v>50230.247977043196</v>
      </c>
      <c r="BB14" s="30">
        <v>1.31120581887365E-2</v>
      </c>
      <c r="BC14" s="29">
        <v>76598.505619130403</v>
      </c>
      <c r="BD14" s="30">
        <v>-1.4102481793147501E-2</v>
      </c>
      <c r="BE14" s="29"/>
      <c r="BF14" s="30"/>
    </row>
    <row r="15" spans="1:62" x14ac:dyDescent="0.2">
      <c r="A15" s="28">
        <v>1983</v>
      </c>
      <c r="B15" s="28"/>
      <c r="C15" s="29">
        <v>244254.905181682</v>
      </c>
      <c r="D15" s="30">
        <v>3.0210898546319202E-2</v>
      </c>
      <c r="E15" s="29">
        <v>247846.612614546</v>
      </c>
      <c r="F15" s="30">
        <v>4.6246783186495402E-2</v>
      </c>
      <c r="G15" s="29">
        <v>167423.98588939299</v>
      </c>
      <c r="H15" s="30">
        <v>4.7578617621006201E-2</v>
      </c>
      <c r="I15" s="29">
        <v>142520.01887683201</v>
      </c>
      <c r="J15" s="30">
        <v>4.5520727425553797E-2</v>
      </c>
      <c r="K15" s="29">
        <v>24903.967012560301</v>
      </c>
      <c r="L15" s="30">
        <v>5.9513089796958199E-2</v>
      </c>
      <c r="M15" s="29">
        <v>80422.626725152804</v>
      </c>
      <c r="N15" s="30">
        <v>4.3485002115256903E-2</v>
      </c>
      <c r="O15" s="29">
        <v>72970.209121598804</v>
      </c>
      <c r="P15" s="30">
        <v>5.4156084138066399E-2</v>
      </c>
      <c r="Q15" s="29">
        <v>31223.833912899099</v>
      </c>
      <c r="R15" s="30">
        <v>5.5671883483468597E-2</v>
      </c>
      <c r="S15" s="29">
        <v>41746.375208699697</v>
      </c>
      <c r="T15" s="30">
        <v>5.3025197741734198E-2</v>
      </c>
      <c r="U15" s="29">
        <v>1924.6148741893701</v>
      </c>
      <c r="V15" s="30"/>
      <c r="W15" s="29">
        <v>5527.8027293646001</v>
      </c>
      <c r="X15" s="30"/>
      <c r="Y15" s="29">
        <v>-3591.7074328634299</v>
      </c>
      <c r="Z15" s="30"/>
      <c r="AA15" s="29">
        <v>103107.793495823</v>
      </c>
      <c r="AB15" s="30">
        <v>6.6837163411603799E-5</v>
      </c>
      <c r="AC15" s="29">
        <v>73085.742807099494</v>
      </c>
      <c r="AD15" s="30">
        <v>-2.10821670671274E-2</v>
      </c>
      <c r="AE15" s="29">
        <v>55521.342807099601</v>
      </c>
      <c r="AF15" s="30">
        <v>1.9027586843567E-2</v>
      </c>
      <c r="AG15" s="29">
        <v>50449.664534675801</v>
      </c>
      <c r="AH15" s="30">
        <v>2.3181550025260799E-2</v>
      </c>
      <c r="AI15" s="29">
        <v>30022.050688723899</v>
      </c>
      <c r="AJ15" s="30">
        <v>5.55842065007255E-2</v>
      </c>
      <c r="AK15" s="29">
        <v>106699.500928687</v>
      </c>
      <c r="AL15" s="30">
        <v>3.6924988705394401E-2</v>
      </c>
      <c r="AM15" s="29">
        <v>85823.163043059496</v>
      </c>
      <c r="AN15" s="30">
        <v>3.7976032817356398E-2</v>
      </c>
      <c r="AO15" s="29">
        <v>62732.520107059398</v>
      </c>
      <c r="AP15" s="30">
        <v>5.1600452802245601E-2</v>
      </c>
      <c r="AQ15" s="29">
        <v>58557.215053940803</v>
      </c>
      <c r="AR15" s="30">
        <v>3.8584249210389797E-2</v>
      </c>
      <c r="AS15" s="29">
        <v>20876.337885627399</v>
      </c>
      <c r="AT15" s="30">
        <v>3.2626388685058003E-2</v>
      </c>
      <c r="AU15" s="29">
        <v>321763.84324706101</v>
      </c>
      <c r="AV15" s="30">
        <v>4.5662720555464303E-2</v>
      </c>
      <c r="AW15" s="29">
        <v>240394.195010992</v>
      </c>
      <c r="AX15" s="30">
        <v>4.9566475315744797E-2</v>
      </c>
      <c r="AY15" s="29">
        <v>81369.648236069304</v>
      </c>
      <c r="AZ15" s="30">
        <v>3.4297455450397002E-2</v>
      </c>
      <c r="BA15" s="29">
        <v>51347.597547345402</v>
      </c>
      <c r="BB15" s="30">
        <v>2.2244556125082599E-2</v>
      </c>
      <c r="BC15" s="29">
        <v>79433.552939568093</v>
      </c>
      <c r="BD15" s="30">
        <v>3.70117836832786E-2</v>
      </c>
      <c r="BE15" s="29"/>
      <c r="BF15" s="30"/>
    </row>
    <row r="16" spans="1:62" x14ac:dyDescent="0.2">
      <c r="A16" s="28">
        <v>1984</v>
      </c>
      <c r="B16" s="28"/>
      <c r="C16" s="29">
        <v>261062.577179913</v>
      </c>
      <c r="D16" s="30">
        <v>6.8812014177275393E-2</v>
      </c>
      <c r="E16" s="29">
        <v>255111.06984963</v>
      </c>
      <c r="F16" s="30">
        <v>2.93102946150894E-2</v>
      </c>
      <c r="G16" s="29">
        <v>175405.49373459499</v>
      </c>
      <c r="H16" s="30">
        <v>4.7672427596339398E-2</v>
      </c>
      <c r="I16" s="29">
        <v>149315.628081598</v>
      </c>
      <c r="J16" s="30">
        <v>4.76817871504664E-2</v>
      </c>
      <c r="K16" s="29">
        <v>26089.865652997301</v>
      </c>
      <c r="L16" s="30">
        <v>4.7618864891641403E-2</v>
      </c>
      <c r="M16" s="29">
        <v>79705.576115034506</v>
      </c>
      <c r="N16" s="30">
        <v>-8.91603071569547E-3</v>
      </c>
      <c r="O16" s="29">
        <v>77356.348794530699</v>
      </c>
      <c r="P16" s="30">
        <v>6.0108635095491601E-2</v>
      </c>
      <c r="Q16" s="29">
        <v>32993.141516178803</v>
      </c>
      <c r="R16" s="30">
        <v>5.6665289990181798E-2</v>
      </c>
      <c r="S16" s="29">
        <v>44363.207278351903</v>
      </c>
      <c r="T16" s="30">
        <v>6.2684054760923105E-2</v>
      </c>
      <c r="U16" s="29">
        <v>6716.4141928277704</v>
      </c>
      <c r="V16" s="30"/>
      <c r="W16" s="29">
        <v>-4367.1868723239704</v>
      </c>
      <c r="X16" s="30"/>
      <c r="Y16" s="29">
        <v>5951.5073302832998</v>
      </c>
      <c r="Z16" s="30"/>
      <c r="AA16" s="29">
        <v>120982.922341157</v>
      </c>
      <c r="AB16" s="30">
        <v>0.17336350860866701</v>
      </c>
      <c r="AC16" s="29">
        <v>88066.905105216007</v>
      </c>
      <c r="AD16" s="30">
        <v>0.20498063948884501</v>
      </c>
      <c r="AE16" s="29">
        <v>62689.905105216101</v>
      </c>
      <c r="AF16" s="30">
        <v>0.129113633346777</v>
      </c>
      <c r="AG16" s="29">
        <v>55876.338427374299</v>
      </c>
      <c r="AH16" s="30">
        <v>0.107566104606476</v>
      </c>
      <c r="AI16" s="29">
        <v>32916.017235941297</v>
      </c>
      <c r="AJ16" s="30">
        <v>9.6394699256980895E-2</v>
      </c>
      <c r="AK16" s="29">
        <v>115031.415010874</v>
      </c>
      <c r="AL16" s="30">
        <v>7.8087657483569606E-2</v>
      </c>
      <c r="AM16" s="29">
        <v>92271.374856111201</v>
      </c>
      <c r="AN16" s="30">
        <v>7.5133700325360306E-2</v>
      </c>
      <c r="AO16" s="29">
        <v>71093.7875081112</v>
      </c>
      <c r="AP16" s="30">
        <v>0.13328441750438999</v>
      </c>
      <c r="AQ16" s="29">
        <v>65559.721637708397</v>
      </c>
      <c r="AR16" s="30">
        <v>0.119584009883618</v>
      </c>
      <c r="AS16" s="29">
        <v>22760.040154762701</v>
      </c>
      <c r="AT16" s="30">
        <v>9.0231451486144601E-2</v>
      </c>
      <c r="AU16" s="29">
        <v>342665.92477955599</v>
      </c>
      <c r="AV16" s="30">
        <v>6.4960939431738099E-2</v>
      </c>
      <c r="AW16" s="29">
        <v>252761.84252912601</v>
      </c>
      <c r="AX16" s="30">
        <v>5.1447363433917197E-2</v>
      </c>
      <c r="AY16" s="29">
        <v>89904.082250430394</v>
      </c>
      <c r="AZ16" s="30">
        <v>0.104884735271327</v>
      </c>
      <c r="BA16" s="29">
        <v>56988.065014489097</v>
      </c>
      <c r="BB16" s="30">
        <v>0.10984871223902699</v>
      </c>
      <c r="BC16" s="29">
        <v>88319.761792471094</v>
      </c>
      <c r="BD16" s="30">
        <v>0.111869714044686</v>
      </c>
      <c r="BE16" s="29"/>
      <c r="BF16" s="30"/>
    </row>
    <row r="17" spans="1:58" x14ac:dyDescent="0.2">
      <c r="A17" s="28">
        <v>1985</v>
      </c>
      <c r="B17" s="28"/>
      <c r="C17" s="29">
        <v>276798.76097352902</v>
      </c>
      <c r="D17" s="30">
        <v>6.0277439852174201E-2</v>
      </c>
      <c r="E17" s="29">
        <v>271258.52448129101</v>
      </c>
      <c r="F17" s="30">
        <v>6.3295781877198601E-2</v>
      </c>
      <c r="G17" s="29">
        <v>184530.80890010399</v>
      </c>
      <c r="H17" s="30">
        <v>5.2024112650178603E-2</v>
      </c>
      <c r="I17" s="29">
        <v>156568.31620908901</v>
      </c>
      <c r="J17" s="30">
        <v>4.8572866890578499E-2</v>
      </c>
      <c r="K17" s="29">
        <v>27962.492691015501</v>
      </c>
      <c r="L17" s="30">
        <v>7.1776032231237699E-2</v>
      </c>
      <c r="M17" s="29">
        <v>86727.715581186698</v>
      </c>
      <c r="N17" s="30">
        <v>8.8100981241482801E-2</v>
      </c>
      <c r="O17" s="29">
        <v>83070.429108802695</v>
      </c>
      <c r="P17" s="30">
        <v>7.3866985752512299E-2</v>
      </c>
      <c r="Q17" s="29">
        <v>34041.898533269901</v>
      </c>
      <c r="R17" s="30">
        <v>3.1787122077381498E-2</v>
      </c>
      <c r="S17" s="29">
        <v>49028.530575532801</v>
      </c>
      <c r="T17" s="30">
        <v>0.105161993088301</v>
      </c>
      <c r="U17" s="29">
        <v>6723.1328389003802</v>
      </c>
      <c r="V17" s="30"/>
      <c r="W17" s="29">
        <v>-3065.8463665163099</v>
      </c>
      <c r="X17" s="30"/>
      <c r="Y17" s="29">
        <v>5540.2364922381203</v>
      </c>
      <c r="Z17" s="30"/>
      <c r="AA17" s="29">
        <v>129531.830463038</v>
      </c>
      <c r="AB17" s="30">
        <v>7.0662106324180102E-2</v>
      </c>
      <c r="AC17" s="29">
        <v>93153.279629916695</v>
      </c>
      <c r="AD17" s="30">
        <v>5.7755799623296702E-2</v>
      </c>
      <c r="AE17" s="29">
        <v>68859.179629916805</v>
      </c>
      <c r="AF17" s="30">
        <v>9.84093773047892E-2</v>
      </c>
      <c r="AG17" s="29">
        <v>62051.874981162997</v>
      </c>
      <c r="AH17" s="30">
        <v>0.11052149671216099</v>
      </c>
      <c r="AI17" s="29">
        <v>36378.550833121401</v>
      </c>
      <c r="AJ17" s="30">
        <v>0.105192969500555</v>
      </c>
      <c r="AK17" s="29">
        <v>123991.59397079999</v>
      </c>
      <c r="AL17" s="30">
        <v>7.7893321220807707E-2</v>
      </c>
      <c r="AM17" s="29">
        <v>98660.549359130906</v>
      </c>
      <c r="AN17" s="30">
        <v>6.9243300134879296E-2</v>
      </c>
      <c r="AO17" s="29">
        <v>76835.778525130896</v>
      </c>
      <c r="AP17" s="30">
        <v>8.0766424441299806E-2</v>
      </c>
      <c r="AQ17" s="29">
        <v>72014.649310787005</v>
      </c>
      <c r="AR17" s="30">
        <v>9.84587413099378E-2</v>
      </c>
      <c r="AS17" s="29">
        <v>25331.044611669098</v>
      </c>
      <c r="AT17" s="30">
        <v>0.112961332204345</v>
      </c>
      <c r="AU17" s="29">
        <v>367421.322057085</v>
      </c>
      <c r="AV17" s="30">
        <v>7.2243533679206204E-2</v>
      </c>
      <c r="AW17" s="29">
        <v>267601.23800890701</v>
      </c>
      <c r="AX17" s="30">
        <v>5.8709001846553498E-2</v>
      </c>
      <c r="AY17" s="29">
        <v>99820.084048177901</v>
      </c>
      <c r="AZ17" s="30">
        <v>0.11029534532287701</v>
      </c>
      <c r="BA17" s="29">
        <v>63441.533215056501</v>
      </c>
      <c r="BB17" s="30">
        <v>0.113242451712067</v>
      </c>
      <c r="BC17" s="29">
        <v>97345.693922456107</v>
      </c>
      <c r="BD17" s="30">
        <v>0.10219606514784001</v>
      </c>
      <c r="BE17" s="29"/>
      <c r="BF17" s="30"/>
    </row>
    <row r="18" spans="1:58" x14ac:dyDescent="0.2">
      <c r="A18" s="28">
        <v>1986</v>
      </c>
      <c r="B18" s="28"/>
      <c r="C18" s="29">
        <v>290499.27185702301</v>
      </c>
      <c r="D18" s="30">
        <v>4.9496286888381001E-2</v>
      </c>
      <c r="E18" s="29">
        <v>289519.74565593898</v>
      </c>
      <c r="F18" s="30">
        <v>6.7320358722616297E-2</v>
      </c>
      <c r="G18" s="29">
        <v>192752.22125150799</v>
      </c>
      <c r="H18" s="30">
        <v>4.4553060816281603E-2</v>
      </c>
      <c r="I18" s="29">
        <v>162995.21154686101</v>
      </c>
      <c r="J18" s="30">
        <v>4.1048505172589303E-2</v>
      </c>
      <c r="K18" s="29">
        <v>29757.009704647098</v>
      </c>
      <c r="L18" s="30">
        <v>6.4175859908519206E-2</v>
      </c>
      <c r="M18" s="29">
        <v>96767.524404430806</v>
      </c>
      <c r="N18" s="30">
        <v>0.11576240370179799</v>
      </c>
      <c r="O18" s="29">
        <v>89403.500733503402</v>
      </c>
      <c r="P18" s="30">
        <v>7.6237377038294904E-2</v>
      </c>
      <c r="Q18" s="29">
        <v>35581.566534577898</v>
      </c>
      <c r="R18" s="30">
        <v>4.5228617311200599E-2</v>
      </c>
      <c r="S18" s="29">
        <v>53821.934198925497</v>
      </c>
      <c r="T18" s="30">
        <v>9.77676378860282E-2</v>
      </c>
      <c r="U18" s="29">
        <v>3487.9578800058198</v>
      </c>
      <c r="V18" s="30"/>
      <c r="W18" s="29">
        <v>3876.0657909215702</v>
      </c>
      <c r="X18" s="30"/>
      <c r="Y18" s="29">
        <v>979.52620108424196</v>
      </c>
      <c r="Z18" s="30"/>
      <c r="AA18" s="29">
        <v>125070.489400198</v>
      </c>
      <c r="AB18" s="30">
        <v>-3.4442044452643497E-2</v>
      </c>
      <c r="AC18" s="29">
        <v>89162.902335282197</v>
      </c>
      <c r="AD18" s="30">
        <v>-4.2836680688942502E-2</v>
      </c>
      <c r="AE18" s="29">
        <v>68886.402335282197</v>
      </c>
      <c r="AF18" s="30">
        <v>3.9533879886088902E-4</v>
      </c>
      <c r="AG18" s="29">
        <v>62851.894383143503</v>
      </c>
      <c r="AH18" s="30">
        <v>1.2892751463568801E-2</v>
      </c>
      <c r="AI18" s="29">
        <v>35907.5870649157</v>
      </c>
      <c r="AJ18" s="30">
        <v>-1.29461937713289E-2</v>
      </c>
      <c r="AK18" s="29">
        <v>124090.963199114</v>
      </c>
      <c r="AL18" s="30">
        <v>8.0141907311093196E-4</v>
      </c>
      <c r="AM18" s="29">
        <v>99467.906753952499</v>
      </c>
      <c r="AN18" s="30">
        <v>8.1831836541144103E-3</v>
      </c>
      <c r="AO18" s="29">
        <v>75357.5473999526</v>
      </c>
      <c r="AP18" s="30">
        <v>-1.92388383843188E-2</v>
      </c>
      <c r="AQ18" s="29">
        <v>70435.318312896095</v>
      </c>
      <c r="AR18" s="30">
        <v>-2.1930690672048801E-2</v>
      </c>
      <c r="AS18" s="29">
        <v>24623.056445161099</v>
      </c>
      <c r="AT18" s="30">
        <v>-2.79494263802221E-2</v>
      </c>
      <c r="AU18" s="29">
        <v>382069.68873507401</v>
      </c>
      <c r="AV18" s="30">
        <v>3.9868036498203099E-2</v>
      </c>
      <c r="AW18" s="29">
        <v>282155.72198501101</v>
      </c>
      <c r="AX18" s="30">
        <v>5.4388701952194501E-2</v>
      </c>
      <c r="AY18" s="29">
        <v>99913.966750063002</v>
      </c>
      <c r="AZ18" s="30">
        <v>9.4051916285531301E-4</v>
      </c>
      <c r="BA18" s="29">
        <v>64006.379685147404</v>
      </c>
      <c r="BB18" s="30">
        <v>8.90341770549807E-3</v>
      </c>
      <c r="BC18" s="29">
        <v>95058.374758057194</v>
      </c>
      <c r="BD18" s="30">
        <v>-2.3496870505858702E-2</v>
      </c>
      <c r="BE18" s="29"/>
      <c r="BF18" s="30"/>
    </row>
    <row r="19" spans="1:58" x14ac:dyDescent="0.2">
      <c r="A19" s="28">
        <v>1987</v>
      </c>
      <c r="B19" s="28"/>
      <c r="C19" s="29">
        <v>301578.15232860198</v>
      </c>
      <c r="D19" s="30">
        <v>3.81373777660678E-2</v>
      </c>
      <c r="E19" s="29">
        <v>299155.790540769</v>
      </c>
      <c r="F19" s="30">
        <v>3.3282859042994599E-2</v>
      </c>
      <c r="G19" s="29">
        <v>199884.52430074601</v>
      </c>
      <c r="H19" s="30">
        <v>3.7002442840498903E-2</v>
      </c>
      <c r="I19" s="29">
        <v>169147.601007572</v>
      </c>
      <c r="J19" s="30">
        <v>3.7745829477586097E-2</v>
      </c>
      <c r="K19" s="29">
        <v>30736.923293174299</v>
      </c>
      <c r="L19" s="30">
        <v>3.2930512785166503E-2</v>
      </c>
      <c r="M19" s="29">
        <v>99271.266240023004</v>
      </c>
      <c r="N19" s="30">
        <v>2.5873782046216699E-2</v>
      </c>
      <c r="O19" s="29">
        <v>93760.017567467003</v>
      </c>
      <c r="P19" s="30">
        <v>4.8728705232132602E-2</v>
      </c>
      <c r="Q19" s="29">
        <v>37679.983871390301</v>
      </c>
      <c r="R19" s="30">
        <v>5.89748440326026E-2</v>
      </c>
      <c r="S19" s="29">
        <v>56080.033696076702</v>
      </c>
      <c r="T19" s="30">
        <v>4.19550046047268E-2</v>
      </c>
      <c r="U19" s="29">
        <v>3581.8664288734399</v>
      </c>
      <c r="V19" s="30"/>
      <c r="W19" s="29">
        <v>1929.3822436824601</v>
      </c>
      <c r="X19" s="30"/>
      <c r="Y19" s="29">
        <v>2422.3617878329001</v>
      </c>
      <c r="Z19" s="30"/>
      <c r="AA19" s="29">
        <v>121666.980104077</v>
      </c>
      <c r="AB19" s="30">
        <v>-2.7212728697578601E-2</v>
      </c>
      <c r="AC19" s="29">
        <v>84526.543143561794</v>
      </c>
      <c r="AD19" s="30">
        <v>-5.1998746903574103E-2</v>
      </c>
      <c r="AE19" s="29">
        <v>69509.1431435618</v>
      </c>
      <c r="AF19" s="30">
        <v>9.0401122306926797E-3</v>
      </c>
      <c r="AG19" s="29">
        <v>62771.773645413203</v>
      </c>
      <c r="AH19" s="30">
        <v>-1.2747545402833601E-3</v>
      </c>
      <c r="AI19" s="29">
        <v>37140.436960515101</v>
      </c>
      <c r="AJ19" s="30">
        <v>3.4333966617434902E-2</v>
      </c>
      <c r="AK19" s="29">
        <v>119244.618316244</v>
      </c>
      <c r="AL19" s="30">
        <v>-3.9054776898566602E-2</v>
      </c>
      <c r="AM19" s="29">
        <v>93595.1222886006</v>
      </c>
      <c r="AN19" s="30">
        <v>-5.904200316469E-2</v>
      </c>
      <c r="AO19" s="29">
        <v>76799.346072600601</v>
      </c>
      <c r="AP19" s="30">
        <v>1.9132770669881401E-2</v>
      </c>
      <c r="AQ19" s="29">
        <v>71525.112033830606</v>
      </c>
      <c r="AR19" s="30">
        <v>1.54722623115475E-2</v>
      </c>
      <c r="AS19" s="29">
        <v>25649.496027643399</v>
      </c>
      <c r="AT19" s="30">
        <v>4.1686115806473897E-2</v>
      </c>
      <c r="AU19" s="29">
        <v>395170.89396120299</v>
      </c>
      <c r="AV19" s="30">
        <v>3.42900931751546E-2</v>
      </c>
      <c r="AW19" s="29">
        <v>293644.54186821298</v>
      </c>
      <c r="AX19" s="30">
        <v>4.0718011325008699E-2</v>
      </c>
      <c r="AY19" s="29">
        <v>101526.35209298899</v>
      </c>
      <c r="AZ19" s="30">
        <v>1.6137737249084998E-2</v>
      </c>
      <c r="BA19" s="29">
        <v>64385.915132474198</v>
      </c>
      <c r="BB19" s="30">
        <v>5.9296502816412701E-3</v>
      </c>
      <c r="BC19" s="29">
        <v>97174.608061474006</v>
      </c>
      <c r="BD19" s="30">
        <v>2.2262460396604199E-2</v>
      </c>
      <c r="BE19" s="29"/>
      <c r="BF19" s="30"/>
    </row>
    <row r="20" spans="1:58" x14ac:dyDescent="0.2">
      <c r="A20" s="28">
        <v>1988</v>
      </c>
      <c r="B20" s="28"/>
      <c r="C20" s="29">
        <v>320153.21761587699</v>
      </c>
      <c r="D20" s="30">
        <v>6.1592874496543E-2</v>
      </c>
      <c r="E20" s="29">
        <v>317698.687656658</v>
      </c>
      <c r="F20" s="30">
        <v>6.1984082214721098E-2</v>
      </c>
      <c r="G20" s="29">
        <v>209030.46644339801</v>
      </c>
      <c r="H20" s="30">
        <v>4.5756129318400798E-2</v>
      </c>
      <c r="I20" s="29">
        <v>175790.676466434</v>
      </c>
      <c r="J20" s="30">
        <v>3.9273837874678398E-2</v>
      </c>
      <c r="K20" s="29">
        <v>33239.789976964101</v>
      </c>
      <c r="L20" s="30">
        <v>8.1428666750962705E-2</v>
      </c>
      <c r="M20" s="29">
        <v>108668.22121326</v>
      </c>
      <c r="N20" s="30">
        <v>9.4659364478302005E-2</v>
      </c>
      <c r="O20" s="29">
        <v>105130.39423553</v>
      </c>
      <c r="P20" s="30">
        <v>0.121271059488457</v>
      </c>
      <c r="Q20" s="29">
        <v>42097.187693470703</v>
      </c>
      <c r="R20" s="30">
        <v>0.11722945097740101</v>
      </c>
      <c r="S20" s="29">
        <v>63033.206542059401</v>
      </c>
      <c r="T20" s="30">
        <v>0.12398660249858399</v>
      </c>
      <c r="U20" s="29">
        <v>4110.7538667489398</v>
      </c>
      <c r="V20" s="30"/>
      <c r="W20" s="29">
        <v>-572.92688901923202</v>
      </c>
      <c r="X20" s="30"/>
      <c r="Y20" s="29">
        <v>2454.5299592189999</v>
      </c>
      <c r="Z20" s="30"/>
      <c r="AA20" s="29">
        <v>132892.226079671</v>
      </c>
      <c r="AB20" s="30">
        <v>9.2262058004492803E-2</v>
      </c>
      <c r="AC20" s="29">
        <v>94095.066149668404</v>
      </c>
      <c r="AD20" s="30">
        <v>0.113201399823666</v>
      </c>
      <c r="AE20" s="29">
        <v>76305.666149668497</v>
      </c>
      <c r="AF20" s="30">
        <v>9.7778834535039702E-2</v>
      </c>
      <c r="AG20" s="29">
        <v>68231.762411814605</v>
      </c>
      <c r="AH20" s="30">
        <v>8.6981591395583396E-2</v>
      </c>
      <c r="AI20" s="29">
        <v>38797.159930002301</v>
      </c>
      <c r="AJ20" s="30">
        <v>4.46069864834506E-2</v>
      </c>
      <c r="AK20" s="29">
        <v>130437.696120452</v>
      </c>
      <c r="AL20" s="30">
        <v>9.3866523808420393E-2</v>
      </c>
      <c r="AM20" s="29">
        <v>101990.067805183</v>
      </c>
      <c r="AN20" s="30">
        <v>8.9694263026829604E-2</v>
      </c>
      <c r="AO20" s="29">
        <v>83902.824095182601</v>
      </c>
      <c r="AP20" s="30">
        <v>9.2493990975741805E-2</v>
      </c>
      <c r="AQ20" s="29">
        <v>78335.211800853504</v>
      </c>
      <c r="AR20" s="30">
        <v>9.5212710240871301E-2</v>
      </c>
      <c r="AS20" s="29">
        <v>28447.628315269099</v>
      </c>
      <c r="AT20" s="30">
        <v>0.10909112150234999</v>
      </c>
      <c r="AU20" s="29">
        <v>422825.30386525101</v>
      </c>
      <c r="AV20" s="30">
        <v>6.9980887577117998E-2</v>
      </c>
      <c r="AW20" s="29">
        <v>314160.86067892797</v>
      </c>
      <c r="AX20" s="30">
        <v>6.9867870453804298E-2</v>
      </c>
      <c r="AY20" s="29">
        <v>108664.44318632199</v>
      </c>
      <c r="AZ20" s="30">
        <v>7.0307766862293994E-2</v>
      </c>
      <c r="BA20" s="29">
        <v>69867.283256320196</v>
      </c>
      <c r="BB20" s="30">
        <v>8.5133031231566597E-2</v>
      </c>
      <c r="BC20" s="29">
        <v>106782.840116123</v>
      </c>
      <c r="BD20" s="30">
        <v>9.8875953773545106E-2</v>
      </c>
      <c r="BE20" s="29"/>
      <c r="BF20" s="30"/>
    </row>
    <row r="21" spans="1:58" x14ac:dyDescent="0.2">
      <c r="A21" s="28">
        <v>1989</v>
      </c>
      <c r="B21" s="28"/>
      <c r="C21" s="29">
        <v>345570.28803694498</v>
      </c>
      <c r="D21" s="30">
        <v>7.9390332573710601E-2</v>
      </c>
      <c r="E21" s="29">
        <v>343121.51425781002</v>
      </c>
      <c r="F21" s="30">
        <v>8.0021818121663396E-2</v>
      </c>
      <c r="G21" s="29">
        <v>223253.161313886</v>
      </c>
      <c r="H21" s="30">
        <v>6.8041253088524198E-2</v>
      </c>
      <c r="I21" s="29">
        <v>185896.85907028499</v>
      </c>
      <c r="J21" s="30">
        <v>5.7489866965614797E-2</v>
      </c>
      <c r="K21" s="29">
        <v>37356.302243600898</v>
      </c>
      <c r="L21" s="30">
        <v>0.12384290843864</v>
      </c>
      <c r="M21" s="29">
        <v>119868.352943925</v>
      </c>
      <c r="N21" s="30">
        <v>0.103067222465017</v>
      </c>
      <c r="O21" s="29">
        <v>115292.580204407</v>
      </c>
      <c r="P21" s="30">
        <v>9.6662682973578606E-2</v>
      </c>
      <c r="Q21" s="29">
        <v>47227.894830324098</v>
      </c>
      <c r="R21" s="30">
        <v>0.12187766969642901</v>
      </c>
      <c r="S21" s="29">
        <v>68064.685374082401</v>
      </c>
      <c r="T21" s="30">
        <v>7.9822669796525594E-2</v>
      </c>
      <c r="U21" s="29">
        <v>7520.4210421646703</v>
      </c>
      <c r="V21" s="30"/>
      <c r="W21" s="29">
        <v>-2944.6483026465899</v>
      </c>
      <c r="X21" s="30"/>
      <c r="Y21" s="29">
        <v>2448.7737791347899</v>
      </c>
      <c r="Z21" s="30"/>
      <c r="AA21" s="29">
        <v>151750.47694783</v>
      </c>
      <c r="AB21" s="30">
        <v>0.141906350916671</v>
      </c>
      <c r="AC21" s="29">
        <v>109702.557241705</v>
      </c>
      <c r="AD21" s="30">
        <v>0.16586938859483899</v>
      </c>
      <c r="AE21" s="29">
        <v>86889.457241704804</v>
      </c>
      <c r="AF21" s="30">
        <v>0.13870255809413901</v>
      </c>
      <c r="AG21" s="29">
        <v>76125.357275050701</v>
      </c>
      <c r="AH21" s="30">
        <v>0.115687981435891</v>
      </c>
      <c r="AI21" s="29">
        <v>42047.919706125198</v>
      </c>
      <c r="AJ21" s="30">
        <v>8.3788601588052902E-2</v>
      </c>
      <c r="AK21" s="29">
        <v>149301.70316869501</v>
      </c>
      <c r="AL21" s="30">
        <v>0.144620823652265</v>
      </c>
      <c r="AM21" s="29">
        <v>117988.777041393</v>
      </c>
      <c r="AN21" s="30">
        <v>0.15686536523115899</v>
      </c>
      <c r="AO21" s="29">
        <v>96912.5714413932</v>
      </c>
      <c r="AP21" s="30">
        <v>0.155057323594399</v>
      </c>
      <c r="AQ21" s="29">
        <v>89408.643692059195</v>
      </c>
      <c r="AR21" s="30">
        <v>0.14135957044907099</v>
      </c>
      <c r="AS21" s="29">
        <v>31312.9261273021</v>
      </c>
      <c r="AT21" s="30">
        <v>0.100721852109373</v>
      </c>
      <c r="AU21" s="29">
        <v>458771.43681414198</v>
      </c>
      <c r="AV21" s="30">
        <v>8.5014147971490497E-2</v>
      </c>
      <c r="AW21" s="29">
        <v>338545.74151829199</v>
      </c>
      <c r="AX21" s="30">
        <v>7.7619092291337996E-2</v>
      </c>
      <c r="AY21" s="29">
        <v>120225.695295849</v>
      </c>
      <c r="AZ21" s="30">
        <v>0.10639406755808301</v>
      </c>
      <c r="BA21" s="29">
        <v>78177.775589724304</v>
      </c>
      <c r="BB21" s="30">
        <v>0.11894683671777601</v>
      </c>
      <c r="BC21" s="29">
        <v>120721.569819361</v>
      </c>
      <c r="BD21" s="30">
        <v>0.130533423610766</v>
      </c>
      <c r="BE21" s="29"/>
      <c r="BF21" s="30"/>
    </row>
    <row r="22" spans="1:58" x14ac:dyDescent="0.2">
      <c r="A22" s="28">
        <v>1990</v>
      </c>
      <c r="B22" s="28"/>
      <c r="C22" s="29">
        <v>374762.03661856701</v>
      </c>
      <c r="D22" s="30">
        <v>8.4474127528293697E-2</v>
      </c>
      <c r="E22" s="29">
        <v>375632.16733695898</v>
      </c>
      <c r="F22" s="30">
        <v>9.4749678257484399E-2</v>
      </c>
      <c r="G22" s="29">
        <v>239889.47931469799</v>
      </c>
      <c r="H22" s="30">
        <v>7.4517726436235596E-2</v>
      </c>
      <c r="I22" s="29">
        <v>198814.690151908</v>
      </c>
      <c r="J22" s="30">
        <v>6.9489237990512501E-2</v>
      </c>
      <c r="K22" s="29">
        <v>41074.789162790003</v>
      </c>
      <c r="L22" s="30">
        <v>9.9541086667004994E-2</v>
      </c>
      <c r="M22" s="29">
        <v>135742.68802226</v>
      </c>
      <c r="N22" s="30">
        <v>0.13243141069738101</v>
      </c>
      <c r="O22" s="29">
        <v>122965.343250227</v>
      </c>
      <c r="P22" s="30">
        <v>6.6550362843966301E-2</v>
      </c>
      <c r="Q22" s="29">
        <v>50419.832200749202</v>
      </c>
      <c r="R22" s="30">
        <v>6.7585849038852994E-2</v>
      </c>
      <c r="S22" s="29">
        <v>72545.511049477704</v>
      </c>
      <c r="T22" s="30">
        <v>6.5831872295724098E-2</v>
      </c>
      <c r="U22" s="29">
        <v>11655.446871943701</v>
      </c>
      <c r="V22" s="30"/>
      <c r="W22" s="29">
        <v>1121.8979000894501</v>
      </c>
      <c r="X22" s="30"/>
      <c r="Y22" s="29">
        <v>-870.13071839144698</v>
      </c>
      <c r="Z22" s="30"/>
      <c r="AA22" s="29">
        <v>151906.080656156</v>
      </c>
      <c r="AB22" s="30">
        <v>1.0253918897371601E-3</v>
      </c>
      <c r="AC22" s="29">
        <v>110474.249194558</v>
      </c>
      <c r="AD22" s="30">
        <v>7.0344025905695303E-3</v>
      </c>
      <c r="AE22" s="29">
        <v>91003.149194558093</v>
      </c>
      <c r="AF22" s="30">
        <v>4.73439711035364E-2</v>
      </c>
      <c r="AG22" s="29">
        <v>80399.631318923406</v>
      </c>
      <c r="AH22" s="30">
        <v>5.6147835581634102E-2</v>
      </c>
      <c r="AI22" s="29">
        <v>41431.8314615981</v>
      </c>
      <c r="AJ22" s="30">
        <v>-1.46520505374095E-2</v>
      </c>
      <c r="AK22" s="29">
        <v>152776.211374548</v>
      </c>
      <c r="AL22" s="30">
        <v>2.3271725185388201E-2</v>
      </c>
      <c r="AM22" s="29">
        <v>120710.036624157</v>
      </c>
      <c r="AN22" s="30">
        <v>2.3063715473628201E-2</v>
      </c>
      <c r="AO22" s="29">
        <v>98872.868022157301</v>
      </c>
      <c r="AP22" s="30">
        <v>2.0227474636244702E-2</v>
      </c>
      <c r="AQ22" s="29">
        <v>91664.070413777095</v>
      </c>
      <c r="AR22" s="30">
        <v>2.5226047824705299E-2</v>
      </c>
      <c r="AS22" s="29">
        <v>32066.174750390299</v>
      </c>
      <c r="AT22" s="30">
        <v>2.40555168822594E-2</v>
      </c>
      <c r="AU22" s="29">
        <v>486836.83491079102</v>
      </c>
      <c r="AV22" s="30">
        <v>6.1175120865292899E-2</v>
      </c>
      <c r="AW22" s="29">
        <v>362854.82256492501</v>
      </c>
      <c r="AX22" s="30">
        <v>7.1804421280306605E-2</v>
      </c>
      <c r="AY22" s="29">
        <v>123982.01234586501</v>
      </c>
      <c r="AZ22" s="30">
        <v>3.1243878779594302E-2</v>
      </c>
      <c r="BA22" s="29">
        <v>82550.180884267305</v>
      </c>
      <c r="BB22" s="30">
        <v>5.5929006185713802E-2</v>
      </c>
      <c r="BC22" s="29">
        <v>123730.245164167</v>
      </c>
      <c r="BD22" s="30">
        <v>2.4922433905623799E-2</v>
      </c>
      <c r="BE22" s="29"/>
      <c r="BF22" s="30"/>
    </row>
    <row r="23" spans="1:58" x14ac:dyDescent="0.2">
      <c r="A23" s="28">
        <v>1991</v>
      </c>
      <c r="B23" s="28"/>
      <c r="C23" s="29">
        <v>391415.52755128301</v>
      </c>
      <c r="D23" s="30">
        <v>4.44375078195711E-2</v>
      </c>
      <c r="E23" s="29">
        <v>387730.54391801899</v>
      </c>
      <c r="F23" s="30">
        <v>3.2208041890639597E-2</v>
      </c>
      <c r="G23" s="29">
        <v>258212.97711388901</v>
      </c>
      <c r="H23" s="30">
        <v>7.6383082124050497E-2</v>
      </c>
      <c r="I23" s="29">
        <v>213111.61753606901</v>
      </c>
      <c r="J23" s="30">
        <v>7.1910819936074302E-2</v>
      </c>
      <c r="K23" s="29">
        <v>45101.359577820003</v>
      </c>
      <c r="L23" s="30">
        <v>9.8030215056531797E-2</v>
      </c>
      <c r="M23" s="29">
        <v>129517.56680412999</v>
      </c>
      <c r="N23" s="30">
        <v>-4.5859716709816298E-2</v>
      </c>
      <c r="O23" s="29">
        <v>123102.10717521999</v>
      </c>
      <c r="P23" s="30">
        <v>1.1122152094094099E-3</v>
      </c>
      <c r="Q23" s="29">
        <v>49444.500465054203</v>
      </c>
      <c r="R23" s="30">
        <v>-1.9344208283194601E-2</v>
      </c>
      <c r="S23" s="29">
        <v>73657.606710165797</v>
      </c>
      <c r="T23" s="30">
        <v>1.53296274931427E-2</v>
      </c>
      <c r="U23" s="29">
        <v>6083.3018057910404</v>
      </c>
      <c r="V23" s="30"/>
      <c r="W23" s="29">
        <v>332.15782311925398</v>
      </c>
      <c r="X23" s="30"/>
      <c r="Y23" s="29">
        <v>3684.9836332639102</v>
      </c>
      <c r="Z23" s="30"/>
      <c r="AA23" s="29">
        <v>152674.89765966401</v>
      </c>
      <c r="AB23" s="30">
        <v>5.0611338281296697E-3</v>
      </c>
      <c r="AC23" s="29">
        <v>108516.487617946</v>
      </c>
      <c r="AD23" s="30">
        <v>-1.7721429119320498E-2</v>
      </c>
      <c r="AE23" s="29">
        <v>90769.187617946605</v>
      </c>
      <c r="AF23" s="30">
        <v>-2.5709173658518001E-3</v>
      </c>
      <c r="AG23" s="29">
        <v>81834.160613746906</v>
      </c>
      <c r="AH23" s="30">
        <v>1.7842485982716001E-2</v>
      </c>
      <c r="AI23" s="29">
        <v>44158.410041717099</v>
      </c>
      <c r="AJ23" s="30">
        <v>6.5808787203774505E-2</v>
      </c>
      <c r="AK23" s="29">
        <v>148989.91402639999</v>
      </c>
      <c r="AL23" s="30">
        <v>-2.478329128653E-2</v>
      </c>
      <c r="AM23" s="29">
        <v>115378.79100137801</v>
      </c>
      <c r="AN23" s="30">
        <v>-4.4165719536466599E-2</v>
      </c>
      <c r="AO23" s="29">
        <v>97268.151503378002</v>
      </c>
      <c r="AP23" s="30">
        <v>-1.6230099833046598E-2</v>
      </c>
      <c r="AQ23" s="29">
        <v>90502.241918510801</v>
      </c>
      <c r="AR23" s="30">
        <v>-1.26748516623983E-2</v>
      </c>
      <c r="AS23" s="29">
        <v>33611.123025021603</v>
      </c>
      <c r="AT23" s="30">
        <v>4.8179999225271601E-2</v>
      </c>
      <c r="AU23" s="29">
        <v>509445.59068902401</v>
      </c>
      <c r="AV23" s="30">
        <v>4.6440109204917597E-2</v>
      </c>
      <c r="AW23" s="29">
        <v>381315.08428910899</v>
      </c>
      <c r="AX23" s="30">
        <v>5.0875062356048301E-2</v>
      </c>
      <c r="AY23" s="29">
        <v>128130.506399916</v>
      </c>
      <c r="AZ23" s="30">
        <v>3.34604510408925E-2</v>
      </c>
      <c r="BA23" s="29">
        <v>83972.096358198498</v>
      </c>
      <c r="BB23" s="30">
        <v>1.72248620015099E-2</v>
      </c>
      <c r="BC23" s="29">
        <v>124113.364943532</v>
      </c>
      <c r="BD23" s="30">
        <v>3.0964117048071201E-3</v>
      </c>
      <c r="BE23" s="29"/>
      <c r="BF23" s="30"/>
    </row>
    <row r="24" spans="1:58" x14ac:dyDescent="0.2">
      <c r="A24" s="28">
        <v>1992</v>
      </c>
      <c r="B24" s="28"/>
      <c r="C24" s="29">
        <v>399556.86425075599</v>
      </c>
      <c r="D24" s="30">
        <v>2.079972848907E-2</v>
      </c>
      <c r="E24" s="29">
        <v>391226.58999464399</v>
      </c>
      <c r="F24" s="30">
        <v>9.0166898931849405E-3</v>
      </c>
      <c r="G24" s="29">
        <v>269873.21052273299</v>
      </c>
      <c r="H24" s="30">
        <v>4.5157426010008703E-2</v>
      </c>
      <c r="I24" s="29">
        <v>222281.42023060299</v>
      </c>
      <c r="J24" s="30">
        <v>4.3028168996852099E-2</v>
      </c>
      <c r="K24" s="29">
        <v>47591.790292129997</v>
      </c>
      <c r="L24" s="30">
        <v>5.5218528612488701E-2</v>
      </c>
      <c r="M24" s="29">
        <v>121353.379471911</v>
      </c>
      <c r="N24" s="30">
        <v>-6.3035366812954893E-2</v>
      </c>
      <c r="O24" s="29">
        <v>112723.54099671201</v>
      </c>
      <c r="P24" s="30">
        <v>-8.4308598907531299E-2</v>
      </c>
      <c r="Q24" s="29">
        <v>47727.925461057399</v>
      </c>
      <c r="R24" s="30">
        <v>-3.4717207937210698E-2</v>
      </c>
      <c r="S24" s="29">
        <v>64995.615535655103</v>
      </c>
      <c r="T24" s="30">
        <v>-0.117598053499005</v>
      </c>
      <c r="U24" s="29">
        <v>8227.8588924224005</v>
      </c>
      <c r="V24" s="30"/>
      <c r="W24" s="29">
        <v>401.97958277570399</v>
      </c>
      <c r="X24" s="30"/>
      <c r="Y24" s="29">
        <v>8330.2742561119994</v>
      </c>
      <c r="Z24" s="30"/>
      <c r="AA24" s="29">
        <v>159453.54436886901</v>
      </c>
      <c r="AB24" s="30">
        <v>4.4399222223915298E-2</v>
      </c>
      <c r="AC24" s="29">
        <v>114053.922543415</v>
      </c>
      <c r="AD24" s="30">
        <v>5.1028512321225301E-2</v>
      </c>
      <c r="AE24" s="29">
        <v>94961.822543414994</v>
      </c>
      <c r="AF24" s="30">
        <v>4.6190067747609302E-2</v>
      </c>
      <c r="AG24" s="29">
        <v>86416.906394387406</v>
      </c>
      <c r="AH24" s="30">
        <v>5.6000400642842299E-2</v>
      </c>
      <c r="AI24" s="29">
        <v>45399.6218254536</v>
      </c>
      <c r="AJ24" s="30">
        <v>2.81081629199036E-2</v>
      </c>
      <c r="AK24" s="29">
        <v>151123.27011275699</v>
      </c>
      <c r="AL24" s="30">
        <v>1.4318795337910299E-2</v>
      </c>
      <c r="AM24" s="29">
        <v>115095.987958602</v>
      </c>
      <c r="AN24" s="30">
        <v>-2.4510834298221399E-3</v>
      </c>
      <c r="AO24" s="29">
        <v>94699.759940601594</v>
      </c>
      <c r="AP24" s="30">
        <v>-2.64052675318622E-2</v>
      </c>
      <c r="AQ24" s="29">
        <v>88735.271786193</v>
      </c>
      <c r="AR24" s="30">
        <v>-1.9524048187765999E-2</v>
      </c>
      <c r="AS24" s="29">
        <v>36027.282154154796</v>
      </c>
      <c r="AT24" s="30">
        <v>7.1885700675176994E-2</v>
      </c>
      <c r="AU24" s="29">
        <v>516091.55929868098</v>
      </c>
      <c r="AV24" s="30">
        <v>1.30454924551771E-2</v>
      </c>
      <c r="AW24" s="29">
        <v>382596.75151944603</v>
      </c>
      <c r="AX24" s="30">
        <v>3.3611763162382201E-3</v>
      </c>
      <c r="AY24" s="29">
        <v>133494.807779236</v>
      </c>
      <c r="AZ24" s="30">
        <v>4.1865918820121598E-2</v>
      </c>
      <c r="BA24" s="29">
        <v>88095.185953781896</v>
      </c>
      <c r="BB24" s="30">
        <v>4.9100710526454497E-2</v>
      </c>
      <c r="BC24" s="29">
        <v>124762.55394034801</v>
      </c>
      <c r="BD24" s="30">
        <v>5.23061313429651E-3</v>
      </c>
      <c r="BE24" s="29"/>
      <c r="BF24" s="30"/>
    </row>
    <row r="25" spans="1:58" x14ac:dyDescent="0.2">
      <c r="A25" s="28">
        <v>1993</v>
      </c>
      <c r="B25" s="28"/>
      <c r="C25" s="29">
        <v>408319.60620642401</v>
      </c>
      <c r="D25" s="30">
        <v>2.1931151081836499E-2</v>
      </c>
      <c r="E25" s="29">
        <v>394398.29915801302</v>
      </c>
      <c r="F25" s="30">
        <v>8.1070899690440807E-3</v>
      </c>
      <c r="G25" s="29">
        <v>275847.399387746</v>
      </c>
      <c r="H25" s="30">
        <v>2.21370207640872E-2</v>
      </c>
      <c r="I25" s="29">
        <v>227140.16150386599</v>
      </c>
      <c r="J25" s="30">
        <v>2.1858512817769502E-2</v>
      </c>
      <c r="K25" s="29">
        <v>48707.23788388</v>
      </c>
      <c r="L25" s="30">
        <v>2.3437815322834302E-2</v>
      </c>
      <c r="M25" s="29">
        <v>118550.899770267</v>
      </c>
      <c r="N25" s="30">
        <v>-2.30935447685034E-2</v>
      </c>
      <c r="O25" s="29">
        <v>107900.91057347201</v>
      </c>
      <c r="P25" s="30">
        <v>-4.2782815200787298E-2</v>
      </c>
      <c r="Q25" s="29">
        <v>45822.184342714099</v>
      </c>
      <c r="R25" s="30">
        <v>-3.9929267822425001E-2</v>
      </c>
      <c r="S25" s="29">
        <v>62078.726230757602</v>
      </c>
      <c r="T25" s="30">
        <v>-4.4878247261114099E-2</v>
      </c>
      <c r="U25" s="29">
        <v>9467.0019762605698</v>
      </c>
      <c r="V25" s="30"/>
      <c r="W25" s="29">
        <v>1182.98722053453</v>
      </c>
      <c r="X25" s="30"/>
      <c r="Y25" s="29">
        <v>13921.3070484113</v>
      </c>
      <c r="Z25" s="30"/>
      <c r="AA25" s="29">
        <v>163182.49974901299</v>
      </c>
      <c r="AB25" s="30">
        <v>2.3385841907148701E-2</v>
      </c>
      <c r="AC25" s="29">
        <v>113161.977476366</v>
      </c>
      <c r="AD25" s="30">
        <v>-7.8203804582831493E-3</v>
      </c>
      <c r="AE25" s="29">
        <v>96267.877476365902</v>
      </c>
      <c r="AF25" s="30">
        <v>1.3753473743132801E-2</v>
      </c>
      <c r="AG25" s="29">
        <v>87102.1385823827</v>
      </c>
      <c r="AH25" s="30">
        <v>7.9293765142207703E-3</v>
      </c>
      <c r="AI25" s="29">
        <v>50020.522272647497</v>
      </c>
      <c r="AJ25" s="30">
        <v>0.101782796010059</v>
      </c>
      <c r="AK25" s="29">
        <v>149261.192700602</v>
      </c>
      <c r="AL25" s="30">
        <v>-1.2321579666487699E-2</v>
      </c>
      <c r="AM25" s="29">
        <v>111443.97282834099</v>
      </c>
      <c r="AN25" s="30">
        <v>-3.1730168835892102E-2</v>
      </c>
      <c r="AO25" s="29">
        <v>92238.730394341401</v>
      </c>
      <c r="AP25" s="30">
        <v>-2.5987706281450199E-2</v>
      </c>
      <c r="AQ25" s="29">
        <v>85771.032930974499</v>
      </c>
      <c r="AR25" s="30">
        <v>-3.3405418111083898E-2</v>
      </c>
      <c r="AS25" s="29">
        <v>37817.219872260597</v>
      </c>
      <c r="AT25" s="30">
        <v>4.96828406441241E-2</v>
      </c>
      <c r="AU25" s="29">
        <v>522440.85703339899</v>
      </c>
      <c r="AV25" s="30">
        <v>1.23026575814289E-2</v>
      </c>
      <c r="AW25" s="29">
        <v>383748.30996121798</v>
      </c>
      <c r="AX25" s="30">
        <v>3.0098489785879098E-3</v>
      </c>
      <c r="AY25" s="29">
        <v>138692.54707218101</v>
      </c>
      <c r="AZ25" s="30">
        <v>3.8935891061329601E-2</v>
      </c>
      <c r="BA25" s="29">
        <v>88672.024799533494</v>
      </c>
      <c r="BB25" s="30">
        <v>6.5479042867808701E-3</v>
      </c>
      <c r="BC25" s="29">
        <v>123588.25280323499</v>
      </c>
      <c r="BD25" s="30">
        <v>-9.4122883832125099E-3</v>
      </c>
      <c r="BE25" s="29"/>
      <c r="BF25" s="30"/>
    </row>
    <row r="26" spans="1:58" x14ac:dyDescent="0.2">
      <c r="A26" s="28">
        <v>1994</v>
      </c>
      <c r="B26" s="28"/>
      <c r="C26" s="29">
        <v>418401.76711088698</v>
      </c>
      <c r="D26" s="30">
        <v>2.4691836373309101E-2</v>
      </c>
      <c r="E26" s="29">
        <v>404024.08509018802</v>
      </c>
      <c r="F26" s="30">
        <v>2.4406256195133501E-2</v>
      </c>
      <c r="G26" s="29">
        <v>279494.56766649598</v>
      </c>
      <c r="H26" s="30">
        <v>1.3221688103079599E-2</v>
      </c>
      <c r="I26" s="29">
        <v>229582.01011935601</v>
      </c>
      <c r="J26" s="30">
        <v>1.0750404504968E-2</v>
      </c>
      <c r="K26" s="29">
        <v>49912.557547140001</v>
      </c>
      <c r="L26" s="30">
        <v>2.4746212588230301E-2</v>
      </c>
      <c r="M26" s="29">
        <v>124529.517423692</v>
      </c>
      <c r="N26" s="30">
        <v>5.0430807906229898E-2</v>
      </c>
      <c r="O26" s="29">
        <v>111551.67118295</v>
      </c>
      <c r="P26" s="30">
        <v>3.38343818423332E-2</v>
      </c>
      <c r="Q26" s="29">
        <v>49036.1243085807</v>
      </c>
      <c r="R26" s="30">
        <v>7.0139387983533003E-2</v>
      </c>
      <c r="S26" s="29">
        <v>62515.546874369298</v>
      </c>
      <c r="T26" s="30">
        <v>7.0365593840950903E-3</v>
      </c>
      <c r="U26" s="29">
        <v>13894.295126643599</v>
      </c>
      <c r="V26" s="30"/>
      <c r="W26" s="29">
        <v>-916.448885901773</v>
      </c>
      <c r="X26" s="30"/>
      <c r="Y26" s="29">
        <v>14377.682020699</v>
      </c>
      <c r="Z26" s="30"/>
      <c r="AA26" s="29">
        <v>164176.92588601599</v>
      </c>
      <c r="AB26" s="30">
        <v>6.0939508742163797E-3</v>
      </c>
      <c r="AC26" s="29">
        <v>114962.620871548</v>
      </c>
      <c r="AD26" s="30">
        <v>1.5912088453548901E-2</v>
      </c>
      <c r="AE26" s="29">
        <v>98992.620871548395</v>
      </c>
      <c r="AF26" s="30">
        <v>2.8303765145870199E-2</v>
      </c>
      <c r="AG26" s="29">
        <v>90650.554671529506</v>
      </c>
      <c r="AH26" s="30">
        <v>4.0738564481866302E-2</v>
      </c>
      <c r="AI26" s="29">
        <v>49214.305014467398</v>
      </c>
      <c r="AJ26" s="30">
        <v>-1.61177297147292E-2</v>
      </c>
      <c r="AK26" s="29">
        <v>149799.243865317</v>
      </c>
      <c r="AL26" s="30">
        <v>3.6047625975623699E-3</v>
      </c>
      <c r="AM26" s="29">
        <v>110635.218630048</v>
      </c>
      <c r="AN26" s="30">
        <v>-7.2570474451690804E-3</v>
      </c>
      <c r="AO26" s="29">
        <v>94823.965168048104</v>
      </c>
      <c r="AP26" s="30">
        <v>2.80276491518716E-2</v>
      </c>
      <c r="AQ26" s="29">
        <v>89134.239972664</v>
      </c>
      <c r="AR26" s="30">
        <v>3.92114555084817E-2</v>
      </c>
      <c r="AS26" s="29">
        <v>39164.025235268702</v>
      </c>
      <c r="AT26" s="30">
        <v>3.5613547679002502E-2</v>
      </c>
      <c r="AU26" s="29">
        <v>532805.73719217605</v>
      </c>
      <c r="AV26" s="30">
        <v>1.9839336872757001E-2</v>
      </c>
      <c r="AW26" s="29">
        <v>391046.238849446</v>
      </c>
      <c r="AX26" s="30">
        <v>1.9017488022204501E-2</v>
      </c>
      <c r="AY26" s="29">
        <v>141759.49834272999</v>
      </c>
      <c r="AZ26" s="30">
        <v>2.2113309873476501E-2</v>
      </c>
      <c r="BA26" s="29">
        <v>92545.193328262496</v>
      </c>
      <c r="BB26" s="30">
        <v>4.3679712259704399E-2</v>
      </c>
      <c r="BC26" s="29">
        <v>128298.265207933</v>
      </c>
      <c r="BD26" s="30">
        <v>3.8110518579757897E-2</v>
      </c>
      <c r="BE26" s="29"/>
      <c r="BF26" s="30"/>
    </row>
    <row r="27" spans="1:58" x14ac:dyDescent="0.2">
      <c r="A27" s="28">
        <v>1995</v>
      </c>
      <c r="B27" s="28"/>
      <c r="C27" s="29">
        <v>423515.35549793398</v>
      </c>
      <c r="D27" s="30">
        <v>1.22217179491302E-2</v>
      </c>
      <c r="E27" s="29">
        <v>409705.69249246502</v>
      </c>
      <c r="F27" s="30">
        <v>1.4062546298468899E-2</v>
      </c>
      <c r="G27" s="29">
        <v>284803.462619628</v>
      </c>
      <c r="H27" s="30">
        <v>1.89946266128025E-2</v>
      </c>
      <c r="I27" s="29">
        <v>234427.979407598</v>
      </c>
      <c r="J27" s="30">
        <v>2.1107791876734599E-2</v>
      </c>
      <c r="K27" s="29">
        <v>50375.483212029998</v>
      </c>
      <c r="L27" s="30">
        <v>9.2747334065741392E-3</v>
      </c>
      <c r="M27" s="29">
        <v>124902.22987283699</v>
      </c>
      <c r="N27" s="30">
        <v>2.9929646950888102E-3</v>
      </c>
      <c r="O27" s="29">
        <v>112691.99416213301</v>
      </c>
      <c r="P27" s="30">
        <v>1.0222374681527801E-2</v>
      </c>
      <c r="Q27" s="29">
        <v>47357.9391118395</v>
      </c>
      <c r="R27" s="30">
        <v>-3.4223446905805303E-2</v>
      </c>
      <c r="S27" s="29">
        <v>65334.055050293202</v>
      </c>
      <c r="T27" s="30">
        <v>4.5084915942396303E-2</v>
      </c>
      <c r="U27" s="29">
        <v>13672.138901255101</v>
      </c>
      <c r="V27" s="30"/>
      <c r="W27" s="29">
        <v>-1461.90319055037</v>
      </c>
      <c r="X27" s="30"/>
      <c r="Y27" s="29">
        <v>13809.663005468499</v>
      </c>
      <c r="Z27" s="30"/>
      <c r="AA27" s="29">
        <v>166014.65481899001</v>
      </c>
      <c r="AB27" s="30">
        <v>1.1193588398960499E-2</v>
      </c>
      <c r="AC27" s="29">
        <v>116980.22487384699</v>
      </c>
      <c r="AD27" s="30">
        <v>1.7550087037015102E-2</v>
      </c>
      <c r="AE27" s="29">
        <v>99600.111779847401</v>
      </c>
      <c r="AF27" s="30">
        <v>6.1367292122436199E-3</v>
      </c>
      <c r="AG27" s="29">
        <v>92521.018864317404</v>
      </c>
      <c r="AH27" s="30">
        <v>2.0633786517528601E-2</v>
      </c>
      <c r="AI27" s="29">
        <v>49034.429945142998</v>
      </c>
      <c r="AJ27" s="30">
        <v>-3.6549346632338601E-3</v>
      </c>
      <c r="AK27" s="29">
        <v>152204.99181352201</v>
      </c>
      <c r="AL27" s="30">
        <v>1.6059813695509201E-2</v>
      </c>
      <c r="AM27" s="29">
        <v>113176.86350726899</v>
      </c>
      <c r="AN27" s="30">
        <v>2.2973198848369202E-2</v>
      </c>
      <c r="AO27" s="29">
        <v>96359.6771357908</v>
      </c>
      <c r="AP27" s="30">
        <v>1.61953991801655E-2</v>
      </c>
      <c r="AQ27" s="29">
        <v>92396.172468136807</v>
      </c>
      <c r="AR27" s="30">
        <v>3.6595729053989098E-2</v>
      </c>
      <c r="AS27" s="29">
        <v>39028.128306252896</v>
      </c>
      <c r="AT27" s="30">
        <v>-3.46994284166124E-3</v>
      </c>
      <c r="AU27" s="29">
        <v>541267.51737106906</v>
      </c>
      <c r="AV27" s="30">
        <v>1.58815485424109E-2</v>
      </c>
      <c r="AW27" s="29">
        <v>397495.45678176102</v>
      </c>
      <c r="AX27" s="30">
        <v>1.6492213174814401E-2</v>
      </c>
      <c r="AY27" s="29">
        <v>143772.06058930801</v>
      </c>
      <c r="AZ27" s="30">
        <v>1.4197018683801599E-2</v>
      </c>
      <c r="BA27" s="29">
        <v>94737.630644164907</v>
      </c>
      <c r="BB27" s="30">
        <v>2.3690450438908599E-2</v>
      </c>
      <c r="BC27" s="29">
        <v>131424.30077438999</v>
      </c>
      <c r="BD27" s="30">
        <v>2.4365376736705999E-2</v>
      </c>
      <c r="BE27" s="29"/>
      <c r="BF27" s="30"/>
    </row>
    <row r="28" spans="1:58" x14ac:dyDescent="0.2">
      <c r="A28" s="28">
        <v>1996</v>
      </c>
      <c r="B28" s="28"/>
      <c r="C28" s="29">
        <v>426881.82800179801</v>
      </c>
      <c r="D28" s="30">
        <v>7.9488794447752902E-3</v>
      </c>
      <c r="E28" s="29">
        <v>414858.990693036</v>
      </c>
      <c r="F28" s="30">
        <v>1.25780488165055E-2</v>
      </c>
      <c r="G28" s="29">
        <v>290986.47326263599</v>
      </c>
      <c r="H28" s="30">
        <v>2.1709745331522701E-2</v>
      </c>
      <c r="I28" s="29">
        <v>239617.55363309599</v>
      </c>
      <c r="J28" s="30">
        <v>2.2137179352960099E-2</v>
      </c>
      <c r="K28" s="29">
        <v>51368.919629540003</v>
      </c>
      <c r="L28" s="30">
        <v>1.97206330176256E-2</v>
      </c>
      <c r="M28" s="29">
        <v>123872.5174304</v>
      </c>
      <c r="N28" s="30">
        <v>-8.2441477905234005E-3</v>
      </c>
      <c r="O28" s="29">
        <v>108783.76341080399</v>
      </c>
      <c r="P28" s="30">
        <v>-3.4680642403984198E-2</v>
      </c>
      <c r="Q28" s="29">
        <v>43129.215842424797</v>
      </c>
      <c r="R28" s="30">
        <v>-8.9292805994539995E-2</v>
      </c>
      <c r="S28" s="29">
        <v>65654.547568379203</v>
      </c>
      <c r="T28" s="30">
        <v>4.9054435369000303E-3</v>
      </c>
      <c r="U28" s="29">
        <v>14030.844783054201</v>
      </c>
      <c r="V28" s="30"/>
      <c r="W28" s="29">
        <v>1057.90923654163</v>
      </c>
      <c r="X28" s="30"/>
      <c r="Y28" s="29">
        <v>12022.8373087624</v>
      </c>
      <c r="Z28" s="30"/>
      <c r="AA28" s="29">
        <v>172092.646457911</v>
      </c>
      <c r="AB28" s="30">
        <v>3.6611175354055399E-2</v>
      </c>
      <c r="AC28" s="29">
        <v>120230.20227814199</v>
      </c>
      <c r="AD28" s="30">
        <v>2.7782280362337802E-2</v>
      </c>
      <c r="AE28" s="29">
        <v>101867.311848142</v>
      </c>
      <c r="AF28" s="30">
        <v>2.27630273478596E-2</v>
      </c>
      <c r="AG28" s="29">
        <v>94540.453741923397</v>
      </c>
      <c r="AH28" s="30">
        <v>2.1826768688826301E-2</v>
      </c>
      <c r="AI28" s="29">
        <v>51862.444179769504</v>
      </c>
      <c r="AJ28" s="30">
        <v>5.76740514326421E-2</v>
      </c>
      <c r="AK28" s="29">
        <v>160069.80914914899</v>
      </c>
      <c r="AL28" s="30">
        <v>5.16725321680842E-2</v>
      </c>
      <c r="AM28" s="29">
        <v>117968.252744554</v>
      </c>
      <c r="AN28" s="30">
        <v>4.23354128114466E-2</v>
      </c>
      <c r="AO28" s="29">
        <v>98482.094232551302</v>
      </c>
      <c r="AP28" s="30">
        <v>2.2025988046531698E-2</v>
      </c>
      <c r="AQ28" s="29">
        <v>93468.206819935702</v>
      </c>
      <c r="AR28" s="30">
        <v>1.16025839941427E-2</v>
      </c>
      <c r="AS28" s="29">
        <v>42101.556404595103</v>
      </c>
      <c r="AT28" s="30">
        <v>7.8749051817835106E-2</v>
      </c>
      <c r="AU28" s="29">
        <v>548420.74644327501</v>
      </c>
      <c r="AV28" s="30">
        <v>1.3215699894479901E-2</v>
      </c>
      <c r="AW28" s="29">
        <v>399770.23667344003</v>
      </c>
      <c r="AX28" s="30">
        <v>5.7227821170497996E-3</v>
      </c>
      <c r="AY28" s="29">
        <v>148650.50976983499</v>
      </c>
      <c r="AZ28" s="30">
        <v>3.3931830430269802E-2</v>
      </c>
      <c r="BA28" s="29">
        <v>96788.065590065293</v>
      </c>
      <c r="BB28" s="30">
        <v>2.1643299837229998E-2</v>
      </c>
      <c r="BC28" s="29">
        <v>135569.76322453099</v>
      </c>
      <c r="BD28" s="30">
        <v>3.1542587068866403E-2</v>
      </c>
      <c r="BE28" s="29"/>
      <c r="BF28" s="30"/>
    </row>
    <row r="29" spans="1:58" x14ac:dyDescent="0.2">
      <c r="A29" s="28">
        <v>1997</v>
      </c>
      <c r="B29" s="28"/>
      <c r="C29" s="29">
        <v>433747.49206923298</v>
      </c>
      <c r="D29" s="30">
        <v>1.6083289606336301E-2</v>
      </c>
      <c r="E29" s="29">
        <v>416417.26547766</v>
      </c>
      <c r="F29" s="30">
        <v>3.75615527102635E-3</v>
      </c>
      <c r="G29" s="29">
        <v>297390.18798152398</v>
      </c>
      <c r="H29" s="30">
        <v>2.20069154661655E-2</v>
      </c>
      <c r="I29" s="29">
        <v>246290.064290404</v>
      </c>
      <c r="J29" s="30">
        <v>2.7846501878261699E-2</v>
      </c>
      <c r="K29" s="29">
        <v>51100.123691120003</v>
      </c>
      <c r="L29" s="30">
        <v>-5.2326570299412499E-3</v>
      </c>
      <c r="M29" s="29">
        <v>119027.077496136</v>
      </c>
      <c r="N29" s="30">
        <v>-3.91163434374103E-2</v>
      </c>
      <c r="O29" s="29">
        <v>111258.095431986</v>
      </c>
      <c r="P29" s="30">
        <v>2.27454166283809E-2</v>
      </c>
      <c r="Q29" s="29">
        <v>41193.243753389797</v>
      </c>
      <c r="R29" s="30">
        <v>-4.4887718248998197E-2</v>
      </c>
      <c r="S29" s="29">
        <v>70064.851678596096</v>
      </c>
      <c r="T29" s="30">
        <v>6.7174388881800398E-2</v>
      </c>
      <c r="U29" s="29">
        <v>8148.8453773410301</v>
      </c>
      <c r="V29" s="30"/>
      <c r="W29" s="29">
        <v>-379.86331319122098</v>
      </c>
      <c r="X29" s="30"/>
      <c r="Y29" s="29">
        <v>17330.226591573199</v>
      </c>
      <c r="Z29" s="30"/>
      <c r="AA29" s="29">
        <v>198923.88927491001</v>
      </c>
      <c r="AB29" s="30">
        <v>0.15591161719719601</v>
      </c>
      <c r="AC29" s="29">
        <v>140822.00936590901</v>
      </c>
      <c r="AD29" s="30">
        <v>0.17126983651021299</v>
      </c>
      <c r="AE29" s="29">
        <v>114353.251504909</v>
      </c>
      <c r="AF29" s="30">
        <v>0.12257062084234201</v>
      </c>
      <c r="AG29" s="29">
        <v>105239.15804820201</v>
      </c>
      <c r="AH29" s="30">
        <v>0.113165358138479</v>
      </c>
      <c r="AI29" s="29">
        <v>58101.8799090006</v>
      </c>
      <c r="AJ29" s="30">
        <v>0.120307398309334</v>
      </c>
      <c r="AK29" s="29">
        <v>181593.66268333601</v>
      </c>
      <c r="AL29" s="30">
        <v>0.13446541636175799</v>
      </c>
      <c r="AM29" s="29">
        <v>136402.92484477299</v>
      </c>
      <c r="AN29" s="30">
        <v>0.156268077820367</v>
      </c>
      <c r="AO29" s="29">
        <v>111698.719886226</v>
      </c>
      <c r="AP29" s="30">
        <v>0.13420333672500001</v>
      </c>
      <c r="AQ29" s="29">
        <v>104230.88834516599</v>
      </c>
      <c r="AR29" s="30">
        <v>0.115148047570494</v>
      </c>
      <c r="AS29" s="29">
        <v>45190.7378385638</v>
      </c>
      <c r="AT29" s="30">
        <v>7.3374518611182493E-2</v>
      </c>
      <c r="AU29" s="29">
        <v>575020.27287562296</v>
      </c>
      <c r="AV29" s="30">
        <v>4.8502042646738401E-2</v>
      </c>
      <c r="AW29" s="29">
        <v>408648.28341351001</v>
      </c>
      <c r="AX29" s="30">
        <v>2.22078732372533E-2</v>
      </c>
      <c r="AY29" s="29">
        <v>166371.98946211199</v>
      </c>
      <c r="AZ29" s="30">
        <v>0.119215734407617</v>
      </c>
      <c r="BA29" s="29">
        <v>108270.10955311199</v>
      </c>
      <c r="BB29" s="30">
        <v>0.11863078255616</v>
      </c>
      <c r="BC29" s="29">
        <v>149421.62618373</v>
      </c>
      <c r="BD29" s="30">
        <v>0.10217516524136699</v>
      </c>
      <c r="BE29" s="29"/>
      <c r="BF29" s="30"/>
    </row>
    <row r="30" spans="1:58" x14ac:dyDescent="0.2">
      <c r="A30" s="28">
        <v>1998</v>
      </c>
      <c r="B30" s="28"/>
      <c r="C30" s="29">
        <v>444954.84281793702</v>
      </c>
      <c r="D30" s="30">
        <v>2.5838422016546601E-2</v>
      </c>
      <c r="E30" s="29">
        <v>430824.20148486301</v>
      </c>
      <c r="F30" s="30">
        <v>3.4597355108889401E-2</v>
      </c>
      <c r="G30" s="29">
        <v>303294.52697059402</v>
      </c>
      <c r="H30" s="30">
        <v>1.9853845983097699E-2</v>
      </c>
      <c r="I30" s="29">
        <v>251643.84257983399</v>
      </c>
      <c r="J30" s="30">
        <v>2.17376949608366E-2</v>
      </c>
      <c r="K30" s="29">
        <v>51650.684390759998</v>
      </c>
      <c r="L30" s="30">
        <v>1.07741559094441E-2</v>
      </c>
      <c r="M30" s="29">
        <v>127529.67451426901</v>
      </c>
      <c r="N30" s="30">
        <v>7.1434140844209598E-2</v>
      </c>
      <c r="O30" s="29">
        <v>119648.179259463</v>
      </c>
      <c r="P30" s="30">
        <v>7.5410996340543796E-2</v>
      </c>
      <c r="Q30" s="29">
        <v>41460.9346179352</v>
      </c>
      <c r="R30" s="30">
        <v>6.49841673425811E-3</v>
      </c>
      <c r="S30" s="29">
        <v>78187.244641528101</v>
      </c>
      <c r="T30" s="30">
        <v>0.115926784519452</v>
      </c>
      <c r="U30" s="29">
        <v>6071.35002944199</v>
      </c>
      <c r="V30" s="30"/>
      <c r="W30" s="29">
        <v>1810.14522536399</v>
      </c>
      <c r="X30" s="30"/>
      <c r="Y30" s="29">
        <v>14130.641333073499</v>
      </c>
      <c r="Z30" s="30"/>
      <c r="AA30" s="29">
        <v>201896.58984968299</v>
      </c>
      <c r="AB30" s="30">
        <v>1.49439093796586E-2</v>
      </c>
      <c r="AC30" s="29">
        <v>139214.35282729199</v>
      </c>
      <c r="AD30" s="30">
        <v>-1.14162306436044E-2</v>
      </c>
      <c r="AE30" s="29">
        <v>117258.191137292</v>
      </c>
      <c r="AF30" s="30">
        <v>2.5403209739586902E-2</v>
      </c>
      <c r="AG30" s="29">
        <v>109313.23426904601</v>
      </c>
      <c r="AH30" s="30">
        <v>3.8712550503089201E-2</v>
      </c>
      <c r="AI30" s="29">
        <v>62682.2370223912</v>
      </c>
      <c r="AJ30" s="30">
        <v>7.8833199899285902E-2</v>
      </c>
      <c r="AK30" s="29">
        <v>187765.94851660999</v>
      </c>
      <c r="AL30" s="30">
        <v>3.3989544249881001E-2</v>
      </c>
      <c r="AM30" s="29">
        <v>137320.18914414299</v>
      </c>
      <c r="AN30" s="30">
        <v>6.7246673809540098E-3</v>
      </c>
      <c r="AO30" s="29">
        <v>117416.157049927</v>
      </c>
      <c r="AP30" s="30">
        <v>5.1186237134363398E-2</v>
      </c>
      <c r="AQ30" s="29">
        <v>107846.916497825</v>
      </c>
      <c r="AR30" s="30">
        <v>3.4692481375424598E-2</v>
      </c>
      <c r="AS30" s="29">
        <v>50445.759372466702</v>
      </c>
      <c r="AT30" s="30">
        <v>0.116285366985498</v>
      </c>
      <c r="AU30" s="29">
        <v>597176.16865878704</v>
      </c>
      <c r="AV30" s="30">
        <v>3.8530634185060197E-2</v>
      </c>
      <c r="AW30" s="29">
        <v>422942.706230057</v>
      </c>
      <c r="AX30" s="30">
        <v>3.49797696374574E-2</v>
      </c>
      <c r="AY30" s="29">
        <v>174233.46242872899</v>
      </c>
      <c r="AZ30" s="30">
        <v>4.7252383000488701E-2</v>
      </c>
      <c r="BA30" s="29">
        <v>111551.225406338</v>
      </c>
      <c r="BB30" s="30">
        <v>3.0304909330648899E-2</v>
      </c>
      <c r="BC30" s="29">
        <v>158292.67587029201</v>
      </c>
      <c r="BD30" s="30">
        <v>5.9369248703354097E-2</v>
      </c>
      <c r="BE30" s="29"/>
      <c r="BF30" s="30"/>
    </row>
    <row r="31" spans="1:58" x14ac:dyDescent="0.2">
      <c r="A31" s="28">
        <v>1999</v>
      </c>
      <c r="B31" s="28"/>
      <c r="C31" s="29">
        <v>453531.10713721003</v>
      </c>
      <c r="D31" s="30">
        <v>1.92744599990393E-2</v>
      </c>
      <c r="E31" s="29">
        <v>438826.73859379801</v>
      </c>
      <c r="F31" s="30">
        <v>1.8574947928536902E-2</v>
      </c>
      <c r="G31" s="29">
        <v>311664.23659945402</v>
      </c>
      <c r="H31" s="30">
        <v>2.7595979764154701E-2</v>
      </c>
      <c r="I31" s="29">
        <v>258963.80117721399</v>
      </c>
      <c r="J31" s="30">
        <v>2.90885662940756E-2</v>
      </c>
      <c r="K31" s="29">
        <v>52700.43542224</v>
      </c>
      <c r="L31" s="30">
        <v>2.03240488265009E-2</v>
      </c>
      <c r="M31" s="29">
        <v>127162.501994345</v>
      </c>
      <c r="N31" s="30">
        <v>-2.8791143812062501E-3</v>
      </c>
      <c r="O31" s="29">
        <v>123364.32893951501</v>
      </c>
      <c r="P31" s="30">
        <v>3.1058973927159401E-2</v>
      </c>
      <c r="Q31" s="29">
        <v>40865.1338480095</v>
      </c>
      <c r="R31" s="30">
        <v>-1.4370172197419999E-2</v>
      </c>
      <c r="S31" s="29">
        <v>82499.195091505506</v>
      </c>
      <c r="T31" s="30">
        <v>5.5149026797744798E-2</v>
      </c>
      <c r="U31" s="29">
        <v>2989.92679941095</v>
      </c>
      <c r="V31" s="30"/>
      <c r="W31" s="29">
        <v>808.24625541869295</v>
      </c>
      <c r="X31" s="30"/>
      <c r="Y31" s="29">
        <v>14704.3685434118</v>
      </c>
      <c r="Z31" s="30"/>
      <c r="AA31" s="29">
        <v>209388.44333410799</v>
      </c>
      <c r="AB31" s="30">
        <v>3.7107380020646299E-2</v>
      </c>
      <c r="AC31" s="29">
        <v>140930.67887564501</v>
      </c>
      <c r="AD31" s="30">
        <v>1.23286573079335E-2</v>
      </c>
      <c r="AE31" s="29">
        <v>124209.213309645</v>
      </c>
      <c r="AF31" s="30">
        <v>5.9279629891397602E-2</v>
      </c>
      <c r="AG31" s="29">
        <v>114056.390102258</v>
      </c>
      <c r="AH31" s="30">
        <v>4.3390499466315499E-2</v>
      </c>
      <c r="AI31" s="29">
        <v>68457.764458462494</v>
      </c>
      <c r="AJ31" s="30">
        <v>9.2139778515055504E-2</v>
      </c>
      <c r="AK31" s="29">
        <v>194684.074790696</v>
      </c>
      <c r="AL31" s="30">
        <v>3.6844413636983202E-2</v>
      </c>
      <c r="AM31" s="29">
        <v>139560.79096146001</v>
      </c>
      <c r="AN31" s="30">
        <v>1.6316623442496701E-2</v>
      </c>
      <c r="AO31" s="29">
        <v>121893.22050367499</v>
      </c>
      <c r="AP31" s="30">
        <v>3.81298755319062E-2</v>
      </c>
      <c r="AQ31" s="29">
        <v>114789.2692423</v>
      </c>
      <c r="AR31" s="30">
        <v>6.4372287775284406E-2</v>
      </c>
      <c r="AS31" s="29">
        <v>55123.283829235697</v>
      </c>
      <c r="AT31" s="30">
        <v>9.2723838732062094E-2</v>
      </c>
      <c r="AU31" s="29">
        <v>620453.73340933502</v>
      </c>
      <c r="AV31" s="30">
        <v>3.8979393305040903E-2</v>
      </c>
      <c r="AW31" s="29">
        <v>435028.56553896901</v>
      </c>
      <c r="AX31" s="30">
        <v>2.8575641879817999E-2</v>
      </c>
      <c r="AY31" s="29">
        <v>185425.16787036601</v>
      </c>
      <c r="AZ31" s="30">
        <v>6.4233961063679498E-2</v>
      </c>
      <c r="BA31" s="29">
        <v>116967.403411904</v>
      </c>
      <c r="BB31" s="30">
        <v>4.8553281112212701E-2</v>
      </c>
      <c r="BC31" s="29">
        <v>169912.55307153601</v>
      </c>
      <c r="BD31" s="30">
        <v>7.3407547995244099E-2</v>
      </c>
      <c r="BE31" s="29"/>
      <c r="BF31" s="30"/>
    </row>
    <row r="32" spans="1:58" x14ac:dyDescent="0.2">
      <c r="A32" s="28">
        <v>2000</v>
      </c>
      <c r="B32" s="28"/>
      <c r="C32" s="29">
        <v>476794.43183223403</v>
      </c>
      <c r="D32" s="30">
        <v>5.1293779696540497E-2</v>
      </c>
      <c r="E32" s="29">
        <v>456034.97719995299</v>
      </c>
      <c r="F32" s="30">
        <v>3.9214197980046203E-2</v>
      </c>
      <c r="G32" s="29">
        <v>322925.28043331701</v>
      </c>
      <c r="H32" s="30">
        <v>3.6131973166803298E-2</v>
      </c>
      <c r="I32" s="29">
        <v>268109.25277866703</v>
      </c>
      <c r="J32" s="30">
        <v>3.5315559780477998E-2</v>
      </c>
      <c r="K32" s="29">
        <v>54816.027654650003</v>
      </c>
      <c r="L32" s="30">
        <v>4.0143733452289602E-2</v>
      </c>
      <c r="M32" s="29">
        <v>133109.69676663601</v>
      </c>
      <c r="N32" s="30">
        <v>4.6768463021873402E-2</v>
      </c>
      <c r="O32" s="29">
        <v>131257.706660789</v>
      </c>
      <c r="P32" s="30">
        <v>6.3984279646540201E-2</v>
      </c>
      <c r="Q32" s="29">
        <v>43830.798476865799</v>
      </c>
      <c r="R32" s="30">
        <v>7.2572003309387498E-2</v>
      </c>
      <c r="S32" s="29">
        <v>87426.908183922904</v>
      </c>
      <c r="T32" s="30">
        <v>5.9730438423693001E-2</v>
      </c>
      <c r="U32" s="29">
        <v>5909.4573126586602</v>
      </c>
      <c r="V32" s="30"/>
      <c r="W32" s="29">
        <v>-4057.4672068111799</v>
      </c>
      <c r="X32" s="30"/>
      <c r="Y32" s="29">
        <v>20759.4546322807</v>
      </c>
      <c r="Z32" s="30"/>
      <c r="AA32" s="29">
        <v>242467.290525574</v>
      </c>
      <c r="AB32" s="30">
        <v>0.15797838058657501</v>
      </c>
      <c r="AC32" s="29">
        <v>161144.249487266</v>
      </c>
      <c r="AD32" s="30">
        <v>0.14342917222059601</v>
      </c>
      <c r="AE32" s="29">
        <v>138723.38953626601</v>
      </c>
      <c r="AF32" s="30">
        <v>0.116852654001098</v>
      </c>
      <c r="AG32" s="29">
        <v>124515.527084748</v>
      </c>
      <c r="AH32" s="30">
        <v>9.1701455509091201E-2</v>
      </c>
      <c r="AI32" s="29">
        <v>81323.041038308103</v>
      </c>
      <c r="AJ32" s="30">
        <v>0.18793013008264001</v>
      </c>
      <c r="AK32" s="29">
        <v>221707.835893293</v>
      </c>
      <c r="AL32" s="30">
        <v>0.13880827762440401</v>
      </c>
      <c r="AM32" s="29">
        <v>158119.28639791001</v>
      </c>
      <c r="AN32" s="30">
        <v>0.132977860820338</v>
      </c>
      <c r="AO32" s="29">
        <v>140332.45327826799</v>
      </c>
      <c r="AP32" s="30">
        <v>0.151273653271285</v>
      </c>
      <c r="AQ32" s="29">
        <v>128624.520738469</v>
      </c>
      <c r="AR32" s="30">
        <v>0.12052739413268</v>
      </c>
      <c r="AS32" s="29">
        <v>63588.549495383602</v>
      </c>
      <c r="AT32" s="30">
        <v>0.15356969102878801</v>
      </c>
      <c r="AU32" s="29">
        <v>663098.04475342797</v>
      </c>
      <c r="AV32" s="30">
        <v>6.8730848164563194E-2</v>
      </c>
      <c r="AW32" s="29">
        <v>454182.98709410598</v>
      </c>
      <c r="AX32" s="30">
        <v>4.4030261625248597E-2</v>
      </c>
      <c r="AY32" s="29">
        <v>208915.05765932199</v>
      </c>
      <c r="AZ32" s="30">
        <v>0.12668123782084501</v>
      </c>
      <c r="BA32" s="29">
        <v>127592.016621014</v>
      </c>
      <c r="BB32" s="30">
        <v>9.0833966551309403E-2</v>
      </c>
      <c r="BC32" s="29">
        <v>192213.07023385301</v>
      </c>
      <c r="BD32" s="30">
        <v>0.13124702536208799</v>
      </c>
      <c r="BE32" s="29"/>
      <c r="BF32" s="30"/>
    </row>
    <row r="33" spans="1:58" x14ac:dyDescent="0.2">
      <c r="A33" s="28">
        <v>2001</v>
      </c>
      <c r="B33" s="28"/>
      <c r="C33" s="29">
        <v>489674.25564941502</v>
      </c>
      <c r="D33" s="30">
        <v>2.7013368775483399E-2</v>
      </c>
      <c r="E33" s="29">
        <v>471779.32829178002</v>
      </c>
      <c r="F33" s="30">
        <v>3.4524437551910897E-2</v>
      </c>
      <c r="G33" s="29">
        <v>332162.15480033797</v>
      </c>
      <c r="H33" s="30">
        <v>2.8603751166915499E-2</v>
      </c>
      <c r="I33" s="29">
        <v>275550.97955620801</v>
      </c>
      <c r="J33" s="30">
        <v>2.7756322097858901E-2</v>
      </c>
      <c r="K33" s="29">
        <v>56611.175244129998</v>
      </c>
      <c r="L33" s="30">
        <v>3.27485895327864E-2</v>
      </c>
      <c r="M33" s="29">
        <v>139617.17349144199</v>
      </c>
      <c r="N33" s="30">
        <v>4.8888074143949897E-2</v>
      </c>
      <c r="O33" s="29">
        <v>131796.19969050999</v>
      </c>
      <c r="P33" s="30">
        <v>4.1025631440674299E-3</v>
      </c>
      <c r="Q33" s="29">
        <v>43778.946350794402</v>
      </c>
      <c r="R33" s="30">
        <v>-1.18300664996496E-3</v>
      </c>
      <c r="S33" s="29">
        <v>88017.253339715695</v>
      </c>
      <c r="T33" s="30">
        <v>6.7524423321803102E-3</v>
      </c>
      <c r="U33" s="29">
        <v>7027.9208377467003</v>
      </c>
      <c r="V33" s="30"/>
      <c r="W33" s="29">
        <v>793.05296318529895</v>
      </c>
      <c r="X33" s="30"/>
      <c r="Y33" s="29">
        <v>17894.927357635101</v>
      </c>
      <c r="Z33" s="30"/>
      <c r="AA33" s="29">
        <v>242063.331287243</v>
      </c>
      <c r="AB33" s="30">
        <v>-1.6660360144065099E-3</v>
      </c>
      <c r="AC33" s="29">
        <v>163471.234145736</v>
      </c>
      <c r="AD33" s="30">
        <v>1.4440382861157E-2</v>
      </c>
      <c r="AE33" s="29">
        <v>141815.324707736</v>
      </c>
      <c r="AF33" s="30">
        <v>2.2288492097877598E-2</v>
      </c>
      <c r="AG33" s="29">
        <v>131127.17031735301</v>
      </c>
      <c r="AH33" s="30">
        <v>5.30989458696585E-2</v>
      </c>
      <c r="AI33" s="29">
        <v>78592.097141506994</v>
      </c>
      <c r="AJ33" s="30">
        <v>-3.3581428607848698E-2</v>
      </c>
      <c r="AK33" s="29">
        <v>224168.403929608</v>
      </c>
      <c r="AL33" s="30">
        <v>1.10982456997988E-2</v>
      </c>
      <c r="AM33" s="29">
        <v>161056.67972738601</v>
      </c>
      <c r="AN33" s="30">
        <v>1.8577071756347999E-2</v>
      </c>
      <c r="AO33" s="29">
        <v>143501.97025596601</v>
      </c>
      <c r="AP33" s="30">
        <v>2.2585773309419199E-2</v>
      </c>
      <c r="AQ33" s="29">
        <v>130682.577643554</v>
      </c>
      <c r="AR33" s="30">
        <v>1.6000502029232901E-2</v>
      </c>
      <c r="AS33" s="29">
        <v>63111.7242022215</v>
      </c>
      <c r="AT33" s="30">
        <v>-7.4986030809953697E-3</v>
      </c>
      <c r="AU33" s="29">
        <v>676440.63665744395</v>
      </c>
      <c r="AV33" s="30">
        <v>2.0121597416227401E-2</v>
      </c>
      <c r="AW33" s="29">
        <v>463958.35449084803</v>
      </c>
      <c r="AX33" s="30">
        <v>2.1522971301249701E-2</v>
      </c>
      <c r="AY33" s="29">
        <v>212482.28216659601</v>
      </c>
      <c r="AZ33" s="30">
        <v>1.70749995105226E-2</v>
      </c>
      <c r="BA33" s="29">
        <v>133890.18502508901</v>
      </c>
      <c r="BB33" s="30">
        <v>4.9361774904633997E-2</v>
      </c>
      <c r="BC33" s="29">
        <v>193794.301845776</v>
      </c>
      <c r="BD33" s="30">
        <v>8.2264520825721093E-3</v>
      </c>
      <c r="BE33" s="29"/>
      <c r="BF33" s="30"/>
    </row>
    <row r="34" spans="1:58" x14ac:dyDescent="0.2">
      <c r="A34" s="28">
        <v>2002</v>
      </c>
      <c r="B34" s="28"/>
      <c r="C34" s="29">
        <v>489292.79718540399</v>
      </c>
      <c r="D34" s="30">
        <v>-7.7900453129831103E-4</v>
      </c>
      <c r="E34" s="29">
        <v>466285.56090926903</v>
      </c>
      <c r="F34" s="30">
        <v>-1.1644781899205901E-2</v>
      </c>
      <c r="G34" s="29">
        <v>332959.31220570102</v>
      </c>
      <c r="H34" s="30">
        <v>2.3999043655091902E-3</v>
      </c>
      <c r="I34" s="29">
        <v>274513.94416331098</v>
      </c>
      <c r="J34" s="30">
        <v>-3.7634973919086199E-3</v>
      </c>
      <c r="K34" s="29">
        <v>58445.36804239</v>
      </c>
      <c r="L34" s="30">
        <v>3.23998360809543E-2</v>
      </c>
      <c r="M34" s="29">
        <v>133326.24870356801</v>
      </c>
      <c r="N34" s="30">
        <v>-4.5058388094782603E-2</v>
      </c>
      <c r="O34" s="29">
        <v>132601.849284853</v>
      </c>
      <c r="P34" s="30">
        <v>6.1128438925750501E-3</v>
      </c>
      <c r="Q34" s="29">
        <v>44214.703029719603</v>
      </c>
      <c r="R34" s="30">
        <v>9.9535670738524207E-3</v>
      </c>
      <c r="S34" s="29">
        <v>88387.146255133295</v>
      </c>
      <c r="T34" s="30">
        <v>4.2025046383791197E-3</v>
      </c>
      <c r="U34" s="29">
        <v>2143.05185985251</v>
      </c>
      <c r="V34" s="30"/>
      <c r="W34" s="29">
        <v>-1418.6524411373</v>
      </c>
      <c r="X34" s="30"/>
      <c r="Y34" s="29">
        <v>23007.236276135802</v>
      </c>
      <c r="Z34" s="30"/>
      <c r="AA34" s="29">
        <v>233886.34822654701</v>
      </c>
      <c r="AB34" s="30">
        <v>-3.3780345900440698E-2</v>
      </c>
      <c r="AC34" s="29">
        <v>159321.36782692099</v>
      </c>
      <c r="AD34" s="30">
        <v>-2.53859117201971E-2</v>
      </c>
      <c r="AE34" s="29">
        <v>140749.382408921</v>
      </c>
      <c r="AF34" s="30">
        <v>-7.51641122715119E-3</v>
      </c>
      <c r="AG34" s="29">
        <v>130871.47277399999</v>
      </c>
      <c r="AH34" s="30">
        <v>-1.9499966538929501E-3</v>
      </c>
      <c r="AI34" s="29">
        <v>74564.980399626307</v>
      </c>
      <c r="AJ34" s="30">
        <v>-5.1240733971378398E-2</v>
      </c>
      <c r="AK34" s="29">
        <v>210879.111950411</v>
      </c>
      <c r="AL34" s="30">
        <v>-5.9282627463278698E-2</v>
      </c>
      <c r="AM34" s="29">
        <v>148581.27346027299</v>
      </c>
      <c r="AN34" s="30">
        <v>-7.7459725906615207E-2</v>
      </c>
      <c r="AO34" s="29">
        <v>131936.06028404701</v>
      </c>
      <c r="AP34" s="30">
        <v>-8.0597569157334195E-2</v>
      </c>
      <c r="AQ34" s="29">
        <v>125885.85860741101</v>
      </c>
      <c r="AR34" s="30">
        <v>-3.6705114963577999E-2</v>
      </c>
      <c r="AS34" s="29">
        <v>62297.838490137699</v>
      </c>
      <c r="AT34" s="30">
        <v>-1.28959511465101E-2</v>
      </c>
      <c r="AU34" s="29">
        <v>675333.4424231</v>
      </c>
      <c r="AV34" s="30">
        <v>-1.636794382749E-3</v>
      </c>
      <c r="AW34" s="29">
        <v>465561.161490553</v>
      </c>
      <c r="AX34" s="30">
        <v>3.4546354951705501E-3</v>
      </c>
      <c r="AY34" s="29">
        <v>209772.280932547</v>
      </c>
      <c r="AZ34" s="30">
        <v>-1.27540103881433E-2</v>
      </c>
      <c r="BA34" s="29">
        <v>135207.30053292101</v>
      </c>
      <c r="BB34" s="30">
        <v>9.8372820052845499E-3</v>
      </c>
      <c r="BC34" s="29">
        <v>188183.69709754799</v>
      </c>
      <c r="BD34" s="30">
        <v>-2.89513401312089E-2</v>
      </c>
      <c r="BE34" s="29"/>
      <c r="BF34" s="30"/>
    </row>
    <row r="35" spans="1:58" x14ac:dyDescent="0.2">
      <c r="A35" s="28">
        <v>2003</v>
      </c>
      <c r="B35" s="28"/>
      <c r="C35" s="29">
        <v>493651.67529704701</v>
      </c>
      <c r="D35" s="30">
        <v>8.90852703476663E-3</v>
      </c>
      <c r="E35" s="29">
        <v>471048.66414653498</v>
      </c>
      <c r="F35" s="30">
        <v>1.0214991920353999E-2</v>
      </c>
      <c r="G35" s="29">
        <v>338989.93825086002</v>
      </c>
      <c r="H35" s="30">
        <v>1.8112201173197801E-2</v>
      </c>
      <c r="I35" s="29">
        <v>278951.52392963</v>
      </c>
      <c r="J35" s="30">
        <v>1.6165225339807E-2</v>
      </c>
      <c r="K35" s="29">
        <v>60038.414321229997</v>
      </c>
      <c r="L35" s="30">
        <v>2.72570150928741E-2</v>
      </c>
      <c r="M35" s="29">
        <v>132058.72589567499</v>
      </c>
      <c r="N35" s="30">
        <v>-9.5069262070920403E-3</v>
      </c>
      <c r="O35" s="29">
        <v>131161.35880715301</v>
      </c>
      <c r="P35" s="30">
        <v>-1.0863275930680099E-2</v>
      </c>
      <c r="Q35" s="29">
        <v>44366.069967169402</v>
      </c>
      <c r="R35" s="30">
        <v>3.4234525412970601E-3</v>
      </c>
      <c r="S35" s="29">
        <v>86795.288839983594</v>
      </c>
      <c r="T35" s="30">
        <v>-1.8010055563448701E-2</v>
      </c>
      <c r="U35" s="29">
        <v>2306.8092480252999</v>
      </c>
      <c r="V35" s="30"/>
      <c r="W35" s="29">
        <v>-1409.4421595034701</v>
      </c>
      <c r="X35" s="30"/>
      <c r="Y35" s="29">
        <v>22603.011150512699</v>
      </c>
      <c r="Z35" s="30"/>
      <c r="AA35" s="29">
        <v>232825.749752011</v>
      </c>
      <c r="AB35" s="30">
        <v>-4.5346745655648899E-3</v>
      </c>
      <c r="AC35" s="29">
        <v>159047.29087586101</v>
      </c>
      <c r="AD35" s="30">
        <v>-1.7202774166290599E-3</v>
      </c>
      <c r="AE35" s="29">
        <v>140808.86166286099</v>
      </c>
      <c r="AF35" s="30">
        <v>4.2258980411102903E-4</v>
      </c>
      <c r="AG35" s="29">
        <v>131221.83787399999</v>
      </c>
      <c r="AH35" s="30">
        <v>2.67716938285756E-3</v>
      </c>
      <c r="AI35" s="29">
        <v>73778.4588761497</v>
      </c>
      <c r="AJ35" s="30">
        <v>-1.0548135589406E-2</v>
      </c>
      <c r="AK35" s="29">
        <v>210222.73860149799</v>
      </c>
      <c r="AL35" s="30">
        <v>-3.1125574403355599E-3</v>
      </c>
      <c r="AM35" s="29">
        <v>147800.49598807801</v>
      </c>
      <c r="AN35" s="30">
        <v>-5.2548847779552198E-3</v>
      </c>
      <c r="AO35" s="29">
        <v>131669.43802525199</v>
      </c>
      <c r="AP35" s="30">
        <v>-2.0208444774050299E-3</v>
      </c>
      <c r="AQ35" s="29">
        <v>126609.61934658101</v>
      </c>
      <c r="AR35" s="30">
        <v>5.7493410870534901E-3</v>
      </c>
      <c r="AS35" s="29">
        <v>62422.242613420698</v>
      </c>
      <c r="AT35" s="30">
        <v>1.9969251951286199E-3</v>
      </c>
      <c r="AU35" s="29">
        <v>680376.72800902405</v>
      </c>
      <c r="AV35" s="30">
        <v>7.4678451696812403E-3</v>
      </c>
      <c r="AW35" s="29">
        <v>470151.29705801298</v>
      </c>
      <c r="AX35" s="30">
        <v>9.8593610187831492E-3</v>
      </c>
      <c r="AY35" s="29">
        <v>210225.43095101099</v>
      </c>
      <c r="AZ35" s="30">
        <v>2.160199700598E-3</v>
      </c>
      <c r="BA35" s="29">
        <v>136446.972074861</v>
      </c>
      <c r="BB35" s="30">
        <v>9.1686731193858506E-3</v>
      </c>
      <c r="BC35" s="29">
        <v>189031.86196000199</v>
      </c>
      <c r="BD35" s="30">
        <v>4.5071112723114003E-3</v>
      </c>
      <c r="BE35" s="29"/>
      <c r="BF35" s="30"/>
    </row>
    <row r="36" spans="1:58" x14ac:dyDescent="0.2">
      <c r="A36" s="28">
        <v>2004</v>
      </c>
      <c r="B36" s="28"/>
      <c r="C36" s="29">
        <v>508607.55280216801</v>
      </c>
      <c r="D36" s="30">
        <v>3.02964180079437E-2</v>
      </c>
      <c r="E36" s="29">
        <v>474731.88231126801</v>
      </c>
      <c r="F36" s="30">
        <v>7.8191882178610898E-3</v>
      </c>
      <c r="G36" s="29">
        <v>347296.41098448</v>
      </c>
      <c r="H36" s="30">
        <v>2.45035967040221E-2</v>
      </c>
      <c r="I36" s="29">
        <v>286606.41958698002</v>
      </c>
      <c r="J36" s="30">
        <v>2.7441669970161401E-2</v>
      </c>
      <c r="K36" s="29">
        <v>60689.991397500002</v>
      </c>
      <c r="L36" s="30">
        <v>1.08526696388715E-2</v>
      </c>
      <c r="M36" s="29">
        <v>127435.471326788</v>
      </c>
      <c r="N36" s="30">
        <v>-3.5009080524818298E-2</v>
      </c>
      <c r="O36" s="29">
        <v>139210.731927674</v>
      </c>
      <c r="P36" s="30">
        <v>6.1370004044833899E-2</v>
      </c>
      <c r="Q36" s="29">
        <v>46780.594029572698</v>
      </c>
      <c r="R36" s="30">
        <v>5.4422761903184499E-2</v>
      </c>
      <c r="S36" s="29">
        <v>92430.137898101297</v>
      </c>
      <c r="T36" s="30">
        <v>6.4921139539106304E-2</v>
      </c>
      <c r="U36" s="29">
        <v>-1793.82728129323</v>
      </c>
      <c r="V36" s="30"/>
      <c r="W36" s="29">
        <v>-9981.4333195923791</v>
      </c>
      <c r="X36" s="30"/>
      <c r="Y36" s="29">
        <v>33875.670490899902</v>
      </c>
      <c r="Z36" s="30"/>
      <c r="AA36" s="29">
        <v>258609.73318712701</v>
      </c>
      <c r="AB36" s="30">
        <v>0.110743693352556</v>
      </c>
      <c r="AC36" s="29">
        <v>180200.59731906201</v>
      </c>
      <c r="AD36" s="30">
        <v>0.133000105356785</v>
      </c>
      <c r="AE36" s="29">
        <v>157191.62185306201</v>
      </c>
      <c r="AF36" s="30">
        <v>0.116347508223069</v>
      </c>
      <c r="AG36" s="29">
        <v>142395.7364655</v>
      </c>
      <c r="AH36" s="30">
        <v>8.5152736560734299E-2</v>
      </c>
      <c r="AI36" s="29">
        <v>78409.135868064506</v>
      </c>
      <c r="AJ36" s="30">
        <v>6.2764620764012694E-2</v>
      </c>
      <c r="AK36" s="29">
        <v>224734.06269622699</v>
      </c>
      <c r="AL36" s="30">
        <v>6.9028327721656596E-2</v>
      </c>
      <c r="AM36" s="29">
        <v>153296.336962734</v>
      </c>
      <c r="AN36" s="30">
        <v>3.7184184923842303E-2</v>
      </c>
      <c r="AO36" s="29">
        <v>140832.36691424801</v>
      </c>
      <c r="AP36" s="30">
        <v>6.9590400220584506E-2</v>
      </c>
      <c r="AQ36" s="29">
        <v>135204.41302632701</v>
      </c>
      <c r="AR36" s="30">
        <v>6.7884207567340496E-2</v>
      </c>
      <c r="AS36" s="29">
        <v>71437.725733492698</v>
      </c>
      <c r="AT36" s="30">
        <v>0.14442741469422499</v>
      </c>
      <c r="AU36" s="29">
        <v>717043.51884328097</v>
      </c>
      <c r="AV36" s="30">
        <v>5.3891894482567697E-2</v>
      </c>
      <c r="AW36" s="29">
        <v>486507.14291215403</v>
      </c>
      <c r="AX36" s="30">
        <v>3.4788473320160197E-2</v>
      </c>
      <c r="AY36" s="29">
        <v>230536.375931127</v>
      </c>
      <c r="AZ36" s="30">
        <v>9.6615071203486599E-2</v>
      </c>
      <c r="BA36" s="29">
        <v>152127.240063062</v>
      </c>
      <c r="BB36" s="30">
        <v>0.114918401997208</v>
      </c>
      <c r="BC36" s="29">
        <v>206642.138759819</v>
      </c>
      <c r="BD36" s="30">
        <v>9.3160362582385997E-2</v>
      </c>
      <c r="BE36" s="29"/>
      <c r="BF36" s="30"/>
    </row>
    <row r="37" spans="1:58" x14ac:dyDescent="0.2">
      <c r="A37" s="28">
        <v>2005</v>
      </c>
      <c r="B37" s="28"/>
      <c r="C37" s="29">
        <v>528601.15710151696</v>
      </c>
      <c r="D37" s="30">
        <v>3.93104746266442E-2</v>
      </c>
      <c r="E37" s="29">
        <v>501784.45949973498</v>
      </c>
      <c r="F37" s="30">
        <v>5.6984959714015099E-2</v>
      </c>
      <c r="G37" s="29">
        <v>356640.19286920701</v>
      </c>
      <c r="H37" s="30">
        <v>2.69043433482083E-2</v>
      </c>
      <c r="I37" s="29">
        <v>294812.22457569698</v>
      </c>
      <c r="J37" s="30">
        <v>2.8630918318375501E-2</v>
      </c>
      <c r="K37" s="29">
        <v>61827.968293509999</v>
      </c>
      <c r="L37" s="30">
        <v>1.8750651792923002E-2</v>
      </c>
      <c r="M37" s="29">
        <v>145144.266630528</v>
      </c>
      <c r="N37" s="30">
        <v>0.13896284228688399</v>
      </c>
      <c r="O37" s="29">
        <v>144120.64917490599</v>
      </c>
      <c r="P37" s="30">
        <v>3.5269674824947701E-2</v>
      </c>
      <c r="Q37" s="29">
        <v>49514.541536432203</v>
      </c>
      <c r="R37" s="30">
        <v>5.8441915148217602E-2</v>
      </c>
      <c r="S37" s="29">
        <v>94606.107638473797</v>
      </c>
      <c r="T37" s="30">
        <v>2.3541777496549801E-2</v>
      </c>
      <c r="U37" s="29">
        <v>-342.61819085420598</v>
      </c>
      <c r="V37" s="30"/>
      <c r="W37" s="29">
        <v>1366.2356464757499</v>
      </c>
      <c r="X37" s="30"/>
      <c r="Y37" s="29">
        <v>26816.6976017827</v>
      </c>
      <c r="Z37" s="30"/>
      <c r="AA37" s="29">
        <v>282119.819549579</v>
      </c>
      <c r="AB37" s="30">
        <v>9.0909518650795995E-2</v>
      </c>
      <c r="AC37" s="29">
        <v>194389.343604233</v>
      </c>
      <c r="AD37" s="30">
        <v>7.8738619606506702E-2</v>
      </c>
      <c r="AE37" s="29">
        <v>169797.085986233</v>
      </c>
      <c r="AF37" s="30">
        <v>8.0191704777714506E-2</v>
      </c>
      <c r="AG37" s="29">
        <v>152496.15028</v>
      </c>
      <c r="AH37" s="30">
        <v>7.0931996035900099E-2</v>
      </c>
      <c r="AI37" s="29">
        <v>87730.475945345999</v>
      </c>
      <c r="AJ37" s="30">
        <v>0.11888079079159999</v>
      </c>
      <c r="AK37" s="29">
        <v>255303.121947796</v>
      </c>
      <c r="AL37" s="30">
        <v>0.136023257377275</v>
      </c>
      <c r="AM37" s="29">
        <v>177984.540455529</v>
      </c>
      <c r="AN37" s="30">
        <v>0.161048880762207</v>
      </c>
      <c r="AO37" s="29">
        <v>154300.856408147</v>
      </c>
      <c r="AP37" s="30">
        <v>9.5634901187873003E-2</v>
      </c>
      <c r="AQ37" s="29">
        <v>147258.74695905301</v>
      </c>
      <c r="AR37" s="30">
        <v>8.9156364521763898E-2</v>
      </c>
      <c r="AS37" s="29">
        <v>77318.581492267796</v>
      </c>
      <c r="AT37" s="30">
        <v>8.2321430286209002E-2</v>
      </c>
      <c r="AU37" s="29">
        <v>753521.10374369205</v>
      </c>
      <c r="AV37" s="30">
        <v>5.0872205022167001E-2</v>
      </c>
      <c r="AW37" s="29">
        <v>500760.84204411297</v>
      </c>
      <c r="AX37" s="30">
        <v>2.9298026431099401E-2</v>
      </c>
      <c r="AY37" s="29">
        <v>252760.26169957899</v>
      </c>
      <c r="AZ37" s="30">
        <v>9.6400777008362096E-2</v>
      </c>
      <c r="BA37" s="29">
        <v>165029.78575423299</v>
      </c>
      <c r="BB37" s="30">
        <v>8.4814170597076396E-2</v>
      </c>
      <c r="BC37" s="29">
        <v>224577.32845132099</v>
      </c>
      <c r="BD37" s="30">
        <v>8.6793476873308295E-2</v>
      </c>
      <c r="BE37" s="29"/>
      <c r="BF37" s="30"/>
    </row>
    <row r="38" spans="1:58" x14ac:dyDescent="0.2">
      <c r="A38" s="28">
        <v>2006</v>
      </c>
      <c r="B38" s="28"/>
      <c r="C38" s="29">
        <v>562159.63845092803</v>
      </c>
      <c r="D38" s="30">
        <v>6.3485448146617399E-2</v>
      </c>
      <c r="E38" s="29">
        <v>525049.99565158703</v>
      </c>
      <c r="F38" s="30">
        <v>4.63655972427841E-2</v>
      </c>
      <c r="G38" s="29">
        <v>366502.07277846301</v>
      </c>
      <c r="H38" s="30">
        <v>2.76521830865901E-2</v>
      </c>
      <c r="I38" s="29">
        <v>303938.871774283</v>
      </c>
      <c r="J38" s="30">
        <v>3.09574923893388E-2</v>
      </c>
      <c r="K38" s="29">
        <v>62563.201004180002</v>
      </c>
      <c r="L38" s="30">
        <v>1.1891587754908801E-2</v>
      </c>
      <c r="M38" s="29">
        <v>158547.92287312399</v>
      </c>
      <c r="N38" s="30">
        <v>9.2347128507089996E-2</v>
      </c>
      <c r="O38" s="29">
        <v>152165.353631106</v>
      </c>
      <c r="P38" s="30">
        <v>5.5819235496483301E-2</v>
      </c>
      <c r="Q38" s="29">
        <v>50319.3500289406</v>
      </c>
      <c r="R38" s="30">
        <v>1.6253982517766798E-2</v>
      </c>
      <c r="S38" s="29">
        <v>101846.003602165</v>
      </c>
      <c r="T38" s="30">
        <v>7.6526729028512097E-2</v>
      </c>
      <c r="U38" s="29">
        <v>1719.0476647241701</v>
      </c>
      <c r="V38" s="30"/>
      <c r="W38" s="29">
        <v>4663.52157729398</v>
      </c>
      <c r="X38" s="30"/>
      <c r="Y38" s="29">
        <v>37109.642799340298</v>
      </c>
      <c r="Z38" s="30"/>
      <c r="AA38" s="29">
        <v>315830.225733881</v>
      </c>
      <c r="AB38" s="30">
        <v>0.119489677251751</v>
      </c>
      <c r="AC38" s="29">
        <v>220940.69800189801</v>
      </c>
      <c r="AD38" s="30">
        <v>0.13658852849321701</v>
      </c>
      <c r="AE38" s="29">
        <v>197537.700186898</v>
      </c>
      <c r="AF38" s="30">
        <v>0.163375089976006</v>
      </c>
      <c r="AG38" s="29">
        <v>172189.611061</v>
      </c>
      <c r="AH38" s="30">
        <v>0.12914070778075901</v>
      </c>
      <c r="AI38" s="29">
        <v>94889.527731982904</v>
      </c>
      <c r="AJ38" s="30">
        <v>8.1602792068479604E-2</v>
      </c>
      <c r="AK38" s="29">
        <v>278720.58293454</v>
      </c>
      <c r="AL38" s="30">
        <v>9.1724146606918994E-2</v>
      </c>
      <c r="AM38" s="29">
        <v>197894.34503150001</v>
      </c>
      <c r="AN38" s="30">
        <v>0.111862550112582</v>
      </c>
      <c r="AO38" s="29">
        <v>173742.063121919</v>
      </c>
      <c r="AP38" s="30">
        <v>0.12599545567230899</v>
      </c>
      <c r="AQ38" s="29">
        <v>163317.08835820601</v>
      </c>
      <c r="AR38" s="30">
        <v>0.109048472371006</v>
      </c>
      <c r="AS38" s="29">
        <v>80826.237903040106</v>
      </c>
      <c r="AT38" s="30">
        <v>4.5366279917113499E-2</v>
      </c>
      <c r="AU38" s="29">
        <v>804583.91704744997</v>
      </c>
      <c r="AV38" s="30">
        <v>6.7765604772134405E-2</v>
      </c>
      <c r="AW38" s="29">
        <v>518667.42640956899</v>
      </c>
      <c r="AX38" s="30">
        <v>3.5758755202106599E-2</v>
      </c>
      <c r="AY38" s="29">
        <v>285916.49063788098</v>
      </c>
      <c r="AZ38" s="30">
        <v>0.131176588896357</v>
      </c>
      <c r="BA38" s="29">
        <v>191026.96290589799</v>
      </c>
      <c r="BB38" s="30">
        <v>0.157530212093835</v>
      </c>
      <c r="BC38" s="29">
        <v>244143.32626124599</v>
      </c>
      <c r="BD38" s="30">
        <v>8.71236555570956E-2</v>
      </c>
      <c r="BE38" s="29"/>
      <c r="BF38" s="30"/>
    </row>
    <row r="39" spans="1:58" x14ac:dyDescent="0.2">
      <c r="A39" s="28">
        <v>2007</v>
      </c>
      <c r="B39" s="28"/>
      <c r="C39" s="29">
        <v>598992.21216647106</v>
      </c>
      <c r="D39" s="30">
        <v>6.5519776227689105E-2</v>
      </c>
      <c r="E39" s="29">
        <v>542332.08744724502</v>
      </c>
      <c r="F39" s="30">
        <v>3.2915135584775698E-2</v>
      </c>
      <c r="G39" s="29">
        <v>379434.75648777297</v>
      </c>
      <c r="H39" s="30">
        <v>3.5286795545974997E-2</v>
      </c>
      <c r="I39" s="29">
        <v>315226.329473213</v>
      </c>
      <c r="J39" s="30">
        <v>3.7137262611517001E-2</v>
      </c>
      <c r="K39" s="29">
        <v>64208.427014560002</v>
      </c>
      <c r="L39" s="30">
        <v>2.6297024192705E-2</v>
      </c>
      <c r="M39" s="29">
        <v>162897.33095947199</v>
      </c>
      <c r="N39" s="30">
        <v>2.7432766115950798E-2</v>
      </c>
      <c r="O39" s="29">
        <v>163113.23377111999</v>
      </c>
      <c r="P39" s="30">
        <v>7.1947259206947195E-2</v>
      </c>
      <c r="Q39" s="29">
        <v>51146.8195875659</v>
      </c>
      <c r="R39" s="30">
        <v>1.64443610290947E-2</v>
      </c>
      <c r="S39" s="29">
        <v>111966.41418355401</v>
      </c>
      <c r="T39" s="30">
        <v>9.9369736891408794E-2</v>
      </c>
      <c r="U39" s="29">
        <v>1967.7238726783501</v>
      </c>
      <c r="V39" s="30"/>
      <c r="W39" s="29">
        <v>-2183.62668432592</v>
      </c>
      <c r="X39" s="30"/>
      <c r="Y39" s="29">
        <v>56660.1247192257</v>
      </c>
      <c r="Z39" s="30"/>
      <c r="AA39" s="29">
        <v>365892.03915086901</v>
      </c>
      <c r="AB39" s="30">
        <v>0.15850862057506401</v>
      </c>
      <c r="AC39" s="29">
        <v>254802.437274678</v>
      </c>
      <c r="AD39" s="30">
        <v>0.15326166513916401</v>
      </c>
      <c r="AE39" s="29">
        <v>221682.07189267801</v>
      </c>
      <c r="AF39" s="30">
        <v>0.122226651838794</v>
      </c>
      <c r="AG39" s="29">
        <v>191525.36641270001</v>
      </c>
      <c r="AH39" s="30">
        <v>0.112293391178227</v>
      </c>
      <c r="AI39" s="29">
        <v>111089.60187619099</v>
      </c>
      <c r="AJ39" s="30">
        <v>0.17072562727855201</v>
      </c>
      <c r="AK39" s="29">
        <v>309231.91443164297</v>
      </c>
      <c r="AL39" s="30">
        <v>0.109469243985719</v>
      </c>
      <c r="AM39" s="29">
        <v>219838.12305487201</v>
      </c>
      <c r="AN39" s="30">
        <v>0.11088633189533</v>
      </c>
      <c r="AO39" s="29">
        <v>189807.81415663101</v>
      </c>
      <c r="AP39" s="30">
        <v>9.2468978127873094E-2</v>
      </c>
      <c r="AQ39" s="29">
        <v>181655.01210819799</v>
      </c>
      <c r="AR39" s="30">
        <v>0.11228417022578201</v>
      </c>
      <c r="AS39" s="29">
        <v>89393.791376771303</v>
      </c>
      <c r="AT39" s="30">
        <v>0.10599965674523699</v>
      </c>
      <c r="AU39" s="29">
        <v>868073.29177876201</v>
      </c>
      <c r="AV39" s="30">
        <v>7.8909574733107696E-2</v>
      </c>
      <c r="AW39" s="29">
        <v>542547.990258893</v>
      </c>
      <c r="AX39" s="30">
        <v>4.6042150775950502E-2</v>
      </c>
      <c r="AY39" s="29">
        <v>325525.30151986901</v>
      </c>
      <c r="AZ39" s="30">
        <v>0.13853279603992399</v>
      </c>
      <c r="BA39" s="29">
        <v>214435.699643678</v>
      </c>
      <c r="BB39" s="30">
        <v>0.12254153226166099</v>
      </c>
      <c r="BC39" s="29">
        <v>271048.80348496902</v>
      </c>
      <c r="BD39" s="30">
        <v>0.11020361537522699</v>
      </c>
      <c r="BE39" s="29"/>
      <c r="BF39" s="30"/>
    </row>
    <row r="40" spans="1:58" x14ac:dyDescent="0.2">
      <c r="A40" s="28">
        <v>2008</v>
      </c>
      <c r="B40" s="28"/>
      <c r="C40" s="29">
        <v>622461.84339465504</v>
      </c>
      <c r="D40" s="30">
        <v>3.9181863722898398E-2</v>
      </c>
      <c r="E40" s="29">
        <v>565143.04597563401</v>
      </c>
      <c r="F40" s="30">
        <v>4.20608683431574E-2</v>
      </c>
      <c r="G40" s="29">
        <v>393110.61137382902</v>
      </c>
      <c r="H40" s="30">
        <v>3.6042704713310898E-2</v>
      </c>
      <c r="I40" s="29">
        <v>325402.00141668902</v>
      </c>
      <c r="J40" s="30">
        <v>3.2280526694838101E-2</v>
      </c>
      <c r="K40" s="29">
        <v>67708.609957139997</v>
      </c>
      <c r="L40" s="30">
        <v>5.4512828071404201E-2</v>
      </c>
      <c r="M40" s="29">
        <v>172032.434601805</v>
      </c>
      <c r="N40" s="30">
        <v>5.6078903125829097E-2</v>
      </c>
      <c r="O40" s="29">
        <v>167428.887259963</v>
      </c>
      <c r="P40" s="30">
        <v>2.6458021762343801E-2</v>
      </c>
      <c r="Q40" s="29">
        <v>53094.094852838003</v>
      </c>
      <c r="R40" s="30">
        <v>3.8072264922324003E-2</v>
      </c>
      <c r="S40" s="29">
        <v>114334.792407125</v>
      </c>
      <c r="T40" s="30">
        <v>2.1152577233453301E-2</v>
      </c>
      <c r="U40" s="29">
        <v>-2338.59650160209</v>
      </c>
      <c r="V40" s="30"/>
      <c r="W40" s="29">
        <v>6942.1438434442998</v>
      </c>
      <c r="X40" s="30"/>
      <c r="Y40" s="29">
        <v>57318.797419021699</v>
      </c>
      <c r="Z40" s="30"/>
      <c r="AA40" s="29">
        <v>390753.674696951</v>
      </c>
      <c r="AB40" s="30">
        <v>6.7948008936676005E-2</v>
      </c>
      <c r="AC40" s="29">
        <v>281459.21339871897</v>
      </c>
      <c r="AD40" s="30">
        <v>0.10461742991612399</v>
      </c>
      <c r="AE40" s="29">
        <v>238425.612833719</v>
      </c>
      <c r="AF40" s="30">
        <v>7.5529522067744298E-2</v>
      </c>
      <c r="AG40" s="29">
        <v>199916.79793733999</v>
      </c>
      <c r="AH40" s="30">
        <v>4.3813682134189201E-2</v>
      </c>
      <c r="AI40" s="29">
        <v>109294.461298232</v>
      </c>
      <c r="AJ40" s="30">
        <v>-1.61593933873307E-2</v>
      </c>
      <c r="AK40" s="29">
        <v>333434.87727792899</v>
      </c>
      <c r="AL40" s="30">
        <v>7.8267997954771601E-2</v>
      </c>
      <c r="AM40" s="29">
        <v>243660.91042957199</v>
      </c>
      <c r="AN40" s="30">
        <v>0.108365132687899</v>
      </c>
      <c r="AO40" s="29">
        <v>194675.985686423</v>
      </c>
      <c r="AP40" s="30">
        <v>2.5647898383018199E-2</v>
      </c>
      <c r="AQ40" s="29">
        <v>185587.84570912801</v>
      </c>
      <c r="AR40" s="30">
        <v>2.1650014251118899E-2</v>
      </c>
      <c r="AS40" s="29">
        <v>89773.966848357406</v>
      </c>
      <c r="AT40" s="30">
        <v>4.2528174018678904E-3</v>
      </c>
      <c r="AU40" s="29">
        <v>900162.25245374197</v>
      </c>
      <c r="AV40" s="30">
        <v>3.6965727409061302E-2</v>
      </c>
      <c r="AW40" s="29">
        <v>560539.49863379099</v>
      </c>
      <c r="AX40" s="30">
        <v>3.31611372596059E-2</v>
      </c>
      <c r="AY40" s="29">
        <v>339622.75381995097</v>
      </c>
      <c r="AZ40" s="30">
        <v>4.3306779025351599E-2</v>
      </c>
      <c r="BA40" s="29">
        <v>230328.29252171901</v>
      </c>
      <c r="BB40" s="30">
        <v>7.4113559003699397E-2</v>
      </c>
      <c r="BC40" s="29">
        <v>275361.81255748501</v>
      </c>
      <c r="BD40" s="30">
        <v>1.5912297036776699E-2</v>
      </c>
      <c r="BE40" s="29"/>
      <c r="BF40" s="30"/>
    </row>
    <row r="41" spans="1:58" x14ac:dyDescent="0.2">
      <c r="A41" s="28">
        <v>2009</v>
      </c>
      <c r="B41" s="28"/>
      <c r="C41" s="29">
        <v>613317.965337715</v>
      </c>
      <c r="D41" s="30">
        <v>-1.46898611601205E-2</v>
      </c>
      <c r="E41" s="29">
        <v>575554.59465989796</v>
      </c>
      <c r="F41" s="30">
        <v>1.84228555202164E-2</v>
      </c>
      <c r="G41" s="29">
        <v>399098.161820765</v>
      </c>
      <c r="H41" s="30">
        <v>1.5231210437212501E-2</v>
      </c>
      <c r="I41" s="29">
        <v>327640.24968346499</v>
      </c>
      <c r="J41" s="30">
        <v>6.8784096503140503E-3</v>
      </c>
      <c r="K41" s="29">
        <v>71457.912137299994</v>
      </c>
      <c r="L41" s="30">
        <v>5.5374082890393299E-2</v>
      </c>
      <c r="M41" s="29">
        <v>176456.43283913299</v>
      </c>
      <c r="N41" s="30">
        <v>2.5716070621031799E-2</v>
      </c>
      <c r="O41" s="29">
        <v>155611.88034468901</v>
      </c>
      <c r="P41" s="30">
        <v>-7.0579259700421101E-2</v>
      </c>
      <c r="Q41" s="29">
        <v>54147.069403975598</v>
      </c>
      <c r="R41" s="30">
        <v>1.9832234715670999E-2</v>
      </c>
      <c r="S41" s="29">
        <v>101464.810940714</v>
      </c>
      <c r="T41" s="30">
        <v>-0.112563999071984</v>
      </c>
      <c r="U41" s="29">
        <v>-2367.4589362185202</v>
      </c>
      <c r="V41" s="30"/>
      <c r="W41" s="29">
        <v>23212.0114306623</v>
      </c>
      <c r="X41" s="30"/>
      <c r="Y41" s="29">
        <v>37763.370677817402</v>
      </c>
      <c r="Z41" s="30"/>
      <c r="AA41" s="29">
        <v>353332.34745150298</v>
      </c>
      <c r="AB41" s="30">
        <v>-9.5767051389780103E-2</v>
      </c>
      <c r="AC41" s="29">
        <v>245540.70926941201</v>
      </c>
      <c r="AD41" s="30">
        <v>-0.12761530772284499</v>
      </c>
      <c r="AE41" s="29">
        <v>210828.510864412</v>
      </c>
      <c r="AF41" s="30">
        <v>-0.115747220448811</v>
      </c>
      <c r="AG41" s="29">
        <v>174479.904717</v>
      </c>
      <c r="AH41" s="30">
        <v>-0.127237398171578</v>
      </c>
      <c r="AI41" s="29">
        <v>107791.638182091</v>
      </c>
      <c r="AJ41" s="30">
        <v>-1.37502220907632E-2</v>
      </c>
      <c r="AK41" s="29">
        <v>315568.97677368502</v>
      </c>
      <c r="AL41" s="30">
        <v>-5.35813789190153E-2</v>
      </c>
      <c r="AM41" s="29">
        <v>222047.48648627699</v>
      </c>
      <c r="AN41" s="30">
        <v>-8.8702877721298007E-2</v>
      </c>
      <c r="AO41" s="29">
        <v>166026.561065605</v>
      </c>
      <c r="AP41" s="30">
        <v>-0.14716465680038099</v>
      </c>
      <c r="AQ41" s="29">
        <v>158607.55222461501</v>
      </c>
      <c r="AR41" s="30">
        <v>-0.145377480844294</v>
      </c>
      <c r="AS41" s="29">
        <v>93521.490287407796</v>
      </c>
      <c r="AT41" s="30">
        <v>4.1743988492572298E-2</v>
      </c>
      <c r="AU41" s="29">
        <v>867814.46678595699</v>
      </c>
      <c r="AV41" s="30">
        <v>-3.5935505604250101E-2</v>
      </c>
      <c r="AW41" s="29">
        <v>554710.04216545401</v>
      </c>
      <c r="AX41" s="30">
        <v>-1.0399724698340799E-2</v>
      </c>
      <c r="AY41" s="29">
        <v>313104.42462050298</v>
      </c>
      <c r="AZ41" s="30">
        <v>-7.8081721266257897E-2</v>
      </c>
      <c r="BA41" s="29">
        <v>205312.786438412</v>
      </c>
      <c r="BB41" s="30">
        <v>-0.10860804727647</v>
      </c>
      <c r="BC41" s="29">
        <v>252129.04251202301</v>
      </c>
      <c r="BD41" s="30">
        <v>-8.4371793712724602E-2</v>
      </c>
      <c r="BE41" s="29"/>
      <c r="BF41" s="30"/>
    </row>
    <row r="42" spans="1:58" x14ac:dyDescent="0.2">
      <c r="A42" s="28">
        <v>2010</v>
      </c>
      <c r="B42" s="28"/>
      <c r="C42" s="29">
        <v>636172.01998340595</v>
      </c>
      <c r="D42" s="30">
        <v>3.7262979298359401E-2</v>
      </c>
      <c r="E42" s="29">
        <v>575543.96098474995</v>
      </c>
      <c r="F42" s="30">
        <v>-1.8475528206329799E-5</v>
      </c>
      <c r="G42" s="29">
        <v>407868.59257789701</v>
      </c>
      <c r="H42" s="30">
        <v>2.19756230324877E-2</v>
      </c>
      <c r="I42" s="29">
        <v>335274.31752066698</v>
      </c>
      <c r="J42" s="30">
        <v>2.33001526661549E-2</v>
      </c>
      <c r="K42" s="29">
        <v>72594.275057229999</v>
      </c>
      <c r="L42" s="30">
        <v>1.5902548590372999E-2</v>
      </c>
      <c r="M42" s="29">
        <v>167675.368406853</v>
      </c>
      <c r="N42" s="30">
        <v>-4.9763356829756897E-2</v>
      </c>
      <c r="O42" s="29">
        <v>161385.88441669001</v>
      </c>
      <c r="P42" s="30">
        <v>3.7105162274313298E-2</v>
      </c>
      <c r="Q42" s="29">
        <v>56263.436352285302</v>
      </c>
      <c r="R42" s="30">
        <v>3.9085530788750801E-2</v>
      </c>
      <c r="S42" s="29">
        <v>105122.44806440501</v>
      </c>
      <c r="T42" s="30">
        <v>3.6048331335561998E-2</v>
      </c>
      <c r="U42" s="29">
        <v>333.98153146100202</v>
      </c>
      <c r="V42" s="30"/>
      <c r="W42" s="29">
        <v>5955.5024587021899</v>
      </c>
      <c r="X42" s="30"/>
      <c r="Y42" s="29">
        <v>60628.058998656503</v>
      </c>
      <c r="Z42" s="30"/>
      <c r="AA42" s="29">
        <v>409480.37958322302</v>
      </c>
      <c r="AB42" s="30">
        <v>0.158909968296712</v>
      </c>
      <c r="AC42" s="29">
        <v>302684.95173292502</v>
      </c>
      <c r="AD42" s="30">
        <v>0.232728180323098</v>
      </c>
      <c r="AE42" s="29">
        <v>238592.68007092501</v>
      </c>
      <c r="AF42" s="30">
        <v>0.13169077129406301</v>
      </c>
      <c r="AG42" s="29">
        <v>187423.94169199999</v>
      </c>
      <c r="AH42" s="30">
        <v>7.4186405569138997E-2</v>
      </c>
      <c r="AI42" s="29">
        <v>106795.42785029901</v>
      </c>
      <c r="AJ42" s="30">
        <v>-9.2420001086651604E-3</v>
      </c>
      <c r="AK42" s="29">
        <v>348852.32058456697</v>
      </c>
      <c r="AL42" s="30">
        <v>0.105470899424792</v>
      </c>
      <c r="AM42" s="29">
        <v>252349.46555180501</v>
      </c>
      <c r="AN42" s="30">
        <v>0.13646621065174899</v>
      </c>
      <c r="AO42" s="29">
        <v>181751.32426043099</v>
      </c>
      <c r="AP42" s="30">
        <v>9.4712334543946897E-2</v>
      </c>
      <c r="AQ42" s="29">
        <v>173522.446437103</v>
      </c>
      <c r="AR42" s="30">
        <v>9.4036469280894402E-2</v>
      </c>
      <c r="AS42" s="29">
        <v>96502.855032761901</v>
      </c>
      <c r="AT42" s="30">
        <v>3.1878926824111503E-2</v>
      </c>
      <c r="AU42" s="29">
        <v>905863.33992180997</v>
      </c>
      <c r="AV42" s="30">
        <v>4.38444789665371E-2</v>
      </c>
      <c r="AW42" s="29">
        <v>569254.47699458699</v>
      </c>
      <c r="AX42" s="30">
        <v>2.6219887370985101E-2</v>
      </c>
      <c r="AY42" s="29">
        <v>336608.86292722297</v>
      </c>
      <c r="AZ42" s="30">
        <v>7.5069007201700802E-2</v>
      </c>
      <c r="BA42" s="29">
        <v>229813.435076925</v>
      </c>
      <c r="BB42" s="30">
        <v>0.119333281981746</v>
      </c>
      <c r="BC42" s="29">
        <v>270025.30146986502</v>
      </c>
      <c r="BD42" s="30">
        <v>7.0980553368772001E-2</v>
      </c>
      <c r="BE42" s="29"/>
      <c r="BF42" s="30"/>
    </row>
    <row r="43" spans="1:58" x14ac:dyDescent="0.2">
      <c r="A43" s="28">
        <v>2011</v>
      </c>
      <c r="B43" s="28"/>
      <c r="C43" s="29">
        <v>645812.25803482695</v>
      </c>
      <c r="D43" s="30">
        <v>1.5153508404333899E-2</v>
      </c>
      <c r="E43" s="29">
        <v>598304.393586191</v>
      </c>
      <c r="F43" s="30">
        <v>3.9545949821970801E-2</v>
      </c>
      <c r="G43" s="29">
        <v>412671.32794388698</v>
      </c>
      <c r="H43" s="30">
        <v>1.1775202732908101E-2</v>
      </c>
      <c r="I43" s="29">
        <v>338394.46664188697</v>
      </c>
      <c r="J43" s="30">
        <v>9.3062574678965896E-3</v>
      </c>
      <c r="K43" s="29">
        <v>74276.861302000005</v>
      </c>
      <c r="L43" s="30">
        <v>2.3177946793235999E-2</v>
      </c>
      <c r="M43" s="29">
        <v>185633.06564230399</v>
      </c>
      <c r="N43" s="30">
        <v>0.107098003756148</v>
      </c>
      <c r="O43" s="29">
        <v>165408.10555604799</v>
      </c>
      <c r="P43" s="30">
        <v>2.49230045979307E-2</v>
      </c>
      <c r="Q43" s="29">
        <v>58980.886833842902</v>
      </c>
      <c r="R43" s="30">
        <v>4.8298693747439697E-2</v>
      </c>
      <c r="S43" s="29">
        <v>106427.218722205</v>
      </c>
      <c r="T43" s="30">
        <v>1.2411912791464801E-2</v>
      </c>
      <c r="U43" s="29">
        <v>3083.0319920311399</v>
      </c>
      <c r="V43" s="30"/>
      <c r="W43" s="29">
        <v>17141.928094224299</v>
      </c>
      <c r="X43" s="30"/>
      <c r="Y43" s="29">
        <v>47507.864448635897</v>
      </c>
      <c r="Z43" s="30"/>
      <c r="AA43" s="29">
        <v>427539.54601358599</v>
      </c>
      <c r="AB43" s="30">
        <v>4.4102641618002397E-2</v>
      </c>
      <c r="AC43" s="29">
        <v>321486.579954246</v>
      </c>
      <c r="AD43" s="30">
        <v>6.2116164393632801E-2</v>
      </c>
      <c r="AE43" s="29">
        <v>243229.62463024599</v>
      </c>
      <c r="AF43" s="30">
        <v>1.94345633652417E-2</v>
      </c>
      <c r="AG43" s="29">
        <v>191826.33189999999</v>
      </c>
      <c r="AH43" s="30">
        <v>2.34889425985652E-2</v>
      </c>
      <c r="AI43" s="29">
        <v>106052.96605934</v>
      </c>
      <c r="AJ43" s="30">
        <v>-6.95218705429423E-3</v>
      </c>
      <c r="AK43" s="29">
        <v>380031.68156494998</v>
      </c>
      <c r="AL43" s="30">
        <v>8.9376963088954695E-2</v>
      </c>
      <c r="AM43" s="29">
        <v>280125.16794114199</v>
      </c>
      <c r="AN43" s="30">
        <v>0.11006840188308099</v>
      </c>
      <c r="AO43" s="29">
        <v>184567.15305204201</v>
      </c>
      <c r="AP43" s="30">
        <v>1.54927552966633E-2</v>
      </c>
      <c r="AQ43" s="29">
        <v>175539.312382918</v>
      </c>
      <c r="AR43" s="30">
        <v>1.1623083855873099E-2</v>
      </c>
      <c r="AS43" s="29">
        <v>99906.513623808205</v>
      </c>
      <c r="AT43" s="30">
        <v>3.5270029989172801E-2</v>
      </c>
      <c r="AU43" s="29">
        <v>918175.05204952206</v>
      </c>
      <c r="AV43" s="30">
        <v>1.35911363062493E-2</v>
      </c>
      <c r="AW43" s="29">
        <v>578079.43349993601</v>
      </c>
      <c r="AX43" s="30">
        <v>1.5502656302223101E-2</v>
      </c>
      <c r="AY43" s="29">
        <v>340095.61854958598</v>
      </c>
      <c r="AZ43" s="30">
        <v>1.03584783598416E-2</v>
      </c>
      <c r="BA43" s="29">
        <v>234042.65249024599</v>
      </c>
      <c r="BB43" s="30">
        <v>1.84028292858751E-2</v>
      </c>
      <c r="BC43" s="29">
        <v>275445.82600672601</v>
      </c>
      <c r="BD43" s="30">
        <v>2.0074135673044901E-2</v>
      </c>
      <c r="BE43" s="29"/>
      <c r="BF43" s="30"/>
    </row>
    <row r="44" spans="1:58" x14ac:dyDescent="0.2">
      <c r="A44" s="28">
        <v>2012</v>
      </c>
      <c r="B44" s="28"/>
      <c r="C44" s="29">
        <v>654393.62395549798</v>
      </c>
      <c r="D44" s="30">
        <v>1.3287709878385E-2</v>
      </c>
      <c r="E44" s="29">
        <v>595549.23909035302</v>
      </c>
      <c r="F44" s="30">
        <v>-4.6049377630744699E-3</v>
      </c>
      <c r="G44" s="29">
        <v>418188.79765957198</v>
      </c>
      <c r="H44" s="30">
        <v>1.3370131002741001E-2</v>
      </c>
      <c r="I44" s="29">
        <v>342918.55027154199</v>
      </c>
      <c r="J44" s="30">
        <v>1.33692600666624E-2</v>
      </c>
      <c r="K44" s="29">
        <v>75270.247388029995</v>
      </c>
      <c r="L44" s="30">
        <v>1.33740988595492E-2</v>
      </c>
      <c r="M44" s="29">
        <v>177360.44143077999</v>
      </c>
      <c r="N44" s="30">
        <v>-4.4564389339255703E-2</v>
      </c>
      <c r="O44" s="29">
        <v>171150.294126883</v>
      </c>
      <c r="P44" s="30">
        <v>3.4715279227288003E-2</v>
      </c>
      <c r="Q44" s="29">
        <v>60943.382065840502</v>
      </c>
      <c r="R44" s="30">
        <v>3.3273410037495801E-2</v>
      </c>
      <c r="S44" s="29">
        <v>110206.912061043</v>
      </c>
      <c r="T44" s="30">
        <v>3.5514348530548703E-2</v>
      </c>
      <c r="U44" s="29">
        <v>2919.8304093312499</v>
      </c>
      <c r="V44" s="30"/>
      <c r="W44" s="29">
        <v>3290.31689456606</v>
      </c>
      <c r="X44" s="30"/>
      <c r="Y44" s="29">
        <v>58844.384865145803</v>
      </c>
      <c r="Z44" s="30"/>
      <c r="AA44" s="29">
        <v>441251.53736647603</v>
      </c>
      <c r="AB44" s="30">
        <v>3.2071866756518699E-2</v>
      </c>
      <c r="AC44" s="29">
        <v>324014.73529262398</v>
      </c>
      <c r="AD44" s="30">
        <v>7.8639529486368397E-3</v>
      </c>
      <c r="AE44" s="29">
        <v>242864.05755162399</v>
      </c>
      <c r="AF44" s="30">
        <v>-1.5029710265659401E-3</v>
      </c>
      <c r="AG44" s="29">
        <v>194029.08853136</v>
      </c>
      <c r="AH44" s="30">
        <v>1.1483077477123099E-2</v>
      </c>
      <c r="AI44" s="29">
        <v>117236.802073852</v>
      </c>
      <c r="AJ44" s="30">
        <v>0.105455193099023</v>
      </c>
      <c r="AK44" s="29">
        <v>382407.15250133001</v>
      </c>
      <c r="AL44" s="30">
        <v>6.25071816801759E-3</v>
      </c>
      <c r="AM44" s="29">
        <v>273644.81755989499</v>
      </c>
      <c r="AN44" s="30">
        <v>-2.3133767054477099E-2</v>
      </c>
      <c r="AO44" s="29">
        <v>186633.34349899099</v>
      </c>
      <c r="AP44" s="30">
        <v>1.1194789607907899E-2</v>
      </c>
      <c r="AQ44" s="29">
        <v>179345.620311329</v>
      </c>
      <c r="AR44" s="30">
        <v>2.16835071115495E-2</v>
      </c>
      <c r="AS44" s="29">
        <v>108762.33494143499</v>
      </c>
      <c r="AT44" s="30">
        <v>8.8641080510255807E-2</v>
      </c>
      <c r="AU44" s="29">
        <v>939581.74879893102</v>
      </c>
      <c r="AV44" s="30">
        <v>2.3314395987591399E-2</v>
      </c>
      <c r="AW44" s="29">
        <v>589339.09178645501</v>
      </c>
      <c r="AX44" s="30">
        <v>1.9477700872956302E-2</v>
      </c>
      <c r="AY44" s="29">
        <v>350242.657012476</v>
      </c>
      <c r="AZ44" s="30">
        <v>2.9835840009243601E-2</v>
      </c>
      <c r="BA44" s="29">
        <v>233005.85493862399</v>
      </c>
      <c r="BB44" s="30">
        <v>-4.4299512955868802E-3</v>
      </c>
      <c r="BC44" s="29">
        <v>288107.95525276399</v>
      </c>
      <c r="BD44" s="30">
        <v>4.5969581131824103E-2</v>
      </c>
      <c r="BE44" s="29"/>
      <c r="BF44" s="30"/>
    </row>
    <row r="45" spans="1:58" x14ac:dyDescent="0.2">
      <c r="A45" s="28">
        <v>2013</v>
      </c>
      <c r="B45" s="28"/>
      <c r="C45" s="29">
        <v>666210.44413731096</v>
      </c>
      <c r="D45" s="30">
        <v>1.8057663994928801E-2</v>
      </c>
      <c r="E45" s="29">
        <v>597743.60621773195</v>
      </c>
      <c r="F45" s="30">
        <v>3.684610748107E-3</v>
      </c>
      <c r="G45" s="29">
        <v>426295.58363402798</v>
      </c>
      <c r="H45" s="30">
        <v>1.9385469003057699E-2</v>
      </c>
      <c r="I45" s="29">
        <v>349297.52149027801</v>
      </c>
      <c r="J45" s="30">
        <v>1.8602001010690199E-2</v>
      </c>
      <c r="K45" s="29">
        <v>76998.062143749994</v>
      </c>
      <c r="L45" s="30">
        <v>2.2954817018374402E-2</v>
      </c>
      <c r="M45" s="29">
        <v>171448.02258370401</v>
      </c>
      <c r="N45" s="30">
        <v>-3.3335611928908902E-2</v>
      </c>
      <c r="O45" s="29">
        <v>174229.81844784701</v>
      </c>
      <c r="P45" s="30">
        <v>1.79930997879592E-2</v>
      </c>
      <c r="Q45" s="29">
        <v>63212.620925825599</v>
      </c>
      <c r="R45" s="30">
        <v>3.7235197376041598E-2</v>
      </c>
      <c r="S45" s="29">
        <v>111017.197522021</v>
      </c>
      <c r="T45" s="30">
        <v>7.3524014585371099E-3</v>
      </c>
      <c r="U45" s="29">
        <v>11482.076691665299</v>
      </c>
      <c r="V45" s="30"/>
      <c r="W45" s="29">
        <v>-14263.8725558078</v>
      </c>
      <c r="X45" s="30"/>
      <c r="Y45" s="29">
        <v>68466.837919578698</v>
      </c>
      <c r="Z45" s="30"/>
      <c r="AA45" s="29">
        <v>476598.93654793099</v>
      </c>
      <c r="AB45" s="30">
        <v>8.0107141138633195E-2</v>
      </c>
      <c r="AC45" s="29">
        <v>358158.89008008299</v>
      </c>
      <c r="AD45" s="30">
        <v>0.105378401252716</v>
      </c>
      <c r="AE45" s="29">
        <v>238374.95153908301</v>
      </c>
      <c r="AF45" s="30">
        <v>-1.84840278870286E-2</v>
      </c>
      <c r="AG45" s="29">
        <v>193661.20708982099</v>
      </c>
      <c r="AH45" s="30">
        <v>-1.89601180072207E-3</v>
      </c>
      <c r="AI45" s="29">
        <v>118440.04646784801</v>
      </c>
      <c r="AJ45" s="30">
        <v>1.02633675834869E-2</v>
      </c>
      <c r="AK45" s="29">
        <v>408132.09862835298</v>
      </c>
      <c r="AL45" s="30">
        <v>6.7271090403919098E-2</v>
      </c>
      <c r="AM45" s="29">
        <v>295711.30791251</v>
      </c>
      <c r="AN45" s="30">
        <v>8.0639167770040904E-2</v>
      </c>
      <c r="AO45" s="29">
        <v>187698.355250238</v>
      </c>
      <c r="AP45" s="30">
        <v>5.7064387921281802E-3</v>
      </c>
      <c r="AQ45" s="29">
        <v>180545.642526318</v>
      </c>
      <c r="AR45" s="30">
        <v>6.6911152494577601E-3</v>
      </c>
      <c r="AS45" s="29">
        <v>112420.790715843</v>
      </c>
      <c r="AT45" s="30">
        <v>3.3637157352107698E-2</v>
      </c>
      <c r="AU45" s="29">
        <v>947694.80068780598</v>
      </c>
      <c r="AV45" s="30">
        <v>8.6347482794821902E-3</v>
      </c>
      <c r="AW45" s="29">
        <v>600525.40208187501</v>
      </c>
      <c r="AX45" s="30">
        <v>1.8981110283233099E-2</v>
      </c>
      <c r="AY45" s="29">
        <v>347169.39860593103</v>
      </c>
      <c r="AZ45" s="30">
        <v>-8.7746547857970904E-3</v>
      </c>
      <c r="BA45" s="29">
        <v>228729.35213808299</v>
      </c>
      <c r="BB45" s="30">
        <v>-1.8353628073713699E-2</v>
      </c>
      <c r="BC45" s="29">
        <v>292966.433242161</v>
      </c>
      <c r="BD45" s="30">
        <v>1.68633940882814E-2</v>
      </c>
      <c r="BE45" s="29"/>
      <c r="BF45" s="30"/>
    </row>
    <row r="46" spans="1:58" x14ac:dyDescent="0.2">
      <c r="A46" s="28">
        <v>2014</v>
      </c>
      <c r="B46" s="28"/>
      <c r="C46" s="29">
        <v>679021.94921179803</v>
      </c>
      <c r="D46" s="30">
        <v>1.9230417636393798E-2</v>
      </c>
      <c r="E46" s="29">
        <v>609538.43802745501</v>
      </c>
      <c r="F46" s="30">
        <v>1.97322592613851E-2</v>
      </c>
      <c r="G46" s="29">
        <v>430744.04895950801</v>
      </c>
      <c r="H46" s="30">
        <v>1.04351663405915E-2</v>
      </c>
      <c r="I46" s="29">
        <v>351945.73619856802</v>
      </c>
      <c r="J46" s="30">
        <v>7.5815445153803998E-3</v>
      </c>
      <c r="K46" s="29">
        <v>78798.312760939996</v>
      </c>
      <c r="L46" s="30">
        <v>2.33804665606916E-2</v>
      </c>
      <c r="M46" s="29">
        <v>178794.38906794699</v>
      </c>
      <c r="N46" s="30">
        <v>4.2848942633073199E-2</v>
      </c>
      <c r="O46" s="29">
        <v>178742.795221351</v>
      </c>
      <c r="P46" s="30">
        <v>2.59024362976947E-2</v>
      </c>
      <c r="Q46" s="29">
        <v>65260.016290331398</v>
      </c>
      <c r="R46" s="30">
        <v>3.2389028243398101E-2</v>
      </c>
      <c r="S46" s="29">
        <v>113482.77893102</v>
      </c>
      <c r="T46" s="30">
        <v>2.22090042266598E-2</v>
      </c>
      <c r="U46" s="29">
        <v>6839.4829592349697</v>
      </c>
      <c r="V46" s="30"/>
      <c r="W46" s="29">
        <v>-6787.88911263912</v>
      </c>
      <c r="X46" s="30"/>
      <c r="Y46" s="29">
        <v>69483.511184343093</v>
      </c>
      <c r="Z46" s="30"/>
      <c r="AA46" s="29">
        <v>439542.49259225302</v>
      </c>
      <c r="AB46" s="30">
        <v>-7.7751839364316302E-2</v>
      </c>
      <c r="AC46" s="29">
        <v>316162.44769769697</v>
      </c>
      <c r="AD46" s="30">
        <v>-0.11725645668880599</v>
      </c>
      <c r="AE46" s="29">
        <v>249776.108556697</v>
      </c>
      <c r="AF46" s="30">
        <v>4.7828670520964497E-2</v>
      </c>
      <c r="AG46" s="29">
        <v>199684.75494695001</v>
      </c>
      <c r="AH46" s="30">
        <v>3.1103533576213802E-2</v>
      </c>
      <c r="AI46" s="29">
        <v>123380.04489455601</v>
      </c>
      <c r="AJ46" s="30">
        <v>4.1708852487224703E-2</v>
      </c>
      <c r="AK46" s="29">
        <v>370058.98140790901</v>
      </c>
      <c r="AL46" s="30">
        <v>-9.3286260375988694E-2</v>
      </c>
      <c r="AM46" s="29">
        <v>249851.39980095701</v>
      </c>
      <c r="AN46" s="30">
        <v>-0.155083376538041</v>
      </c>
      <c r="AO46" s="29">
        <v>187340.06576377101</v>
      </c>
      <c r="AP46" s="30">
        <v>-1.9088578905696E-3</v>
      </c>
      <c r="AQ46" s="29">
        <v>181325.610643597</v>
      </c>
      <c r="AR46" s="30">
        <v>4.3200606027646903E-3</v>
      </c>
      <c r="AS46" s="29">
        <v>120207.58160695199</v>
      </c>
      <c r="AT46" s="30">
        <v>6.9264687087918095E-2</v>
      </c>
      <c r="AU46" s="29">
        <v>973715.65850311203</v>
      </c>
      <c r="AV46" s="30">
        <v>2.7457001765147399E-2</v>
      </c>
      <c r="AW46" s="29">
        <v>609486.84418085904</v>
      </c>
      <c r="AX46" s="30">
        <v>1.49226694956079E-2</v>
      </c>
      <c r="AY46" s="29">
        <v>364228.81432225299</v>
      </c>
      <c r="AZ46" s="30">
        <v>4.9138592816140497E-2</v>
      </c>
      <c r="BA46" s="29">
        <v>240848.769427697</v>
      </c>
      <c r="BB46" s="30">
        <v>5.2985841897096299E-2</v>
      </c>
      <c r="BC46" s="29">
        <v>301533.19225054898</v>
      </c>
      <c r="BD46" s="30">
        <v>2.92414353193386E-2</v>
      </c>
      <c r="BE46" s="29"/>
      <c r="BF46" s="30"/>
    </row>
    <row r="47" spans="1:58" x14ac:dyDescent="0.2">
      <c r="A47" s="28">
        <v>2015</v>
      </c>
      <c r="B47" s="28"/>
      <c r="C47" s="29">
        <v>679632.73968588503</v>
      </c>
      <c r="D47" s="30">
        <v>8.9951506692154105E-4</v>
      </c>
      <c r="E47" s="29">
        <v>610723.71493843396</v>
      </c>
      <c r="F47" s="30">
        <v>1.9445482631317301E-3</v>
      </c>
      <c r="G47" s="29">
        <v>434420.13486214803</v>
      </c>
      <c r="H47" s="30">
        <v>8.5342697398120802E-3</v>
      </c>
      <c r="I47" s="29">
        <v>354958.70763108798</v>
      </c>
      <c r="J47" s="30">
        <v>8.5608976686659694E-3</v>
      </c>
      <c r="K47" s="29">
        <v>79461.427231060006</v>
      </c>
      <c r="L47" s="30">
        <v>8.4153384366461009E-3</v>
      </c>
      <c r="M47" s="29">
        <v>176303.58007628599</v>
      </c>
      <c r="N47" s="30">
        <v>-1.39311362322128E-2</v>
      </c>
      <c r="O47" s="29">
        <v>180061.74960416899</v>
      </c>
      <c r="P47" s="30">
        <v>7.3790632018770896E-3</v>
      </c>
      <c r="Q47" s="29">
        <v>66033.429285513601</v>
      </c>
      <c r="R47" s="30">
        <v>1.18512534802537E-2</v>
      </c>
      <c r="S47" s="29">
        <v>114028.320318656</v>
      </c>
      <c r="T47" s="30">
        <v>4.8072614433234398E-3</v>
      </c>
      <c r="U47" s="29">
        <v>-2107.0107491153799</v>
      </c>
      <c r="V47" s="30"/>
      <c r="W47" s="29">
        <v>-1651.1587787680301</v>
      </c>
      <c r="X47" s="30"/>
      <c r="Y47" s="29">
        <v>68909.024747451098</v>
      </c>
      <c r="Z47" s="30"/>
      <c r="AA47" s="29">
        <v>429898.89001182001</v>
      </c>
      <c r="AB47" s="30">
        <v>-2.19400916702224E-2</v>
      </c>
      <c r="AC47" s="29">
        <v>306777.213165475</v>
      </c>
      <c r="AD47" s="30">
        <v>-2.9684849040628201E-2</v>
      </c>
      <c r="AE47" s="29">
        <v>239650.978466475</v>
      </c>
      <c r="AF47" s="30">
        <v>-4.0536823752794202E-2</v>
      </c>
      <c r="AG47" s="29">
        <v>192989.782440499</v>
      </c>
      <c r="AH47" s="30">
        <v>-3.3527709755458303E-2</v>
      </c>
      <c r="AI47" s="29">
        <v>123121.676846345</v>
      </c>
      <c r="AJ47" s="30">
        <v>-2.0940829485940299E-3</v>
      </c>
      <c r="AK47" s="29">
        <v>360989.865264369</v>
      </c>
      <c r="AL47" s="30">
        <v>-2.450721803599E-2</v>
      </c>
      <c r="AM47" s="29">
        <v>239248.765829471</v>
      </c>
      <c r="AN47" s="30">
        <v>-4.2435759735317297E-2</v>
      </c>
      <c r="AO47" s="29">
        <v>172839.400290391</v>
      </c>
      <c r="AP47" s="30">
        <v>-7.7402905856055096E-2</v>
      </c>
      <c r="AQ47" s="29">
        <v>166901.47570823901</v>
      </c>
      <c r="AR47" s="30">
        <v>-7.9548249605559201E-2</v>
      </c>
      <c r="AS47" s="29">
        <v>121741.099434898</v>
      </c>
      <c r="AT47" s="30">
        <v>1.27572471506858E-2</v>
      </c>
      <c r="AU47" s="29">
        <v>970382.325578138</v>
      </c>
      <c r="AV47" s="30">
        <v>-3.4233124381492001E-3</v>
      </c>
      <c r="AW47" s="29">
        <v>614481.88446631702</v>
      </c>
      <c r="AX47" s="30">
        <v>8.1954849938901102E-3</v>
      </c>
      <c r="AY47" s="29">
        <v>355900.44111182098</v>
      </c>
      <c r="AZ47" s="30">
        <v>-2.28657725115167E-2</v>
      </c>
      <c r="BA47" s="29">
        <v>232778.76426547501</v>
      </c>
      <c r="BB47" s="30">
        <v>-3.3506524369618103E-2</v>
      </c>
      <c r="BC47" s="29">
        <v>288642.57514313702</v>
      </c>
      <c r="BD47" s="30">
        <v>-4.2750242556050401E-2</v>
      </c>
      <c r="BE47" s="29"/>
      <c r="BF47" s="30"/>
    </row>
    <row r="48" spans="1:58" x14ac:dyDescent="0.2">
      <c r="A48" s="28">
        <v>2016</v>
      </c>
      <c r="B48" s="28"/>
      <c r="C48" s="29">
        <v>688404.189284969</v>
      </c>
      <c r="D48" s="30">
        <v>1.2906161058601E-2</v>
      </c>
      <c r="E48" s="29">
        <v>622779.67222957197</v>
      </c>
      <c r="F48" s="30">
        <v>1.97404439949629E-2</v>
      </c>
      <c r="G48" s="29">
        <v>439519.277800849</v>
      </c>
      <c r="H48" s="30">
        <v>1.1737814455399001E-2</v>
      </c>
      <c r="I48" s="29">
        <v>358919.66037458897</v>
      </c>
      <c r="J48" s="30">
        <v>1.11589113278436E-2</v>
      </c>
      <c r="K48" s="29">
        <v>80599.617426259996</v>
      </c>
      <c r="L48" s="30">
        <v>1.43238075990046E-2</v>
      </c>
      <c r="M48" s="29">
        <v>183260.394428723</v>
      </c>
      <c r="N48" s="30">
        <v>3.9459291464338797E-2</v>
      </c>
      <c r="O48" s="29">
        <v>184038.77673065499</v>
      </c>
      <c r="P48" s="30">
        <v>2.2087018121438099E-2</v>
      </c>
      <c r="Q48" s="29">
        <v>65557.636101705895</v>
      </c>
      <c r="R48" s="30">
        <v>-7.2053380985334101E-3</v>
      </c>
      <c r="S48" s="29">
        <v>118481.140628949</v>
      </c>
      <c r="T48" s="30">
        <v>3.9050126300635798E-2</v>
      </c>
      <c r="U48" s="29">
        <v>-2552.9123448994901</v>
      </c>
      <c r="V48" s="30"/>
      <c r="W48" s="29">
        <v>1774.5300429677</v>
      </c>
      <c r="X48" s="30"/>
      <c r="Y48" s="29">
        <v>65624.517055397402</v>
      </c>
      <c r="Z48" s="30"/>
      <c r="AA48" s="29">
        <v>455980.28599165601</v>
      </c>
      <c r="AB48" s="30">
        <v>6.0668674857751598E-2</v>
      </c>
      <c r="AC48" s="29">
        <v>329075.66382955498</v>
      </c>
      <c r="AD48" s="30">
        <v>7.2686137389391406E-2</v>
      </c>
      <c r="AE48" s="29">
        <v>249916.643895555</v>
      </c>
      <c r="AF48" s="30">
        <v>4.2835900336273297E-2</v>
      </c>
      <c r="AG48" s="29">
        <v>201093.74769537599</v>
      </c>
      <c r="AH48" s="30">
        <v>4.1991680349065898E-2</v>
      </c>
      <c r="AI48" s="29">
        <v>126904.622162101</v>
      </c>
      <c r="AJ48" s="30">
        <v>3.07252582376389E-2</v>
      </c>
      <c r="AK48" s="29">
        <v>390355.76893625798</v>
      </c>
      <c r="AL48" s="30">
        <v>8.1348277327351101E-2</v>
      </c>
      <c r="AM48" s="29">
        <v>261388.08897109699</v>
      </c>
      <c r="AN48" s="30">
        <v>9.2536833219887704E-2</v>
      </c>
      <c r="AO48" s="29">
        <v>181165.04400117</v>
      </c>
      <c r="AP48" s="30">
        <v>4.8169825264324999E-2</v>
      </c>
      <c r="AQ48" s="29">
        <v>173764.08219612899</v>
      </c>
      <c r="AR48" s="30">
        <v>4.1117710066785003E-2</v>
      </c>
      <c r="AS48" s="29">
        <v>128967.67996516101</v>
      </c>
      <c r="AT48" s="30">
        <v>5.9360237124585803E-2</v>
      </c>
      <c r="AU48" s="29">
        <v>993688.863791159</v>
      </c>
      <c r="AV48" s="30">
        <v>2.4017892328300799E-2</v>
      </c>
      <c r="AW48" s="29">
        <v>623558.05453150405</v>
      </c>
      <c r="AX48" s="30">
        <v>1.47704436772276E-2</v>
      </c>
      <c r="AY48" s="29">
        <v>370130.809259656</v>
      </c>
      <c r="AZ48" s="30">
        <v>3.9984126188155902E-2</v>
      </c>
      <c r="BA48" s="29">
        <v>243226.187097555</v>
      </c>
      <c r="BB48" s="30">
        <v>4.4881339863826399E-2</v>
      </c>
      <c r="BC48" s="29">
        <v>302731.76216129097</v>
      </c>
      <c r="BD48" s="30">
        <v>4.8811880960965198E-2</v>
      </c>
      <c r="BE48" s="29"/>
      <c r="BF48" s="30"/>
    </row>
    <row r="49" spans="1:58" x14ac:dyDescent="0.2">
      <c r="A49" s="28">
        <v>2017</v>
      </c>
      <c r="B49" s="28"/>
      <c r="C49" s="29">
        <v>695842.64982842503</v>
      </c>
      <c r="D49" s="30">
        <v>1.0805367920817301E-2</v>
      </c>
      <c r="E49" s="29">
        <v>637834.96498884598</v>
      </c>
      <c r="F49" s="30">
        <v>2.4174348378095602E-2</v>
      </c>
      <c r="G49" s="29">
        <v>448679.28036485298</v>
      </c>
      <c r="H49" s="30">
        <v>2.0840957442950898E-2</v>
      </c>
      <c r="I49" s="29">
        <v>366780.05641943298</v>
      </c>
      <c r="J49" s="30">
        <v>2.19001545823387E-2</v>
      </c>
      <c r="K49" s="29">
        <v>81899.223945420003</v>
      </c>
      <c r="L49" s="30">
        <v>1.6124226896597999E-2</v>
      </c>
      <c r="M49" s="29">
        <v>189155.684623993</v>
      </c>
      <c r="N49" s="30">
        <v>3.2168926699341502E-2</v>
      </c>
      <c r="O49" s="29">
        <v>191464.137747651</v>
      </c>
      <c r="P49" s="30">
        <v>4.0346720125528798E-2</v>
      </c>
      <c r="Q49" s="29">
        <v>66129.112999999998</v>
      </c>
      <c r="R49" s="30">
        <v>8.7171675532584595E-3</v>
      </c>
      <c r="S49" s="29">
        <v>125335.024747651</v>
      </c>
      <c r="T49" s="30">
        <v>5.7847891084765998E-2</v>
      </c>
      <c r="U49" s="29">
        <v>-4166.8053377865599</v>
      </c>
      <c r="V49" s="30"/>
      <c r="W49" s="29">
        <v>1858.3522141282999</v>
      </c>
      <c r="X49" s="30"/>
      <c r="Y49" s="29">
        <v>58007.684839579597</v>
      </c>
      <c r="Z49" s="30"/>
      <c r="AA49" s="29">
        <v>456767.52941143699</v>
      </c>
      <c r="AB49" s="30">
        <v>1.7264856485394999E-3</v>
      </c>
      <c r="AC49" s="29">
        <v>331176.50119973999</v>
      </c>
      <c r="AD49" s="30">
        <v>6.3840557084544596E-3</v>
      </c>
      <c r="AE49" s="29">
        <v>268313.57399074</v>
      </c>
      <c r="AF49" s="30">
        <v>7.36122645071728E-2</v>
      </c>
      <c r="AG49" s="29">
        <v>210626.29832177999</v>
      </c>
      <c r="AH49" s="30">
        <v>4.7403515701765202E-2</v>
      </c>
      <c r="AI49" s="29">
        <v>125591.028211697</v>
      </c>
      <c r="AJ49" s="30">
        <v>-1.0351033146177699E-2</v>
      </c>
      <c r="AK49" s="29">
        <v>398759.844571858</v>
      </c>
      <c r="AL49" s="30">
        <v>2.1529272280261101E-2</v>
      </c>
      <c r="AM49" s="29">
        <v>260117.23497012601</v>
      </c>
      <c r="AN49" s="30">
        <v>-4.8619430440505198E-3</v>
      </c>
      <c r="AO49" s="29">
        <v>193215.53576845099</v>
      </c>
      <c r="AP49" s="30">
        <v>6.6516649686589199E-2</v>
      </c>
      <c r="AQ49" s="29">
        <v>185501.57704999801</v>
      </c>
      <c r="AR49" s="30">
        <v>6.7548452508271906E-2</v>
      </c>
      <c r="AS49" s="29">
        <v>138642.609601731</v>
      </c>
      <c r="AT49" s="30">
        <v>7.50182498373511E-2</v>
      </c>
      <c r="AU49" s="29">
        <v>1024153.64181794</v>
      </c>
      <c r="AV49" s="30">
        <v>3.06582665227337E-2</v>
      </c>
      <c r="AW49" s="29">
        <v>640143.41811250395</v>
      </c>
      <c r="AX49" s="30">
        <v>2.6597946190369402E-2</v>
      </c>
      <c r="AY49" s="29">
        <v>384010.22370543698</v>
      </c>
      <c r="AZ49" s="30">
        <v>3.7498673708204401E-2</v>
      </c>
      <c r="BA49" s="29">
        <v>258419.19549374</v>
      </c>
      <c r="BB49" s="30">
        <v>6.2464525623183699E-2</v>
      </c>
      <c r="BC49" s="29">
        <v>324144.18665172899</v>
      </c>
      <c r="BD49" s="30">
        <v>7.0730683617632906E-2</v>
      </c>
      <c r="BE49" s="29"/>
      <c r="BF49" s="30"/>
    </row>
    <row r="50" spans="1:58" x14ac:dyDescent="0.2">
      <c r="A50" s="28">
        <v>2018</v>
      </c>
      <c r="B50" s="28"/>
      <c r="C50" s="29">
        <v>724383.24489115598</v>
      </c>
      <c r="D50" s="30">
        <v>4.1015874881724201E-2</v>
      </c>
      <c r="E50" s="29">
        <v>652024.63346341799</v>
      </c>
      <c r="F50" s="30">
        <v>2.2246614333568698E-2</v>
      </c>
      <c r="G50" s="29">
        <v>454322.66422455001</v>
      </c>
      <c r="H50" s="30">
        <v>1.25777679216823E-2</v>
      </c>
      <c r="I50" s="29">
        <v>371229.79736049997</v>
      </c>
      <c r="J50" s="30">
        <v>1.21319053835851E-2</v>
      </c>
      <c r="K50" s="29">
        <v>83092.866864049996</v>
      </c>
      <c r="L50" s="30">
        <v>1.4574532713832E-2</v>
      </c>
      <c r="M50" s="29">
        <v>197701.96923886801</v>
      </c>
      <c r="N50" s="30">
        <v>4.5181220072048299E-2</v>
      </c>
      <c r="O50" s="29">
        <v>195583.00339405099</v>
      </c>
      <c r="P50" s="30">
        <v>2.1512465440546701E-2</v>
      </c>
      <c r="Q50" s="29">
        <v>66489.946851681801</v>
      </c>
      <c r="R50" s="30">
        <v>5.4565052412214304E-3</v>
      </c>
      <c r="S50" s="29">
        <v>129093.05654237</v>
      </c>
      <c r="T50" s="30">
        <v>2.9983891592035201E-2</v>
      </c>
      <c r="U50" s="29">
        <v>5200.10886734002</v>
      </c>
      <c r="V50" s="30"/>
      <c r="W50" s="29">
        <v>-3081.1430225232598</v>
      </c>
      <c r="X50" s="30"/>
      <c r="Y50" s="29">
        <v>72358.611427737895</v>
      </c>
      <c r="Z50" s="30"/>
      <c r="AA50" s="29">
        <v>483485.34264047898</v>
      </c>
      <c r="AB50" s="30">
        <v>5.8493241109910603E-2</v>
      </c>
      <c r="AC50" s="29">
        <v>347012.64118577598</v>
      </c>
      <c r="AD50" s="30">
        <v>4.7817825022810997E-2</v>
      </c>
      <c r="AE50" s="29">
        <v>291630.117482776</v>
      </c>
      <c r="AF50" s="30">
        <v>8.6900350009279301E-2</v>
      </c>
      <c r="AG50" s="29">
        <v>222281.63904929999</v>
      </c>
      <c r="AH50" s="30">
        <v>5.5336588167700998E-2</v>
      </c>
      <c r="AI50" s="29">
        <v>136472.701454703</v>
      </c>
      <c r="AJ50" s="30">
        <v>8.6643714905041899E-2</v>
      </c>
      <c r="AK50" s="29">
        <v>411126.731212741</v>
      </c>
      <c r="AL50" s="30">
        <v>3.1013370100395201E-2</v>
      </c>
      <c r="AM50" s="29">
        <v>267320.08296337299</v>
      </c>
      <c r="AN50" s="30">
        <v>2.76907756384293E-2</v>
      </c>
      <c r="AO50" s="29">
        <v>208755.01752292301</v>
      </c>
      <c r="AP50" s="30">
        <v>8.0425632921643495E-2</v>
      </c>
      <c r="AQ50" s="29">
        <v>201327.02717689599</v>
      </c>
      <c r="AR50" s="30">
        <v>8.5311674318718306E-2</v>
      </c>
      <c r="AS50" s="29">
        <v>143806.64824936801</v>
      </c>
      <c r="AT50" s="30">
        <v>3.7247125270298401E-2</v>
      </c>
      <c r="AU50" s="29">
        <v>1064316.81145008</v>
      </c>
      <c r="AV50" s="30">
        <v>3.9215961348188201E-2</v>
      </c>
      <c r="AW50" s="29">
        <v>649905.667618601</v>
      </c>
      <c r="AX50" s="30">
        <v>1.52500974467278E-2</v>
      </c>
      <c r="AY50" s="29">
        <v>414411.14383147901</v>
      </c>
      <c r="AZ50" s="30">
        <v>7.9166955068782394E-2</v>
      </c>
      <c r="BA50" s="29">
        <v>277938.44237677602</v>
      </c>
      <c r="BB50" s="30">
        <v>7.5533270064331595E-2</v>
      </c>
      <c r="BC50" s="29">
        <v>345133.675426264</v>
      </c>
      <c r="BD50" s="30">
        <v>6.4753556099053297E-2</v>
      </c>
      <c r="BE50" s="29"/>
      <c r="BF50" s="30"/>
    </row>
    <row r="51" spans="1:58" x14ac:dyDescent="0.2">
      <c r="A51" s="28">
        <v>2019</v>
      </c>
      <c r="B51" s="28"/>
      <c r="C51" s="29">
        <v>731800.76850289002</v>
      </c>
      <c r="D51" s="30">
        <v>1.0239777996037499E-2</v>
      </c>
      <c r="E51" s="29">
        <v>663930.70071562205</v>
      </c>
      <c r="F51" s="30">
        <v>1.82601494501233E-2</v>
      </c>
      <c r="G51" s="29">
        <v>459823.62975939701</v>
      </c>
      <c r="H51" s="30">
        <v>1.2108058804938499E-2</v>
      </c>
      <c r="I51" s="29">
        <v>375003.95089233702</v>
      </c>
      <c r="J51" s="30">
        <v>1.0166623365559501E-2</v>
      </c>
      <c r="K51" s="29">
        <v>84819.678867060007</v>
      </c>
      <c r="L51" s="30">
        <v>2.0781711694161299E-2</v>
      </c>
      <c r="M51" s="29">
        <v>204107.07095622501</v>
      </c>
      <c r="N51" s="30">
        <v>3.2397763876685498E-2</v>
      </c>
      <c r="O51" s="29">
        <v>197599.95194815501</v>
      </c>
      <c r="P51" s="30">
        <v>1.0312494026076599E-2</v>
      </c>
      <c r="Q51" s="29">
        <v>66303.248391488596</v>
      </c>
      <c r="R51" s="30">
        <v>-2.8079201297857002E-3</v>
      </c>
      <c r="S51" s="29">
        <v>131296.70355666601</v>
      </c>
      <c r="T51" s="30">
        <v>1.70702210739988E-2</v>
      </c>
      <c r="U51" s="29">
        <v>9109.1817993603199</v>
      </c>
      <c r="V51" s="30"/>
      <c r="W51" s="29">
        <v>-2602.06279129011</v>
      </c>
      <c r="X51" s="30"/>
      <c r="Y51" s="29">
        <v>67870.067787268606</v>
      </c>
      <c r="Z51" s="30"/>
      <c r="AA51" s="29">
        <v>484074.87041730701</v>
      </c>
      <c r="AB51" s="30">
        <v>1.2193291602351499E-3</v>
      </c>
      <c r="AC51" s="29">
        <v>349342.25081894302</v>
      </c>
      <c r="AD51" s="30">
        <v>6.7133278638113998E-3</v>
      </c>
      <c r="AE51" s="29">
        <v>295620.03742394299</v>
      </c>
      <c r="AF51" s="30">
        <v>1.36814399541672E-2</v>
      </c>
      <c r="AG51" s="29">
        <v>230158.55900099999</v>
      </c>
      <c r="AH51" s="30">
        <v>3.54366648787987E-2</v>
      </c>
      <c r="AI51" s="29">
        <v>134732.619598363</v>
      </c>
      <c r="AJ51" s="30">
        <v>-1.2750402371986901E-2</v>
      </c>
      <c r="AK51" s="29">
        <v>416204.802630038</v>
      </c>
      <c r="AL51" s="30">
        <v>1.23515963126937E-2</v>
      </c>
      <c r="AM51" s="29">
        <v>269733.59611358203</v>
      </c>
      <c r="AN51" s="30">
        <v>9.0285515530830196E-3</v>
      </c>
      <c r="AO51" s="29">
        <v>212343.81445979999</v>
      </c>
      <c r="AP51" s="30">
        <v>1.7191428399952802E-2</v>
      </c>
      <c r="AQ51" s="29">
        <v>204503.91993787201</v>
      </c>
      <c r="AR51" s="30">
        <v>1.5779762933590701E-2</v>
      </c>
      <c r="AS51" s="29">
        <v>146471.206516456</v>
      </c>
      <c r="AT51" s="30">
        <v>1.8528755794845701E-2</v>
      </c>
      <c r="AU51" s="29">
        <v>1073666.7131578601</v>
      </c>
      <c r="AV51" s="30">
        <v>8.7848858602914692E-3</v>
      </c>
      <c r="AW51" s="29">
        <v>657423.58170755103</v>
      </c>
      <c r="AX51" s="30">
        <v>1.15677004579722E-2</v>
      </c>
      <c r="AY51" s="29">
        <v>416243.13145030697</v>
      </c>
      <c r="AZ51" s="30">
        <v>4.4207006642966703E-3</v>
      </c>
      <c r="BA51" s="29">
        <v>281510.51185194298</v>
      </c>
      <c r="BB51" s="30">
        <v>1.2852016599866E-2</v>
      </c>
      <c r="BC51" s="29">
        <v>350975.12645432801</v>
      </c>
      <c r="BD51" s="30">
        <v>1.6925184193774499E-2</v>
      </c>
      <c r="BE51" s="29"/>
      <c r="BF51" s="30"/>
    </row>
    <row r="52" spans="1:58" x14ac:dyDescent="0.2">
      <c r="A52" s="28">
        <v>2020</v>
      </c>
      <c r="B52" s="28"/>
      <c r="C52" s="29">
        <v>709854.59789991495</v>
      </c>
      <c r="D52" s="30">
        <v>-2.99892696858911E-2</v>
      </c>
      <c r="E52" s="29">
        <v>669496.86045183602</v>
      </c>
      <c r="F52" s="30">
        <v>8.3836456579202707E-3</v>
      </c>
      <c r="G52" s="29">
        <v>447300.685300785</v>
      </c>
      <c r="H52" s="30">
        <v>-2.7234234276224699E-2</v>
      </c>
      <c r="I52" s="29">
        <v>359492.54806959501</v>
      </c>
      <c r="J52" s="30">
        <v>-4.1363305068737102E-2</v>
      </c>
      <c r="K52" s="29">
        <v>87808.137231190005</v>
      </c>
      <c r="L52" s="30">
        <v>3.5233078031501601E-2</v>
      </c>
      <c r="M52" s="29">
        <v>222196.17515105099</v>
      </c>
      <c r="N52" s="30">
        <v>8.8625563583269798E-2</v>
      </c>
      <c r="O52" s="29">
        <v>196156.89172686599</v>
      </c>
      <c r="P52" s="30">
        <v>-7.3029381184635004E-3</v>
      </c>
      <c r="Q52" s="29">
        <v>65672.944430627307</v>
      </c>
      <c r="R52" s="30">
        <v>-9.5063813033658996E-3</v>
      </c>
      <c r="S52" s="29">
        <v>130483.947296239</v>
      </c>
      <c r="T52" s="30">
        <v>-6.1902259417858704E-3</v>
      </c>
      <c r="U52" s="29">
        <v>11917.0429442036</v>
      </c>
      <c r="V52" s="30"/>
      <c r="W52" s="29">
        <v>14122.240479981099</v>
      </c>
      <c r="X52" s="30"/>
      <c r="Y52" s="29">
        <v>40357.737448078602</v>
      </c>
      <c r="Z52" s="30"/>
      <c r="AA52" s="29">
        <v>451241.97974590003</v>
      </c>
      <c r="AB52" s="30">
        <v>-6.7826058896843802E-2</v>
      </c>
      <c r="AC52" s="29">
        <v>339389.96256787301</v>
      </c>
      <c r="AD52" s="30">
        <v>-2.84886475304349E-2</v>
      </c>
      <c r="AE52" s="29">
        <v>275877.40683787398</v>
      </c>
      <c r="AF52" s="30">
        <v>-6.6783803825033197E-2</v>
      </c>
      <c r="AG52" s="29">
        <v>216005.529147394</v>
      </c>
      <c r="AH52" s="30">
        <v>-6.1492520265322599E-2</v>
      </c>
      <c r="AI52" s="29">
        <v>111852.017178027</v>
      </c>
      <c r="AJ52" s="30">
        <v>-0.16982229313542199</v>
      </c>
      <c r="AK52" s="29">
        <v>410884.24229782203</v>
      </c>
      <c r="AL52" s="30">
        <v>-1.2783514987321399E-2</v>
      </c>
      <c r="AM52" s="29">
        <v>271946.95609540498</v>
      </c>
      <c r="AN52" s="30">
        <v>8.20572599673919E-3</v>
      </c>
      <c r="AO52" s="29">
        <v>191537.698322143</v>
      </c>
      <c r="AP52" s="30">
        <v>-9.7983151478121602E-2</v>
      </c>
      <c r="AQ52" s="29">
        <v>184862.38742242401</v>
      </c>
      <c r="AR52" s="30">
        <v>-9.6044772742816295E-2</v>
      </c>
      <c r="AS52" s="29">
        <v>138937.28620241699</v>
      </c>
      <c r="AT52" s="30">
        <v>-5.14361866282095E-2</v>
      </c>
      <c r="AU52" s="29">
        <v>1021737.2285805501</v>
      </c>
      <c r="AV52" s="30">
        <v>-4.8366484627777803E-2</v>
      </c>
      <c r="AW52" s="29">
        <v>643457.57702765102</v>
      </c>
      <c r="AX52" s="30">
        <v>-2.1243540798499699E-2</v>
      </c>
      <c r="AY52" s="29">
        <v>378279.65155289997</v>
      </c>
      <c r="AZ52" s="30">
        <v>-9.1205060285633799E-2</v>
      </c>
      <c r="BA52" s="29">
        <v>266427.63437487301</v>
      </c>
      <c r="BB52" s="30">
        <v>-5.3578381062381997E-2</v>
      </c>
      <c r="BC52" s="29">
        <v>323799.67362484097</v>
      </c>
      <c r="BD52" s="30">
        <v>-7.7428429484514602E-2</v>
      </c>
      <c r="BE52" s="29"/>
      <c r="BF52" s="30"/>
    </row>
    <row r="53" spans="1:58" x14ac:dyDescent="0.2">
      <c r="A53" s="28">
        <v>2021</v>
      </c>
      <c r="B53" s="28"/>
      <c r="C53" s="29">
        <v>768279.35247361602</v>
      </c>
      <c r="D53" s="30">
        <v>8.2305242153180899E-2</v>
      </c>
      <c r="E53" s="29">
        <v>677006.64386969397</v>
      </c>
      <c r="F53" s="30">
        <v>1.1217055465786401E-2</v>
      </c>
      <c r="G53" s="29">
        <v>460707.40796863998</v>
      </c>
      <c r="H53" s="30">
        <v>2.99725064334284E-2</v>
      </c>
      <c r="I53" s="29">
        <v>368464.51483260997</v>
      </c>
      <c r="J53" s="30">
        <v>2.4957309438519398E-2</v>
      </c>
      <c r="K53" s="29">
        <v>92242.893136030005</v>
      </c>
      <c r="L53" s="30">
        <v>5.0505067578915999E-2</v>
      </c>
      <c r="M53" s="29">
        <v>216299.23590105399</v>
      </c>
      <c r="N53" s="30">
        <v>-2.6539337349023501E-2</v>
      </c>
      <c r="O53" s="29">
        <v>205706.94328965101</v>
      </c>
      <c r="P53" s="30">
        <v>4.8685781461518002E-2</v>
      </c>
      <c r="Q53" s="29">
        <v>65441.025858085697</v>
      </c>
      <c r="R53" s="30">
        <v>-3.53141730665973E-3</v>
      </c>
      <c r="S53" s="29">
        <v>140265.917431565</v>
      </c>
      <c r="T53" s="30">
        <v>7.4966847171770407E-2</v>
      </c>
      <c r="U53" s="29">
        <v>7017.0445707452</v>
      </c>
      <c r="V53" s="30"/>
      <c r="W53" s="29">
        <v>3575.2480406581899</v>
      </c>
      <c r="X53" s="30"/>
      <c r="Y53" s="29">
        <v>91272.708603921899</v>
      </c>
      <c r="Z53" s="30"/>
      <c r="AA53" s="29">
        <v>537350.96466702898</v>
      </c>
      <c r="AB53" s="30">
        <v>0.190826626923358</v>
      </c>
      <c r="AC53" s="29">
        <v>410022.54162948998</v>
      </c>
      <c r="AD53" s="30">
        <v>0.20811628760968701</v>
      </c>
      <c r="AE53" s="29">
        <v>335957.14133049001</v>
      </c>
      <c r="AF53" s="30">
        <v>0.21777692918479499</v>
      </c>
      <c r="AG53" s="29">
        <v>249297.41568968701</v>
      </c>
      <c r="AH53" s="30">
        <v>0.15412515908134899</v>
      </c>
      <c r="AI53" s="29">
        <v>127328.423037539</v>
      </c>
      <c r="AJ53" s="30">
        <v>0.13836501343448401</v>
      </c>
      <c r="AK53" s="29">
        <v>446078.25606310699</v>
      </c>
      <c r="AL53" s="30">
        <v>8.5654328256704604E-2</v>
      </c>
      <c r="AM53" s="29">
        <v>294529.13410219899</v>
      </c>
      <c r="AN53" s="30">
        <v>8.3038907039179502E-2</v>
      </c>
      <c r="AO53" s="29">
        <v>211835.68068900899</v>
      </c>
      <c r="AP53" s="30">
        <v>0.105973824185393</v>
      </c>
      <c r="AQ53" s="29">
        <v>203773.06815054099</v>
      </c>
      <c r="AR53" s="30">
        <v>0.10229598888012301</v>
      </c>
      <c r="AS53" s="29">
        <v>151549.12196090701</v>
      </c>
      <c r="AT53" s="30">
        <v>9.0773586437529002E-2</v>
      </c>
      <c r="AU53" s="29">
        <v>1116584.4980143199</v>
      </c>
      <c r="AV53" s="30">
        <v>9.2829415216213906E-2</v>
      </c>
      <c r="AW53" s="29">
        <v>666414.35125829105</v>
      </c>
      <c r="AX53" s="30">
        <v>3.5677214862687198E-2</v>
      </c>
      <c r="AY53" s="29">
        <v>450170.14675602899</v>
      </c>
      <c r="AZ53" s="30">
        <v>0.19004589569649299</v>
      </c>
      <c r="BA53" s="29">
        <v>322841.72371848999</v>
      </c>
      <c r="BB53" s="30">
        <v>0.21174263501600499</v>
      </c>
      <c r="BC53" s="29">
        <v>355322.19011144899</v>
      </c>
      <c r="BD53" s="30">
        <v>9.7351909388057004E-2</v>
      </c>
      <c r="BE53" s="29"/>
      <c r="BF53" s="30"/>
    </row>
    <row r="54" spans="1:58" x14ac:dyDescent="0.2">
      <c r="A54" s="28">
        <v>2022</v>
      </c>
      <c r="B54" s="28"/>
      <c r="C54" s="29">
        <v>819703.68671952398</v>
      </c>
      <c r="D54" s="30">
        <v>6.6934421809381306E-2</v>
      </c>
      <c r="E54" s="29">
        <v>707454.13746740902</v>
      </c>
      <c r="F54" s="30">
        <v>4.4973699849798002E-2</v>
      </c>
      <c r="G54" s="29">
        <v>488925.80354328098</v>
      </c>
      <c r="H54" s="30">
        <v>6.1250145073771703E-2</v>
      </c>
      <c r="I54" s="29">
        <v>395359.71260223101</v>
      </c>
      <c r="J54" s="30">
        <v>7.2992640232503195E-2</v>
      </c>
      <c r="K54" s="29">
        <v>93566.090941050003</v>
      </c>
      <c r="L54" s="30">
        <v>1.43447127473406E-2</v>
      </c>
      <c r="M54" s="29">
        <v>218528.333924128</v>
      </c>
      <c r="N54" s="30">
        <v>1.0305621348075E-2</v>
      </c>
      <c r="O54" s="29">
        <v>215222.97075095199</v>
      </c>
      <c r="P54" s="30">
        <v>4.62601179577182E-2</v>
      </c>
      <c r="Q54" s="29">
        <v>65713.207306670505</v>
      </c>
      <c r="R54" s="30">
        <v>4.1591867642030199E-3</v>
      </c>
      <c r="S54" s="29">
        <v>149509.76344428101</v>
      </c>
      <c r="T54" s="30">
        <v>6.5902296024450205E-2</v>
      </c>
      <c r="U54" s="29">
        <v>6818.4002994624898</v>
      </c>
      <c r="V54" s="30"/>
      <c r="W54" s="29">
        <v>-3513.0371262856102</v>
      </c>
      <c r="X54" s="30"/>
      <c r="Y54" s="29">
        <v>112249.549252114</v>
      </c>
      <c r="Z54" s="30"/>
      <c r="AA54" s="29">
        <v>614490.00355019502</v>
      </c>
      <c r="AB54" s="30">
        <v>0.14355429496803199</v>
      </c>
      <c r="AC54" s="29">
        <v>465564.32377286401</v>
      </c>
      <c r="AD54" s="30">
        <v>0.135460313773587</v>
      </c>
      <c r="AE54" s="29">
        <v>377358.76267686399</v>
      </c>
      <c r="AF54" s="30">
        <v>0.123234830438227</v>
      </c>
      <c r="AG54" s="29">
        <v>267409.61577048898</v>
      </c>
      <c r="AH54" s="30">
        <v>7.2652979697741302E-2</v>
      </c>
      <c r="AI54" s="29">
        <v>148925.67977733101</v>
      </c>
      <c r="AJ54" s="30">
        <v>0.16961850484416299</v>
      </c>
      <c r="AK54" s="29">
        <v>502240.45429808099</v>
      </c>
      <c r="AL54" s="30">
        <v>0.125902120248222</v>
      </c>
      <c r="AM54" s="29">
        <v>339429.02234336</v>
      </c>
      <c r="AN54" s="30">
        <v>0.15244633906260999</v>
      </c>
      <c r="AO54" s="29">
        <v>248194.56866522599</v>
      </c>
      <c r="AP54" s="30">
        <v>0.17163722304928899</v>
      </c>
      <c r="AQ54" s="29">
        <v>238894.71283064599</v>
      </c>
      <c r="AR54" s="30">
        <v>0.17235665634753</v>
      </c>
      <c r="AS54" s="29">
        <v>162811.43195472099</v>
      </c>
      <c r="AT54" s="30">
        <v>7.4314584262116207E-2</v>
      </c>
      <c r="AU54" s="29">
        <v>1214591.4312054301</v>
      </c>
      <c r="AV54" s="30">
        <v>8.7773861597934696E-2</v>
      </c>
      <c r="AW54" s="29">
        <v>704148.77429423202</v>
      </c>
      <c r="AX54" s="30">
        <v>5.6623064861513098E-2</v>
      </c>
      <c r="AY54" s="29">
        <v>510442.65691119502</v>
      </c>
      <c r="AZ54" s="30">
        <v>0.133888287771849</v>
      </c>
      <c r="BA54" s="29">
        <v>361516.97713386401</v>
      </c>
      <c r="BB54" s="30">
        <v>0.119796329204023</v>
      </c>
      <c r="BC54" s="29">
        <v>401706.14478536701</v>
      </c>
      <c r="BD54" s="30">
        <v>0.13054055154666699</v>
      </c>
      <c r="BE54" s="29"/>
      <c r="BF54" s="30"/>
    </row>
    <row r="55" spans="1:58" x14ac:dyDescent="0.2">
      <c r="A55" s="28">
        <v>2023</v>
      </c>
      <c r="B55" s="28"/>
      <c r="C55" s="29">
        <v>834189.81128891394</v>
      </c>
      <c r="D55" s="30">
        <v>1.76723916264971E-2</v>
      </c>
      <c r="E55" s="29">
        <v>743260.77071581897</v>
      </c>
      <c r="F55" s="30">
        <v>5.0613363258560397E-2</v>
      </c>
      <c r="G55" s="29">
        <v>505064.27628235897</v>
      </c>
      <c r="H55" s="30">
        <v>3.3008020076097599E-2</v>
      </c>
      <c r="I55" s="29">
        <v>407117.78054839902</v>
      </c>
      <c r="J55" s="30">
        <v>2.97401772901391E-2</v>
      </c>
      <c r="K55" s="29">
        <v>97946.495733959993</v>
      </c>
      <c r="L55" s="30">
        <v>4.6816156888180901E-2</v>
      </c>
      <c r="M55" s="29">
        <v>238196.49443345901</v>
      </c>
      <c r="N55" s="30">
        <v>9.0002793487455005E-2</v>
      </c>
      <c r="O55" s="29">
        <v>224331.05048535101</v>
      </c>
      <c r="P55" s="30">
        <v>4.2319273368543998E-2</v>
      </c>
      <c r="Q55" s="29">
        <v>66634.834484872394</v>
      </c>
      <c r="R55" s="30">
        <v>1.4024991565254601E-2</v>
      </c>
      <c r="S55" s="29">
        <v>157696.21600047901</v>
      </c>
      <c r="T55" s="30">
        <v>5.4755304052425298E-2</v>
      </c>
      <c r="U55" s="29">
        <v>18867.123792734499</v>
      </c>
      <c r="V55" s="30"/>
      <c r="W55" s="29">
        <v>-5001.6798446265702</v>
      </c>
      <c r="X55" s="30"/>
      <c r="Y55" s="29">
        <v>90929.040573095801</v>
      </c>
      <c r="Z55" s="30"/>
      <c r="AA55" s="29">
        <v>586591.74927423103</v>
      </c>
      <c r="AB55" s="30">
        <v>-4.5400664152033199E-2</v>
      </c>
      <c r="AC55" s="29">
        <v>432836.92138855299</v>
      </c>
      <c r="AD55" s="30">
        <v>-7.0296199071038998E-2</v>
      </c>
      <c r="AE55" s="29">
        <v>343143.26050155301</v>
      </c>
      <c r="AF55" s="30">
        <v>-9.0671015382276801E-2</v>
      </c>
      <c r="AG55" s="29">
        <v>264226.30581589602</v>
      </c>
      <c r="AH55" s="30">
        <v>-1.1904246395258101E-2</v>
      </c>
      <c r="AI55" s="29">
        <v>153754.82788567801</v>
      </c>
      <c r="AJ55" s="30">
        <v>3.2426564146406503E-2</v>
      </c>
      <c r="AK55" s="29">
        <v>495662.708701136</v>
      </c>
      <c r="AL55" s="30">
        <v>-1.3096805605073E-2</v>
      </c>
      <c r="AM55" s="29">
        <v>327204.95540107501</v>
      </c>
      <c r="AN55" s="30">
        <v>-3.6013617391617798E-2</v>
      </c>
      <c r="AO55" s="29">
        <v>238755.23755448399</v>
      </c>
      <c r="AP55" s="30">
        <v>-3.8031980963589097E-2</v>
      </c>
      <c r="AQ55" s="29">
        <v>229569.406756702</v>
      </c>
      <c r="AR55" s="30">
        <v>-3.9035213309867298E-2</v>
      </c>
      <c r="AS55" s="29">
        <v>168457.75330005999</v>
      </c>
      <c r="AT55" s="30">
        <v>3.4680128278150597E-2</v>
      </c>
      <c r="AU55" s="29">
        <v>1213349.84755294</v>
      </c>
      <c r="AV55" s="30">
        <v>-1.02222329302404E-3</v>
      </c>
      <c r="AW55" s="29">
        <v>729395.32676771097</v>
      </c>
      <c r="AX55" s="30">
        <v>3.5854003294663303E-2</v>
      </c>
      <c r="AY55" s="29">
        <v>483954.52078523103</v>
      </c>
      <c r="AZ55" s="30">
        <v>-5.1892481490966799E-2</v>
      </c>
      <c r="BA55" s="29">
        <v>330199.69289955299</v>
      </c>
      <c r="BB55" s="30">
        <v>-8.66274233719172E-2</v>
      </c>
      <c r="BC55" s="29">
        <v>398027.16005676199</v>
      </c>
      <c r="BD55" s="30">
        <v>-9.1583979392954006E-3</v>
      </c>
      <c r="BE55" s="29"/>
      <c r="BF55" s="30"/>
    </row>
    <row r="56" spans="1:58" x14ac:dyDescent="0.2">
      <c r="A56" s="28">
        <v>2024</v>
      </c>
      <c r="B56" s="28"/>
      <c r="C56" s="29">
        <v>853956.984778921</v>
      </c>
      <c r="D56" s="30">
        <v>2.3696253805191199E-2</v>
      </c>
      <c r="E56" s="29">
        <v>751054.62961583002</v>
      </c>
      <c r="F56" s="30">
        <v>1.04860355975811E-2</v>
      </c>
      <c r="G56" s="29">
        <v>522831.72347077401</v>
      </c>
      <c r="H56" s="30">
        <v>3.51785862171754E-2</v>
      </c>
      <c r="I56" s="29">
        <v>421086.50412917399</v>
      </c>
      <c r="J56" s="30">
        <v>3.4311258923543003E-2</v>
      </c>
      <c r="K56" s="29">
        <v>101745.21934159999</v>
      </c>
      <c r="L56" s="30">
        <v>3.87836601929894E-2</v>
      </c>
      <c r="M56" s="29">
        <v>228222.906145057</v>
      </c>
      <c r="N56" s="30">
        <v>-4.1871263941664703E-2</v>
      </c>
      <c r="O56" s="29">
        <v>225873.12730923001</v>
      </c>
      <c r="P56" s="30">
        <v>6.8741122574964598E-3</v>
      </c>
      <c r="Q56" s="29">
        <v>66214.366069189797</v>
      </c>
      <c r="R56" s="30">
        <v>-6.3100391699489897E-3</v>
      </c>
      <c r="S56" s="29">
        <v>159658.76124004001</v>
      </c>
      <c r="T56" s="30">
        <v>1.24451003919779E-2</v>
      </c>
      <c r="U56" s="29">
        <v>12510.248008549899</v>
      </c>
      <c r="V56" s="30"/>
      <c r="W56" s="29">
        <v>-10160.469172723</v>
      </c>
      <c r="X56" s="30"/>
      <c r="Y56" s="29">
        <v>102902.35516309099</v>
      </c>
      <c r="Z56" s="30"/>
      <c r="AA56" s="29">
        <v>608036.925239534</v>
      </c>
      <c r="AB56" s="30">
        <v>3.6558945794644901E-2</v>
      </c>
      <c r="AC56" s="29">
        <v>442055.49156028201</v>
      </c>
      <c r="AD56" s="30">
        <v>2.1298021763381799E-2</v>
      </c>
      <c r="AE56" s="29">
        <v>346305.23774928198</v>
      </c>
      <c r="AF56" s="30">
        <v>9.2147438451999405E-3</v>
      </c>
      <c r="AG56" s="29">
        <v>274010.45248422399</v>
      </c>
      <c r="AH56" s="30">
        <v>3.7029419300685901E-2</v>
      </c>
      <c r="AI56" s="29">
        <v>165981.43367925199</v>
      </c>
      <c r="AJ56" s="30">
        <v>7.9520142305155903E-2</v>
      </c>
      <c r="AK56" s="29">
        <v>505134.57007644302</v>
      </c>
      <c r="AL56" s="30">
        <v>1.9109489596520299E-2</v>
      </c>
      <c r="AM56" s="29">
        <v>326737.23124500399</v>
      </c>
      <c r="AN56" s="30">
        <v>-1.42945315574006E-3</v>
      </c>
      <c r="AO56" s="29">
        <v>237186.44473740499</v>
      </c>
      <c r="AP56" s="30">
        <v>-6.5707158223956598E-3</v>
      </c>
      <c r="AQ56" s="29">
        <v>227529.55372472701</v>
      </c>
      <c r="AR56" s="30">
        <v>-8.8855612809817207E-3</v>
      </c>
      <c r="AS56" s="29">
        <v>178397.338831439</v>
      </c>
      <c r="AT56" s="30">
        <v>5.90034316418468E-2</v>
      </c>
      <c r="AU56" s="29">
        <v>1247373.62932654</v>
      </c>
      <c r="AV56" s="30">
        <v>2.8041196726742702E-2</v>
      </c>
      <c r="AW56" s="29">
        <v>748704.85078000301</v>
      </c>
      <c r="AX56" s="30">
        <v>2.6473331132874402E-2</v>
      </c>
      <c r="AY56" s="29">
        <v>498668.77854653401</v>
      </c>
      <c r="AZ56" s="30">
        <v>3.0404215952829699E-2</v>
      </c>
      <c r="BA56" s="29">
        <v>332687.34486728202</v>
      </c>
      <c r="BB56" s="30">
        <v>7.5337803796362603E-3</v>
      </c>
      <c r="BC56" s="29">
        <v>405926.89255616599</v>
      </c>
      <c r="BD56" s="30">
        <v>1.9847219718064801E-2</v>
      </c>
      <c r="BE56" s="29"/>
      <c r="BF56" s="30"/>
    </row>
    <row r="57" spans="1:58" x14ac:dyDescent="0.2">
      <c r="A57" s="28">
        <v>2025</v>
      </c>
      <c r="B57" s="28"/>
      <c r="C57" s="29">
        <v>867544.66945242602</v>
      </c>
      <c r="D57" s="30">
        <v>1.5911439236043299E-2</v>
      </c>
      <c r="E57" s="29">
        <v>789956.36990012496</v>
      </c>
      <c r="F57" s="30">
        <v>5.1796152703556399E-2</v>
      </c>
      <c r="G57" s="29">
        <v>534138.83071561903</v>
      </c>
      <c r="H57" s="30">
        <v>2.1626666357931899E-2</v>
      </c>
      <c r="I57" s="29">
        <v>429665.12524772401</v>
      </c>
      <c r="J57" s="30">
        <v>2.0372586236862202E-2</v>
      </c>
      <c r="K57" s="29">
        <v>104473.705467894</v>
      </c>
      <c r="L57" s="30">
        <v>2.6816848437210199E-2</v>
      </c>
      <c r="M57" s="29">
        <v>255817.53918450599</v>
      </c>
      <c r="N57" s="30">
        <v>0.120910882722309</v>
      </c>
      <c r="O57" s="29">
        <v>225532.292375858</v>
      </c>
      <c r="P57" s="30">
        <v>-1.50896628311648E-3</v>
      </c>
      <c r="Q57" s="29">
        <v>66454.017182354306</v>
      </c>
      <c r="R57" s="30">
        <v>3.6193220201512499E-3</v>
      </c>
      <c r="S57" s="29">
        <v>159078.275193504</v>
      </c>
      <c r="T57" s="30">
        <v>-3.6357919980570799E-3</v>
      </c>
      <c r="U57" s="29">
        <v>21734.635597189699</v>
      </c>
      <c r="V57" s="30"/>
      <c r="W57" s="29">
        <v>8550.6112114583393</v>
      </c>
      <c r="X57" s="30"/>
      <c r="Y57" s="29">
        <v>77588.299552301207</v>
      </c>
      <c r="Z57" s="30"/>
      <c r="AA57" s="29">
        <v>677142.41508650698</v>
      </c>
      <c r="AB57" s="30">
        <v>0.113653442707857</v>
      </c>
      <c r="AC57" s="29">
        <v>514410.47014170501</v>
      </c>
      <c r="AD57" s="30">
        <v>0.16367849729914799</v>
      </c>
      <c r="AE57" s="29">
        <v>362405.05481296801</v>
      </c>
      <c r="AF57" s="30">
        <v>4.64902499549893E-2</v>
      </c>
      <c r="AG57" s="29">
        <v>281040.60258460703</v>
      </c>
      <c r="AH57" s="30">
        <v>2.5656503380241402E-2</v>
      </c>
      <c r="AI57" s="29">
        <v>162731.94494480101</v>
      </c>
      <c r="AJ57" s="30">
        <v>-1.95774229829218E-2</v>
      </c>
      <c r="AK57" s="29">
        <v>599554.11553420499</v>
      </c>
      <c r="AL57" s="30">
        <v>0.18691958747442999</v>
      </c>
      <c r="AM57" s="29">
        <v>424138.87329813698</v>
      </c>
      <c r="AN57" s="30">
        <v>0.29810389737953302</v>
      </c>
      <c r="AO57" s="29">
        <v>255934.009676138</v>
      </c>
      <c r="AP57" s="30">
        <v>7.9041468661877196E-2</v>
      </c>
      <c r="AQ57" s="29">
        <v>241531.61101516301</v>
      </c>
      <c r="AR57" s="30">
        <v>6.1539510192052602E-2</v>
      </c>
      <c r="AS57" s="29">
        <v>175415.242236069</v>
      </c>
      <c r="AT57" s="30">
        <v>-1.6716037441503E-2</v>
      </c>
      <c r="AU57" s="29">
        <v>1262756.8871064701</v>
      </c>
      <c r="AV57" s="30">
        <v>1.23325180349014E-2</v>
      </c>
      <c r="AW57" s="29">
        <v>759671.12309147697</v>
      </c>
      <c r="AX57" s="30">
        <v>1.4646989798514601E-2</v>
      </c>
      <c r="AY57" s="29">
        <v>503085.764014991</v>
      </c>
      <c r="AZ57" s="30">
        <v>8.8575536678494604E-3</v>
      </c>
      <c r="BA57" s="29">
        <v>340353.81907018903</v>
      </c>
      <c r="BB57" s="30">
        <v>2.3044081240798799E-2</v>
      </c>
      <c r="BC57" s="29">
        <v>416946.85325123102</v>
      </c>
      <c r="BD57" s="30">
        <v>2.71476487445097E-2</v>
      </c>
      <c r="BE57" s="29"/>
      <c r="BF57" s="30"/>
    </row>
    <row r="58" spans="1:58" x14ac:dyDescent="0.2">
      <c r="A58" s="28"/>
      <c r="B58" s="28"/>
      <c r="C58" s="29"/>
      <c r="D58" s="30"/>
      <c r="E58" s="29"/>
      <c r="F58" s="30"/>
      <c r="G58" s="29"/>
      <c r="H58" s="30"/>
      <c r="I58" s="29"/>
      <c r="J58" s="30"/>
      <c r="K58" s="29"/>
      <c r="L58" s="30"/>
      <c r="M58" s="29"/>
      <c r="N58" s="30"/>
      <c r="O58" s="29"/>
      <c r="P58" s="30"/>
      <c r="Q58" s="29"/>
      <c r="R58" s="30"/>
      <c r="S58" s="29"/>
      <c r="T58" s="30"/>
      <c r="U58" s="29"/>
      <c r="V58" s="30"/>
      <c r="W58" s="29"/>
      <c r="X58" s="30"/>
      <c r="Y58" s="29"/>
      <c r="Z58" s="30"/>
      <c r="AA58" s="29"/>
      <c r="AB58" s="30"/>
      <c r="AC58" s="29"/>
      <c r="AD58" s="30"/>
      <c r="AE58" s="29"/>
      <c r="AF58" s="30"/>
      <c r="AG58" s="29"/>
      <c r="AH58" s="30"/>
      <c r="AI58" s="29"/>
      <c r="AJ58" s="30"/>
      <c r="AK58" s="29"/>
      <c r="AL58" s="30"/>
      <c r="AM58" s="29"/>
      <c r="AN58" s="30"/>
      <c r="AO58" s="29"/>
      <c r="AP58" s="30"/>
      <c r="AQ58" s="29"/>
      <c r="AR58" s="30"/>
      <c r="AS58" s="29"/>
      <c r="AT58" s="30"/>
      <c r="AU58" s="29"/>
      <c r="AV58" s="30"/>
      <c r="AW58" s="29"/>
      <c r="AX58" s="30"/>
      <c r="AY58" s="29"/>
      <c r="AZ58" s="30"/>
      <c r="BA58" s="29"/>
      <c r="BB58" s="30"/>
      <c r="BC58" s="29"/>
      <c r="BD58" s="30"/>
      <c r="BE58" s="29"/>
      <c r="BF58" s="30"/>
    </row>
  </sheetData>
  <sheetProtection password="DD0B" sheet="1"/>
  <mergeCells count="65">
    <mergeCell ref="BC6:BD10"/>
    <mergeCell ref="BA7:BB10"/>
    <mergeCell ref="AU6:AV10"/>
    <mergeCell ref="AS11:AT11"/>
    <mergeCell ref="AS7:AT10"/>
    <mergeCell ref="AU11:AV11"/>
    <mergeCell ref="AW11:AX11"/>
    <mergeCell ref="AY11:AZ11"/>
    <mergeCell ref="BA11:BB11"/>
    <mergeCell ref="BC11:BD11"/>
    <mergeCell ref="AM11:AN11"/>
    <mergeCell ref="AO11:AP11"/>
    <mergeCell ref="AM8:AN10"/>
    <mergeCell ref="AO8:AP10"/>
    <mergeCell ref="AQ8:AR10"/>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C11:D11"/>
    <mergeCell ref="E11:F11"/>
    <mergeCell ref="G11:H11"/>
    <mergeCell ref="I11:J11"/>
    <mergeCell ref="K11:L11"/>
    <mergeCell ref="M11:N11"/>
    <mergeCell ref="G7:H10"/>
    <mergeCell ref="I7:J10"/>
    <mergeCell ref="K7:L10"/>
    <mergeCell ref="M7:N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Q8:R10"/>
    <mergeCell ref="S8:T10"/>
    <mergeCell ref="AC8:AD10"/>
    <mergeCell ref="AG8:AH10"/>
    <mergeCell ref="O7:T7"/>
    <mergeCell ref="AE8:AF10"/>
    <mergeCell ref="W7:X10"/>
    <mergeCell ref="AA7:AB10"/>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E0040-9E0E-49B2-A2C5-470BB80AA247}">
  <dimension ref="A1:G47"/>
  <sheetViews>
    <sheetView workbookViewId="0">
      <selection activeCell="I18" sqref="I18"/>
    </sheetView>
  </sheetViews>
  <sheetFormatPr baseColWidth="10" defaultRowHeight="10" x14ac:dyDescent="0.2"/>
  <sheetData>
    <row r="1" spans="1:7" x14ac:dyDescent="0.2">
      <c r="A1" t="s">
        <v>210</v>
      </c>
      <c r="B1" t="s">
        <v>196</v>
      </c>
      <c r="C1" t="s">
        <v>190</v>
      </c>
      <c r="D1" t="s">
        <v>191</v>
      </c>
      <c r="E1" t="s">
        <v>192</v>
      </c>
      <c r="F1" t="s">
        <v>203</v>
      </c>
      <c r="G1" t="s">
        <v>211</v>
      </c>
    </row>
    <row r="2" spans="1:7" x14ac:dyDescent="0.2">
      <c r="A2">
        <v>1980</v>
      </c>
      <c r="B2">
        <v>208464.80421551599</v>
      </c>
      <c r="C2">
        <v>120131.225909681</v>
      </c>
      <c r="D2">
        <v>19824.524857406199</v>
      </c>
      <c r="E2">
        <v>63526.074238167203</v>
      </c>
      <c r="F2">
        <v>94700.661004699607</v>
      </c>
      <c r="G2">
        <v>100189.6754044</v>
      </c>
    </row>
    <row r="3" spans="1:7" x14ac:dyDescent="0.2">
      <c r="A3">
        <v>1981</v>
      </c>
      <c r="B3">
        <v>223793.42257401199</v>
      </c>
      <c r="C3">
        <v>128517.07173238401</v>
      </c>
      <c r="D3">
        <v>21639.956629230499</v>
      </c>
      <c r="E3">
        <v>68852.265039575403</v>
      </c>
      <c r="F3">
        <v>105879.32474753</v>
      </c>
      <c r="G3">
        <v>105737.679424713</v>
      </c>
    </row>
    <row r="4" spans="1:7" x14ac:dyDescent="0.2">
      <c r="A4">
        <v>1982</v>
      </c>
      <c r="B4">
        <v>237092.138635243</v>
      </c>
      <c r="C4">
        <v>136314.86697329101</v>
      </c>
      <c r="D4">
        <v>23505.1055549798</v>
      </c>
      <c r="E4">
        <v>69221.446633553394</v>
      </c>
      <c r="F4">
        <v>103100.90252395401</v>
      </c>
      <c r="G4">
        <v>102899.922454277</v>
      </c>
    </row>
    <row r="5" spans="1:7" x14ac:dyDescent="0.2">
      <c r="A5">
        <v>1983</v>
      </c>
      <c r="B5">
        <v>244254.905181682</v>
      </c>
      <c r="C5">
        <v>142520.01887683201</v>
      </c>
      <c r="D5">
        <v>24903.967012560301</v>
      </c>
      <c r="E5">
        <v>72970.209121598804</v>
      </c>
      <c r="F5">
        <v>103107.793495823</v>
      </c>
      <c r="G5">
        <v>106699.500928687</v>
      </c>
    </row>
    <row r="6" spans="1:7" x14ac:dyDescent="0.2">
      <c r="A6">
        <v>1984</v>
      </c>
      <c r="B6">
        <v>261062.577179913</v>
      </c>
      <c r="C6">
        <v>149315.628081598</v>
      </c>
      <c r="D6">
        <v>26089.865652997301</v>
      </c>
      <c r="E6">
        <v>77356.348794530699</v>
      </c>
      <c r="F6">
        <v>120982.922341157</v>
      </c>
      <c r="G6">
        <v>115031.415010874</v>
      </c>
    </row>
    <row r="7" spans="1:7" x14ac:dyDescent="0.2">
      <c r="A7">
        <v>1985</v>
      </c>
      <c r="B7">
        <v>276798.76097352902</v>
      </c>
      <c r="C7">
        <v>156568.31620908901</v>
      </c>
      <c r="D7">
        <v>27962.492691015501</v>
      </c>
      <c r="E7">
        <v>83070.429108802695</v>
      </c>
      <c r="F7">
        <v>129531.830463038</v>
      </c>
      <c r="G7">
        <v>123991.59397079999</v>
      </c>
    </row>
    <row r="8" spans="1:7" x14ac:dyDescent="0.2">
      <c r="A8">
        <v>1986</v>
      </c>
      <c r="B8">
        <v>290499.27185702301</v>
      </c>
      <c r="C8">
        <v>162995.21154686101</v>
      </c>
      <c r="D8">
        <v>29757.009704647098</v>
      </c>
      <c r="E8">
        <v>89403.500733503402</v>
      </c>
      <c r="F8">
        <v>125070.489400198</v>
      </c>
      <c r="G8">
        <v>124090.963199114</v>
      </c>
    </row>
    <row r="9" spans="1:7" x14ac:dyDescent="0.2">
      <c r="A9">
        <v>1987</v>
      </c>
      <c r="B9">
        <v>301578.15232860198</v>
      </c>
      <c r="C9">
        <v>169147.601007572</v>
      </c>
      <c r="D9">
        <v>30736.923293174299</v>
      </c>
      <c r="E9">
        <v>93760.017567467003</v>
      </c>
      <c r="F9">
        <v>121666.980104077</v>
      </c>
      <c r="G9">
        <v>119244.618316244</v>
      </c>
    </row>
    <row r="10" spans="1:7" x14ac:dyDescent="0.2">
      <c r="A10">
        <v>1988</v>
      </c>
      <c r="B10">
        <v>320153.21761587699</v>
      </c>
      <c r="C10">
        <v>175790.676466434</v>
      </c>
      <c r="D10">
        <v>33239.789976964101</v>
      </c>
      <c r="E10">
        <v>105130.39423553</v>
      </c>
      <c r="F10">
        <v>132892.226079671</v>
      </c>
      <c r="G10">
        <v>130437.696120452</v>
      </c>
    </row>
    <row r="11" spans="1:7" x14ac:dyDescent="0.2">
      <c r="A11">
        <v>1989</v>
      </c>
      <c r="B11">
        <v>345570.28803694498</v>
      </c>
      <c r="C11">
        <v>185896.85907028499</v>
      </c>
      <c r="D11">
        <v>37356.302243600898</v>
      </c>
      <c r="E11">
        <v>115292.580204407</v>
      </c>
      <c r="F11">
        <v>151750.47694783</v>
      </c>
      <c r="G11">
        <v>149301.70316869501</v>
      </c>
    </row>
    <row r="12" spans="1:7" x14ac:dyDescent="0.2">
      <c r="A12">
        <v>1990</v>
      </c>
      <c r="B12">
        <v>374762.03661856701</v>
      </c>
      <c r="C12">
        <v>198814.690151908</v>
      </c>
      <c r="D12">
        <v>41074.789162790003</v>
      </c>
      <c r="E12">
        <v>122965.343250227</v>
      </c>
      <c r="F12">
        <v>151906.080656156</v>
      </c>
      <c r="G12">
        <v>152776.211374548</v>
      </c>
    </row>
    <row r="13" spans="1:7" x14ac:dyDescent="0.2">
      <c r="A13">
        <v>1991</v>
      </c>
      <c r="B13">
        <v>391415.52755128301</v>
      </c>
      <c r="C13">
        <v>213111.61753606901</v>
      </c>
      <c r="D13">
        <v>45101.359577820003</v>
      </c>
      <c r="E13">
        <v>123102.10717521999</v>
      </c>
      <c r="F13">
        <v>152674.89765966401</v>
      </c>
      <c r="G13">
        <v>148989.91402639999</v>
      </c>
    </row>
    <row r="14" spans="1:7" x14ac:dyDescent="0.2">
      <c r="A14">
        <v>1992</v>
      </c>
      <c r="B14">
        <v>399556.86425075599</v>
      </c>
      <c r="C14">
        <v>222281.42023060299</v>
      </c>
      <c r="D14">
        <v>47591.790292129997</v>
      </c>
      <c r="E14">
        <v>112723.54099671201</v>
      </c>
      <c r="F14">
        <v>159453.54436886901</v>
      </c>
      <c r="G14">
        <v>151123.27011275699</v>
      </c>
    </row>
    <row r="15" spans="1:7" x14ac:dyDescent="0.2">
      <c r="A15">
        <v>1993</v>
      </c>
      <c r="B15">
        <v>408319.60620642401</v>
      </c>
      <c r="C15">
        <v>227140.16150386599</v>
      </c>
      <c r="D15">
        <v>48707.23788388</v>
      </c>
      <c r="E15">
        <v>107900.91057347201</v>
      </c>
      <c r="F15">
        <v>163182.49974901299</v>
      </c>
      <c r="G15">
        <v>149261.192700602</v>
      </c>
    </row>
    <row r="16" spans="1:7" x14ac:dyDescent="0.2">
      <c r="A16">
        <v>1994</v>
      </c>
      <c r="B16">
        <v>418401.76711088698</v>
      </c>
      <c r="C16">
        <v>229582.01011935601</v>
      </c>
      <c r="D16">
        <v>49912.557547140001</v>
      </c>
      <c r="E16">
        <v>111551.67118295</v>
      </c>
      <c r="F16">
        <v>164176.92588601599</v>
      </c>
      <c r="G16">
        <v>149799.243865317</v>
      </c>
    </row>
    <row r="17" spans="1:7" x14ac:dyDescent="0.2">
      <c r="A17">
        <v>1995</v>
      </c>
      <c r="B17">
        <v>423515.35549793398</v>
      </c>
      <c r="C17">
        <v>234427.979407598</v>
      </c>
      <c r="D17">
        <v>50375.483212029998</v>
      </c>
      <c r="E17">
        <v>112691.99416213301</v>
      </c>
      <c r="F17">
        <v>166014.65481899001</v>
      </c>
      <c r="G17">
        <v>152204.99181352201</v>
      </c>
    </row>
    <row r="18" spans="1:7" x14ac:dyDescent="0.2">
      <c r="A18">
        <v>1996</v>
      </c>
      <c r="B18">
        <v>426881.82800179801</v>
      </c>
      <c r="C18">
        <v>239617.55363309599</v>
      </c>
      <c r="D18">
        <v>51368.919629540003</v>
      </c>
      <c r="E18">
        <v>108783.76341080399</v>
      </c>
      <c r="F18">
        <v>172092.646457911</v>
      </c>
      <c r="G18">
        <v>160069.80914914899</v>
      </c>
    </row>
    <row r="19" spans="1:7" x14ac:dyDescent="0.2">
      <c r="A19">
        <v>1997</v>
      </c>
      <c r="B19">
        <v>433747.49206923298</v>
      </c>
      <c r="C19">
        <v>246290.064290404</v>
      </c>
      <c r="D19">
        <v>51100.123691120003</v>
      </c>
      <c r="E19">
        <v>111258.095431986</v>
      </c>
      <c r="F19">
        <v>198923.88927491001</v>
      </c>
      <c r="G19">
        <v>181593.66268333601</v>
      </c>
    </row>
    <row r="20" spans="1:7" x14ac:dyDescent="0.2">
      <c r="A20">
        <v>1998</v>
      </c>
      <c r="B20">
        <v>444954.84281793702</v>
      </c>
      <c r="C20">
        <v>251643.84257983399</v>
      </c>
      <c r="D20">
        <v>51650.684390759998</v>
      </c>
      <c r="E20">
        <v>119648.179259463</v>
      </c>
      <c r="F20">
        <v>201896.58984968299</v>
      </c>
      <c r="G20">
        <v>187765.94851660999</v>
      </c>
    </row>
    <row r="21" spans="1:7" x14ac:dyDescent="0.2">
      <c r="A21">
        <v>1999</v>
      </c>
      <c r="B21">
        <v>453531.10713721003</v>
      </c>
      <c r="C21">
        <v>258963.80117721399</v>
      </c>
      <c r="D21">
        <v>52700.43542224</v>
      </c>
      <c r="E21">
        <v>123364.32893951501</v>
      </c>
      <c r="F21">
        <v>209388.44333410799</v>
      </c>
      <c r="G21">
        <v>194684.074790696</v>
      </c>
    </row>
    <row r="22" spans="1:7" x14ac:dyDescent="0.2">
      <c r="A22">
        <v>2000</v>
      </c>
      <c r="B22">
        <v>476794.43183223403</v>
      </c>
      <c r="C22">
        <v>268109.25277866703</v>
      </c>
      <c r="D22">
        <v>54816.027654650003</v>
      </c>
      <c r="E22">
        <v>131257.706660789</v>
      </c>
      <c r="F22">
        <v>242467.290525574</v>
      </c>
      <c r="G22">
        <v>221707.835893293</v>
      </c>
    </row>
    <row r="23" spans="1:7" x14ac:dyDescent="0.2">
      <c r="A23">
        <v>2001</v>
      </c>
      <c r="B23">
        <v>489674.25564941502</v>
      </c>
      <c r="C23">
        <v>275550.97955620801</v>
      </c>
      <c r="D23">
        <v>56611.175244129998</v>
      </c>
      <c r="E23">
        <v>131796.19969050999</v>
      </c>
      <c r="F23">
        <v>242063.331287243</v>
      </c>
      <c r="G23">
        <v>224168.403929608</v>
      </c>
    </row>
    <row r="24" spans="1:7" x14ac:dyDescent="0.2">
      <c r="A24">
        <v>2002</v>
      </c>
      <c r="B24">
        <v>489292.79718540399</v>
      </c>
      <c r="C24">
        <v>274513.94416331098</v>
      </c>
      <c r="D24">
        <v>58445.36804239</v>
      </c>
      <c r="E24">
        <v>132601.849284853</v>
      </c>
      <c r="F24">
        <v>233886.34822654701</v>
      </c>
      <c r="G24">
        <v>210879.111950411</v>
      </c>
    </row>
    <row r="25" spans="1:7" x14ac:dyDescent="0.2">
      <c r="A25">
        <v>2003</v>
      </c>
      <c r="B25">
        <v>493651.67529704701</v>
      </c>
      <c r="C25">
        <v>278951.52392963</v>
      </c>
      <c r="D25">
        <v>60038.414321229997</v>
      </c>
      <c r="E25">
        <v>131161.35880715301</v>
      </c>
      <c r="F25">
        <v>232825.749752011</v>
      </c>
      <c r="G25">
        <v>210222.73860149799</v>
      </c>
    </row>
    <row r="26" spans="1:7" x14ac:dyDescent="0.2">
      <c r="A26">
        <v>2004</v>
      </c>
      <c r="B26">
        <v>508607.55280216801</v>
      </c>
      <c r="C26">
        <v>286606.41958698002</v>
      </c>
      <c r="D26">
        <v>60689.991397500002</v>
      </c>
      <c r="E26">
        <v>139210.731927674</v>
      </c>
      <c r="F26">
        <v>258609.73318712701</v>
      </c>
      <c r="G26">
        <v>224734.06269622699</v>
      </c>
    </row>
    <row r="27" spans="1:7" x14ac:dyDescent="0.2">
      <c r="A27">
        <v>2005</v>
      </c>
      <c r="B27">
        <v>528601.15710151696</v>
      </c>
      <c r="C27">
        <v>294812.22457569698</v>
      </c>
      <c r="D27">
        <v>61827.968293509999</v>
      </c>
      <c r="E27">
        <v>144120.64917490599</v>
      </c>
      <c r="F27">
        <v>282119.819549579</v>
      </c>
      <c r="G27">
        <v>255303.121947796</v>
      </c>
    </row>
    <row r="28" spans="1:7" x14ac:dyDescent="0.2">
      <c r="A28">
        <v>2006</v>
      </c>
      <c r="B28">
        <v>562159.63845092803</v>
      </c>
      <c r="C28">
        <v>303938.871774283</v>
      </c>
      <c r="D28">
        <v>62563.201004180002</v>
      </c>
      <c r="E28">
        <v>152165.353631106</v>
      </c>
      <c r="F28">
        <v>315830.225733881</v>
      </c>
      <c r="G28">
        <v>278720.58293454</v>
      </c>
    </row>
    <row r="29" spans="1:7" x14ac:dyDescent="0.2">
      <c r="A29">
        <v>2007</v>
      </c>
      <c r="B29">
        <v>598992.21216647106</v>
      </c>
      <c r="C29">
        <v>315226.329473213</v>
      </c>
      <c r="D29">
        <v>64208.427014560002</v>
      </c>
      <c r="E29">
        <v>163113.23377111999</v>
      </c>
      <c r="F29">
        <v>365892.03915086901</v>
      </c>
      <c r="G29">
        <v>309231.91443164297</v>
      </c>
    </row>
    <row r="30" spans="1:7" x14ac:dyDescent="0.2">
      <c r="A30">
        <v>2008</v>
      </c>
      <c r="B30">
        <v>622461.84339465504</v>
      </c>
      <c r="C30">
        <v>325402.00141668902</v>
      </c>
      <c r="D30">
        <v>67708.609957139997</v>
      </c>
      <c r="E30">
        <v>167428.887259963</v>
      </c>
      <c r="F30">
        <v>390753.674696951</v>
      </c>
      <c r="G30">
        <v>333434.87727792899</v>
      </c>
    </row>
    <row r="31" spans="1:7" x14ac:dyDescent="0.2">
      <c r="A31">
        <v>2009</v>
      </c>
      <c r="B31">
        <v>613317.965337715</v>
      </c>
      <c r="C31">
        <v>327640.24968346499</v>
      </c>
      <c r="D31">
        <v>71457.912137299994</v>
      </c>
      <c r="E31">
        <v>155611.88034468901</v>
      </c>
      <c r="F31">
        <v>353332.34745150298</v>
      </c>
      <c r="G31">
        <v>315568.97677368502</v>
      </c>
    </row>
    <row r="32" spans="1:7" x14ac:dyDescent="0.2">
      <c r="A32">
        <v>2010</v>
      </c>
      <c r="B32">
        <v>636172.01998340595</v>
      </c>
      <c r="C32">
        <v>335274.31752066698</v>
      </c>
      <c r="D32">
        <v>72594.275057229999</v>
      </c>
      <c r="E32">
        <v>161385.88441669001</v>
      </c>
      <c r="F32">
        <v>409480.37958322302</v>
      </c>
      <c r="G32">
        <v>348852.32058456697</v>
      </c>
    </row>
    <row r="33" spans="1:7" x14ac:dyDescent="0.2">
      <c r="A33">
        <v>2011</v>
      </c>
      <c r="B33">
        <v>645812.25803482695</v>
      </c>
      <c r="C33">
        <v>338394.46664188697</v>
      </c>
      <c r="D33">
        <v>74276.861302000005</v>
      </c>
      <c r="E33">
        <v>165408.10555604799</v>
      </c>
      <c r="F33">
        <v>427539.54601358599</v>
      </c>
      <c r="G33">
        <v>380031.68156494998</v>
      </c>
    </row>
    <row r="34" spans="1:7" x14ac:dyDescent="0.2">
      <c r="A34">
        <v>2012</v>
      </c>
      <c r="B34">
        <v>654393.62395549798</v>
      </c>
      <c r="C34">
        <v>342918.55027154199</v>
      </c>
      <c r="D34">
        <v>75270.247388029995</v>
      </c>
      <c r="E34">
        <v>171150.294126883</v>
      </c>
      <c r="F34">
        <v>441251.53736647603</v>
      </c>
      <c r="G34">
        <v>382407.15250133001</v>
      </c>
    </row>
    <row r="35" spans="1:7" x14ac:dyDescent="0.2">
      <c r="A35">
        <v>2013</v>
      </c>
      <c r="B35">
        <v>666210.44413731096</v>
      </c>
      <c r="C35">
        <v>349297.52149027801</v>
      </c>
      <c r="D35">
        <v>76998.062143749994</v>
      </c>
      <c r="E35">
        <v>174229.81844784701</v>
      </c>
      <c r="F35">
        <v>476598.93654793099</v>
      </c>
      <c r="G35">
        <v>408132.09862835298</v>
      </c>
    </row>
    <row r="36" spans="1:7" x14ac:dyDescent="0.2">
      <c r="A36">
        <v>2014</v>
      </c>
      <c r="B36">
        <v>679021.94921179803</v>
      </c>
      <c r="C36">
        <v>351945.73619856802</v>
      </c>
      <c r="D36">
        <v>78798.312760939996</v>
      </c>
      <c r="E36">
        <v>178742.795221351</v>
      </c>
      <c r="F36">
        <v>439542.49259225302</v>
      </c>
      <c r="G36">
        <v>370058.98140790901</v>
      </c>
    </row>
    <row r="37" spans="1:7" x14ac:dyDescent="0.2">
      <c r="A37">
        <v>2015</v>
      </c>
      <c r="B37">
        <v>679632.73968588503</v>
      </c>
      <c r="C37">
        <v>354958.70763108798</v>
      </c>
      <c r="D37">
        <v>79461.427231060006</v>
      </c>
      <c r="E37">
        <v>180061.74960416899</v>
      </c>
      <c r="F37">
        <v>429898.89001182001</v>
      </c>
      <c r="G37">
        <v>360989.865264369</v>
      </c>
    </row>
    <row r="38" spans="1:7" x14ac:dyDescent="0.2">
      <c r="A38">
        <v>2016</v>
      </c>
      <c r="B38">
        <v>688404.189284969</v>
      </c>
      <c r="C38">
        <v>358919.66037458897</v>
      </c>
      <c r="D38">
        <v>80599.617426259996</v>
      </c>
      <c r="E38">
        <v>184038.77673065499</v>
      </c>
      <c r="F38">
        <v>455980.28599165601</v>
      </c>
      <c r="G38">
        <v>390355.76893625798</v>
      </c>
    </row>
    <row r="39" spans="1:7" x14ac:dyDescent="0.2">
      <c r="A39">
        <v>2017</v>
      </c>
      <c r="B39">
        <v>695842.64982842503</v>
      </c>
      <c r="C39">
        <v>366780.05641943298</v>
      </c>
      <c r="D39">
        <v>81899.223945420003</v>
      </c>
      <c r="E39">
        <v>191464.137747651</v>
      </c>
      <c r="F39">
        <v>456767.52941143699</v>
      </c>
      <c r="G39">
        <v>398759.844571858</v>
      </c>
    </row>
    <row r="40" spans="1:7" x14ac:dyDescent="0.2">
      <c r="A40">
        <v>2018</v>
      </c>
      <c r="B40">
        <v>724383.24489115598</v>
      </c>
      <c r="C40">
        <v>371229.79736049997</v>
      </c>
      <c r="D40">
        <v>83092.866864049996</v>
      </c>
      <c r="E40">
        <v>195583.00339405099</v>
      </c>
      <c r="F40">
        <v>483485.34264047898</v>
      </c>
      <c r="G40">
        <v>411126.731212741</v>
      </c>
    </row>
    <row r="41" spans="1:7" x14ac:dyDescent="0.2">
      <c r="A41">
        <v>2019</v>
      </c>
      <c r="B41">
        <v>731800.76850289002</v>
      </c>
      <c r="C41">
        <v>375003.95089233702</v>
      </c>
      <c r="D41">
        <v>84819.678867060007</v>
      </c>
      <c r="E41">
        <v>197599.95194815501</v>
      </c>
      <c r="F41">
        <v>484074.87041730701</v>
      </c>
      <c r="G41">
        <v>416204.802630038</v>
      </c>
    </row>
    <row r="42" spans="1:7" x14ac:dyDescent="0.2">
      <c r="A42">
        <v>2020</v>
      </c>
      <c r="B42">
        <v>709854.59789991495</v>
      </c>
      <c r="C42">
        <v>359492.54806959501</v>
      </c>
      <c r="D42">
        <v>87808.137231190005</v>
      </c>
      <c r="E42">
        <v>196156.89172686599</v>
      </c>
      <c r="F42">
        <v>451241.97974590003</v>
      </c>
      <c r="G42">
        <v>410884.24229782203</v>
      </c>
    </row>
    <row r="43" spans="1:7" x14ac:dyDescent="0.2">
      <c r="A43">
        <v>2021</v>
      </c>
      <c r="B43">
        <v>768279.35247361602</v>
      </c>
      <c r="C43">
        <v>368464.51483260997</v>
      </c>
      <c r="D43">
        <v>92242.893136030005</v>
      </c>
      <c r="E43">
        <v>205706.94328965101</v>
      </c>
      <c r="F43">
        <v>537350.96466702898</v>
      </c>
      <c r="G43">
        <v>446078.25606310699</v>
      </c>
    </row>
    <row r="44" spans="1:7" x14ac:dyDescent="0.2">
      <c r="A44">
        <v>2022</v>
      </c>
      <c r="B44">
        <v>819703.68671952398</v>
      </c>
      <c r="C44">
        <v>395359.71260223101</v>
      </c>
      <c r="D44">
        <v>93566.090941050003</v>
      </c>
      <c r="E44">
        <v>215222.97075095199</v>
      </c>
      <c r="F44">
        <v>614490.00355019502</v>
      </c>
      <c r="G44">
        <v>502240.45429808099</v>
      </c>
    </row>
    <row r="45" spans="1:7" x14ac:dyDescent="0.2">
      <c r="A45">
        <v>2023</v>
      </c>
      <c r="B45">
        <v>834189.81128891394</v>
      </c>
      <c r="C45">
        <v>407117.78054839902</v>
      </c>
      <c r="D45">
        <v>97946.495733959993</v>
      </c>
      <c r="E45">
        <v>224331.05048535101</v>
      </c>
      <c r="F45">
        <v>586591.74927423103</v>
      </c>
      <c r="G45">
        <v>495662.708701136</v>
      </c>
    </row>
    <row r="46" spans="1:7" x14ac:dyDescent="0.2">
      <c r="A46">
        <v>2024</v>
      </c>
      <c r="B46">
        <v>853956.984778921</v>
      </c>
      <c r="C46">
        <v>421086.50412917399</v>
      </c>
      <c r="D46">
        <v>101745.21934159999</v>
      </c>
      <c r="E46">
        <v>225873.12730923001</v>
      </c>
      <c r="F46">
        <v>608036.925239534</v>
      </c>
      <c r="G46">
        <v>505134.57007644302</v>
      </c>
    </row>
    <row r="47" spans="1:7" x14ac:dyDescent="0.2">
      <c r="A47">
        <v>2025</v>
      </c>
      <c r="B47">
        <v>867544.66945242602</v>
      </c>
      <c r="C47">
        <v>429665.12524772401</v>
      </c>
      <c r="D47">
        <v>104473.705467894</v>
      </c>
      <c r="E47">
        <v>225532.292375858</v>
      </c>
      <c r="F47">
        <v>677142.41508650698</v>
      </c>
      <c r="G47">
        <v>599554.11553420499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BE37F-9EBD-4B6A-BBC6-82FE8ADC7E85}">
  <dimension ref="A1:AA53"/>
  <sheetViews>
    <sheetView tabSelected="1" topLeftCell="C1" zoomScale="104" zoomScaleNormal="104" workbookViewId="0">
      <selection activeCell="AC61" sqref="AC61"/>
    </sheetView>
  </sheetViews>
  <sheetFormatPr baseColWidth="10" defaultRowHeight="10" x14ac:dyDescent="0.2"/>
  <cols>
    <col min="1" max="1" width="9.77734375" customWidth="1"/>
    <col min="2" max="2" width="2.6640625" customWidth="1"/>
    <col min="3" max="7" width="9.77734375" customWidth="1"/>
    <col min="8" max="8" width="23.77734375" bestFit="1" customWidth="1"/>
    <col min="9" max="10" width="9.77734375" customWidth="1"/>
    <col min="11" max="14" width="10.33203125" customWidth="1"/>
    <col min="15" max="15" width="11.109375" bestFit="1" customWidth="1"/>
    <col min="16" max="26" width="10.33203125" customWidth="1"/>
    <col min="27" max="27" width="18.5546875" bestFit="1" customWidth="1"/>
    <col min="28" max="208" width="10.33203125" customWidth="1"/>
  </cols>
  <sheetData>
    <row r="1" spans="1:27" ht="68.5" customHeight="1" x14ac:dyDescent="0.5">
      <c r="A1" s="42" t="s">
        <v>209</v>
      </c>
      <c r="C1" s="7"/>
      <c r="D1" s="7"/>
      <c r="E1" s="7"/>
      <c r="F1" s="7"/>
      <c r="G1" s="7"/>
      <c r="H1" s="19"/>
    </row>
    <row r="2" spans="1:27" ht="11.25" customHeight="1" x14ac:dyDescent="0.2">
      <c r="A2" s="4"/>
      <c r="C2" s="7"/>
      <c r="D2" s="7"/>
      <c r="E2" s="7"/>
      <c r="F2" s="7"/>
      <c r="G2" s="7"/>
      <c r="H2" s="19"/>
    </row>
    <row r="3" spans="1:27" ht="11.25" customHeight="1" x14ac:dyDescent="0.2">
      <c r="A3" s="4" t="s">
        <v>189</v>
      </c>
      <c r="C3" s="7"/>
      <c r="D3" s="7"/>
      <c r="E3" s="7"/>
      <c r="F3" s="7"/>
      <c r="G3" s="7"/>
      <c r="H3" s="19"/>
    </row>
    <row r="4" spans="1:27" ht="11.25" customHeight="1" x14ac:dyDescent="0.2">
      <c r="A4" s="11"/>
      <c r="B4" s="10"/>
      <c r="C4" s="11" t="s">
        <v>204</v>
      </c>
      <c r="D4" s="11" t="s">
        <v>205</v>
      </c>
      <c r="E4" s="11" t="s">
        <v>206</v>
      </c>
      <c r="F4" s="11" t="s">
        <v>96</v>
      </c>
      <c r="G4" s="11" t="s">
        <v>207</v>
      </c>
      <c r="H4" s="11" t="s">
        <v>208</v>
      </c>
    </row>
    <row r="5" spans="1:27" ht="11.25" customHeight="1" x14ac:dyDescent="0.2">
      <c r="A5" s="3"/>
      <c r="B5" s="8"/>
      <c r="C5" s="3" t="s">
        <v>167</v>
      </c>
      <c r="D5" s="3" t="s">
        <v>184</v>
      </c>
      <c r="E5" s="3" t="s">
        <v>185</v>
      </c>
      <c r="F5" s="3" t="s">
        <v>170</v>
      </c>
      <c r="G5" s="3" t="s">
        <v>187</v>
      </c>
      <c r="H5" s="3" t="s">
        <v>174</v>
      </c>
    </row>
    <row r="6" spans="1:27" ht="11.25" customHeight="1" x14ac:dyDescent="0.2">
      <c r="A6" s="11"/>
      <c r="B6" s="10"/>
      <c r="C6" s="11" t="s">
        <v>196</v>
      </c>
      <c r="D6" s="11" t="s">
        <v>190</v>
      </c>
      <c r="E6" s="11" t="s">
        <v>197</v>
      </c>
      <c r="F6" s="11" t="s">
        <v>191</v>
      </c>
      <c r="G6" s="11" t="s">
        <v>193</v>
      </c>
      <c r="H6" s="11" t="s">
        <v>203</v>
      </c>
      <c r="I6" s="65" t="s">
        <v>194</v>
      </c>
      <c r="J6" s="65"/>
      <c r="K6" s="65"/>
      <c r="L6" s="65"/>
      <c r="M6" s="65"/>
      <c r="N6" s="65"/>
      <c r="O6" s="64" t="s">
        <v>198</v>
      </c>
      <c r="P6" s="64"/>
      <c r="Q6" s="64"/>
      <c r="R6" s="64"/>
      <c r="S6" s="64"/>
      <c r="T6" s="36"/>
      <c r="V6" s="66" t="s">
        <v>212</v>
      </c>
      <c r="W6" s="66"/>
      <c r="X6" s="66"/>
      <c r="Y6" s="66"/>
      <c r="Z6" s="66"/>
    </row>
    <row r="7" spans="1:27" x14ac:dyDescent="0.2">
      <c r="A7" s="28">
        <v>1980</v>
      </c>
      <c r="B7" s="28"/>
      <c r="C7" s="29">
        <v>208464.80421551599</v>
      </c>
      <c r="D7" s="29">
        <v>120131.225909681</v>
      </c>
      <c r="E7" s="29">
        <v>19824.524857406199</v>
      </c>
      <c r="F7" s="29">
        <v>63526.074238167203</v>
      </c>
      <c r="G7" s="29">
        <v>-5489.0143997005798</v>
      </c>
      <c r="H7" s="29">
        <v>94700.661004699607</v>
      </c>
      <c r="I7" s="33"/>
      <c r="J7" s="39" t="s">
        <v>195</v>
      </c>
      <c r="K7" s="34" t="s">
        <v>191</v>
      </c>
      <c r="L7" s="34" t="s">
        <v>192</v>
      </c>
      <c r="M7" s="34" t="s">
        <v>193</v>
      </c>
      <c r="N7" s="34" t="s">
        <v>203</v>
      </c>
      <c r="O7" s="37" t="s">
        <v>199</v>
      </c>
      <c r="P7" s="37" t="s">
        <v>190</v>
      </c>
      <c r="Q7" s="37" t="s">
        <v>191</v>
      </c>
      <c r="R7" s="37" t="s">
        <v>192</v>
      </c>
      <c r="S7" s="37" t="s">
        <v>193</v>
      </c>
      <c r="T7" s="37" t="s">
        <v>203</v>
      </c>
      <c r="V7" s="37" t="s">
        <v>190</v>
      </c>
      <c r="W7" s="37" t="s">
        <v>191</v>
      </c>
      <c r="X7" s="37" t="s">
        <v>192</v>
      </c>
      <c r="Y7" s="37" t="s">
        <v>193</v>
      </c>
      <c r="Z7" s="37" t="s">
        <v>203</v>
      </c>
      <c r="AA7" s="37" t="s">
        <v>213</v>
      </c>
    </row>
    <row r="8" spans="1:27" x14ac:dyDescent="0.2">
      <c r="A8" s="28">
        <v>1981</v>
      </c>
      <c r="B8" s="28"/>
      <c r="C8" s="29">
        <v>223793.42257401199</v>
      </c>
      <c r="D8" s="29">
        <v>128517.07173238401</v>
      </c>
      <c r="E8" s="29">
        <v>21639.956629230499</v>
      </c>
      <c r="F8" s="29">
        <v>68852.265039575403</v>
      </c>
      <c r="G8" s="29">
        <v>141.645322816446</v>
      </c>
      <c r="H8" s="29">
        <v>105879.32474753</v>
      </c>
      <c r="I8" s="35">
        <v>1981</v>
      </c>
      <c r="J8" s="40">
        <f>(D8-D7)/C7</f>
        <v>4.0226674494335812E-2</v>
      </c>
      <c r="K8" s="41">
        <f>(F8-F7)/C7</f>
        <v>2.5549592514916113E-2</v>
      </c>
      <c r="L8" s="41">
        <f>(E8-E7)/C7</f>
        <v>8.708576868196238E-3</v>
      </c>
      <c r="M8" s="41">
        <f>(G8-G7)/C7</f>
        <v>2.7010121654377269E-2</v>
      </c>
      <c r="N8" s="41">
        <f>(H8-H7)/C7</f>
        <v>5.3623746151765836E-2</v>
      </c>
      <c r="O8" s="37" t="s">
        <v>200</v>
      </c>
      <c r="P8" s="38">
        <f>AVERAGE(J8:J52)</f>
        <v>1.5809845682801336E-2</v>
      </c>
      <c r="Q8" s="38">
        <f t="shared" ref="Q8:R8" si="0">AVERAGE(K8:K52)</f>
        <v>8.3559645792492376E-3</v>
      </c>
      <c r="R8" s="38">
        <f t="shared" si="0"/>
        <v>4.1418354598622975E-3</v>
      </c>
      <c r="S8" s="38">
        <f>AVERAGE(M8:M52)</f>
        <v>4.127925304550536E-3</v>
      </c>
      <c r="T8" s="38">
        <f>AVERAGE(N8:N52)</f>
        <v>2.4261217538786708E-2</v>
      </c>
      <c r="U8">
        <v>1981</v>
      </c>
      <c r="V8" s="68">
        <f>J8/AA8</f>
        <v>1.3054430619744941</v>
      </c>
      <c r="W8" s="69">
        <f>K8/AA8</f>
        <v>0.82913983579649642</v>
      </c>
      <c r="X8" s="68">
        <f>L8/AA8</f>
        <v>0.28261225654780681</v>
      </c>
      <c r="Y8" s="69">
        <f>M8/AA8</f>
        <v>0.87653718235542255</v>
      </c>
      <c r="Z8" s="68">
        <f>N8/AA8</f>
        <v>1.7402071697664456</v>
      </c>
      <c r="AA8" s="67">
        <f>LOG(C8)-LOG(C7)</f>
        <v>3.0814576036347852E-2</v>
      </c>
    </row>
    <row r="9" spans="1:27" x14ac:dyDescent="0.2">
      <c r="A9" s="28">
        <v>1982</v>
      </c>
      <c r="B9" s="28"/>
      <c r="C9" s="29">
        <v>237092.138635243</v>
      </c>
      <c r="D9" s="29">
        <v>136314.86697329101</v>
      </c>
      <c r="E9" s="29">
        <v>23505.1055549798</v>
      </c>
      <c r="F9" s="29">
        <v>69221.446633553394</v>
      </c>
      <c r="G9" s="29">
        <v>200.98006967682201</v>
      </c>
      <c r="H9" s="29">
        <v>103100.90252395401</v>
      </c>
      <c r="I9" s="35">
        <v>1982</v>
      </c>
      <c r="J9" s="40">
        <f>(D9-D8)/C8</f>
        <v>3.4843719494607336E-2</v>
      </c>
      <c r="K9" s="41">
        <f t="shared" ref="K9:K52" si="1">(F9-F8)/C8</f>
        <v>1.6496534604626175E-3</v>
      </c>
      <c r="L9" s="41">
        <f t="shared" ref="L9:L52" si="2">(E9-E8)/C8</f>
        <v>8.3342437159093334E-3</v>
      </c>
      <c r="M9" s="41">
        <f t="shared" ref="M9:M52" si="3">(G9-G8)/C8</f>
        <v>2.6513177276581081E-4</v>
      </c>
      <c r="N9" s="41">
        <f t="shared" ref="N9:N52" si="4">(H9-H8)/C8</f>
        <v>-1.2415120121133711E-2</v>
      </c>
      <c r="O9" s="37" t="s">
        <v>201</v>
      </c>
      <c r="P9" s="38">
        <f>AVERAGE(J8:J34)</f>
        <v>2.0440945883481696E-2</v>
      </c>
      <c r="Q9" s="38">
        <f t="shared" ref="Q9:S9" si="5">AVERAGE(K8:K34)</f>
        <v>1.0665804908847823E-2</v>
      </c>
      <c r="R9" s="38">
        <f t="shared" si="5"/>
        <v>4.7908448852130511E-3</v>
      </c>
      <c r="S9" s="38">
        <f t="shared" si="5"/>
        <v>5.4745916528953836E-3</v>
      </c>
      <c r="T9" s="38">
        <f>AVERAGE(N8:N34)</f>
        <v>2.4327355509999406E-2</v>
      </c>
      <c r="U9">
        <v>1982</v>
      </c>
      <c r="V9" s="68">
        <f t="shared" ref="V9:V52" si="6">J9/AA9</f>
        <v>1.3898662755349933</v>
      </c>
      <c r="W9" s="69">
        <f t="shared" ref="W9:W52" si="7">K9/AA9</f>
        <v>6.5802323755115799E-2</v>
      </c>
      <c r="X9" s="68">
        <f t="shared" ref="X9:X52" si="8">L9/AA9</f>
        <v>0.332441095291924</v>
      </c>
      <c r="Y9" s="69">
        <f t="shared" ref="Y9:Y52" si="9">M9/AA9</f>
        <v>1.0575728277144437E-2</v>
      </c>
      <c r="Z9" s="68">
        <f t="shared" ref="Z9:Z52" si="10">N9/AA9</f>
        <v>-0.49522143483419528</v>
      </c>
      <c r="AA9" s="67">
        <f t="shared" ref="AA9:AA52" si="11">LOG(C9)-LOG(C8)</f>
        <v>2.5069835931658346E-2</v>
      </c>
    </row>
    <row r="10" spans="1:27" x14ac:dyDescent="0.2">
      <c r="A10" s="28">
        <v>1983</v>
      </c>
      <c r="B10" s="28"/>
      <c r="C10" s="29">
        <v>244254.905181682</v>
      </c>
      <c r="D10" s="29">
        <v>142520.01887683201</v>
      </c>
      <c r="E10" s="29">
        <v>24903.967012560301</v>
      </c>
      <c r="F10" s="29">
        <v>72970.209121598804</v>
      </c>
      <c r="G10" s="29">
        <v>-3591.7074328634299</v>
      </c>
      <c r="H10" s="29">
        <v>103107.793495823</v>
      </c>
      <c r="I10" s="35">
        <v>1983</v>
      </c>
      <c r="J10" s="40">
        <f t="shared" ref="J9:J52" si="12">(D10-D9)/C9</f>
        <v>2.6171900676501915E-2</v>
      </c>
      <c r="K10" s="41">
        <f t="shared" si="1"/>
        <v>1.5811416226721605E-2</v>
      </c>
      <c r="L10" s="41">
        <f t="shared" si="2"/>
        <v>5.9000752434588064E-3</v>
      </c>
      <c r="M10" s="41">
        <f t="shared" si="3"/>
        <v>-1.5996681814807675E-2</v>
      </c>
      <c r="N10" s="41">
        <f t="shared" si="4"/>
        <v>2.9064531235255047E-5</v>
      </c>
      <c r="O10" s="37" t="s">
        <v>202</v>
      </c>
      <c r="P10" s="38">
        <f>AVERAGE(J35:J52)</f>
        <v>8.8631953817807901E-3</v>
      </c>
      <c r="Q10" s="38">
        <f t="shared" ref="Q10:S10" si="13">AVERAGE(K35:K52)</f>
        <v>4.8912040848513626E-3</v>
      </c>
      <c r="R10" s="38">
        <f t="shared" si="13"/>
        <v>3.1683213218361688E-3</v>
      </c>
      <c r="S10" s="38">
        <f t="shared" si="13"/>
        <v>2.1079257820332642E-3</v>
      </c>
      <c r="T10" s="38">
        <f>AVERAGE(N35:N52)</f>
        <v>2.4162010581967666E-2</v>
      </c>
      <c r="U10">
        <v>1983</v>
      </c>
      <c r="V10" s="68">
        <f t="shared" si="6"/>
        <v>2.0247266998208162</v>
      </c>
      <c r="W10" s="69">
        <f t="shared" si="7"/>
        <v>1.2232125206315829</v>
      </c>
      <c r="X10" s="68">
        <f t="shared" si="8"/>
        <v>0.45644525493360277</v>
      </c>
      <c r="Y10" s="69">
        <f t="shared" si="9"/>
        <v>-1.2375451511650872</v>
      </c>
      <c r="Z10" s="68">
        <f t="shared" si="10"/>
        <v>2.2485081667237344E-3</v>
      </c>
      <c r="AA10" s="67">
        <f t="shared" si="11"/>
        <v>1.2926139947094129E-2</v>
      </c>
    </row>
    <row r="11" spans="1:27" x14ac:dyDescent="0.2">
      <c r="A11" s="28">
        <v>1984</v>
      </c>
      <c r="B11" s="28"/>
      <c r="C11" s="29">
        <v>261062.577179913</v>
      </c>
      <c r="D11" s="29">
        <v>149315.628081598</v>
      </c>
      <c r="E11" s="29">
        <v>26089.865652997301</v>
      </c>
      <c r="F11" s="29">
        <v>77356.348794530699</v>
      </c>
      <c r="G11" s="29">
        <v>5951.5073302832998</v>
      </c>
      <c r="H11" s="29">
        <v>120982.922341157</v>
      </c>
      <c r="I11" s="35">
        <v>1984</v>
      </c>
      <c r="J11" s="40">
        <f t="shared" si="12"/>
        <v>2.7821792154844434E-2</v>
      </c>
      <c r="K11" s="41">
        <f t="shared" si="1"/>
        <v>1.7957222474895194E-2</v>
      </c>
      <c r="L11" s="41">
        <f t="shared" si="2"/>
        <v>4.855168167676731E-3</v>
      </c>
      <c r="M11" s="41">
        <f t="shared" si="3"/>
        <v>3.9070718993537853E-2</v>
      </c>
      <c r="N11" s="41">
        <f t="shared" si="4"/>
        <v>7.3182271742047902E-2</v>
      </c>
      <c r="U11">
        <v>1984</v>
      </c>
      <c r="V11" s="68">
        <f t="shared" si="6"/>
        <v>0.96264757069671436</v>
      </c>
      <c r="W11" s="69">
        <f t="shared" si="7"/>
        <v>0.62132865114184654</v>
      </c>
      <c r="X11" s="68">
        <f t="shared" si="8"/>
        <v>0.16799118532427829</v>
      </c>
      <c r="Y11" s="69">
        <f t="shared" si="9"/>
        <v>1.3518659227692551</v>
      </c>
      <c r="Z11" s="68">
        <f t="shared" si="10"/>
        <v>2.5321422760425025</v>
      </c>
      <c r="AA11" s="67">
        <f t="shared" si="11"/>
        <v>2.8901326925604209E-2</v>
      </c>
    </row>
    <row r="12" spans="1:27" x14ac:dyDescent="0.2">
      <c r="A12" s="28">
        <v>1985</v>
      </c>
      <c r="B12" s="28"/>
      <c r="C12" s="29">
        <v>276798.76097352902</v>
      </c>
      <c r="D12" s="29">
        <v>156568.31620908901</v>
      </c>
      <c r="E12" s="29">
        <v>27962.492691015501</v>
      </c>
      <c r="F12" s="29">
        <v>83070.429108802695</v>
      </c>
      <c r="G12" s="29">
        <v>5540.2364922381203</v>
      </c>
      <c r="H12" s="29">
        <v>129531.830463038</v>
      </c>
      <c r="I12" s="35">
        <v>1985</v>
      </c>
      <c r="J12" s="40">
        <f t="shared" si="12"/>
        <v>2.7781416263629292E-2</v>
      </c>
      <c r="K12" s="41">
        <f t="shared" si="1"/>
        <v>2.188778022494622E-2</v>
      </c>
      <c r="L12" s="41">
        <f t="shared" si="2"/>
        <v>7.1730964209690854E-3</v>
      </c>
      <c r="M12" s="41">
        <f t="shared" si="3"/>
        <v>-1.5753726270837719E-3</v>
      </c>
      <c r="N12" s="41">
        <f t="shared" si="4"/>
        <v>3.2746585949733675E-2</v>
      </c>
      <c r="U12">
        <v>1985</v>
      </c>
      <c r="V12" s="68">
        <f t="shared" si="6"/>
        <v>1.0929166021425858</v>
      </c>
      <c r="W12" s="69">
        <f t="shared" si="7"/>
        <v>0.86106187549586288</v>
      </c>
      <c r="X12" s="68">
        <f t="shared" si="8"/>
        <v>0.2821884994218265</v>
      </c>
      <c r="Y12" s="69">
        <f t="shared" si="9"/>
        <v>-6.1974914538640943E-2</v>
      </c>
      <c r="Z12" s="68">
        <f t="shared" si="10"/>
        <v>1.2882456066434409</v>
      </c>
      <c r="AA12" s="67">
        <f t="shared" si="11"/>
        <v>2.54195207659631E-2</v>
      </c>
    </row>
    <row r="13" spans="1:27" x14ac:dyDescent="0.2">
      <c r="A13" s="28">
        <v>1986</v>
      </c>
      <c r="B13" s="28"/>
      <c r="C13" s="29">
        <v>290499.27185702301</v>
      </c>
      <c r="D13" s="29">
        <v>162995.21154686101</v>
      </c>
      <c r="E13" s="29">
        <v>29757.009704647098</v>
      </c>
      <c r="F13" s="29">
        <v>89403.500733503402</v>
      </c>
      <c r="G13" s="29">
        <v>979.52620108424196</v>
      </c>
      <c r="H13" s="29">
        <v>125070.489400198</v>
      </c>
      <c r="I13" s="35">
        <v>1986</v>
      </c>
      <c r="J13" s="40">
        <f t="shared" si="12"/>
        <v>2.3218656453403069E-2</v>
      </c>
      <c r="K13" s="41">
        <f t="shared" si="1"/>
        <v>2.2879696435152596E-2</v>
      </c>
      <c r="L13" s="41">
        <f t="shared" si="2"/>
        <v>6.4831107166813213E-3</v>
      </c>
      <c r="M13" s="41">
        <f t="shared" si="3"/>
        <v>-1.6476628273599934E-2</v>
      </c>
      <c r="N13" s="41">
        <f t="shared" si="4"/>
        <v>-1.6117633789793775E-2</v>
      </c>
      <c r="U13">
        <v>1986</v>
      </c>
      <c r="V13" s="68">
        <f t="shared" si="6"/>
        <v>1.1066565010100062</v>
      </c>
      <c r="W13" s="69">
        <f t="shared" si="7"/>
        <v>1.0905008587344869</v>
      </c>
      <c r="X13" s="68">
        <f t="shared" si="8"/>
        <v>0.30900050723354727</v>
      </c>
      <c r="Y13" s="69">
        <f t="shared" si="9"/>
        <v>-0.7853153704348883</v>
      </c>
      <c r="Z13" s="68">
        <f t="shared" si="10"/>
        <v>-0.76820483778507209</v>
      </c>
      <c r="AA13" s="67">
        <f t="shared" si="11"/>
        <v>2.0980906389843845E-2</v>
      </c>
    </row>
    <row r="14" spans="1:27" x14ac:dyDescent="0.2">
      <c r="A14" s="28">
        <v>1987</v>
      </c>
      <c r="B14" s="28"/>
      <c r="C14" s="29">
        <v>301578.15232860198</v>
      </c>
      <c r="D14" s="29">
        <v>169147.601007572</v>
      </c>
      <c r="E14" s="29">
        <v>30736.923293174299</v>
      </c>
      <c r="F14" s="29">
        <v>93760.017567467003</v>
      </c>
      <c r="G14" s="29">
        <v>2422.3617878329001</v>
      </c>
      <c r="H14" s="29">
        <v>121666.980104077</v>
      </c>
      <c r="I14" s="35">
        <v>1987</v>
      </c>
      <c r="J14" s="40">
        <f t="shared" si="12"/>
        <v>2.1178674291958455E-2</v>
      </c>
      <c r="K14" s="41">
        <f t="shared" si="1"/>
        <v>1.4996653196803111E-2</v>
      </c>
      <c r="L14" s="41">
        <f t="shared" si="2"/>
        <v>3.3732049731590771E-3</v>
      </c>
      <c r="M14" s="41">
        <f t="shared" si="3"/>
        <v>4.9667442452619578E-3</v>
      </c>
      <c r="N14" s="41">
        <f t="shared" si="4"/>
        <v>-1.1716068251613832E-2</v>
      </c>
      <c r="U14">
        <v>1987</v>
      </c>
      <c r="V14" s="68">
        <f t="shared" si="6"/>
        <v>1.3029159316491861</v>
      </c>
      <c r="W14" s="69">
        <f t="shared" si="7"/>
        <v>0.92259685862167362</v>
      </c>
      <c r="X14" s="68">
        <f>L14/AA14</f>
        <v>0.20752018939712433</v>
      </c>
      <c r="Y14" s="69">
        <f t="shared" si="9"/>
        <v>0.30555501805114643</v>
      </c>
      <c r="Z14" s="68">
        <f t="shared" si="10"/>
        <v>-0.72077467035380149</v>
      </c>
      <c r="AA14" s="67">
        <f t="shared" si="11"/>
        <v>1.625482794208466E-2</v>
      </c>
    </row>
    <row r="15" spans="1:27" x14ac:dyDescent="0.2">
      <c r="A15" s="28">
        <v>1988</v>
      </c>
      <c r="B15" s="28"/>
      <c r="C15" s="29">
        <v>320153.21761587699</v>
      </c>
      <c r="D15" s="29">
        <v>175790.676466434</v>
      </c>
      <c r="E15" s="29">
        <v>33239.789976964101</v>
      </c>
      <c r="F15" s="29">
        <v>105130.39423553</v>
      </c>
      <c r="G15" s="29">
        <v>2454.5299592189999</v>
      </c>
      <c r="H15" s="29">
        <v>132892.226079671</v>
      </c>
      <c r="I15" s="35">
        <v>1988</v>
      </c>
      <c r="J15" s="40">
        <f t="shared" si="12"/>
        <v>2.2027707934305717E-2</v>
      </c>
      <c r="K15" s="41">
        <f t="shared" si="1"/>
        <v>3.7702919061834886E-2</v>
      </c>
      <c r="L15" s="41">
        <f t="shared" si="2"/>
        <v>8.2992307780394448E-3</v>
      </c>
      <c r="M15" s="41">
        <f t="shared" si="3"/>
        <v>1.0666612000145541E-4</v>
      </c>
      <c r="N15" s="41">
        <f t="shared" si="4"/>
        <v>3.7221681640130511E-2</v>
      </c>
      <c r="U15">
        <v>1988</v>
      </c>
      <c r="V15" s="68">
        <f t="shared" si="6"/>
        <v>0.84859050426452687</v>
      </c>
      <c r="W15" s="69">
        <f t="shared" si="7"/>
        <v>1.4524588393102609</v>
      </c>
      <c r="X15" s="68">
        <f t="shared" si="8"/>
        <v>0.31971771425096973</v>
      </c>
      <c r="Y15" s="69">
        <f t="shared" si="9"/>
        <v>4.1091818009356823E-3</v>
      </c>
      <c r="Z15" s="68">
        <f t="shared" si="10"/>
        <v>1.433919756280243</v>
      </c>
      <c r="AA15" s="67">
        <f t="shared" si="11"/>
        <v>2.5957994843929022E-2</v>
      </c>
    </row>
    <row r="16" spans="1:27" x14ac:dyDescent="0.2">
      <c r="A16" s="28">
        <v>1989</v>
      </c>
      <c r="B16" s="28"/>
      <c r="C16" s="29">
        <v>345570.28803694498</v>
      </c>
      <c r="D16" s="29">
        <v>185896.85907028499</v>
      </c>
      <c r="E16" s="29">
        <v>37356.302243600898</v>
      </c>
      <c r="F16" s="29">
        <v>115292.580204407</v>
      </c>
      <c r="G16" s="29">
        <v>2448.7737791347899</v>
      </c>
      <c r="H16" s="29">
        <v>151750.47694783</v>
      </c>
      <c r="I16" s="35">
        <v>1989</v>
      </c>
      <c r="J16" s="40">
        <f t="shared" si="12"/>
        <v>3.1566706338639672E-2</v>
      </c>
      <c r="K16" s="41">
        <f t="shared" si="1"/>
        <v>3.1741633098530023E-2</v>
      </c>
      <c r="L16" s="41">
        <f t="shared" si="2"/>
        <v>1.2857944384540996E-2</v>
      </c>
      <c r="M16" s="41">
        <f t="shared" si="3"/>
        <v>-1.7979454109739092E-5</v>
      </c>
      <c r="N16" s="41">
        <f t="shared" si="4"/>
        <v>5.8903830511506258E-2</v>
      </c>
      <c r="U16">
        <v>1989</v>
      </c>
      <c r="V16" s="68">
        <f t="shared" si="6"/>
        <v>0.95141984914625577</v>
      </c>
      <c r="W16" s="69">
        <f t="shared" si="7"/>
        <v>0.95669213792168628</v>
      </c>
      <c r="X16" s="68">
        <f t="shared" si="8"/>
        <v>0.38753816680888858</v>
      </c>
      <c r="Y16" s="69">
        <f t="shared" si="9"/>
        <v>-5.4190035961658575E-4</v>
      </c>
      <c r="Z16" s="68">
        <f t="shared" si="10"/>
        <v>1.7753601829150787</v>
      </c>
      <c r="AA16" s="67">
        <f t="shared" si="11"/>
        <v>3.3178524041689528E-2</v>
      </c>
    </row>
    <row r="17" spans="1:27" x14ac:dyDescent="0.2">
      <c r="A17" s="28">
        <v>1990</v>
      </c>
      <c r="B17" s="28"/>
      <c r="C17" s="29">
        <v>374762.03661856701</v>
      </c>
      <c r="D17" s="29">
        <v>198814.690151908</v>
      </c>
      <c r="E17" s="29">
        <v>41074.789162790003</v>
      </c>
      <c r="F17" s="29">
        <v>122965.343250227</v>
      </c>
      <c r="G17" s="29">
        <v>-870.13071839144698</v>
      </c>
      <c r="H17" s="29">
        <v>151906.080656156</v>
      </c>
      <c r="I17" s="35">
        <v>1990</v>
      </c>
      <c r="J17" s="40">
        <f t="shared" si="12"/>
        <v>3.738119719436632E-2</v>
      </c>
      <c r="K17" s="41">
        <f t="shared" si="1"/>
        <v>2.2203190816566104E-2</v>
      </c>
      <c r="L17" s="41">
        <f t="shared" si="2"/>
        <v>1.0760435858975122E-2</v>
      </c>
      <c r="M17" s="41">
        <f t="shared" si="3"/>
        <v>-9.6041373127871803E-3</v>
      </c>
      <c r="N17" s="41">
        <f t="shared" si="4"/>
        <v>4.5028092319489581E-4</v>
      </c>
      <c r="U17">
        <v>1990</v>
      </c>
      <c r="V17" s="68">
        <f t="shared" si="6"/>
        <v>1.0613870284652538</v>
      </c>
      <c r="W17" s="69">
        <f t="shared" si="7"/>
        <v>0.63042867783789824</v>
      </c>
      <c r="X17" s="68">
        <f t="shared" si="8"/>
        <v>0.30552758869557584</v>
      </c>
      <c r="Y17" s="69">
        <f t="shared" si="9"/>
        <v>-0.27269610201055133</v>
      </c>
      <c r="Z17" s="68">
        <f t="shared" si="10"/>
        <v>1.2785099646740282E-2</v>
      </c>
      <c r="AA17" s="67">
        <f t="shared" si="11"/>
        <v>3.5219195441288598E-2</v>
      </c>
    </row>
    <row r="18" spans="1:27" x14ac:dyDescent="0.2">
      <c r="A18" s="28">
        <v>1991</v>
      </c>
      <c r="B18" s="28"/>
      <c r="C18" s="29">
        <v>391415.52755128301</v>
      </c>
      <c r="D18" s="29">
        <v>213111.61753606901</v>
      </c>
      <c r="E18" s="29">
        <v>45101.359577820003</v>
      </c>
      <c r="F18" s="29">
        <v>123102.10717521999</v>
      </c>
      <c r="G18" s="29">
        <v>3684.9836332639102</v>
      </c>
      <c r="H18" s="29">
        <v>152674.89765966401</v>
      </c>
      <c r="I18" s="35">
        <v>1991</v>
      </c>
      <c r="J18" s="40">
        <f t="shared" si="12"/>
        <v>3.8149348085415681E-2</v>
      </c>
      <c r="K18" s="41">
        <f t="shared" si="1"/>
        <v>3.6493537666460845E-4</v>
      </c>
      <c r="L18" s="41">
        <f t="shared" si="2"/>
        <v>1.0744339131469301E-2</v>
      </c>
      <c r="M18" s="41">
        <f t="shared" si="3"/>
        <v>1.2154684590668811E-2</v>
      </c>
      <c r="N18" s="41">
        <f t="shared" si="4"/>
        <v>2.0514804819745215E-3</v>
      </c>
      <c r="U18">
        <v>1991</v>
      </c>
      <c r="V18" s="68">
        <f t="shared" si="6"/>
        <v>2.0203590251153543</v>
      </c>
      <c r="W18" s="69">
        <f t="shared" si="7"/>
        <v>1.9326686269380302E-2</v>
      </c>
      <c r="X18" s="68">
        <f t="shared" si="8"/>
        <v>0.56901162464327182</v>
      </c>
      <c r="Y18" s="69">
        <f t="shared" si="9"/>
        <v>0.64370239447358268</v>
      </c>
      <c r="Z18" s="68">
        <f t="shared" si="10"/>
        <v>0.10864476890470721</v>
      </c>
      <c r="AA18" s="67">
        <f t="shared" si="11"/>
        <v>1.8882459805992902E-2</v>
      </c>
    </row>
    <row r="19" spans="1:27" x14ac:dyDescent="0.2">
      <c r="A19" s="28">
        <v>1992</v>
      </c>
      <c r="B19" s="28"/>
      <c r="C19" s="29">
        <v>399556.86425075599</v>
      </c>
      <c r="D19" s="29">
        <v>222281.42023060299</v>
      </c>
      <c r="E19" s="29">
        <v>47591.790292129997</v>
      </c>
      <c r="F19" s="29">
        <v>112723.54099671201</v>
      </c>
      <c r="G19" s="29">
        <v>8330.2742561119994</v>
      </c>
      <c r="H19" s="29">
        <v>159453.54436886901</v>
      </c>
      <c r="I19" s="35">
        <v>1992</v>
      </c>
      <c r="J19" s="40">
        <f t="shared" si="12"/>
        <v>2.3427283919727888E-2</v>
      </c>
      <c r="K19" s="41">
        <f t="shared" si="1"/>
        <v>-2.6515468723064886E-2</v>
      </c>
      <c r="L19" s="41">
        <f t="shared" si="2"/>
        <v>6.3626262603588193E-3</v>
      </c>
      <c r="M19" s="41">
        <f t="shared" si="3"/>
        <v>1.1867926272392111E-2</v>
      </c>
      <c r="N19" s="41">
        <f t="shared" si="4"/>
        <v>1.7318287681668088E-2</v>
      </c>
      <c r="U19">
        <v>1992</v>
      </c>
      <c r="V19" s="68">
        <f t="shared" si="6"/>
        <v>2.6203415625824031</v>
      </c>
      <c r="W19" s="69">
        <f t="shared" si="7"/>
        <v>-2.9657550138747664</v>
      </c>
      <c r="X19" s="68">
        <f t="shared" si="8"/>
        <v>0.71165970815579338</v>
      </c>
      <c r="Y19" s="69">
        <f t="shared" si="9"/>
        <v>1.3274274807002</v>
      </c>
      <c r="Z19" s="68">
        <f t="shared" si="10"/>
        <v>1.9370503708635138</v>
      </c>
      <c r="AA19" s="67">
        <f t="shared" si="11"/>
        <v>8.9405458640436919E-3</v>
      </c>
    </row>
    <row r="20" spans="1:27" x14ac:dyDescent="0.2">
      <c r="A20" s="28">
        <v>1993</v>
      </c>
      <c r="B20" s="28"/>
      <c r="C20" s="29">
        <v>408319.60620642401</v>
      </c>
      <c r="D20" s="29">
        <v>227140.16150386599</v>
      </c>
      <c r="E20" s="29">
        <v>48707.23788388</v>
      </c>
      <c r="F20" s="29">
        <v>107900.91057347201</v>
      </c>
      <c r="G20" s="29">
        <v>13921.3070484113</v>
      </c>
      <c r="H20" s="29">
        <v>163182.49974901299</v>
      </c>
      <c r="I20" s="35">
        <v>1993</v>
      </c>
      <c r="J20" s="40">
        <f t="shared" si="12"/>
        <v>1.2160324869838125E-2</v>
      </c>
      <c r="K20" s="41">
        <f t="shared" si="1"/>
        <v>-1.2069947621306259E-2</v>
      </c>
      <c r="L20" s="41">
        <f t="shared" si="2"/>
        <v>2.7917117475673345E-3</v>
      </c>
      <c r="M20" s="41">
        <f t="shared" si="3"/>
        <v>1.3993084070232493E-2</v>
      </c>
      <c r="N20" s="41">
        <f t="shared" si="4"/>
        <v>9.3327276134686516E-3</v>
      </c>
      <c r="U20">
        <v>1993</v>
      </c>
      <c r="V20" s="68">
        <f t="shared" si="6"/>
        <v>1.2906805775904096</v>
      </c>
      <c r="W20" s="69">
        <f t="shared" si="7"/>
        <v>-1.2810880576055637</v>
      </c>
      <c r="X20" s="68">
        <f t="shared" si="8"/>
        <v>0.29630854186744304</v>
      </c>
      <c r="Y20" s="69">
        <f t="shared" si="9"/>
        <v>1.4852071818274744</v>
      </c>
      <c r="Z20" s="68">
        <f t="shared" si="10"/>
        <v>0.99056319593261244</v>
      </c>
      <c r="AA20" s="67">
        <f t="shared" si="11"/>
        <v>9.4216377630322867E-3</v>
      </c>
    </row>
    <row r="21" spans="1:27" x14ac:dyDescent="0.2">
      <c r="A21" s="28">
        <v>1994</v>
      </c>
      <c r="B21" s="28"/>
      <c r="C21" s="29">
        <v>418401.76711088698</v>
      </c>
      <c r="D21" s="29">
        <v>229582.01011935601</v>
      </c>
      <c r="E21" s="29">
        <v>49912.557547140001</v>
      </c>
      <c r="F21" s="29">
        <v>111551.67118295</v>
      </c>
      <c r="G21" s="29">
        <v>14377.682020699</v>
      </c>
      <c r="H21" s="29">
        <v>164176.92588601599</v>
      </c>
      <c r="I21" s="35">
        <v>1994</v>
      </c>
      <c r="J21" s="40">
        <f t="shared" si="12"/>
        <v>5.9802384660793189E-3</v>
      </c>
      <c r="K21" s="41">
        <f t="shared" si="1"/>
        <v>8.9409387988887475E-3</v>
      </c>
      <c r="L21" s="41">
        <f t="shared" si="2"/>
        <v>2.9519024924085022E-3</v>
      </c>
      <c r="M21" s="41">
        <f t="shared" si="3"/>
        <v>1.1176905672684791E-3</v>
      </c>
      <c r="N21" s="41">
        <f t="shared" si="4"/>
        <v>2.435411187432113E-3</v>
      </c>
      <c r="U21">
        <v>1994</v>
      </c>
      <c r="V21" s="68">
        <f t="shared" si="6"/>
        <v>0.56453153236474807</v>
      </c>
      <c r="W21" s="69">
        <f t="shared" si="7"/>
        <v>0.84402016901931809</v>
      </c>
      <c r="X21" s="68">
        <f t="shared" si="8"/>
        <v>0.27865812490303926</v>
      </c>
      <c r="Y21" s="69">
        <f t="shared" si="9"/>
        <v>0.10550943281420144</v>
      </c>
      <c r="Z21" s="68">
        <f t="shared" si="10"/>
        <v>0.22990160298418205</v>
      </c>
      <c r="AA21" s="67">
        <f t="shared" si="11"/>
        <v>1.0593276235658422E-2</v>
      </c>
    </row>
    <row r="22" spans="1:27" x14ac:dyDescent="0.2">
      <c r="A22" s="28">
        <v>1995</v>
      </c>
      <c r="B22" s="28"/>
      <c r="C22" s="29">
        <v>423515.35549793398</v>
      </c>
      <c r="D22" s="29">
        <v>234427.979407598</v>
      </c>
      <c r="E22" s="29">
        <v>50375.483212029998</v>
      </c>
      <c r="F22" s="29">
        <v>112691.99416213301</v>
      </c>
      <c r="G22" s="29">
        <v>13809.663005468499</v>
      </c>
      <c r="H22" s="29">
        <v>166014.65481899001</v>
      </c>
      <c r="I22" s="35">
        <v>1995</v>
      </c>
      <c r="J22" s="40">
        <f t="shared" si="12"/>
        <v>1.1582095653428938E-2</v>
      </c>
      <c r="K22" s="41">
        <f t="shared" si="1"/>
        <v>2.7254258199172344E-3</v>
      </c>
      <c r="L22" s="41">
        <f t="shared" si="2"/>
        <v>1.1064142202040709E-3</v>
      </c>
      <c r="M22" s="41">
        <f t="shared" si="3"/>
        <v>-1.3575922949674375E-3</v>
      </c>
      <c r="N22" s="41">
        <f t="shared" si="4"/>
        <v>4.3922590137793838E-3</v>
      </c>
      <c r="U22">
        <v>1995</v>
      </c>
      <c r="V22" s="68">
        <f t="shared" si="6"/>
        <v>2.1953869331531877</v>
      </c>
      <c r="W22" s="69">
        <f t="shared" si="7"/>
        <v>0.51660462936629303</v>
      </c>
      <c r="X22" s="68">
        <f t="shared" si="8"/>
        <v>0.20972088250469345</v>
      </c>
      <c r="Y22" s="69">
        <f t="shared" si="9"/>
        <v>-0.25733170180118364</v>
      </c>
      <c r="Z22" s="68">
        <f t="shared" si="10"/>
        <v>0.8325529622975264</v>
      </c>
      <c r="AA22" s="67">
        <f t="shared" si="11"/>
        <v>5.2756511749816326E-3</v>
      </c>
    </row>
    <row r="23" spans="1:27" x14ac:dyDescent="0.2">
      <c r="A23" s="28">
        <v>1996</v>
      </c>
      <c r="B23" s="28"/>
      <c r="C23" s="29">
        <v>426881.82800179801</v>
      </c>
      <c r="D23" s="29">
        <v>239617.55363309599</v>
      </c>
      <c r="E23" s="29">
        <v>51368.919629540003</v>
      </c>
      <c r="F23" s="29">
        <v>108783.76341080399</v>
      </c>
      <c r="G23" s="29">
        <v>12022.8373087624</v>
      </c>
      <c r="H23" s="29">
        <v>172092.646457911</v>
      </c>
      <c r="I23" s="35">
        <v>1996</v>
      </c>
      <c r="J23" s="40">
        <f t="shared" si="12"/>
        <v>1.2253568042170555E-2</v>
      </c>
      <c r="K23" s="41">
        <f t="shared" si="1"/>
        <v>-9.2280733168081785E-3</v>
      </c>
      <c r="L23" s="41">
        <f t="shared" si="2"/>
        <v>2.3456916133347888E-3</v>
      </c>
      <c r="M23" s="41">
        <f t="shared" si="3"/>
        <v>-4.2190340291328949E-3</v>
      </c>
      <c r="N23" s="41">
        <f t="shared" si="4"/>
        <v>1.4351289888356001E-2</v>
      </c>
      <c r="U23">
        <v>1996</v>
      </c>
      <c r="V23" s="68">
        <f t="shared" si="6"/>
        <v>3.5636310355458938</v>
      </c>
      <c r="W23" s="69">
        <f t="shared" si="7"/>
        <v>-2.6837447147553721</v>
      </c>
      <c r="X23" s="68">
        <f t="shared" si="8"/>
        <v>0.68218329586382709</v>
      </c>
      <c r="Y23" s="69">
        <f t="shared" si="9"/>
        <v>-1.2269961332486272</v>
      </c>
      <c r="Z23" s="68">
        <f t="shared" si="10"/>
        <v>4.1736987847339009</v>
      </c>
      <c r="AA23" s="67">
        <f t="shared" si="11"/>
        <v>3.4385063773285651E-3</v>
      </c>
    </row>
    <row r="24" spans="1:27" x14ac:dyDescent="0.2">
      <c r="A24" s="28">
        <v>1997</v>
      </c>
      <c r="B24" s="28"/>
      <c r="C24" s="29">
        <v>433747.49206923298</v>
      </c>
      <c r="D24" s="29">
        <v>246290.064290404</v>
      </c>
      <c r="E24" s="29">
        <v>51100.123691120003</v>
      </c>
      <c r="F24" s="29">
        <v>111258.095431986</v>
      </c>
      <c r="G24" s="29">
        <v>17330.226591573199</v>
      </c>
      <c r="H24" s="29">
        <v>198923.88927491001</v>
      </c>
      <c r="I24" s="35">
        <v>1997</v>
      </c>
      <c r="J24" s="40">
        <f t="shared" si="12"/>
        <v>1.5630814477490262E-2</v>
      </c>
      <c r="K24" s="41">
        <f t="shared" si="1"/>
        <v>5.7962926947820051E-3</v>
      </c>
      <c r="L24" s="41">
        <f t="shared" si="2"/>
        <v>-6.2967294644097188E-4</v>
      </c>
      <c r="M24" s="41">
        <f t="shared" si="3"/>
        <v>1.2432923902275933E-2</v>
      </c>
      <c r="N24" s="41">
        <f t="shared" si="4"/>
        <v>6.285402904732218E-2</v>
      </c>
      <c r="U24">
        <v>1997</v>
      </c>
      <c r="V24" s="68">
        <f t="shared" si="6"/>
        <v>2.2557536881901417</v>
      </c>
      <c r="W24" s="69">
        <f t="shared" si="7"/>
        <v>0.83648927206661161</v>
      </c>
      <c r="X24" s="68">
        <f t="shared" si="8"/>
        <v>-9.0870957065817479E-2</v>
      </c>
      <c r="Y24" s="69">
        <f t="shared" si="9"/>
        <v>1.794251603966923</v>
      </c>
      <c r="Z24" s="68">
        <f t="shared" si="10"/>
        <v>9.0707498349038378</v>
      </c>
      <c r="AA24" s="67">
        <f t="shared" si="11"/>
        <v>6.929309063894884E-3</v>
      </c>
    </row>
    <row r="25" spans="1:27" x14ac:dyDescent="0.2">
      <c r="A25" s="28">
        <v>1998</v>
      </c>
      <c r="B25" s="28"/>
      <c r="C25" s="29">
        <v>444954.84281793702</v>
      </c>
      <c r="D25" s="29">
        <v>251643.84257983399</v>
      </c>
      <c r="E25" s="29">
        <v>51650.684390759998</v>
      </c>
      <c r="F25" s="29">
        <v>119648.179259463</v>
      </c>
      <c r="G25" s="29">
        <v>14130.641333073499</v>
      </c>
      <c r="H25" s="29">
        <v>201896.58984968299</v>
      </c>
      <c r="I25" s="35">
        <v>1998</v>
      </c>
      <c r="J25" s="40">
        <f t="shared" si="12"/>
        <v>1.2343076069187832E-2</v>
      </c>
      <c r="K25" s="41">
        <f t="shared" si="1"/>
        <v>1.9343244585579764E-2</v>
      </c>
      <c r="L25" s="41">
        <f t="shared" si="2"/>
        <v>1.2693115457878348E-3</v>
      </c>
      <c r="M25" s="41">
        <f t="shared" si="3"/>
        <v>-7.3766080888117147E-3</v>
      </c>
      <c r="N25" s="41">
        <f t="shared" si="4"/>
        <v>6.8535279837387397E-3</v>
      </c>
      <c r="U25">
        <v>1998</v>
      </c>
      <c r="V25" s="68">
        <f t="shared" si="6"/>
        <v>1.1141004858893107</v>
      </c>
      <c r="W25" s="69">
        <f t="shared" si="7"/>
        <v>1.7459438855170399</v>
      </c>
      <c r="X25" s="68">
        <f t="shared" si="8"/>
        <v>0.11456954506156491</v>
      </c>
      <c r="Y25" s="69">
        <f t="shared" si="9"/>
        <v>-0.66582127582244655</v>
      </c>
      <c r="Z25" s="68">
        <f t="shared" si="10"/>
        <v>0.61860745359902258</v>
      </c>
      <c r="AA25" s="67">
        <f t="shared" si="11"/>
        <v>1.1078961211775429E-2</v>
      </c>
    </row>
    <row r="26" spans="1:27" x14ac:dyDescent="0.2">
      <c r="A26" s="28">
        <v>1999</v>
      </c>
      <c r="B26" s="28"/>
      <c r="C26" s="29">
        <v>453531.10713721003</v>
      </c>
      <c r="D26" s="29">
        <v>258963.80117721399</v>
      </c>
      <c r="E26" s="29">
        <v>52700.43542224</v>
      </c>
      <c r="F26" s="29">
        <v>123364.32893951501</v>
      </c>
      <c r="G26" s="29">
        <v>14704.3685434118</v>
      </c>
      <c r="H26" s="29">
        <v>209388.44333410799</v>
      </c>
      <c r="I26" s="35">
        <v>1999</v>
      </c>
      <c r="J26" s="40">
        <f t="shared" si="12"/>
        <v>1.6451014559190041E-2</v>
      </c>
      <c r="K26" s="41">
        <f t="shared" si="1"/>
        <v>8.3517456659586344E-3</v>
      </c>
      <c r="L26" s="41">
        <f t="shared" si="2"/>
        <v>2.3592304891701795E-3</v>
      </c>
      <c r="M26" s="41">
        <f t="shared" si="3"/>
        <v>1.2894054747327544E-3</v>
      </c>
      <c r="N26" s="41">
        <f t="shared" si="4"/>
        <v>1.6837334406742149E-2</v>
      </c>
      <c r="U26">
        <v>1999</v>
      </c>
      <c r="V26" s="68">
        <f t="shared" si="6"/>
        <v>1.9841674565888656</v>
      </c>
      <c r="W26" s="69">
        <f t="shared" si="7"/>
        <v>1.007309421341738</v>
      </c>
      <c r="X26" s="68">
        <f t="shared" si="8"/>
        <v>0.28454830809135051</v>
      </c>
      <c r="Y26" s="69">
        <f t="shared" si="9"/>
        <v>0.15551602438300982</v>
      </c>
      <c r="Z26" s="68">
        <f t="shared" si="10"/>
        <v>2.0307617421017348</v>
      </c>
      <c r="AA26" s="67">
        <f t="shared" si="11"/>
        <v>8.2911422141114244E-3</v>
      </c>
    </row>
    <row r="27" spans="1:27" x14ac:dyDescent="0.2">
      <c r="A27" s="28">
        <v>2000</v>
      </c>
      <c r="B27" s="28"/>
      <c r="C27" s="29">
        <v>476794.43183223403</v>
      </c>
      <c r="D27" s="29">
        <v>268109.25277866703</v>
      </c>
      <c r="E27" s="29">
        <v>54816.027654650003</v>
      </c>
      <c r="F27" s="29">
        <v>131257.706660789</v>
      </c>
      <c r="G27" s="29">
        <v>20759.4546322807</v>
      </c>
      <c r="H27" s="29">
        <v>242467.290525574</v>
      </c>
      <c r="I27" s="35">
        <v>2000</v>
      </c>
      <c r="J27" s="40">
        <f t="shared" si="12"/>
        <v>2.0164993001651369E-2</v>
      </c>
      <c r="K27" s="41">
        <f t="shared" si="1"/>
        <v>1.7404269733775846E-2</v>
      </c>
      <c r="L27" s="41">
        <f t="shared" si="2"/>
        <v>4.6647125172165037E-3</v>
      </c>
      <c r="M27" s="41">
        <f t="shared" si="3"/>
        <v>1.3350982972457966E-2</v>
      </c>
      <c r="N27" s="41">
        <f t="shared" si="4"/>
        <v>7.2936225698535029E-2</v>
      </c>
      <c r="U27">
        <v>2000</v>
      </c>
      <c r="V27" s="68">
        <f t="shared" si="6"/>
        <v>0.92823168016262381</v>
      </c>
      <c r="W27" s="69">
        <f t="shared" si="7"/>
        <v>0.80115051543351679</v>
      </c>
      <c r="X27" s="68">
        <f t="shared" si="8"/>
        <v>0.21472528837361393</v>
      </c>
      <c r="Y27" s="69">
        <f t="shared" si="9"/>
        <v>0.61457027807212017</v>
      </c>
      <c r="Z27" s="68">
        <f t="shared" si="10"/>
        <v>3.3573884860424807</v>
      </c>
      <c r="AA27" s="67">
        <f t="shared" si="11"/>
        <v>2.1724094784309145E-2</v>
      </c>
    </row>
    <row r="28" spans="1:27" x14ac:dyDescent="0.2">
      <c r="A28" s="28">
        <v>2001</v>
      </c>
      <c r="B28" s="28"/>
      <c r="C28" s="29">
        <v>489674.25564941502</v>
      </c>
      <c r="D28" s="29">
        <v>275550.97955620801</v>
      </c>
      <c r="E28" s="29">
        <v>56611.175244129998</v>
      </c>
      <c r="F28" s="29">
        <v>131796.19969050999</v>
      </c>
      <c r="G28" s="29">
        <v>17894.927357635101</v>
      </c>
      <c r="H28" s="29">
        <v>242063.331287243</v>
      </c>
      <c r="I28" s="35">
        <v>2001</v>
      </c>
      <c r="J28" s="40">
        <f t="shared" si="12"/>
        <v>1.5607830714263559E-2</v>
      </c>
      <c r="K28" s="41">
        <f t="shared" si="1"/>
        <v>1.1294029329404361E-3</v>
      </c>
      <c r="L28" s="41">
        <f t="shared" si="2"/>
        <v>3.7650347185926025E-3</v>
      </c>
      <c r="M28" s="41">
        <f t="shared" si="3"/>
        <v>-6.0078874319856122E-3</v>
      </c>
      <c r="N28" s="41">
        <f t="shared" si="4"/>
        <v>-8.4723984040389606E-4</v>
      </c>
      <c r="U28">
        <v>2001</v>
      </c>
      <c r="V28" s="68">
        <f t="shared" si="6"/>
        <v>1.3482809310909813</v>
      </c>
      <c r="W28" s="69">
        <f t="shared" si="7"/>
        <v>9.7563361999449122E-2</v>
      </c>
      <c r="X28" s="68">
        <f t="shared" si="8"/>
        <v>0.325242156255244</v>
      </c>
      <c r="Y28" s="69">
        <f t="shared" si="9"/>
        <v>-0.51899076873538297</v>
      </c>
      <c r="Z28" s="68">
        <f t="shared" si="10"/>
        <v>-7.3188730822996914E-2</v>
      </c>
      <c r="AA28" s="67">
        <f t="shared" si="11"/>
        <v>1.1576096905586475E-2</v>
      </c>
    </row>
    <row r="29" spans="1:27" x14ac:dyDescent="0.2">
      <c r="A29" s="28">
        <v>2002</v>
      </c>
      <c r="B29" s="28"/>
      <c r="C29" s="29">
        <v>489292.79718540399</v>
      </c>
      <c r="D29" s="29">
        <v>274513.94416331098</v>
      </c>
      <c r="E29" s="29">
        <v>58445.36804239</v>
      </c>
      <c r="F29" s="29">
        <v>132601.849284853</v>
      </c>
      <c r="G29" s="29">
        <v>23007.236276135802</v>
      </c>
      <c r="H29" s="29">
        <v>233886.34822654701</v>
      </c>
      <c r="I29" s="35">
        <v>2002</v>
      </c>
      <c r="J29" s="40">
        <f t="shared" si="12"/>
        <v>-2.1178066458112923E-3</v>
      </c>
      <c r="K29" s="41">
        <f t="shared" si="1"/>
        <v>1.6452765997970182E-3</v>
      </c>
      <c r="L29" s="41">
        <f t="shared" si="2"/>
        <v>3.7457407186486913E-3</v>
      </c>
      <c r="M29" s="41">
        <f t="shared" si="3"/>
        <v>1.0440224005079995E-2</v>
      </c>
      <c r="N29" s="41">
        <f t="shared" si="4"/>
        <v>-1.6698821647978045E-2</v>
      </c>
      <c r="U29">
        <v>2002</v>
      </c>
      <c r="V29" s="68">
        <f t="shared" si="6"/>
        <v>6.2573838654423604</v>
      </c>
      <c r="W29" s="69">
        <f t="shared" si="7"/>
        <v>-4.861221523750511</v>
      </c>
      <c r="X29" s="68">
        <f t="shared" si="8"/>
        <v>-11.067364239016223</v>
      </c>
      <c r="Y29" s="69">
        <f t="shared" si="9"/>
        <v>-30.847239699715576</v>
      </c>
      <c r="Z29" s="68">
        <f t="shared" si="10"/>
        <v>49.339224314280536</v>
      </c>
      <c r="AA29" s="67">
        <f t="shared" si="11"/>
        <v>-3.3844921317793819E-4</v>
      </c>
    </row>
    <row r="30" spans="1:27" x14ac:dyDescent="0.2">
      <c r="A30" s="28">
        <v>2003</v>
      </c>
      <c r="B30" s="28"/>
      <c r="C30" s="29">
        <v>493651.67529704701</v>
      </c>
      <c r="D30" s="29">
        <v>278951.52392963</v>
      </c>
      <c r="E30" s="29">
        <v>60038.414321229997</v>
      </c>
      <c r="F30" s="29">
        <v>131161.35880715301</v>
      </c>
      <c r="G30" s="29">
        <v>22603.011150512699</v>
      </c>
      <c r="H30" s="29">
        <v>232825.749752011</v>
      </c>
      <c r="I30" s="35">
        <v>2003</v>
      </c>
      <c r="J30" s="40">
        <f t="shared" si="12"/>
        <v>9.0693748034829918E-3</v>
      </c>
      <c r="K30" s="41">
        <f t="shared" si="1"/>
        <v>-2.9440255118943761E-3</v>
      </c>
      <c r="L30" s="41">
        <f t="shared" si="2"/>
        <v>3.2558138766885535E-3</v>
      </c>
      <c r="M30" s="41">
        <f t="shared" si="3"/>
        <v>-8.2614158219446057E-4</v>
      </c>
      <c r="N30" s="41">
        <f t="shared" si="4"/>
        <v>-2.1676151389044855E-3</v>
      </c>
      <c r="U30">
        <v>2003</v>
      </c>
      <c r="V30" s="68">
        <f t="shared" si="6"/>
        <v>2.3545854508653976</v>
      </c>
      <c r="W30" s="69">
        <f t="shared" si="7"/>
        <v>-0.76432607401128816</v>
      </c>
      <c r="X30" s="68">
        <f t="shared" si="8"/>
        <v>0.84527237553711643</v>
      </c>
      <c r="Y30" s="69">
        <f t="shared" si="9"/>
        <v>-0.21448236421356814</v>
      </c>
      <c r="Z30" s="68">
        <f t="shared" si="10"/>
        <v>-0.56275489542895607</v>
      </c>
      <c r="AA30" s="67">
        <f t="shared" si="11"/>
        <v>3.8517925948067244E-3</v>
      </c>
    </row>
    <row r="31" spans="1:27" x14ac:dyDescent="0.2">
      <c r="A31" s="28">
        <v>2004</v>
      </c>
      <c r="B31" s="28"/>
      <c r="C31" s="29">
        <v>508607.55280216801</v>
      </c>
      <c r="D31" s="29">
        <v>286606.41958698002</v>
      </c>
      <c r="E31" s="29">
        <v>60689.991397500002</v>
      </c>
      <c r="F31" s="29">
        <v>139210.731927674</v>
      </c>
      <c r="G31" s="29">
        <v>33875.670490899902</v>
      </c>
      <c r="H31" s="29">
        <v>258609.73318712701</v>
      </c>
      <c r="I31" s="35">
        <v>2004</v>
      </c>
      <c r="J31" s="40">
        <f t="shared" si="12"/>
        <v>1.5506674119446281E-2</v>
      </c>
      <c r="K31" s="41">
        <f t="shared" si="1"/>
        <v>1.6305774948859254E-2</v>
      </c>
      <c r="L31" s="41">
        <f t="shared" si="2"/>
        <v>1.3199126203267289E-3</v>
      </c>
      <c r="M31" s="41">
        <f t="shared" si="3"/>
        <v>2.2835249842116021E-2</v>
      </c>
      <c r="N31" s="41">
        <f t="shared" si="4"/>
        <v>5.2231127180113204E-2</v>
      </c>
      <c r="U31">
        <v>2004</v>
      </c>
      <c r="V31" s="68">
        <f t="shared" si="6"/>
        <v>1.1963004861900222</v>
      </c>
      <c r="W31" s="69">
        <f t="shared" si="7"/>
        <v>1.2579490836505667</v>
      </c>
      <c r="X31" s="68">
        <f t="shared" si="8"/>
        <v>0.10182790308626127</v>
      </c>
      <c r="Y31" s="69">
        <f t="shared" si="9"/>
        <v>1.7616814719886238</v>
      </c>
      <c r="Z31" s="68">
        <f t="shared" si="10"/>
        <v>4.0294986764095038</v>
      </c>
      <c r="AA31" s="67">
        <f t="shared" si="11"/>
        <v>1.2962189933427126E-2</v>
      </c>
    </row>
    <row r="32" spans="1:27" x14ac:dyDescent="0.2">
      <c r="A32" s="28">
        <v>2005</v>
      </c>
      <c r="B32" s="28"/>
      <c r="C32" s="29">
        <v>528601.15710151696</v>
      </c>
      <c r="D32" s="29">
        <v>294812.22457569698</v>
      </c>
      <c r="E32" s="29">
        <v>61827.968293509999</v>
      </c>
      <c r="F32" s="29">
        <v>144120.64917490599</v>
      </c>
      <c r="G32" s="29">
        <v>26816.6976017827</v>
      </c>
      <c r="H32" s="29">
        <v>282119.819549579</v>
      </c>
      <c r="I32" s="35">
        <v>2005</v>
      </c>
      <c r="J32" s="40">
        <f t="shared" si="12"/>
        <v>1.6133863808170296E-2</v>
      </c>
      <c r="K32" s="41">
        <f t="shared" si="1"/>
        <v>9.6536459597991679E-3</v>
      </c>
      <c r="L32" s="41">
        <f t="shared" si="2"/>
        <v>2.2374360933893442E-3</v>
      </c>
      <c r="M32" s="41">
        <f t="shared" si="3"/>
        <v>-1.3879017034304473E-2</v>
      </c>
      <c r="N32" s="41">
        <f t="shared" si="4"/>
        <v>4.622441454697912E-2</v>
      </c>
      <c r="U32">
        <v>2005</v>
      </c>
      <c r="V32" s="68">
        <f t="shared" si="6"/>
        <v>0.96348585258773634</v>
      </c>
      <c r="W32" s="69">
        <f t="shared" si="7"/>
        <v>0.5764986874035154</v>
      </c>
      <c r="X32" s="68">
        <f t="shared" si="8"/>
        <v>0.13361573195864751</v>
      </c>
      <c r="Y32" s="69">
        <f t="shared" si="9"/>
        <v>-0.82883038554005717</v>
      </c>
      <c r="Z32" s="68">
        <f t="shared" si="10"/>
        <v>2.7604403997517024</v>
      </c>
      <c r="AA32" s="67">
        <f t="shared" si="11"/>
        <v>1.6745304318519949E-2</v>
      </c>
    </row>
    <row r="33" spans="1:27" x14ac:dyDescent="0.2">
      <c r="A33" s="28">
        <v>2006</v>
      </c>
      <c r="B33" s="28"/>
      <c r="C33" s="29">
        <v>562159.63845092803</v>
      </c>
      <c r="D33" s="29">
        <v>303938.871774283</v>
      </c>
      <c r="E33" s="29">
        <v>62563.201004180002</v>
      </c>
      <c r="F33" s="29">
        <v>152165.353631106</v>
      </c>
      <c r="G33" s="29">
        <v>37109.642799340298</v>
      </c>
      <c r="H33" s="29">
        <v>315830.225733881</v>
      </c>
      <c r="I33" s="35">
        <v>2006</v>
      </c>
      <c r="J33" s="40">
        <f t="shared" si="12"/>
        <v>1.7265658759867734E-2</v>
      </c>
      <c r="K33" s="41">
        <f t="shared" si="1"/>
        <v>1.521885517676806E-2</v>
      </c>
      <c r="L33" s="41">
        <f t="shared" si="2"/>
        <v>1.3909025752071953E-3</v>
      </c>
      <c r="M33" s="41">
        <f t="shared" si="3"/>
        <v>1.9472044393540468E-2</v>
      </c>
      <c r="N33" s="41">
        <f t="shared" si="4"/>
        <v>6.3772857345123016E-2</v>
      </c>
      <c r="U33">
        <v>2006</v>
      </c>
      <c r="V33" s="68">
        <f t="shared" si="6"/>
        <v>0.64589062838397782</v>
      </c>
      <c r="W33" s="69">
        <f t="shared" si="7"/>
        <v>0.56932180058230097</v>
      </c>
      <c r="X33" s="68">
        <f t="shared" si="8"/>
        <v>5.2032242199158953E-2</v>
      </c>
      <c r="Y33" s="69">
        <f t="shared" si="9"/>
        <v>0.72842925741692999</v>
      </c>
      <c r="Z33" s="68">
        <f t="shared" si="10"/>
        <v>2.3856773423685356</v>
      </c>
      <c r="AA33" s="67">
        <f t="shared" si="11"/>
        <v>2.6731551753687022E-2</v>
      </c>
    </row>
    <row r="34" spans="1:27" x14ac:dyDescent="0.2">
      <c r="A34" s="28">
        <v>2007</v>
      </c>
      <c r="B34" s="28"/>
      <c r="C34" s="29">
        <v>598992.21216647106</v>
      </c>
      <c r="D34" s="29">
        <v>315226.329473213</v>
      </c>
      <c r="E34" s="29">
        <v>64208.427014560002</v>
      </c>
      <c r="F34" s="29">
        <v>163113.23377111999</v>
      </c>
      <c r="G34" s="29">
        <v>56660.1247192257</v>
      </c>
      <c r="H34" s="29">
        <v>365892.03915086901</v>
      </c>
      <c r="I34" s="35">
        <v>2007</v>
      </c>
      <c r="J34" s="40">
        <f t="shared" si="12"/>
        <v>2.0078740853814073E-2</v>
      </c>
      <c r="K34" s="41">
        <f t="shared" si="1"/>
        <v>1.9474681907405655E-2</v>
      </c>
      <c r="L34" s="41">
        <f t="shared" si="2"/>
        <v>2.926617099216764E-3</v>
      </c>
      <c r="M34" s="41">
        <f t="shared" si="3"/>
        <v>3.4777455695250876E-2</v>
      </c>
      <c r="N34" s="41">
        <f t="shared" si="4"/>
        <v>8.9052664034965215E-2</v>
      </c>
      <c r="U34">
        <v>2007</v>
      </c>
      <c r="V34" s="68">
        <f t="shared" si="6"/>
        <v>0.72850643621295863</v>
      </c>
      <c r="W34" s="69">
        <f t="shared" si="7"/>
        <v>0.70658968189482319</v>
      </c>
      <c r="X34" s="68">
        <f t="shared" si="8"/>
        <v>0.1061849151116124</v>
      </c>
      <c r="Y34" s="69">
        <f t="shared" si="9"/>
        <v>1.2618122069287343</v>
      </c>
      <c r="Z34" s="68">
        <f t="shared" si="10"/>
        <v>3.2310511592194264</v>
      </c>
      <c r="AA34" s="67">
        <f t="shared" si="11"/>
        <v>2.7561514704236068E-2</v>
      </c>
    </row>
    <row r="35" spans="1:27" x14ac:dyDescent="0.2">
      <c r="A35" s="28">
        <v>2008</v>
      </c>
      <c r="B35" s="28"/>
      <c r="C35" s="29">
        <v>622461.84339465504</v>
      </c>
      <c r="D35" s="29">
        <v>325402.00141668902</v>
      </c>
      <c r="E35" s="29">
        <v>67708.609957139997</v>
      </c>
      <c r="F35" s="29">
        <v>167428.887259963</v>
      </c>
      <c r="G35" s="29">
        <v>57318.797419021699</v>
      </c>
      <c r="H35" s="29">
        <v>390753.674696951</v>
      </c>
      <c r="I35" s="35">
        <v>2008</v>
      </c>
      <c r="J35" s="40">
        <f t="shared" si="12"/>
        <v>1.6987987050235652E-2</v>
      </c>
      <c r="K35" s="41">
        <f t="shared" si="1"/>
        <v>7.2048574275012491E-3</v>
      </c>
      <c r="L35" s="41">
        <f t="shared" si="2"/>
        <v>5.8434531726553225E-3</v>
      </c>
      <c r="M35" s="41">
        <f t="shared" si="3"/>
        <v>1.0996348306661157E-3</v>
      </c>
      <c r="N35" s="41">
        <f t="shared" si="4"/>
        <v>4.1505774267349707E-2</v>
      </c>
      <c r="U35">
        <v>2008</v>
      </c>
      <c r="V35" s="68">
        <f t="shared" si="6"/>
        <v>1.0177591818523863</v>
      </c>
      <c r="W35" s="69">
        <f t="shared" si="7"/>
        <v>0.43164677363437487</v>
      </c>
      <c r="X35" s="68">
        <f t="shared" si="8"/>
        <v>0.35008433327666766</v>
      </c>
      <c r="Y35" s="69">
        <f t="shared" si="9"/>
        <v>6.5879697358234596E-2</v>
      </c>
      <c r="Z35" s="68">
        <f t="shared" si="10"/>
        <v>2.4866326266655405</v>
      </c>
      <c r="AA35" s="67">
        <f t="shared" si="11"/>
        <v>1.6691558625210767E-2</v>
      </c>
    </row>
    <row r="36" spans="1:27" x14ac:dyDescent="0.2">
      <c r="A36" s="28">
        <v>2009</v>
      </c>
      <c r="B36" s="28"/>
      <c r="C36" s="29">
        <v>613317.965337715</v>
      </c>
      <c r="D36" s="29">
        <v>327640.24968346499</v>
      </c>
      <c r="E36" s="29">
        <v>71457.912137299994</v>
      </c>
      <c r="F36" s="29">
        <v>155611.88034468901</v>
      </c>
      <c r="G36" s="29">
        <v>37763.370677817402</v>
      </c>
      <c r="H36" s="29">
        <v>353332.34745150298</v>
      </c>
      <c r="I36" s="35">
        <v>2009</v>
      </c>
      <c r="J36" s="40">
        <f t="shared" si="12"/>
        <v>3.5957999522821761E-3</v>
      </c>
      <c r="K36" s="41">
        <f t="shared" si="1"/>
        <v>-1.8984307296377904E-2</v>
      </c>
      <c r="L36" s="41">
        <f t="shared" si="2"/>
        <v>6.0233445952491164E-3</v>
      </c>
      <c r="M36" s="41">
        <f t="shared" si="3"/>
        <v>-3.1416265830138138E-2</v>
      </c>
      <c r="N36" s="41">
        <f t="shared" si="4"/>
        <v>-6.0118266914751334E-2</v>
      </c>
      <c r="U36">
        <v>2009</v>
      </c>
      <c r="V36" s="68">
        <f t="shared" si="6"/>
        <v>-0.55947921747674034</v>
      </c>
      <c r="W36" s="69">
        <f t="shared" si="7"/>
        <v>2.9538143198912823</v>
      </c>
      <c r="X36" s="68">
        <f t="shared" si="8"/>
        <v>-0.93718676385317368</v>
      </c>
      <c r="Y36" s="69">
        <f t="shared" si="9"/>
        <v>4.888132837181713</v>
      </c>
      <c r="Z36" s="68">
        <f t="shared" si="10"/>
        <v>9.3539466532824029</v>
      </c>
      <c r="AA36" s="67">
        <f t="shared" si="11"/>
        <v>-6.427048297699578E-3</v>
      </c>
    </row>
    <row r="37" spans="1:27" x14ac:dyDescent="0.2">
      <c r="A37" s="28">
        <v>2010</v>
      </c>
      <c r="B37" s="28"/>
      <c r="C37" s="29">
        <v>636172.01998340595</v>
      </c>
      <c r="D37" s="29">
        <v>335274.31752066698</v>
      </c>
      <c r="E37" s="29">
        <v>72594.275057229999</v>
      </c>
      <c r="F37" s="29">
        <v>161385.88441669001</v>
      </c>
      <c r="G37" s="29">
        <v>60628.058998656503</v>
      </c>
      <c r="H37" s="29">
        <v>409480.37958322302</v>
      </c>
      <c r="I37" s="35">
        <v>2010</v>
      </c>
      <c r="J37" s="40">
        <f t="shared" si="12"/>
        <v>1.2447161617055188E-2</v>
      </c>
      <c r="K37" s="41">
        <f t="shared" si="1"/>
        <v>9.4143729652882823E-3</v>
      </c>
      <c r="L37" s="41">
        <f t="shared" si="2"/>
        <v>1.8528120553329666E-3</v>
      </c>
      <c r="M37" s="41">
        <f t="shared" si="3"/>
        <v>3.7280317246616082E-2</v>
      </c>
      <c r="N37" s="41">
        <f t="shared" si="4"/>
        <v>9.1547998436346006E-2</v>
      </c>
      <c r="U37">
        <v>2010</v>
      </c>
      <c r="V37" s="68">
        <f t="shared" si="6"/>
        <v>0.78338833720752177</v>
      </c>
      <c r="W37" s="69">
        <f t="shared" si="7"/>
        <v>0.59251339462188757</v>
      </c>
      <c r="X37" s="68">
        <f t="shared" si="8"/>
        <v>0.11661062978378357</v>
      </c>
      <c r="Y37" s="69">
        <f t="shared" si="9"/>
        <v>2.3463152995762999</v>
      </c>
      <c r="Z37" s="68">
        <f t="shared" si="10"/>
        <v>5.7617661340122632</v>
      </c>
      <c r="AA37" s="67">
        <f t="shared" si="11"/>
        <v>1.5888877873041274E-2</v>
      </c>
    </row>
    <row r="38" spans="1:27" x14ac:dyDescent="0.2">
      <c r="A38" s="28">
        <v>2011</v>
      </c>
      <c r="B38" s="28"/>
      <c r="C38" s="29">
        <v>645812.25803482695</v>
      </c>
      <c r="D38" s="29">
        <v>338394.46664188697</v>
      </c>
      <c r="E38" s="29">
        <v>74276.861302000005</v>
      </c>
      <c r="F38" s="29">
        <v>165408.10555604799</v>
      </c>
      <c r="G38" s="29">
        <v>47507.864448635897</v>
      </c>
      <c r="H38" s="29">
        <v>427539.54601358599</v>
      </c>
      <c r="I38" s="35">
        <v>2011</v>
      </c>
      <c r="J38" s="40">
        <f t="shared" si="12"/>
        <v>4.9045682978974417E-3</v>
      </c>
      <c r="K38" s="41">
        <f t="shared" si="1"/>
        <v>6.3225370073064432E-3</v>
      </c>
      <c r="L38" s="41">
        <f t="shared" si="2"/>
        <v>2.644860496715801E-3</v>
      </c>
      <c r="M38" s="41">
        <f t="shared" si="3"/>
        <v>-2.0623658598444547E-2</v>
      </c>
      <c r="N38" s="41">
        <f t="shared" si="4"/>
        <v>2.8387237827331709E-2</v>
      </c>
      <c r="U38">
        <v>2011</v>
      </c>
      <c r="V38" s="68">
        <f t="shared" si="6"/>
        <v>0.75088466369995976</v>
      </c>
      <c r="W38" s="69">
        <f t="shared" si="7"/>
        <v>0.96797430193745515</v>
      </c>
      <c r="X38" s="68">
        <f t="shared" si="8"/>
        <v>0.40492558447216087</v>
      </c>
      <c r="Y38" s="69">
        <f t="shared" si="9"/>
        <v>-3.1574621883835459</v>
      </c>
      <c r="Z38" s="68">
        <f t="shared" si="10"/>
        <v>4.3460586609599439</v>
      </c>
      <c r="AA38" s="67">
        <f t="shared" si="11"/>
        <v>6.5317198965422207E-3</v>
      </c>
    </row>
    <row r="39" spans="1:27" x14ac:dyDescent="0.2">
      <c r="A39" s="28">
        <v>2012</v>
      </c>
      <c r="B39" s="28"/>
      <c r="C39" s="29">
        <v>654393.62395549798</v>
      </c>
      <c r="D39" s="29">
        <v>342918.55027154199</v>
      </c>
      <c r="E39" s="29">
        <v>75270.247388029995</v>
      </c>
      <c r="F39" s="29">
        <v>171150.294126883</v>
      </c>
      <c r="G39" s="29">
        <v>58844.384865145803</v>
      </c>
      <c r="H39" s="29">
        <v>441251.53736647603</v>
      </c>
      <c r="I39" s="35">
        <v>2012</v>
      </c>
      <c r="J39" s="40">
        <f t="shared" si="12"/>
        <v>7.0052613176181605E-3</v>
      </c>
      <c r="K39" s="41">
        <f t="shared" si="1"/>
        <v>8.8914208415742952E-3</v>
      </c>
      <c r="L39" s="41">
        <f t="shared" si="2"/>
        <v>1.538196393256474E-3</v>
      </c>
      <c r="M39" s="41">
        <f t="shared" si="3"/>
        <v>1.7553894766578676E-2</v>
      </c>
      <c r="N39" s="41">
        <f t="shared" si="4"/>
        <v>2.1232163345141376E-2</v>
      </c>
      <c r="U39">
        <v>2012</v>
      </c>
      <c r="V39" s="68">
        <f t="shared" si="6"/>
        <v>1.2219668730352258</v>
      </c>
      <c r="W39" s="69">
        <f t="shared" si="7"/>
        <v>1.5509802175820848</v>
      </c>
      <c r="X39" s="68">
        <f t="shared" si="8"/>
        <v>0.26831619143948821</v>
      </c>
      <c r="Y39" s="69">
        <f t="shared" si="9"/>
        <v>3.0620239452821454</v>
      </c>
      <c r="Z39" s="68">
        <f t="shared" si="10"/>
        <v>3.70364488550686</v>
      </c>
      <c r="AA39" s="67">
        <f t="shared" si="11"/>
        <v>5.7327751448923436E-3</v>
      </c>
    </row>
    <row r="40" spans="1:27" x14ac:dyDescent="0.2">
      <c r="A40" s="28">
        <v>2013</v>
      </c>
      <c r="B40" s="28"/>
      <c r="C40" s="29">
        <v>666210.44413731096</v>
      </c>
      <c r="D40" s="29">
        <v>349297.52149027801</v>
      </c>
      <c r="E40" s="29">
        <v>76998.062143749994</v>
      </c>
      <c r="F40" s="29">
        <v>174229.81844784701</v>
      </c>
      <c r="G40" s="29">
        <v>68466.837919578698</v>
      </c>
      <c r="H40" s="29">
        <v>476598.93654793099</v>
      </c>
      <c r="I40" s="35">
        <v>2013</v>
      </c>
      <c r="J40" s="40">
        <f t="shared" si="12"/>
        <v>9.7479116318068357E-3</v>
      </c>
      <c r="K40" s="41">
        <f t="shared" si="1"/>
        <v>4.7059204250031418E-3</v>
      </c>
      <c r="L40" s="41">
        <f t="shared" si="2"/>
        <v>2.6403294477048557E-3</v>
      </c>
      <c r="M40" s="41">
        <f t="shared" si="3"/>
        <v>1.47043808224624E-2</v>
      </c>
      <c r="N40" s="41">
        <f t="shared" si="4"/>
        <v>5.4015500590908518E-2</v>
      </c>
      <c r="U40">
        <v>2013</v>
      </c>
      <c r="V40" s="68">
        <f t="shared" si="6"/>
        <v>1.2541736991634918</v>
      </c>
      <c r="W40" s="69">
        <f t="shared" si="7"/>
        <v>0.60546728882289236</v>
      </c>
      <c r="X40" s="68">
        <f t="shared" si="8"/>
        <v>0.33970678802968424</v>
      </c>
      <c r="Y40" s="69">
        <f t="shared" si="9"/>
        <v>1.8918767820834324</v>
      </c>
      <c r="Z40" s="68">
        <f t="shared" si="10"/>
        <v>6.949675248103433</v>
      </c>
      <c r="AA40" s="67">
        <f t="shared" si="11"/>
        <v>7.772377652560003E-3</v>
      </c>
    </row>
    <row r="41" spans="1:27" x14ac:dyDescent="0.2">
      <c r="A41" s="28">
        <v>2014</v>
      </c>
      <c r="B41" s="28"/>
      <c r="C41" s="29">
        <v>679021.94921179803</v>
      </c>
      <c r="D41" s="29">
        <v>351945.73619856802</v>
      </c>
      <c r="E41" s="29">
        <v>78798.312760939996</v>
      </c>
      <c r="F41" s="29">
        <v>178742.795221351</v>
      </c>
      <c r="G41" s="29">
        <v>69483.511184343093</v>
      </c>
      <c r="H41" s="29">
        <v>439542.49259225302</v>
      </c>
      <c r="I41" s="35">
        <v>2014</v>
      </c>
      <c r="J41" s="40">
        <f t="shared" si="12"/>
        <v>3.9750423182260824E-3</v>
      </c>
      <c r="K41" s="41">
        <f t="shared" si="1"/>
        <v>6.7741009064304532E-3</v>
      </c>
      <c r="L41" s="41">
        <f t="shared" si="2"/>
        <v>2.7022251497740811E-3</v>
      </c>
      <c r="M41" s="41">
        <f t="shared" si="3"/>
        <v>1.5260542276260846E-3</v>
      </c>
      <c r="N41" s="41">
        <f t="shared" si="4"/>
        <v>-5.5622730447678723E-2</v>
      </c>
      <c r="U41">
        <v>2014</v>
      </c>
      <c r="V41" s="68">
        <f t="shared" si="6"/>
        <v>0.48052001570297287</v>
      </c>
      <c r="W41" s="69">
        <f t="shared" si="7"/>
        <v>0.81888211831267077</v>
      </c>
      <c r="X41" s="68">
        <f t="shared" si="8"/>
        <v>0.32665646487554156</v>
      </c>
      <c r="Y41" s="69">
        <f t="shared" si="9"/>
        <v>0.18447592320217598</v>
      </c>
      <c r="Z41" s="68">
        <f t="shared" si="10"/>
        <v>-6.7239121419186478</v>
      </c>
      <c r="AA41" s="67">
        <f t="shared" si="11"/>
        <v>8.2723761515133276E-3</v>
      </c>
    </row>
    <row r="42" spans="1:27" x14ac:dyDescent="0.2">
      <c r="A42" s="28">
        <v>2015</v>
      </c>
      <c r="B42" s="28"/>
      <c r="C42" s="29">
        <v>679632.73968588503</v>
      </c>
      <c r="D42" s="29">
        <v>354958.70763108798</v>
      </c>
      <c r="E42" s="29">
        <v>79461.427231060006</v>
      </c>
      <c r="F42" s="29">
        <v>180061.74960416899</v>
      </c>
      <c r="G42" s="29">
        <v>68909.024747451098</v>
      </c>
      <c r="H42" s="29">
        <v>429898.89001182001</v>
      </c>
      <c r="I42" s="35">
        <v>2015</v>
      </c>
      <c r="J42" s="40">
        <f t="shared" si="12"/>
        <v>4.4372224432765207E-3</v>
      </c>
      <c r="K42" s="41">
        <f t="shared" si="1"/>
        <v>1.9424326184875433E-3</v>
      </c>
      <c r="L42" s="41">
        <f t="shared" si="2"/>
        <v>9.7657295303892142E-4</v>
      </c>
      <c r="M42" s="41">
        <f t="shared" si="3"/>
        <v>-8.4604987741390897E-4</v>
      </c>
      <c r="N42" s="41">
        <f t="shared" si="4"/>
        <v>-1.420219566043073E-2</v>
      </c>
      <c r="U42">
        <v>2015</v>
      </c>
      <c r="V42" s="68">
        <f t="shared" si="6"/>
        <v>11.363541478278419</v>
      </c>
      <c r="W42" s="69">
        <f t="shared" si="7"/>
        <v>4.9744888634983875</v>
      </c>
      <c r="X42" s="68">
        <f t="shared" si="8"/>
        <v>2.5009625729351921</v>
      </c>
      <c r="Y42" s="69">
        <f t="shared" si="9"/>
        <v>-2.1666984239776119</v>
      </c>
      <c r="Z42" s="68">
        <f t="shared" si="10"/>
        <v>-36.37123032100218</v>
      </c>
      <c r="AA42" s="67">
        <f t="shared" si="11"/>
        <v>3.9047883547205231E-4</v>
      </c>
    </row>
    <row r="43" spans="1:27" x14ac:dyDescent="0.2">
      <c r="A43" s="28">
        <v>2016</v>
      </c>
      <c r="B43" s="28"/>
      <c r="C43" s="29">
        <v>688404.189284969</v>
      </c>
      <c r="D43" s="29">
        <v>358919.66037458897</v>
      </c>
      <c r="E43" s="29">
        <v>80599.617426259996</v>
      </c>
      <c r="F43" s="29">
        <v>184038.77673065499</v>
      </c>
      <c r="G43" s="29">
        <v>65624.517055397402</v>
      </c>
      <c r="H43" s="29">
        <v>455980.28599165601</v>
      </c>
      <c r="I43" s="35">
        <v>2016</v>
      </c>
      <c r="J43" s="40">
        <f t="shared" si="12"/>
        <v>5.8280781843024244E-3</v>
      </c>
      <c r="K43" s="41">
        <f t="shared" si="1"/>
        <v>5.8517297567567475E-3</v>
      </c>
      <c r="L43" s="41">
        <f t="shared" si="2"/>
        <v>1.6747136044770923E-3</v>
      </c>
      <c r="M43" s="41">
        <f t="shared" si="3"/>
        <v>-4.8327684943072942E-3</v>
      </c>
      <c r="N43" s="41">
        <f t="shared" si="4"/>
        <v>3.8375720380819781E-2</v>
      </c>
      <c r="U43">
        <v>2016</v>
      </c>
      <c r="V43" s="68">
        <f t="shared" si="6"/>
        <v>1.0464815106674332</v>
      </c>
      <c r="W43" s="69">
        <f t="shared" si="7"/>
        <v>1.0507283537071037</v>
      </c>
      <c r="X43" s="68">
        <f t="shared" si="8"/>
        <v>0.30070921619907148</v>
      </c>
      <c r="Y43" s="69">
        <f t="shared" si="9"/>
        <v>-0.86776510449885214</v>
      </c>
      <c r="Z43" s="68">
        <f t="shared" si="10"/>
        <v>6.8906903042650356</v>
      </c>
      <c r="AA43" s="67">
        <f t="shared" si="11"/>
        <v>5.5692127619009213E-3</v>
      </c>
    </row>
    <row r="44" spans="1:27" x14ac:dyDescent="0.2">
      <c r="A44" s="28">
        <v>2017</v>
      </c>
      <c r="B44" s="28"/>
      <c r="C44" s="29">
        <v>695842.64982842503</v>
      </c>
      <c r="D44" s="29">
        <v>366780.05641943298</v>
      </c>
      <c r="E44" s="29">
        <v>81899.223945420003</v>
      </c>
      <c r="F44" s="29">
        <v>191464.137747651</v>
      </c>
      <c r="G44" s="29">
        <v>58007.684839579597</v>
      </c>
      <c r="H44" s="29">
        <v>456767.52941143699</v>
      </c>
      <c r="I44" s="35">
        <v>2017</v>
      </c>
      <c r="J44" s="40">
        <f t="shared" si="12"/>
        <v>1.1418286185922886E-2</v>
      </c>
      <c r="K44" s="41">
        <f t="shared" si="1"/>
        <v>1.0786339090569114E-2</v>
      </c>
      <c r="L44" s="41">
        <f t="shared" si="2"/>
        <v>1.8878538791431245E-3</v>
      </c>
      <c r="M44" s="41">
        <f t="shared" si="3"/>
        <v>-1.1064476850045392E-2</v>
      </c>
      <c r="N44" s="41">
        <f t="shared" si="4"/>
        <v>1.1435773227915292E-3</v>
      </c>
      <c r="U44">
        <v>2017</v>
      </c>
      <c r="V44" s="68">
        <f t="shared" si="6"/>
        <v>2.4463180144322809</v>
      </c>
      <c r="W44" s="69">
        <f t="shared" si="7"/>
        <v>2.3109261054925647</v>
      </c>
      <c r="X44" s="68">
        <f t="shared" si="8"/>
        <v>0.40446445972403278</v>
      </c>
      <c r="Y44" s="69">
        <f t="shared" si="9"/>
        <v>-2.3705159073613866</v>
      </c>
      <c r="Z44" s="68">
        <f t="shared" si="10"/>
        <v>0.24500645369093488</v>
      </c>
      <c r="AA44" s="67">
        <f t="shared" si="11"/>
        <v>4.6675395915656281E-3</v>
      </c>
    </row>
    <row r="45" spans="1:27" x14ac:dyDescent="0.2">
      <c r="A45" s="28">
        <v>2018</v>
      </c>
      <c r="B45" s="28"/>
      <c r="C45" s="29">
        <v>724383.24489115598</v>
      </c>
      <c r="D45" s="29">
        <v>371229.79736049997</v>
      </c>
      <c r="E45" s="29">
        <v>83092.866864049996</v>
      </c>
      <c r="F45" s="29">
        <v>195583.00339405099</v>
      </c>
      <c r="G45" s="29">
        <v>72358.611427737895</v>
      </c>
      <c r="H45" s="29">
        <v>483485.34264047898</v>
      </c>
      <c r="I45" s="35">
        <v>2018</v>
      </c>
      <c r="J45" s="40">
        <f t="shared" si="12"/>
        <v>6.3947516614053087E-3</v>
      </c>
      <c r="K45" s="41">
        <f t="shared" si="1"/>
        <v>5.9192486223941417E-3</v>
      </c>
      <c r="L45" s="41">
        <f t="shared" si="2"/>
        <v>1.7153920055407816E-3</v>
      </c>
      <c r="M45" s="41">
        <f t="shared" si="3"/>
        <v>2.0623809983042612E-2</v>
      </c>
      <c r="N45" s="41">
        <f t="shared" si="4"/>
        <v>3.8396343247471022E-2</v>
      </c>
      <c r="U45">
        <v>2018</v>
      </c>
      <c r="V45" s="68">
        <f t="shared" si="6"/>
        <v>0.36630707523808398</v>
      </c>
      <c r="W45" s="69">
        <f t="shared" si="7"/>
        <v>0.33906909373236849</v>
      </c>
      <c r="X45" s="68">
        <f t="shared" si="8"/>
        <v>9.8261865621587965E-2</v>
      </c>
      <c r="Y45" s="69">
        <f t="shared" si="9"/>
        <v>1.1813824703701052</v>
      </c>
      <c r="Z45" s="68">
        <f t="shared" si="10"/>
        <v>2.199436809986735</v>
      </c>
      <c r="AA45" s="67">
        <f t="shared" si="11"/>
        <v>1.7457352297246764E-2</v>
      </c>
    </row>
    <row r="46" spans="1:27" x14ac:dyDescent="0.2">
      <c r="A46" s="28">
        <v>2019</v>
      </c>
      <c r="B46" s="28"/>
      <c r="C46" s="29">
        <v>731800.76850289002</v>
      </c>
      <c r="D46" s="29">
        <v>375003.95089233702</v>
      </c>
      <c r="E46" s="29">
        <v>84819.678867060007</v>
      </c>
      <c r="F46" s="29">
        <v>197599.95194815501</v>
      </c>
      <c r="G46" s="29">
        <v>67870.067787268606</v>
      </c>
      <c r="H46" s="29">
        <v>484074.87041730701</v>
      </c>
      <c r="I46" s="35">
        <v>2019</v>
      </c>
      <c r="J46" s="40">
        <f t="shared" si="12"/>
        <v>5.2101612764444034E-3</v>
      </c>
      <c r="K46" s="41">
        <f t="shared" si="1"/>
        <v>2.784366657192742E-3</v>
      </c>
      <c r="L46" s="41">
        <f t="shared" si="2"/>
        <v>2.3838375820929947E-3</v>
      </c>
      <c r="M46" s="41">
        <f t="shared" si="3"/>
        <v>-6.1963659045478417E-3</v>
      </c>
      <c r="N46" s="41">
        <f t="shared" si="4"/>
        <v>8.1383408711588388E-4</v>
      </c>
      <c r="U46">
        <v>2019</v>
      </c>
      <c r="V46" s="68">
        <f t="shared" si="6"/>
        <v>1.177580010741196</v>
      </c>
      <c r="W46" s="69">
        <f t="shared" si="7"/>
        <v>0.62931152110554922</v>
      </c>
      <c r="X46" s="68">
        <f t="shared" si="8"/>
        <v>0.53878552631715071</v>
      </c>
      <c r="Y46" s="69">
        <f t="shared" si="9"/>
        <v>-1.4004780737638438</v>
      </c>
      <c r="Z46" s="68">
        <f t="shared" si="10"/>
        <v>0.18393955622454145</v>
      </c>
      <c r="AA46" s="67">
        <f t="shared" si="11"/>
        <v>4.4244647743001408E-3</v>
      </c>
    </row>
    <row r="47" spans="1:27" x14ac:dyDescent="0.2">
      <c r="A47" s="28">
        <v>2020</v>
      </c>
      <c r="B47" s="28"/>
      <c r="C47" s="29">
        <v>709854.59789991495</v>
      </c>
      <c r="D47" s="29">
        <v>359492.54806959501</v>
      </c>
      <c r="E47" s="29">
        <v>87808.137231190005</v>
      </c>
      <c r="F47" s="29">
        <v>196156.89172686599</v>
      </c>
      <c r="G47" s="29">
        <v>40357.737448078602</v>
      </c>
      <c r="H47" s="29">
        <v>451241.97974590003</v>
      </c>
      <c r="I47" s="35">
        <v>2020</v>
      </c>
      <c r="J47" s="40">
        <f t="shared" si="12"/>
        <v>-2.1196210075694596E-2</v>
      </c>
      <c r="K47" s="41">
        <f t="shared" si="1"/>
        <v>-1.9719304534774121E-3</v>
      </c>
      <c r="L47" s="41">
        <f t="shared" si="2"/>
        <v>4.0837048726305013E-3</v>
      </c>
      <c r="M47" s="41">
        <f t="shared" si="3"/>
        <v>-3.7595383229064416E-2</v>
      </c>
      <c r="N47" s="41">
        <f t="shared" si="4"/>
        <v>-4.4865887116484114E-2</v>
      </c>
      <c r="U47">
        <v>2020</v>
      </c>
      <c r="V47" s="68">
        <f t="shared" si="6"/>
        <v>1.6029244724416556</v>
      </c>
      <c r="W47" s="69">
        <f t="shared" si="7"/>
        <v>0.14912362023890419</v>
      </c>
      <c r="X47" s="68">
        <f t="shared" si="8"/>
        <v>-0.30882268363978543</v>
      </c>
      <c r="Y47" s="69">
        <f t="shared" si="9"/>
        <v>2.8430818346055267</v>
      </c>
      <c r="Z47" s="68">
        <f t="shared" si="10"/>
        <v>3.3929003430326907</v>
      </c>
      <c r="AA47" s="67">
        <f t="shared" si="11"/>
        <v>-1.322346151681586E-2</v>
      </c>
    </row>
    <row r="48" spans="1:27" x14ac:dyDescent="0.2">
      <c r="A48" s="28">
        <v>2021</v>
      </c>
      <c r="B48" s="28"/>
      <c r="C48" s="29">
        <v>768279.35247361602</v>
      </c>
      <c r="D48" s="29">
        <v>368464.51483260997</v>
      </c>
      <c r="E48" s="29">
        <v>92242.893136030005</v>
      </c>
      <c r="F48" s="29">
        <v>205706.94328965101</v>
      </c>
      <c r="G48" s="29">
        <v>91272.708603921899</v>
      </c>
      <c r="H48" s="29">
        <v>537350.96466702898</v>
      </c>
      <c r="I48" s="35">
        <v>2021</v>
      </c>
      <c r="J48" s="40">
        <f t="shared" si="12"/>
        <v>1.2639161300861158E-2</v>
      </c>
      <c r="K48" s="41">
        <f t="shared" si="1"/>
        <v>1.3453532020555459E-2</v>
      </c>
      <c r="L48" s="41">
        <f t="shared" si="2"/>
        <v>6.2474144958137925E-3</v>
      </c>
      <c r="M48" s="41">
        <f t="shared" si="3"/>
        <v>7.1725915851603719E-2</v>
      </c>
      <c r="N48" s="41">
        <f t="shared" si="4"/>
        <v>0.12130510272931948</v>
      </c>
      <c r="U48">
        <v>2021</v>
      </c>
      <c r="V48" s="68">
        <f t="shared" si="6"/>
        <v>0.36795484392126271</v>
      </c>
      <c r="W48" s="69">
        <f t="shared" si="7"/>
        <v>0.39166303498918953</v>
      </c>
      <c r="X48" s="68">
        <f t="shared" si="8"/>
        <v>0.18187650042586082</v>
      </c>
      <c r="Y48" s="69">
        <f t="shared" si="9"/>
        <v>2.088105179137818</v>
      </c>
      <c r="Z48" s="68">
        <f t="shared" si="10"/>
        <v>3.5314685111723616</v>
      </c>
      <c r="AA48" s="67">
        <f t="shared" si="11"/>
        <v>3.4349761960371872E-2</v>
      </c>
    </row>
    <row r="49" spans="1:27" x14ac:dyDescent="0.2">
      <c r="A49" s="28">
        <v>2022</v>
      </c>
      <c r="B49" s="28"/>
      <c r="C49" s="29">
        <v>819703.68671952398</v>
      </c>
      <c r="D49" s="29">
        <v>395359.71260223101</v>
      </c>
      <c r="E49" s="29">
        <v>93566.090941050003</v>
      </c>
      <c r="F49" s="29">
        <v>215222.97075095199</v>
      </c>
      <c r="G49" s="29">
        <v>112249.549252114</v>
      </c>
      <c r="H49" s="29">
        <v>614490.00355019502</v>
      </c>
      <c r="I49" s="35">
        <v>2022</v>
      </c>
      <c r="J49" s="40">
        <f t="shared" si="12"/>
        <v>3.5007055289234347E-2</v>
      </c>
      <c r="K49" s="41">
        <f t="shared" si="1"/>
        <v>1.2386155414254451E-2</v>
      </c>
      <c r="L49" s="41">
        <f t="shared" si="2"/>
        <v>1.7222873434769791E-3</v>
      </c>
      <c r="M49" s="41">
        <f t="shared" si="3"/>
        <v>2.7303663154103153E-2</v>
      </c>
      <c r="N49" s="41">
        <f t="shared" si="4"/>
        <v>0.10040493556777594</v>
      </c>
      <c r="U49">
        <v>2022</v>
      </c>
      <c r="V49" s="68">
        <f t="shared" si="6"/>
        <v>1.2441323225737839</v>
      </c>
      <c r="W49" s="69">
        <f t="shared" si="7"/>
        <v>0.44019744522856946</v>
      </c>
      <c r="X49" s="68">
        <f t="shared" si="8"/>
        <v>6.1209185836273501E-2</v>
      </c>
      <c r="Y49" s="69">
        <f t="shared" si="9"/>
        <v>0.97035781998873627</v>
      </c>
      <c r="Z49" s="68">
        <f t="shared" si="10"/>
        <v>3.5683385721455898</v>
      </c>
      <c r="AA49" s="67">
        <f t="shared" si="11"/>
        <v>2.8137726714481559E-2</v>
      </c>
    </row>
    <row r="50" spans="1:27" x14ac:dyDescent="0.2">
      <c r="A50" s="28">
        <v>2023</v>
      </c>
      <c r="B50" s="28"/>
      <c r="C50" s="29">
        <v>834189.81128891394</v>
      </c>
      <c r="D50" s="29">
        <v>407117.78054839902</v>
      </c>
      <c r="E50" s="29">
        <v>97946.495733959993</v>
      </c>
      <c r="F50" s="29">
        <v>224331.05048535101</v>
      </c>
      <c r="G50" s="29">
        <v>90929.040573095801</v>
      </c>
      <c r="H50" s="29">
        <v>586591.74927423103</v>
      </c>
      <c r="I50" s="35">
        <v>2023</v>
      </c>
      <c r="J50" s="40">
        <f t="shared" si="12"/>
        <v>1.4344290670722872E-2</v>
      </c>
      <c r="K50" s="41">
        <f t="shared" si="1"/>
        <v>1.1111429510400022E-2</v>
      </c>
      <c r="L50" s="41">
        <f t="shared" si="2"/>
        <v>5.343888119425798E-3</v>
      </c>
      <c r="M50" s="41">
        <f t="shared" si="3"/>
        <v>-2.6010019259939454E-2</v>
      </c>
      <c r="N50" s="41">
        <f t="shared" si="4"/>
        <v>-3.4034559961067821E-2</v>
      </c>
      <c r="U50">
        <v>2023</v>
      </c>
      <c r="V50" s="68">
        <f t="shared" si="6"/>
        <v>1.8854238145648388</v>
      </c>
      <c r="W50" s="69">
        <f t="shared" si="7"/>
        <v>1.4604942338156743</v>
      </c>
      <c r="X50" s="68">
        <f t="shared" si="8"/>
        <v>0.70240447255435889</v>
      </c>
      <c r="Y50" s="69">
        <f t="shared" si="9"/>
        <v>-3.4187755153394859</v>
      </c>
      <c r="Z50" s="68">
        <f t="shared" si="10"/>
        <v>-4.4735268785234696</v>
      </c>
      <c r="AA50" s="67">
        <f t="shared" si="11"/>
        <v>7.6079927281673676E-3</v>
      </c>
    </row>
    <row r="51" spans="1:27" x14ac:dyDescent="0.2">
      <c r="A51" s="28">
        <v>2024</v>
      </c>
      <c r="B51" s="28"/>
      <c r="C51" s="29">
        <v>853956.984778921</v>
      </c>
      <c r="D51" s="29">
        <v>421086.50412917399</v>
      </c>
      <c r="E51" s="29">
        <v>101745.21934159999</v>
      </c>
      <c r="F51" s="29">
        <v>225873.12730923001</v>
      </c>
      <c r="G51" s="29">
        <v>102902.35516309099</v>
      </c>
      <c r="H51" s="29">
        <v>608036.925239534</v>
      </c>
      <c r="I51" s="35">
        <v>2024</v>
      </c>
      <c r="J51" s="40">
        <f t="shared" si="12"/>
        <v>1.6745257963762195E-2</v>
      </c>
      <c r="K51" s="41">
        <f t="shared" si="1"/>
        <v>1.8485922544370663E-3</v>
      </c>
      <c r="L51" s="41">
        <f t="shared" si="2"/>
        <v>4.5537880662562388E-3</v>
      </c>
      <c r="M51" s="41">
        <f t="shared" si="3"/>
        <v>1.4353225642369235E-2</v>
      </c>
      <c r="N51" s="41">
        <f t="shared" si="4"/>
        <v>2.5707789372502458E-2</v>
      </c>
      <c r="U51">
        <v>2024</v>
      </c>
      <c r="V51" s="68">
        <f t="shared" si="6"/>
        <v>1.6463543685297466</v>
      </c>
      <c r="W51" s="69">
        <f t="shared" si="7"/>
        <v>0.18174924150520169</v>
      </c>
      <c r="X51" s="68">
        <f t="shared" si="8"/>
        <v>0.44771772954850225</v>
      </c>
      <c r="Y51" s="69">
        <f t="shared" si="9"/>
        <v>1.4111753781247005</v>
      </c>
      <c r="Z51" s="68">
        <f t="shared" si="10"/>
        <v>2.5275293716139893</v>
      </c>
      <c r="AA51" s="67">
        <f t="shared" si="11"/>
        <v>1.0171113998207026E-2</v>
      </c>
    </row>
    <row r="52" spans="1:27" x14ac:dyDescent="0.2">
      <c r="A52" s="28">
        <v>2025</v>
      </c>
      <c r="B52" s="28"/>
      <c r="C52" s="29">
        <v>867544.66945242602</v>
      </c>
      <c r="D52" s="29">
        <v>429665.12524772401</v>
      </c>
      <c r="E52" s="29">
        <v>104473.705467894</v>
      </c>
      <c r="F52" s="29">
        <v>225532.292375858</v>
      </c>
      <c r="G52" s="29">
        <v>77588.299552301207</v>
      </c>
      <c r="H52" s="29">
        <v>677142.41508650698</v>
      </c>
      <c r="I52" s="35">
        <v>2025</v>
      </c>
      <c r="J52" s="40">
        <f t="shared" si="12"/>
        <v>1.0045729786695186E-2</v>
      </c>
      <c r="K52" s="41">
        <f t="shared" si="1"/>
        <v>-3.9912424097128112E-4</v>
      </c>
      <c r="L52" s="41">
        <f t="shared" si="2"/>
        <v>3.1951095604661889E-3</v>
      </c>
      <c r="M52" s="41">
        <f t="shared" si="3"/>
        <v>-2.9643244404568322E-2</v>
      </c>
      <c r="N52" s="41">
        <f t="shared" si="4"/>
        <v>8.0923853400957368E-2</v>
      </c>
      <c r="U52">
        <v>2025</v>
      </c>
      <c r="V52" s="68">
        <f t="shared" si="6"/>
        <v>1.4652784114209216</v>
      </c>
      <c r="W52" s="69">
        <f t="shared" si="7"/>
        <v>-5.8216590152020693E-2</v>
      </c>
      <c r="X52" s="68">
        <f t="shared" si="8"/>
        <v>0.46604130914174985</v>
      </c>
      <c r="Y52" s="69">
        <f t="shared" si="9"/>
        <v>-4.3237880166770148</v>
      </c>
      <c r="Z52" s="68">
        <f t="shared" si="10"/>
        <v>11.803619834017367</v>
      </c>
      <c r="AA52" s="67">
        <f t="shared" si="11"/>
        <v>6.8558505389795243E-3</v>
      </c>
    </row>
    <row r="53" spans="1:27" x14ac:dyDescent="0.2">
      <c r="A53" s="28"/>
      <c r="B53" s="28"/>
      <c r="C53" s="29"/>
      <c r="D53" s="29"/>
      <c r="E53" s="29"/>
      <c r="F53" s="29"/>
      <c r="G53" s="29"/>
      <c r="H53" s="30"/>
      <c r="I53" s="29"/>
    </row>
  </sheetData>
  <mergeCells count="3">
    <mergeCell ref="O6:S6"/>
    <mergeCell ref="I6:N6"/>
    <mergeCell ref="V6:Z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le08"/>
  <dimension ref="A1:BJ58"/>
  <sheetViews>
    <sheetView showGridLines="0" workbookViewId="0">
      <pane xSplit="2" ySplit="11" topLeftCell="C12" activePane="bottomRight" state="frozen"/>
      <selection pane="topRight"/>
      <selection pane="bottomLeft"/>
      <selection pane="bottomRight"/>
    </sheetView>
  </sheetViews>
  <sheetFormatPr baseColWidth="10" defaultRowHeight="10" x14ac:dyDescent="0.2"/>
  <cols>
    <col min="1" max="1" width="9.77734375" customWidth="1"/>
    <col min="2" max="2" width="2.6640625" customWidth="1"/>
    <col min="3" max="58" width="9.77734375" customWidth="1"/>
    <col min="59" max="256" width="10.33203125" customWidth="1"/>
  </cols>
  <sheetData>
    <row r="1" spans="1:62" ht="11.25" customHeight="1" x14ac:dyDescent="0.25">
      <c r="A1" s="6" t="str">
        <f ca="1">IF(INDIRECT("beschriftung!"&amp;ADDRESS(beschriftung!$C$1*12+ROW(beschriftung!$A1)-1,COLUMN(beschriftung!B$1)))="","",INDIRECT("beschriftung!"&amp;ADDRESS(beschriftung!$C$1*12+ROW(beschriftung!$A1)-1,COLUMN(beschriftung!B$1))))</f>
        <v>ESA 2010, Annual aggregates of Gross Domestic Product, expenditure approach (SFSO, SECO), raw data</v>
      </c>
      <c r="C1" s="7"/>
      <c r="D1" s="19"/>
      <c r="E1" s="7"/>
      <c r="F1" s="19"/>
      <c r="G1" s="7"/>
      <c r="H1" s="19"/>
      <c r="I1" s="7"/>
      <c r="J1" s="19"/>
      <c r="K1" s="7"/>
      <c r="L1" s="19"/>
      <c r="M1" s="7"/>
      <c r="N1" s="19"/>
      <c r="O1" s="7"/>
      <c r="P1" s="19"/>
      <c r="Q1" s="7"/>
      <c r="R1" s="19"/>
      <c r="S1" s="7"/>
      <c r="T1" s="19"/>
      <c r="U1" s="7"/>
      <c r="V1" s="19"/>
      <c r="W1" s="7"/>
      <c r="X1" s="19"/>
      <c r="Y1" s="7"/>
      <c r="Z1" s="19"/>
      <c r="AA1" s="7"/>
      <c r="AB1" s="19"/>
      <c r="AC1" s="7"/>
      <c r="AD1" s="19"/>
      <c r="AE1" s="7"/>
      <c r="AF1" s="19"/>
      <c r="AG1" s="7"/>
      <c r="AH1" s="19"/>
      <c r="AI1" s="7"/>
      <c r="AJ1" s="19"/>
      <c r="AK1" s="7"/>
      <c r="AL1" s="19"/>
      <c r="AM1" s="7"/>
      <c r="AN1" s="19"/>
      <c r="AO1" s="7"/>
      <c r="AP1" s="19"/>
      <c r="AQ1" s="7"/>
      <c r="AR1" s="19"/>
      <c r="AS1" s="7"/>
      <c r="AT1" s="19"/>
      <c r="AU1" s="7"/>
      <c r="AW1" s="7"/>
      <c r="AY1" s="7"/>
      <c r="BA1" s="7"/>
      <c r="BC1" s="7"/>
    </row>
    <row r="2" spans="1:62" ht="11.25" customHeight="1" x14ac:dyDescent="0.2">
      <c r="A2" s="4" t="str">
        <f ca="1">IF(INDIRECT("beschriftung!"&amp;ADDRESS(beschriftung!$C$1*12+ROW(beschriftung!$A3)-1,COLUMN(beschriftung!B$1)))="","",INDIRECT("beschriftung!"&amp;ADDRESS(beschriftung!$C$1*12+ROW(beschriftung!$A3)-1,COLUMN(beschriftung!B$1))))</f>
        <v>In Mio. Swiss Francs, at prices of preceding year, chained values, reference year 2020, percentage change to previous year</v>
      </c>
      <c r="C2" s="7"/>
      <c r="D2" s="19"/>
      <c r="E2" s="7"/>
      <c r="F2" s="19"/>
      <c r="G2" s="7"/>
      <c r="H2" s="19"/>
      <c r="I2" s="7"/>
      <c r="J2" s="19"/>
      <c r="K2" s="7"/>
      <c r="L2" s="19"/>
      <c r="M2" s="7"/>
      <c r="N2" s="19"/>
      <c r="O2" s="7"/>
      <c r="P2" s="19"/>
      <c r="Q2" s="7"/>
      <c r="R2" s="19"/>
      <c r="S2" s="7"/>
      <c r="T2" s="19"/>
      <c r="U2" s="7"/>
      <c r="V2" s="19"/>
      <c r="W2" s="7"/>
      <c r="X2" s="19"/>
      <c r="Y2" s="7"/>
      <c r="Z2" s="19"/>
      <c r="AA2" s="7"/>
      <c r="AB2" s="19"/>
      <c r="AC2" s="7"/>
      <c r="AD2" s="19"/>
      <c r="AE2" s="7"/>
      <c r="AF2" s="19"/>
      <c r="AG2" s="7"/>
      <c r="AH2" s="19"/>
      <c r="AI2" s="7"/>
      <c r="AJ2" s="19"/>
      <c r="AK2" s="7"/>
      <c r="AL2" s="19"/>
      <c r="AM2" s="7"/>
      <c r="AN2" s="19"/>
      <c r="AO2" s="7"/>
      <c r="AP2" s="19"/>
      <c r="AQ2" s="7"/>
      <c r="AR2" s="19"/>
      <c r="AS2" s="7"/>
      <c r="AT2" s="19"/>
      <c r="AU2" s="7"/>
      <c r="AW2" s="7"/>
      <c r="AY2" s="7"/>
      <c r="BA2" s="7"/>
      <c r="BC2" s="7"/>
    </row>
    <row r="3" spans="1:62" ht="11.25" customHeight="1" x14ac:dyDescent="0.2">
      <c r="A3" s="4" t="str">
        <f ca="1">IF(INDIRECT("beschriftung!"&amp;ADDRESS(beschriftung!$C$1*12+ROW(beschriftung!$A5)-1,COLUMN(beschriftung!B$1)))="","",INDIRECT("beschriftung!"&amp;ADDRESS(beschriftung!$C$1*12+ROW(beschriftung!$A5)-1,COLUMN(beschriftung!B$1))))</f>
        <v/>
      </c>
      <c r="C3" s="7"/>
      <c r="D3" s="19"/>
      <c r="E3" s="7"/>
      <c r="F3" s="19"/>
      <c r="G3" s="7"/>
      <c r="H3" s="19"/>
      <c r="I3" s="7"/>
      <c r="J3" s="19"/>
      <c r="K3" s="7"/>
      <c r="L3" s="19"/>
      <c r="M3" s="7"/>
      <c r="N3" s="19"/>
      <c r="O3" s="7"/>
      <c r="P3" s="19"/>
      <c r="Q3" s="7"/>
      <c r="R3" s="19"/>
      <c r="S3" s="7"/>
      <c r="T3" s="19"/>
      <c r="U3" s="7"/>
      <c r="V3" s="19"/>
      <c r="W3" s="7"/>
      <c r="X3" s="19"/>
      <c r="Y3" s="7"/>
      <c r="Z3" s="19"/>
      <c r="AA3" s="7"/>
      <c r="AB3" s="19"/>
      <c r="AC3" s="7"/>
      <c r="AD3" s="19"/>
      <c r="AE3" s="7"/>
      <c r="AF3" s="19"/>
      <c r="AG3" s="7"/>
      <c r="AH3" s="19"/>
      <c r="AI3" s="7"/>
      <c r="AJ3" s="19"/>
      <c r="AK3" s="7"/>
      <c r="AL3" s="19"/>
      <c r="AM3" s="7"/>
      <c r="AN3" s="19"/>
      <c r="AO3" s="7"/>
      <c r="AP3" s="19"/>
      <c r="AQ3" s="7"/>
      <c r="AR3" s="19"/>
      <c r="AS3" s="7"/>
      <c r="AT3" s="19"/>
      <c r="AU3" s="7"/>
      <c r="AW3" s="7"/>
      <c r="AY3" s="7"/>
      <c r="BA3" s="7"/>
      <c r="BC3" s="7"/>
    </row>
    <row r="4" spans="1:62" ht="11.25" customHeight="1" x14ac:dyDescent="0.2">
      <c r="A4" s="9"/>
      <c r="C4" s="43" t="str">
        <f ca="1">IF(INDIRECT("beschriftung!"&amp;ADDRESS(beschriftung!$C$1*12+ROW(beschriftung!$A5)-1,COLUMN(beschriftung!C$1)))="","",INDIRECT("beschriftung!"&amp;ADDRESS(beschriftung!$C$1*12+ROW(beschriftung!$A5)-1,COLUMN(beschriftung!C$1))))</f>
        <v>Gross domestic product</v>
      </c>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4"/>
      <c r="AU4" s="16"/>
      <c r="AV4" s="12"/>
      <c r="AW4" s="16"/>
      <c r="AX4" s="12"/>
      <c r="AY4" s="16"/>
      <c r="AZ4" s="12"/>
      <c r="BA4" s="16"/>
      <c r="BB4" s="12"/>
      <c r="BC4" s="20"/>
      <c r="BD4" s="5"/>
      <c r="BE4" s="5"/>
      <c r="BF4" s="5"/>
      <c r="BG4" s="5"/>
      <c r="BH4" s="5"/>
      <c r="BI4" s="5"/>
      <c r="BJ4" s="5"/>
    </row>
    <row r="5" spans="1:62" ht="11.25" customHeight="1" x14ac:dyDescent="0.2">
      <c r="A5" s="9"/>
      <c r="C5" s="45"/>
      <c r="D5" s="46"/>
      <c r="E5" s="43" t="str">
        <f ca="1">IF(INDIRECT("beschriftung!"&amp;ADDRESS(beschriftung!$C$1*12+ROW(beschriftung!$A6)-1,COLUMN(beschriftung!E$1)))="","",INDIRECT("beschriftung!"&amp;ADDRESS(beschriftung!$C$1*12+ROW(beschriftung!$A6)-1,COLUMN(beschriftung!E$1))))</f>
        <v>Internal demand</v>
      </c>
      <c r="F5" s="47"/>
      <c r="G5" s="47"/>
      <c r="H5" s="47"/>
      <c r="I5" s="47"/>
      <c r="J5" s="47"/>
      <c r="K5" s="47"/>
      <c r="L5" s="47"/>
      <c r="M5" s="47"/>
      <c r="N5" s="47"/>
      <c r="O5" s="47"/>
      <c r="P5" s="47"/>
      <c r="Q5" s="47"/>
      <c r="R5" s="47"/>
      <c r="S5" s="47"/>
      <c r="T5" s="47"/>
      <c r="U5" s="47"/>
      <c r="V5" s="47"/>
      <c r="W5" s="47"/>
      <c r="X5" s="44"/>
      <c r="Y5" s="43" t="str">
        <f ca="1">IF(INDIRECT("beschriftung!"&amp;ADDRESS(beschriftung!$C$1*12+ROW(beschriftung!$A6)-1,COLUMN(beschriftung!Y$1)))="","",INDIRECT("beschriftung!"&amp;ADDRESS(beschriftung!$C$1*12+ROW(beschriftung!$A6)-1,COLUMN(beschriftung!Y$1))))</f>
        <v>Trade balance (goods and services)</v>
      </c>
      <c r="Z5" s="47"/>
      <c r="AA5" s="47"/>
      <c r="AB5" s="47"/>
      <c r="AC5" s="47"/>
      <c r="AD5" s="47"/>
      <c r="AE5" s="47"/>
      <c r="AF5" s="47"/>
      <c r="AG5" s="47"/>
      <c r="AH5" s="47"/>
      <c r="AI5" s="47"/>
      <c r="AJ5" s="47"/>
      <c r="AK5" s="47"/>
      <c r="AL5" s="47"/>
      <c r="AM5" s="47"/>
      <c r="AN5" s="47"/>
      <c r="AO5" s="47"/>
      <c r="AP5" s="47"/>
      <c r="AQ5" s="47"/>
      <c r="AR5" s="47"/>
      <c r="AS5" s="47"/>
      <c r="AT5" s="47"/>
      <c r="AU5" s="50" t="str">
        <f ca="1">IF(INDIRECT("beschriftung!"&amp;ADDRESS(beschriftung!$C$1*12+ROW(beschriftung!$A6)-1,COLUMN(beschriftung!AU$1)))="","",INDIRECT("beschriftung!"&amp;ADDRESS(beschriftung!$C$1*12+ROW(beschriftung!$A6)-1,COLUMN(beschriftung!AU$1))))</f>
        <v>Global demand excluding inventories change, stat. discrepancies and valuables</v>
      </c>
      <c r="AV5" s="51"/>
      <c r="AW5" s="51"/>
      <c r="AX5" s="51"/>
      <c r="AY5" s="51"/>
      <c r="AZ5" s="51"/>
      <c r="BA5" s="51"/>
      <c r="BB5" s="51"/>
      <c r="BC5" s="17"/>
      <c r="BD5" s="13"/>
      <c r="BE5" s="14"/>
      <c r="BF5" s="14"/>
      <c r="BG5" s="14"/>
      <c r="BH5" s="14"/>
      <c r="BI5" s="14"/>
      <c r="BJ5" s="14"/>
    </row>
    <row r="6" spans="1:62" ht="11.25" customHeight="1" x14ac:dyDescent="0.2">
      <c r="A6" s="9"/>
      <c r="C6" s="45"/>
      <c r="D6" s="46"/>
      <c r="E6" s="45"/>
      <c r="F6" s="46"/>
      <c r="G6" s="43" t="str">
        <f ca="1">IF(INDIRECT("beschriftung!"&amp;ADDRESS(beschriftung!$C$1*12+ROW(beschriftung!$A7)-1,COLUMN(beschriftung!G$1)))="","",INDIRECT("beschriftung!"&amp;ADDRESS(beschriftung!$C$1*12+ROW(beschriftung!$A7)-1,COLUMN(beschriftung!G$1))))</f>
        <v>Final consumption expenditure</v>
      </c>
      <c r="H6" s="47"/>
      <c r="I6" s="47"/>
      <c r="J6" s="47"/>
      <c r="K6" s="47"/>
      <c r="L6" s="44"/>
      <c r="M6" s="43" t="str">
        <f ca="1">IF(INDIRECT("beschriftung!"&amp;ADDRESS(beschriftung!$C$1*12+ROW(beschriftung!$A7)-1,COLUMN(beschriftung!M$1)))="","",INDIRECT("beschriftung!"&amp;ADDRESS(beschriftung!$C$1*12+ROW(beschriftung!$A7)-1,COLUMN(beschriftung!M$1))))</f>
        <v xml:space="preserve">Gross capital formation </v>
      </c>
      <c r="N6" s="47"/>
      <c r="O6" s="47"/>
      <c r="P6" s="47"/>
      <c r="Q6" s="47"/>
      <c r="R6" s="47"/>
      <c r="S6" s="47"/>
      <c r="T6" s="47"/>
      <c r="U6" s="47"/>
      <c r="V6" s="47"/>
      <c r="W6" s="47"/>
      <c r="X6" s="44"/>
      <c r="Y6" s="45"/>
      <c r="Z6" s="46"/>
      <c r="AA6" s="43" t="str">
        <f ca="1">IF(INDIRECT("beschriftung!"&amp;ADDRESS(beschriftung!$C$1*12+ROW(beschriftung!$A7)-1,COLUMN(beschriftung!AA$1)))="","",INDIRECT("beschriftung!"&amp;ADDRESS(beschriftung!$C$1*12+ROW(beschriftung!$A7)-1,COLUMN(beschriftung!AA$1))))</f>
        <v>Exports of goods and services</v>
      </c>
      <c r="AB6" s="47"/>
      <c r="AC6" s="47"/>
      <c r="AD6" s="47"/>
      <c r="AE6" s="47"/>
      <c r="AF6" s="47"/>
      <c r="AG6" s="47"/>
      <c r="AH6" s="47"/>
      <c r="AI6" s="47"/>
      <c r="AJ6" s="44"/>
      <c r="AK6" s="43" t="str">
        <f ca="1">IF(INDIRECT("beschriftung!"&amp;ADDRESS(beschriftung!$C$1*12+ROW(beschriftung!$A7)-1,COLUMN(beschriftung!AK$1)))="","",INDIRECT("beschriftung!"&amp;ADDRESS(beschriftung!$C$1*12+ROW(beschriftung!$A7)-1,COLUMN(beschriftung!AK$1))))</f>
        <v>Imports of goods and services</v>
      </c>
      <c r="AL6" s="47"/>
      <c r="AM6" s="47"/>
      <c r="AN6" s="47"/>
      <c r="AO6" s="47"/>
      <c r="AP6" s="47"/>
      <c r="AQ6" s="47"/>
      <c r="AR6" s="47"/>
      <c r="AS6" s="47"/>
      <c r="AT6" s="47"/>
      <c r="AU6" s="58"/>
      <c r="AV6" s="59"/>
      <c r="AW6" s="52" t="str">
        <f ca="1">IF(INDIRECT("beschriftung!"&amp;ADDRESS(beschriftung!$C$1*12+ROW(beschriftung!$A7)-1,COLUMN(beschriftung!AW$1)))="","",INDIRECT("beschriftung!"&amp;ADDRESS(beschriftung!$C$1*12+ROW(beschriftung!$A7)-1,COLUMN(beschriftung!AW$1))))</f>
        <v>Final domestic demand</v>
      </c>
      <c r="AX6" s="53"/>
      <c r="AY6" s="52" t="str">
        <f ca="1">IF(INDIRECT("beschriftung!"&amp;ADDRESS(beschriftung!$C$1*12+ROW(beschriftung!$A7)-1,COLUMN(beschriftung!AY$1)))="","",INDIRECT("beschriftung!"&amp;ADDRESS(beschriftung!$C$1*12+ROW(beschriftung!$A7)-1,COLUMN(beschriftung!AY$1))))</f>
        <v>Exports of goods and services (excluding valuables)</v>
      </c>
      <c r="AZ6" s="56"/>
      <c r="BA6" s="18"/>
      <c r="BB6" s="15"/>
      <c r="BC6" s="52" t="str">
        <f ca="1">IF(INDIRECT("beschriftung!"&amp;ADDRESS(beschriftung!$C$1*12+ROW(beschriftung!$A7)-1,COLUMN(beschriftung!BC$1)))="","",INDIRECT("beschriftung!"&amp;ADDRESS(beschriftung!$C$1*12+ROW(beschriftung!$A7)-1,COLUMN(beschriftung!BC$1))))</f>
        <v>Imports of goods and services (excluding valuables)</v>
      </c>
      <c r="BD6" s="53"/>
    </row>
    <row r="7" spans="1:62" ht="11.25" customHeight="1" x14ac:dyDescent="0.2">
      <c r="A7" s="10"/>
      <c r="B7" s="10"/>
      <c r="C7" s="45"/>
      <c r="D7" s="46"/>
      <c r="E7" s="45"/>
      <c r="F7" s="46"/>
      <c r="G7" s="45"/>
      <c r="H7" s="46"/>
      <c r="I7" s="43" t="str">
        <f ca="1">IF(INDIRECT("beschriftung!"&amp;ADDRESS(beschriftung!$C$1*12+ROW(beschriftung!$A8)-1,COLUMN(beschriftung!I$1)))="","",INDIRECT("beschriftung!"&amp;ADDRESS(beschriftung!$C$1*12+ROW(beschriftung!$A8)-1,COLUMN(beschriftung!I$1))))</f>
        <v>Households and NPISH</v>
      </c>
      <c r="J7" s="44"/>
      <c r="K7" s="43" t="str">
        <f ca="1">IF(INDIRECT("beschriftung!"&amp;ADDRESS(beschriftung!$C$1*12+ROW(beschriftung!$A8)-1,COLUMN(beschriftung!K$1)))="","",INDIRECT("beschriftung!"&amp;ADDRESS(beschriftung!$C$1*12+ROW(beschriftung!$A8)-1,COLUMN(beschriftung!K$1))))</f>
        <v>General government</v>
      </c>
      <c r="L7" s="44"/>
      <c r="M7" s="45"/>
      <c r="N7" s="46"/>
      <c r="O7" s="43" t="str">
        <f ca="1">IF(INDIRECT("beschriftung!"&amp;ADDRESS(beschriftung!$C$1*12+ROW(beschriftung!$A8)-1,COLUMN(beschriftung!O$1)))="","",INDIRECT("beschriftung!"&amp;ADDRESS(beschriftung!$C$1*12+ROW(beschriftung!$A8)-1,COLUMN(beschriftung!O$1))))</f>
        <v>Gross fixed capital formation</v>
      </c>
      <c r="P7" s="47"/>
      <c r="Q7" s="47"/>
      <c r="R7" s="47"/>
      <c r="S7" s="47"/>
      <c r="T7" s="44"/>
      <c r="U7" s="43" t="str">
        <f ca="1">IF(INDIRECT("beschriftung!"&amp;ADDRESS(beschriftung!$C$1*12+ROW(beschriftung!$A8)-1,COLUMN(beschriftung!U$1)))="","",INDIRECT("beschriftung!"&amp;ADDRESS(beschriftung!$C$1*12+ROW(beschriftung!$A8)-1,COLUMN(beschriftung!U$1))))</f>
        <v>Changes in inventories and statistical discrepancies</v>
      </c>
      <c r="V7" s="44"/>
      <c r="W7" s="43" t="str">
        <f ca="1">IF(INDIRECT("beschriftung!"&amp;ADDRESS(beschriftung!$C$1*12+ROW(beschriftung!$A8)-1,COLUMN(beschriftung!W$1)))="","",INDIRECT("beschriftung!"&amp;ADDRESS(beschriftung!$C$1*12+ROW(beschriftung!$A8)-1,COLUMN(beschriftung!W$1))))</f>
        <v>Acquisitions less disposals of valuables (including non-monetary gold)</v>
      </c>
      <c r="X7" s="44"/>
      <c r="Y7" s="45"/>
      <c r="Z7" s="46"/>
      <c r="AA7" s="45"/>
      <c r="AB7" s="46"/>
      <c r="AC7" s="43" t="str">
        <f ca="1">IF(INDIRECT("beschriftung!"&amp;ADDRESS(beschriftung!$C$1*12+ROW(beschriftung!$A8)-1,COLUMN(beschriftung!AC$1)))="","",INDIRECT("beschriftung!"&amp;ADDRESS(beschriftung!$C$1*12+ROW(beschriftung!$A8)-1,COLUMN(beschriftung!AC$1))))</f>
        <v>Exports (exp.) of goods</v>
      </c>
      <c r="AD7" s="47"/>
      <c r="AE7" s="47"/>
      <c r="AF7" s="47"/>
      <c r="AG7" s="47"/>
      <c r="AH7" s="44"/>
      <c r="AI7" s="43" t="str">
        <f ca="1">IF(INDIRECT("beschriftung!"&amp;ADDRESS(beschriftung!$C$1*12+ROW(beschriftung!$A8)-1,COLUMN(beschriftung!AI$1)))="","",INDIRECT("beschriftung!"&amp;ADDRESS(beschriftung!$C$1*12+ROW(beschriftung!$A8)-1,COLUMN(beschriftung!AI$1))))</f>
        <v>Exports of services</v>
      </c>
      <c r="AJ7" s="44"/>
      <c r="AK7" s="45"/>
      <c r="AL7" s="46"/>
      <c r="AM7" s="43" t="str">
        <f ca="1">IF(INDIRECT("beschriftung!"&amp;ADDRESS(beschriftung!$C$1*12+ROW(beschriftung!$A8)-1,COLUMN(beschriftung!AM$1)))="","",INDIRECT("beschriftung!"&amp;ADDRESS(beschriftung!$C$1*12+ROW(beschriftung!$A8)-1,COLUMN(beschriftung!AM$1))))</f>
        <v>Imports (imp.) of goods</v>
      </c>
      <c r="AN7" s="47"/>
      <c r="AO7" s="47"/>
      <c r="AP7" s="47"/>
      <c r="AQ7" s="47"/>
      <c r="AR7" s="44"/>
      <c r="AS7" s="43" t="str">
        <f ca="1">IF(INDIRECT("beschriftung!"&amp;ADDRESS(beschriftung!$C$1*12+ROW(beschriftung!$A8)-1,COLUMN(beschriftung!AS$1)))="","",INDIRECT("beschriftung!"&amp;ADDRESS(beschriftung!$C$1*12+ROW(beschriftung!$A8)-1,COLUMN(beschriftung!AS$1))))</f>
        <v>Imports of services</v>
      </c>
      <c r="AT7" s="47"/>
      <c r="AU7" s="58"/>
      <c r="AV7" s="59"/>
      <c r="AW7" s="54"/>
      <c r="AX7" s="55"/>
      <c r="AY7" s="54"/>
      <c r="AZ7" s="57"/>
      <c r="BA7" s="52" t="str">
        <f ca="1">IF(INDIRECT("beschriftung!"&amp;ADDRESS(beschriftung!$C$1*12+ROW(beschriftung!$A8)-1,COLUMN(beschriftung!BA$1)))="","",INDIRECT("beschriftung!"&amp;ADDRESS(beschriftung!$C$1*12+ROW(beschriftung!$A8)-1,COLUMN(beschriftung!BA$1))))</f>
        <v>thereof exports of goods excluding valuables</v>
      </c>
      <c r="BB7" s="53"/>
      <c r="BC7" s="54"/>
      <c r="BD7" s="55"/>
    </row>
    <row r="8" spans="1:62" ht="11.25" customHeight="1" x14ac:dyDescent="0.2">
      <c r="A8" s="11"/>
      <c r="B8" s="11"/>
      <c r="C8" s="45"/>
      <c r="D8" s="46"/>
      <c r="E8" s="45"/>
      <c r="F8" s="46"/>
      <c r="G8" s="45"/>
      <c r="H8" s="46"/>
      <c r="I8" s="45"/>
      <c r="J8" s="46"/>
      <c r="K8" s="45"/>
      <c r="L8" s="46"/>
      <c r="M8" s="45"/>
      <c r="N8" s="46"/>
      <c r="O8" s="45"/>
      <c r="P8" s="46"/>
      <c r="Q8" s="43" t="str">
        <f ca="1">IF(INDIRECT("beschriftung!"&amp;ADDRESS(beschriftung!$C$1*12+ROW(beschriftung!$A9)-1,COLUMN(beschriftung!Q$1)))="","",INDIRECT("beschriftung!"&amp;ADDRESS(beschriftung!$C$1*12+ROW(beschriftung!$A9)-1,COLUMN(beschriftung!Q$1))))</f>
        <v>Construction</v>
      </c>
      <c r="R8" s="44"/>
      <c r="S8" s="43" t="str">
        <f ca="1">IF(INDIRECT("beschriftung!"&amp;ADDRESS(beschriftung!$C$1*12+ROW(beschriftung!$A9)-1,COLUMN(beschriftung!S$1)))="","",INDIRECT("beschriftung!"&amp;ADDRESS(beschriftung!$C$1*12+ROW(beschriftung!$A9)-1,COLUMN(beschriftung!S$1))))</f>
        <v>Fixed assets and software</v>
      </c>
      <c r="T8" s="44"/>
      <c r="U8" s="45"/>
      <c r="V8" s="46"/>
      <c r="W8" s="45"/>
      <c r="X8" s="46"/>
      <c r="Y8" s="45"/>
      <c r="Z8" s="46"/>
      <c r="AA8" s="45"/>
      <c r="AB8" s="46"/>
      <c r="AC8" s="45"/>
      <c r="AD8" s="46"/>
      <c r="AE8" s="43" t="str">
        <f ca="1">IF(INDIRECT("beschriftung!"&amp;ADDRESS(beschriftung!$C$1*12+ROW(beschriftung!$A9)-1,COLUMN(beschriftung!AE$1)))="","",INDIRECT("beschriftung!"&amp;ADDRESS(beschriftung!$C$1*12+ROW(beschriftung!$A9)-1,COLUMN(beschriftung!AE$1))))</f>
        <v xml:space="preserve">thereof exp. of goods excluding non-monetary gold </v>
      </c>
      <c r="AF8" s="44"/>
      <c r="AG8" s="43" t="str">
        <f ca="1">IF(INDIRECT("beschriftung!"&amp;ADDRESS(beschriftung!$C$1*12+ROW(beschriftung!$A9)-1,COLUMN(beschriftung!AG$1)))="","",INDIRECT("beschriftung!"&amp;ADDRESS(beschriftung!$C$1*12+ROW(beschriftung!$A9)-1,COLUMN(beschriftung!AG$1))))</f>
        <v>thereof exp. of goods excluding valuables and merchanting</v>
      </c>
      <c r="AH8" s="44"/>
      <c r="AI8" s="45"/>
      <c r="AJ8" s="46"/>
      <c r="AK8" s="45"/>
      <c r="AL8" s="46"/>
      <c r="AM8" s="45"/>
      <c r="AN8" s="46"/>
      <c r="AO8" s="43" t="str">
        <f ca="1">IF(INDIRECT("beschriftung!"&amp;ADDRESS(beschriftung!$C$1*12+ROW(beschriftung!$A9)-1,COLUMN(beschriftung!AO$1)))="","",INDIRECT("beschriftung!"&amp;ADDRESS(beschriftung!$C$1*12+ROW(beschriftung!$A9)-1,COLUMN(beschriftung!AO$1))))</f>
        <v>thereof imp. of goods excluding non-monetary gold</v>
      </c>
      <c r="AP8" s="44"/>
      <c r="AQ8" s="43" t="str">
        <f ca="1">IF(INDIRECT("beschriftung!"&amp;ADDRESS(beschriftung!$C$1*12+ROW(beschriftung!$A9)-1,COLUMN(beschriftung!AQ$1)))="","",INDIRECT("beschriftung!"&amp;ADDRESS(beschriftung!$C$1*12+ROW(beschriftung!$A9)-1,COLUMN(beschriftung!AQ$1))))</f>
        <v>thereof imp. of goods excluding valuables</v>
      </c>
      <c r="AR8" s="44"/>
      <c r="AS8" s="45"/>
      <c r="AT8" s="61"/>
      <c r="AU8" s="58"/>
      <c r="AV8" s="59"/>
      <c r="AW8" s="54"/>
      <c r="AX8" s="55"/>
      <c r="AY8" s="54"/>
      <c r="AZ8" s="57"/>
      <c r="BA8" s="54"/>
      <c r="BB8" s="55"/>
      <c r="BC8" s="54"/>
      <c r="BD8" s="55"/>
    </row>
    <row r="9" spans="1:62" ht="11.25" customHeight="1" x14ac:dyDescent="0.2">
      <c r="A9" s="11"/>
      <c r="B9" s="11"/>
      <c r="C9" s="45"/>
      <c r="D9" s="46"/>
      <c r="E9" s="45"/>
      <c r="F9" s="46"/>
      <c r="G9" s="45"/>
      <c r="H9" s="46"/>
      <c r="I9" s="45"/>
      <c r="J9" s="46"/>
      <c r="K9" s="45"/>
      <c r="L9" s="46"/>
      <c r="M9" s="45"/>
      <c r="N9" s="46"/>
      <c r="O9" s="45"/>
      <c r="P9" s="46"/>
      <c r="Q9" s="45"/>
      <c r="R9" s="46"/>
      <c r="S9" s="45"/>
      <c r="T9" s="46"/>
      <c r="U9" s="45"/>
      <c r="V9" s="46"/>
      <c r="W9" s="45"/>
      <c r="X9" s="46"/>
      <c r="Y9" s="45"/>
      <c r="Z9" s="46"/>
      <c r="AA9" s="45"/>
      <c r="AB9" s="46"/>
      <c r="AC9" s="45"/>
      <c r="AD9" s="46"/>
      <c r="AE9" s="45"/>
      <c r="AF9" s="46"/>
      <c r="AG9" s="45"/>
      <c r="AH9" s="46"/>
      <c r="AI9" s="45"/>
      <c r="AJ9" s="46"/>
      <c r="AK9" s="45"/>
      <c r="AL9" s="46"/>
      <c r="AM9" s="45"/>
      <c r="AN9" s="46"/>
      <c r="AO9" s="45"/>
      <c r="AP9" s="46"/>
      <c r="AQ9" s="45"/>
      <c r="AR9" s="46"/>
      <c r="AS9" s="45"/>
      <c r="AT9" s="61"/>
      <c r="AU9" s="58"/>
      <c r="AV9" s="59"/>
      <c r="AW9" s="54"/>
      <c r="AX9" s="55"/>
      <c r="AY9" s="54"/>
      <c r="AZ9" s="57"/>
      <c r="BA9" s="54"/>
      <c r="BB9" s="55"/>
      <c r="BC9" s="54"/>
      <c r="BD9" s="55"/>
    </row>
    <row r="10" spans="1:62" ht="11.25" customHeight="1" x14ac:dyDescent="0.2">
      <c r="A10" s="11"/>
      <c r="B10" s="10"/>
      <c r="C10" s="45"/>
      <c r="D10" s="46"/>
      <c r="E10" s="45"/>
      <c r="F10" s="46"/>
      <c r="G10" s="45"/>
      <c r="H10" s="46"/>
      <c r="I10" s="45"/>
      <c r="J10" s="46"/>
      <c r="K10" s="45"/>
      <c r="L10" s="46"/>
      <c r="M10" s="45"/>
      <c r="N10" s="46"/>
      <c r="O10" s="45"/>
      <c r="P10" s="46"/>
      <c r="Q10" s="45"/>
      <c r="R10" s="46"/>
      <c r="S10" s="45"/>
      <c r="T10" s="46"/>
      <c r="U10" s="45"/>
      <c r="V10" s="46"/>
      <c r="W10" s="45"/>
      <c r="X10" s="46"/>
      <c r="Y10" s="45"/>
      <c r="Z10" s="46"/>
      <c r="AA10" s="45"/>
      <c r="AB10" s="46"/>
      <c r="AC10" s="45"/>
      <c r="AD10" s="46"/>
      <c r="AE10" s="45"/>
      <c r="AF10" s="46"/>
      <c r="AG10" s="45"/>
      <c r="AH10" s="46"/>
      <c r="AI10" s="45"/>
      <c r="AJ10" s="46"/>
      <c r="AK10" s="45"/>
      <c r="AL10" s="46"/>
      <c r="AM10" s="45"/>
      <c r="AN10" s="46"/>
      <c r="AO10" s="45"/>
      <c r="AP10" s="46"/>
      <c r="AQ10" s="45"/>
      <c r="AR10" s="46"/>
      <c r="AS10" s="45"/>
      <c r="AT10" s="61"/>
      <c r="AU10" s="58"/>
      <c r="AV10" s="59"/>
      <c r="AW10" s="54"/>
      <c r="AX10" s="55"/>
      <c r="AY10" s="54"/>
      <c r="AZ10" s="57"/>
      <c r="BA10" s="54"/>
      <c r="BB10" s="55"/>
      <c r="BC10" s="54"/>
      <c r="BD10" s="55"/>
    </row>
    <row r="11" spans="1:62" ht="11.25" customHeight="1" x14ac:dyDescent="0.2">
      <c r="A11" s="3"/>
      <c r="B11" s="8"/>
      <c r="C11" s="48" t="s">
        <v>167</v>
      </c>
      <c r="D11" s="49"/>
      <c r="E11" s="48" t="s">
        <v>182</v>
      </c>
      <c r="F11" s="49"/>
      <c r="G11" s="48" t="s">
        <v>168</v>
      </c>
      <c r="H11" s="49"/>
      <c r="I11" s="48" t="s">
        <v>184</v>
      </c>
      <c r="J11" s="49"/>
      <c r="K11" s="48" t="s">
        <v>185</v>
      </c>
      <c r="L11" s="49"/>
      <c r="M11" s="48" t="s">
        <v>169</v>
      </c>
      <c r="N11" s="49"/>
      <c r="O11" s="48" t="s">
        <v>170</v>
      </c>
      <c r="P11" s="49"/>
      <c r="Q11" s="48" t="s">
        <v>171</v>
      </c>
      <c r="R11" s="49"/>
      <c r="S11" s="48" t="s">
        <v>172</v>
      </c>
      <c r="T11" s="49"/>
      <c r="U11" s="48" t="s">
        <v>186</v>
      </c>
      <c r="V11" s="49"/>
      <c r="W11" s="48" t="s">
        <v>173</v>
      </c>
      <c r="X11" s="49"/>
      <c r="Y11" s="48" t="s">
        <v>187</v>
      </c>
      <c r="Z11" s="49"/>
      <c r="AA11" s="48" t="s">
        <v>174</v>
      </c>
      <c r="AB11" s="49"/>
      <c r="AC11" s="48" t="s">
        <v>175</v>
      </c>
      <c r="AD11" s="49"/>
      <c r="AE11" s="48" t="s">
        <v>176</v>
      </c>
      <c r="AF11" s="49"/>
      <c r="AG11" s="48"/>
      <c r="AH11" s="49"/>
      <c r="AI11" s="48" t="s">
        <v>177</v>
      </c>
      <c r="AJ11" s="49"/>
      <c r="AK11" s="48" t="s">
        <v>178</v>
      </c>
      <c r="AL11" s="49"/>
      <c r="AM11" s="48" t="s">
        <v>179</v>
      </c>
      <c r="AN11" s="49"/>
      <c r="AO11" s="48" t="s">
        <v>180</v>
      </c>
      <c r="AP11" s="49"/>
      <c r="AQ11" s="48"/>
      <c r="AR11" s="49"/>
      <c r="AS11" s="48" t="s">
        <v>181</v>
      </c>
      <c r="AT11" s="60"/>
      <c r="AU11" s="62" t="s">
        <v>188</v>
      </c>
      <c r="AV11" s="63"/>
      <c r="AW11" s="62" t="s">
        <v>183</v>
      </c>
      <c r="AX11" s="63"/>
      <c r="AY11" s="62"/>
      <c r="AZ11" s="63"/>
      <c r="BA11" s="62"/>
      <c r="BB11" s="63"/>
      <c r="BC11" s="62"/>
      <c r="BD11" s="63"/>
    </row>
    <row r="12" spans="1:62" x14ac:dyDescent="0.2">
      <c r="A12" s="28">
        <v>1980</v>
      </c>
      <c r="B12" s="28"/>
      <c r="C12" s="29">
        <v>367723.78785276302</v>
      </c>
      <c r="D12" s="30"/>
      <c r="E12" s="29">
        <v>364379.06578444003</v>
      </c>
      <c r="F12" s="30"/>
      <c r="G12" s="29">
        <v>245917.06701320299</v>
      </c>
      <c r="H12" s="30"/>
      <c r="I12" s="29">
        <v>202112.880643757</v>
      </c>
      <c r="J12" s="30"/>
      <c r="K12" s="29">
        <v>43051.206195936596</v>
      </c>
      <c r="L12" s="30"/>
      <c r="M12" s="29">
        <v>118638.491637574</v>
      </c>
      <c r="N12" s="30"/>
      <c r="O12" s="29">
        <v>83748.031311707193</v>
      </c>
      <c r="P12" s="30"/>
      <c r="Q12" s="29">
        <v>41585.736892713801</v>
      </c>
      <c r="R12" s="30"/>
      <c r="S12" s="29">
        <v>45017.419353474303</v>
      </c>
      <c r="T12" s="30"/>
      <c r="U12" s="29"/>
      <c r="V12" s="30"/>
      <c r="W12" s="29"/>
      <c r="X12" s="30"/>
      <c r="Y12" s="29"/>
      <c r="Z12" s="30"/>
      <c r="AA12" s="29">
        <v>108682.07216014</v>
      </c>
      <c r="AB12" s="30"/>
      <c r="AC12" s="29">
        <v>72765.381217321701</v>
      </c>
      <c r="AD12" s="30"/>
      <c r="AE12" s="29">
        <v>53979.551568129398</v>
      </c>
      <c r="AF12" s="30"/>
      <c r="AG12" s="29">
        <v>50611.356436133799</v>
      </c>
      <c r="AH12" s="30"/>
      <c r="AI12" s="29">
        <v>36851.6515086902</v>
      </c>
      <c r="AJ12" s="30"/>
      <c r="AK12" s="29">
        <v>100689.48923654</v>
      </c>
      <c r="AL12" s="30"/>
      <c r="AM12" s="29">
        <v>78649.040718197299</v>
      </c>
      <c r="AN12" s="30"/>
      <c r="AO12" s="29">
        <v>53117.656080372501</v>
      </c>
      <c r="AP12" s="30"/>
      <c r="AQ12" s="29">
        <v>49809.554690937897</v>
      </c>
      <c r="AR12" s="30"/>
      <c r="AS12" s="29">
        <v>23048.086070793099</v>
      </c>
      <c r="AT12" s="30"/>
      <c r="AU12" s="29">
        <v>409589.51532513899</v>
      </c>
      <c r="AV12" s="30"/>
      <c r="AW12" s="29">
        <v>328558.37219559401</v>
      </c>
      <c r="AX12" s="30"/>
      <c r="AY12" s="29">
        <v>89429.486869277403</v>
      </c>
      <c r="AZ12" s="30"/>
      <c r="BA12" s="29">
        <v>53211.171241972501</v>
      </c>
      <c r="BB12" s="30"/>
      <c r="BC12" s="29">
        <v>74042.749412219506</v>
      </c>
      <c r="BD12" s="30"/>
      <c r="BE12" s="29"/>
      <c r="BF12" s="30"/>
    </row>
    <row r="13" spans="1:62" x14ac:dyDescent="0.2">
      <c r="A13" s="28">
        <v>1981</v>
      </c>
      <c r="B13" s="28"/>
      <c r="C13" s="29">
        <v>373612.28076997999</v>
      </c>
      <c r="D13" s="30">
        <v>1.60133586994777E-2</v>
      </c>
      <c r="E13" s="29">
        <v>358223.83281099499</v>
      </c>
      <c r="F13" s="30">
        <v>-1.6892389139300901E-2</v>
      </c>
      <c r="G13" s="29">
        <v>248743.34144104499</v>
      </c>
      <c r="H13" s="30">
        <v>1.1492794957945101E-2</v>
      </c>
      <c r="I13" s="29">
        <v>204059.248355419</v>
      </c>
      <c r="J13" s="30">
        <v>9.6301022748406205E-3</v>
      </c>
      <c r="K13" s="29">
        <v>44031.921530195599</v>
      </c>
      <c r="L13" s="30">
        <v>2.2780205734436201E-2</v>
      </c>
      <c r="M13" s="29">
        <v>110265.162808131</v>
      </c>
      <c r="N13" s="30">
        <v>-7.0578517257475201E-2</v>
      </c>
      <c r="O13" s="29">
        <v>84849.581392248394</v>
      </c>
      <c r="P13" s="30">
        <v>1.31531459699779E-2</v>
      </c>
      <c r="Q13" s="29">
        <v>43317.898887032599</v>
      </c>
      <c r="R13" s="30">
        <v>4.16527906860844E-2</v>
      </c>
      <c r="S13" s="29">
        <v>44715.311706056702</v>
      </c>
      <c r="T13" s="30">
        <v>-6.7109055062766201E-3</v>
      </c>
      <c r="U13" s="29"/>
      <c r="V13" s="30"/>
      <c r="W13" s="29"/>
      <c r="X13" s="30"/>
      <c r="Y13" s="29"/>
      <c r="Z13" s="30"/>
      <c r="AA13" s="29">
        <v>125174.77932605099</v>
      </c>
      <c r="AB13" s="30">
        <v>0.151751865216633</v>
      </c>
      <c r="AC13" s="29">
        <v>85521.1444831197</v>
      </c>
      <c r="AD13" s="30">
        <v>0.17529988921107201</v>
      </c>
      <c r="AE13" s="29">
        <v>58970.778235843303</v>
      </c>
      <c r="AF13" s="30">
        <v>9.24651376811505E-2</v>
      </c>
      <c r="AG13" s="29">
        <v>52694.291403376898</v>
      </c>
      <c r="AH13" s="30">
        <v>4.1155485920862503E-2</v>
      </c>
      <c r="AI13" s="29">
        <v>39685.824307892297</v>
      </c>
      <c r="AJ13" s="30">
        <v>7.6907619690634005E-2</v>
      </c>
      <c r="AK13" s="29">
        <v>108145.087270847</v>
      </c>
      <c r="AL13" s="30">
        <v>7.4045444969854199E-2</v>
      </c>
      <c r="AM13" s="29">
        <v>84743.683226882305</v>
      </c>
      <c r="AN13" s="30">
        <v>7.7491631849933906E-2</v>
      </c>
      <c r="AO13" s="29">
        <v>52886.022617000897</v>
      </c>
      <c r="AP13" s="30">
        <v>-4.3607621356847003E-3</v>
      </c>
      <c r="AQ13" s="29">
        <v>49518.036579092302</v>
      </c>
      <c r="AR13" s="30">
        <v>-5.8526544486170503E-3</v>
      </c>
      <c r="AS13" s="29">
        <v>24371.753510691298</v>
      </c>
      <c r="AT13" s="30">
        <v>5.7430687989991298E-2</v>
      </c>
      <c r="AU13" s="29">
        <v>418852.60488857602</v>
      </c>
      <c r="AV13" s="30">
        <v>2.2615543652489498E-2</v>
      </c>
      <c r="AW13" s="29">
        <v>332504.73568685597</v>
      </c>
      <c r="AX13" s="30">
        <v>1.2011148779712801E-2</v>
      </c>
      <c r="AY13" s="29">
        <v>94278.811197721807</v>
      </c>
      <c r="AZ13" s="30">
        <v>5.4225116325814303E-2</v>
      </c>
      <c r="BA13" s="29">
        <v>55496.653459113797</v>
      </c>
      <c r="BB13" s="30">
        <v>4.2951172917211802E-2</v>
      </c>
      <c r="BC13" s="29">
        <v>74719.505827197601</v>
      </c>
      <c r="BD13" s="30">
        <v>9.1400767847018595E-3</v>
      </c>
      <c r="BE13" s="29"/>
      <c r="BF13" s="30"/>
    </row>
    <row r="14" spans="1:62" x14ac:dyDescent="0.2">
      <c r="A14" s="28">
        <v>1982</v>
      </c>
      <c r="B14" s="28"/>
      <c r="C14" s="29">
        <v>368720.136402959</v>
      </c>
      <c r="D14" s="30">
        <v>-1.30941744124111E-2</v>
      </c>
      <c r="E14" s="29">
        <v>360640.81267162599</v>
      </c>
      <c r="F14" s="30">
        <v>6.7471218809354002E-3</v>
      </c>
      <c r="G14" s="29">
        <v>249507.516428906</v>
      </c>
      <c r="H14" s="30">
        <v>3.0721424880482098E-3</v>
      </c>
      <c r="I14" s="29">
        <v>204573.71070027599</v>
      </c>
      <c r="J14" s="30">
        <v>2.52114201636489E-3</v>
      </c>
      <c r="K14" s="29">
        <v>44311.280616777898</v>
      </c>
      <c r="L14" s="30">
        <v>6.3444673063091104E-3</v>
      </c>
      <c r="M14" s="29">
        <v>111837.044266542</v>
      </c>
      <c r="N14" s="30">
        <v>1.4255467623502299E-2</v>
      </c>
      <c r="O14" s="29">
        <v>81334.602126719794</v>
      </c>
      <c r="P14" s="30">
        <v>-4.14260059726081E-2</v>
      </c>
      <c r="Q14" s="29">
        <v>41888.472773288799</v>
      </c>
      <c r="R14" s="30">
        <v>-3.2998509864745798E-2</v>
      </c>
      <c r="S14" s="29">
        <v>42585.7010379493</v>
      </c>
      <c r="T14" s="30">
        <v>-4.7625982842449503E-2</v>
      </c>
      <c r="U14" s="29"/>
      <c r="V14" s="30"/>
      <c r="W14" s="29"/>
      <c r="X14" s="30"/>
      <c r="Y14" s="29"/>
      <c r="Z14" s="30"/>
      <c r="AA14" s="29">
        <v>122695.694813849</v>
      </c>
      <c r="AB14" s="30">
        <v>-1.9804984083444901E-2</v>
      </c>
      <c r="AC14" s="29">
        <v>82876.095847104094</v>
      </c>
      <c r="AD14" s="30">
        <v>-3.0928592595457299E-2</v>
      </c>
      <c r="AE14" s="29">
        <v>58688.149436103296</v>
      </c>
      <c r="AF14" s="30">
        <v>-4.7926923841776804E-3</v>
      </c>
      <c r="AG14" s="29">
        <v>50877.656526838902</v>
      </c>
      <c r="AH14" s="30">
        <v>-3.4474984446257399E-2</v>
      </c>
      <c r="AI14" s="29">
        <v>40296.453935800899</v>
      </c>
      <c r="AJ14" s="30">
        <v>1.5386593035618099E-2</v>
      </c>
      <c r="AK14" s="29">
        <v>110540.877298559</v>
      </c>
      <c r="AL14" s="30">
        <v>2.2153479997764999E-2</v>
      </c>
      <c r="AM14" s="29">
        <v>85887.570432742694</v>
      </c>
      <c r="AN14" s="30">
        <v>1.3498200246948099E-2</v>
      </c>
      <c r="AO14" s="29">
        <v>52409.572319100604</v>
      </c>
      <c r="AP14" s="30">
        <v>-9.0090022717473905E-3</v>
      </c>
      <c r="AQ14" s="29">
        <v>47883.976874424901</v>
      </c>
      <c r="AR14" s="30">
        <v>-3.2999283040180502E-2</v>
      </c>
      <c r="AS14" s="29">
        <v>25867.739222143198</v>
      </c>
      <c r="AT14" s="30">
        <v>6.1381948196533601E-2</v>
      </c>
      <c r="AU14" s="29">
        <v>413379.38302199502</v>
      </c>
      <c r="AV14" s="30">
        <v>-1.3067178770530799E-2</v>
      </c>
      <c r="AW14" s="29">
        <v>328874.71149734501</v>
      </c>
      <c r="AX14" s="30">
        <v>-1.09172104932935E-2</v>
      </c>
      <c r="AY14" s="29">
        <v>92455.028486975498</v>
      </c>
      <c r="AZ14" s="30">
        <v>-1.93445662665548E-2</v>
      </c>
      <c r="BA14" s="29">
        <v>53434.515071266702</v>
      </c>
      <c r="BB14" s="30">
        <v>-3.71578871754202E-2</v>
      </c>
      <c r="BC14" s="29">
        <v>73988.633444422303</v>
      </c>
      <c r="BD14" s="30">
        <v>-9.7815473307006906E-3</v>
      </c>
      <c r="BE14" s="29"/>
      <c r="BF14" s="30"/>
    </row>
    <row r="15" spans="1:62" x14ac:dyDescent="0.2">
      <c r="A15" s="28">
        <v>1983</v>
      </c>
      <c r="B15" s="28"/>
      <c r="C15" s="29">
        <v>371076.55105185503</v>
      </c>
      <c r="D15" s="30">
        <v>6.3907945790111498E-3</v>
      </c>
      <c r="E15" s="29">
        <v>368955.05805264798</v>
      </c>
      <c r="F15" s="30">
        <v>2.3054088968550001E-2</v>
      </c>
      <c r="G15" s="29">
        <v>253142.27984126101</v>
      </c>
      <c r="H15" s="30">
        <v>1.4567751161879999E-2</v>
      </c>
      <c r="I15" s="29">
        <v>207148.16307887199</v>
      </c>
      <c r="J15" s="30">
        <v>1.2584473194449801E-2</v>
      </c>
      <c r="K15" s="29">
        <v>45466.4543985294</v>
      </c>
      <c r="L15" s="30">
        <v>2.6069519221118699E-2</v>
      </c>
      <c r="M15" s="29">
        <v>116383.43566420001</v>
      </c>
      <c r="N15" s="30">
        <v>4.0651927341910102E-2</v>
      </c>
      <c r="O15" s="29">
        <v>84171.525729169603</v>
      </c>
      <c r="P15" s="30">
        <v>3.4879664106917299E-2</v>
      </c>
      <c r="Q15" s="29">
        <v>44104.392189527498</v>
      </c>
      <c r="R15" s="30">
        <v>5.2900458515923399E-2</v>
      </c>
      <c r="S15" s="29">
        <v>43498.523904712099</v>
      </c>
      <c r="T15" s="30">
        <v>2.1434961607168099E-2</v>
      </c>
      <c r="U15" s="29"/>
      <c r="V15" s="30"/>
      <c r="W15" s="29"/>
      <c r="X15" s="30"/>
      <c r="Y15" s="29"/>
      <c r="Z15" s="30"/>
      <c r="AA15" s="29">
        <v>119273.803010284</v>
      </c>
      <c r="AB15" s="30">
        <v>-2.7889257310594998E-2</v>
      </c>
      <c r="AC15" s="29">
        <v>78122.983997248506</v>
      </c>
      <c r="AD15" s="30">
        <v>-5.7352024142454897E-2</v>
      </c>
      <c r="AE15" s="29">
        <v>59298.638241964502</v>
      </c>
      <c r="AF15" s="30">
        <v>1.04022500577541E-2</v>
      </c>
      <c r="AG15" s="29">
        <v>51571.027035777901</v>
      </c>
      <c r="AH15" s="30">
        <v>1.3628192732762201E-2</v>
      </c>
      <c r="AI15" s="29">
        <v>42289.203187891697</v>
      </c>
      <c r="AJ15" s="30">
        <v>4.9452223643935901E-2</v>
      </c>
      <c r="AK15" s="29">
        <v>111691.078114359</v>
      </c>
      <c r="AL15" s="30">
        <v>1.04052079548238E-2</v>
      </c>
      <c r="AM15" s="29">
        <v>86355.526186575502</v>
      </c>
      <c r="AN15" s="30">
        <v>5.4484688701177397E-3</v>
      </c>
      <c r="AO15" s="29">
        <v>55523.7162519263</v>
      </c>
      <c r="AP15" s="30">
        <v>5.9419373122622202E-2</v>
      </c>
      <c r="AQ15" s="29">
        <v>50292.162657287801</v>
      </c>
      <c r="AR15" s="30">
        <v>5.0292100616003498E-2</v>
      </c>
      <c r="AS15" s="29">
        <v>26661.295944025798</v>
      </c>
      <c r="AT15" s="30">
        <v>3.0677467213805501E-2</v>
      </c>
      <c r="AU15" s="29">
        <v>422488.485214855</v>
      </c>
      <c r="AV15" s="30">
        <v>2.20356954579322E-2</v>
      </c>
      <c r="AW15" s="29">
        <v>335684.54458608199</v>
      </c>
      <c r="AX15" s="30">
        <v>2.07064661728837E-2</v>
      </c>
      <c r="AY15" s="29">
        <v>94850.128747723007</v>
      </c>
      <c r="AZ15" s="30">
        <v>2.5905570523780699E-2</v>
      </c>
      <c r="BA15" s="29">
        <v>54106.351421571198</v>
      </c>
      <c r="BB15" s="30">
        <v>1.25730784570328E-2</v>
      </c>
      <c r="BC15" s="29">
        <v>77326.644408894907</v>
      </c>
      <c r="BD15" s="30">
        <v>4.5115186064086397E-2</v>
      </c>
      <c r="BE15" s="29"/>
      <c r="BF15" s="30"/>
    </row>
    <row r="16" spans="1:62" x14ac:dyDescent="0.2">
      <c r="A16" s="28">
        <v>1984</v>
      </c>
      <c r="B16" s="28"/>
      <c r="C16" s="29">
        <v>382240.22734115302</v>
      </c>
      <c r="D16" s="30">
        <v>3.0084564108546999E-2</v>
      </c>
      <c r="E16" s="29">
        <v>365078.58097597799</v>
      </c>
      <c r="F16" s="30">
        <v>-1.0506637575671701E-2</v>
      </c>
      <c r="G16" s="29">
        <v>257222.69971219101</v>
      </c>
      <c r="H16" s="30">
        <v>1.6119076882333799E-2</v>
      </c>
      <c r="I16" s="29">
        <v>210503.20670756101</v>
      </c>
      <c r="J16" s="30">
        <v>1.6196347478163901E-2</v>
      </c>
      <c r="K16" s="29">
        <v>46179.226273934502</v>
      </c>
      <c r="L16" s="30">
        <v>1.5676873968605301E-2</v>
      </c>
      <c r="M16" s="29">
        <v>108709.56541308999</v>
      </c>
      <c r="N16" s="30">
        <v>-6.5936103426703002E-2</v>
      </c>
      <c r="O16" s="29">
        <v>87756.062779422893</v>
      </c>
      <c r="P16" s="30">
        <v>4.2586100456192003E-2</v>
      </c>
      <c r="Q16" s="29">
        <v>46515.681201859297</v>
      </c>
      <c r="R16" s="30">
        <v>5.4672310230914803E-2</v>
      </c>
      <c r="S16" s="29">
        <v>44957.739578149398</v>
      </c>
      <c r="T16" s="30">
        <v>3.3546326230147E-2</v>
      </c>
      <c r="U16" s="29"/>
      <c r="V16" s="30"/>
      <c r="W16" s="29"/>
      <c r="X16" s="30"/>
      <c r="Y16" s="29"/>
      <c r="Z16" s="30"/>
      <c r="AA16" s="29">
        <v>138052.499852282</v>
      </c>
      <c r="AB16" s="30">
        <v>0.15744192243438199</v>
      </c>
      <c r="AC16" s="29">
        <v>93057.596786606999</v>
      </c>
      <c r="AD16" s="30">
        <v>0.19116797676192801</v>
      </c>
      <c r="AE16" s="29">
        <v>64333.808619009898</v>
      </c>
      <c r="AF16" s="30">
        <v>8.4912074312730096E-2</v>
      </c>
      <c r="AG16" s="29">
        <v>54745.050608551101</v>
      </c>
      <c r="AH16" s="30">
        <v>6.15466426637419E-2</v>
      </c>
      <c r="AI16" s="29">
        <v>45475.235617587699</v>
      </c>
      <c r="AJ16" s="30">
        <v>7.5339145444295499E-2</v>
      </c>
      <c r="AK16" s="29">
        <v>118266.073034174</v>
      </c>
      <c r="AL16" s="30">
        <v>5.8867682457890903E-2</v>
      </c>
      <c r="AM16" s="29">
        <v>91751.969289360699</v>
      </c>
      <c r="AN16" s="30">
        <v>6.2490999025654803E-2</v>
      </c>
      <c r="AO16" s="29">
        <v>61170.615193671598</v>
      </c>
      <c r="AP16" s="30">
        <v>0.101702467394721</v>
      </c>
      <c r="AQ16" s="29">
        <v>54066.548368628399</v>
      </c>
      <c r="AR16" s="30">
        <v>7.50491828530198E-2</v>
      </c>
      <c r="AS16" s="29">
        <v>27833.650039829401</v>
      </c>
      <c r="AT16" s="30">
        <v>4.3972134672858501E-2</v>
      </c>
      <c r="AU16" s="29">
        <v>437399.88806442998</v>
      </c>
      <c r="AV16" s="30">
        <v>3.5294223088688299E-2</v>
      </c>
      <c r="AW16" s="29">
        <v>343792.32747685403</v>
      </c>
      <c r="AX16" s="30">
        <v>2.4152982380436099E-2</v>
      </c>
      <c r="AY16" s="29">
        <v>101319.791221629</v>
      </c>
      <c r="AZ16" s="30">
        <v>6.8209316732864997E-2</v>
      </c>
      <c r="BA16" s="29">
        <v>57571.356221664799</v>
      </c>
      <c r="BB16" s="30">
        <v>6.4040629409585395E-2</v>
      </c>
      <c r="BC16" s="29">
        <v>82498.3791391985</v>
      </c>
      <c r="BD16" s="30">
        <v>6.6881665043630606E-2</v>
      </c>
      <c r="BE16" s="29"/>
      <c r="BF16" s="30"/>
    </row>
    <row r="17" spans="1:58" x14ac:dyDescent="0.2">
      <c r="A17" s="28">
        <v>1985</v>
      </c>
      <c r="B17" s="28"/>
      <c r="C17" s="29">
        <v>396282.18873124197</v>
      </c>
      <c r="D17" s="30">
        <v>3.6735959184003297E-2</v>
      </c>
      <c r="E17" s="29">
        <v>374976.90474527399</v>
      </c>
      <c r="F17" s="30">
        <v>2.7112858121762999E-2</v>
      </c>
      <c r="G17" s="29">
        <v>263857.87539128202</v>
      </c>
      <c r="H17" s="30">
        <v>2.57954515154191E-2</v>
      </c>
      <c r="I17" s="29">
        <v>214998.969518903</v>
      </c>
      <c r="J17" s="30">
        <v>2.13572176959183E-2</v>
      </c>
      <c r="K17" s="29">
        <v>48543.419310215897</v>
      </c>
      <c r="L17" s="30">
        <v>5.1196029622867102E-2</v>
      </c>
      <c r="M17" s="29">
        <v>111972.160412635</v>
      </c>
      <c r="N17" s="30">
        <v>3.0012032401634602E-2</v>
      </c>
      <c r="O17" s="29">
        <v>90912.258030789293</v>
      </c>
      <c r="P17" s="30">
        <v>3.5965552138540899E-2</v>
      </c>
      <c r="Q17" s="29">
        <v>47016.814822152002</v>
      </c>
      <c r="R17" s="30">
        <v>1.0773433976339199E-2</v>
      </c>
      <c r="S17" s="29">
        <v>47416.975487844698</v>
      </c>
      <c r="T17" s="30">
        <v>5.4701057766048299E-2</v>
      </c>
      <c r="U17" s="29"/>
      <c r="V17" s="30"/>
      <c r="W17" s="29"/>
      <c r="X17" s="30"/>
      <c r="Y17" s="29"/>
      <c r="Z17" s="30"/>
      <c r="AA17" s="29">
        <v>149075.02927757599</v>
      </c>
      <c r="AB17" s="30">
        <v>7.9843026653540997E-2</v>
      </c>
      <c r="AC17" s="29">
        <v>100222.96172581799</v>
      </c>
      <c r="AD17" s="30">
        <v>7.6999247634149906E-2</v>
      </c>
      <c r="AE17" s="29">
        <v>69364.251998867097</v>
      </c>
      <c r="AF17" s="30">
        <v>7.8192842734493603E-2</v>
      </c>
      <c r="AG17" s="29">
        <v>59202.614443688602</v>
      </c>
      <c r="AH17" s="30">
        <v>8.14240517743028E-2</v>
      </c>
      <c r="AI17" s="29">
        <v>49452.116193158203</v>
      </c>
      <c r="AJ17" s="30">
        <v>8.7451566144992401E-2</v>
      </c>
      <c r="AK17" s="29">
        <v>125448.567940091</v>
      </c>
      <c r="AL17" s="30">
        <v>6.0731659736778201E-2</v>
      </c>
      <c r="AM17" s="29">
        <v>97232.419353051693</v>
      </c>
      <c r="AN17" s="30">
        <v>5.9731143714279601E-2</v>
      </c>
      <c r="AO17" s="29">
        <v>63347.576693348099</v>
      </c>
      <c r="AP17" s="30">
        <v>3.5588353865397999E-2</v>
      </c>
      <c r="AQ17" s="29">
        <v>56578.3976882883</v>
      </c>
      <c r="AR17" s="30">
        <v>4.64584737781664E-2</v>
      </c>
      <c r="AS17" s="29">
        <v>29636.932304923001</v>
      </c>
      <c r="AT17" s="30">
        <v>6.4787847174663904E-2</v>
      </c>
      <c r="AU17" s="29">
        <v>456492.01594337</v>
      </c>
      <c r="AV17" s="30">
        <v>4.3649137551053901E-2</v>
      </c>
      <c r="AW17" s="29">
        <v>353730.66024905699</v>
      </c>
      <c r="AX17" s="30">
        <v>2.89079539533099E-2</v>
      </c>
      <c r="AY17" s="29">
        <v>109941.437135263</v>
      </c>
      <c r="AZ17" s="30">
        <v>8.5093403861976405E-2</v>
      </c>
      <c r="BA17" s="29">
        <v>62391.883098042403</v>
      </c>
      <c r="BB17" s="30">
        <v>8.3731341290924396E-2</v>
      </c>
      <c r="BC17" s="29">
        <v>86720.807970573995</v>
      </c>
      <c r="BD17" s="30">
        <v>5.1181961093454097E-2</v>
      </c>
      <c r="BE17" s="29"/>
      <c r="BF17" s="30"/>
    </row>
    <row r="18" spans="1:58" x14ac:dyDescent="0.2">
      <c r="A18" s="28">
        <v>1986</v>
      </c>
      <c r="B18" s="28"/>
      <c r="C18" s="29">
        <v>403647.61943168199</v>
      </c>
      <c r="D18" s="30">
        <v>1.85863278993736E-2</v>
      </c>
      <c r="E18" s="29">
        <v>398786.871731052</v>
      </c>
      <c r="F18" s="30">
        <v>6.3497155916714995E-2</v>
      </c>
      <c r="G18" s="29">
        <v>271413.260842763</v>
      </c>
      <c r="H18" s="30">
        <v>2.8634299583730101E-2</v>
      </c>
      <c r="I18" s="29">
        <v>221022.18515773001</v>
      </c>
      <c r="J18" s="30">
        <v>2.8015090734175001E-2</v>
      </c>
      <c r="K18" s="29">
        <v>50101.730539407203</v>
      </c>
      <c r="L18" s="30">
        <v>3.21013898759979E-2</v>
      </c>
      <c r="M18" s="29">
        <v>127387.922582402</v>
      </c>
      <c r="N18" s="30">
        <v>0.13767495521170001</v>
      </c>
      <c r="O18" s="29">
        <v>97236.633215948095</v>
      </c>
      <c r="P18" s="30">
        <v>6.95657034832078E-2</v>
      </c>
      <c r="Q18" s="29">
        <v>47735.930158889198</v>
      </c>
      <c r="R18" s="30">
        <v>1.52948543932072E-2</v>
      </c>
      <c r="S18" s="29">
        <v>52502.327204162902</v>
      </c>
      <c r="T18" s="30">
        <v>0.107247492358973</v>
      </c>
      <c r="U18" s="29"/>
      <c r="V18" s="30"/>
      <c r="W18" s="29"/>
      <c r="X18" s="30"/>
      <c r="Y18" s="29"/>
      <c r="Z18" s="30"/>
      <c r="AA18" s="29">
        <v>151389.703547082</v>
      </c>
      <c r="AB18" s="30">
        <v>1.55269080323048E-2</v>
      </c>
      <c r="AC18" s="29">
        <v>103070.911861984</v>
      </c>
      <c r="AD18" s="30">
        <v>2.8416144236059801E-2</v>
      </c>
      <c r="AE18" s="29">
        <v>71180.7655400613</v>
      </c>
      <c r="AF18" s="30">
        <v>2.61880361835931E-2</v>
      </c>
      <c r="AG18" s="29">
        <v>60511.864971048701</v>
      </c>
      <c r="AH18" s="30">
        <v>2.2114741716439099E-2</v>
      </c>
      <c r="AI18" s="29">
        <v>48587.786805165102</v>
      </c>
      <c r="AJ18" s="30">
        <v>-1.74781071980241E-2</v>
      </c>
      <c r="AK18" s="29">
        <v>139704.84305246</v>
      </c>
      <c r="AL18" s="30">
        <v>0.11364239023579401</v>
      </c>
      <c r="AM18" s="29">
        <v>110685.492930298</v>
      </c>
      <c r="AN18" s="30">
        <v>0.13835995922715599</v>
      </c>
      <c r="AO18" s="29">
        <v>69232.150028557895</v>
      </c>
      <c r="AP18" s="30">
        <v>9.2893424537702204E-2</v>
      </c>
      <c r="AQ18" s="29">
        <v>61264.503672466199</v>
      </c>
      <c r="AR18" s="30">
        <v>8.2825003457952295E-2</v>
      </c>
      <c r="AS18" s="29">
        <v>30151.7624119953</v>
      </c>
      <c r="AT18" s="30">
        <v>1.7371234707268798E-2</v>
      </c>
      <c r="AU18" s="29">
        <v>470812.05980217102</v>
      </c>
      <c r="AV18" s="30">
        <v>3.1369757539367701E-2</v>
      </c>
      <c r="AW18" s="29">
        <v>368354.05510644801</v>
      </c>
      <c r="AX18" s="30">
        <v>4.1340478789979401E-2</v>
      </c>
      <c r="AY18" s="29">
        <v>110451.553611653</v>
      </c>
      <c r="AZ18" s="30">
        <v>4.6398927436464002E-3</v>
      </c>
      <c r="BA18" s="29">
        <v>63472.682951811097</v>
      </c>
      <c r="BB18" s="30">
        <v>1.7322763797180198E-2</v>
      </c>
      <c r="BC18" s="29">
        <v>92426.412146938295</v>
      </c>
      <c r="BD18" s="30">
        <v>6.5792793101054695E-2</v>
      </c>
      <c r="BE18" s="29"/>
      <c r="BF18" s="30"/>
    </row>
    <row r="19" spans="1:58" x14ac:dyDescent="0.2">
      <c r="A19" s="28">
        <v>1987</v>
      </c>
      <c r="B19" s="28"/>
      <c r="C19" s="29">
        <v>410047.36430921999</v>
      </c>
      <c r="D19" s="30">
        <v>1.5854781669586399E-2</v>
      </c>
      <c r="E19" s="29">
        <v>406985.87066743698</v>
      </c>
      <c r="F19" s="30">
        <v>2.05598516841701E-2</v>
      </c>
      <c r="G19" s="29">
        <v>279250.437888744</v>
      </c>
      <c r="H19" s="30">
        <v>2.88754389584591E-2</v>
      </c>
      <c r="I19" s="29">
        <v>227638.49519007301</v>
      </c>
      <c r="J19" s="30">
        <v>2.9935049405206901E-2</v>
      </c>
      <c r="K19" s="29">
        <v>51257.646619887302</v>
      </c>
      <c r="L19" s="30">
        <v>2.3071380330284001E-2</v>
      </c>
      <c r="M19" s="29">
        <v>127896.958144078</v>
      </c>
      <c r="N19" s="30">
        <v>3.9959483705860298E-3</v>
      </c>
      <c r="O19" s="29">
        <v>101220.804553177</v>
      </c>
      <c r="P19" s="30">
        <v>4.0973974575825099E-2</v>
      </c>
      <c r="Q19" s="29">
        <v>49442.796606575197</v>
      </c>
      <c r="R19" s="30">
        <v>3.5756430051843098E-2</v>
      </c>
      <c r="S19" s="29">
        <v>54834.6529013658</v>
      </c>
      <c r="T19" s="30">
        <v>4.4423282193441403E-2</v>
      </c>
      <c r="U19" s="29"/>
      <c r="V19" s="30"/>
      <c r="W19" s="29"/>
      <c r="X19" s="30"/>
      <c r="Y19" s="29"/>
      <c r="Z19" s="30"/>
      <c r="AA19" s="29">
        <v>147768.39870619599</v>
      </c>
      <c r="AB19" s="30">
        <v>-2.3920417016737101E-2</v>
      </c>
      <c r="AC19" s="29">
        <v>98508.575916332295</v>
      </c>
      <c r="AD19" s="30">
        <v>-4.4264049509531903E-2</v>
      </c>
      <c r="AE19" s="29">
        <v>72018.073383586394</v>
      </c>
      <c r="AF19" s="30">
        <v>1.17631193928893E-2</v>
      </c>
      <c r="AG19" s="29">
        <v>60418.877246025797</v>
      </c>
      <c r="AH19" s="30">
        <v>-1.53668582297761E-3</v>
      </c>
      <c r="AI19" s="29">
        <v>49879.9933147255</v>
      </c>
      <c r="AJ19" s="30">
        <v>2.6595294713507699E-2</v>
      </c>
      <c r="AK19" s="29">
        <v>137852.79411449801</v>
      </c>
      <c r="AL19" s="30">
        <v>-1.32568699659673E-2</v>
      </c>
      <c r="AM19" s="29">
        <v>107338.966942877</v>
      </c>
      <c r="AN19" s="30">
        <v>-3.0234549251439199E-2</v>
      </c>
      <c r="AO19" s="29">
        <v>73413.295424550699</v>
      </c>
      <c r="AP19" s="30">
        <v>6.0393117854467201E-2</v>
      </c>
      <c r="AQ19" s="29">
        <v>64792.269455396898</v>
      </c>
      <c r="AR19" s="30">
        <v>5.7582540810107198E-2</v>
      </c>
      <c r="AS19" s="29">
        <v>31819.956381124</v>
      </c>
      <c r="AT19" s="30">
        <v>5.5326582450952802E-2</v>
      </c>
      <c r="AU19" s="29">
        <v>483762.142111914</v>
      </c>
      <c r="AV19" s="30">
        <v>2.7505842384718301E-2</v>
      </c>
      <c r="AW19" s="29">
        <v>380402.53517217201</v>
      </c>
      <c r="AX19" s="30">
        <v>3.2708965460533902E-2</v>
      </c>
      <c r="AY19" s="29">
        <v>111866.691120341</v>
      </c>
      <c r="AZ19" s="30">
        <v>1.2812291565081201E-2</v>
      </c>
      <c r="BA19" s="29">
        <v>63795.125772013103</v>
      </c>
      <c r="BB19" s="30">
        <v>5.0800250628566497E-3</v>
      </c>
      <c r="BC19" s="29">
        <v>97694.549227678406</v>
      </c>
      <c r="BD19" s="30">
        <v>5.6998177884097098E-2</v>
      </c>
      <c r="BE19" s="29"/>
      <c r="BF19" s="30"/>
    </row>
    <row r="20" spans="1:58" x14ac:dyDescent="0.2">
      <c r="A20" s="28">
        <v>1988</v>
      </c>
      <c r="B20" s="28"/>
      <c r="C20" s="29">
        <v>423487.06135492102</v>
      </c>
      <c r="D20" s="30">
        <v>3.2775962524090901E-2</v>
      </c>
      <c r="E20" s="29">
        <v>416968.15828924399</v>
      </c>
      <c r="F20" s="30">
        <v>2.45273567002138E-2</v>
      </c>
      <c r="G20" s="29">
        <v>286255.30635008798</v>
      </c>
      <c r="H20" s="30">
        <v>2.50845388616159E-2</v>
      </c>
      <c r="I20" s="29">
        <v>232497.339904019</v>
      </c>
      <c r="J20" s="30">
        <v>2.13445652497781E-2</v>
      </c>
      <c r="K20" s="29">
        <v>53598.372927342498</v>
      </c>
      <c r="L20" s="30">
        <v>4.5665894979794598E-2</v>
      </c>
      <c r="M20" s="29">
        <v>130890.445301031</v>
      </c>
      <c r="N20" s="30">
        <v>2.3405460148481001E-2</v>
      </c>
      <c r="O20" s="29">
        <v>109633.981130177</v>
      </c>
      <c r="P20" s="30">
        <v>8.3117068809505507E-2</v>
      </c>
      <c r="Q20" s="29">
        <v>53087.305107320601</v>
      </c>
      <c r="R20" s="30">
        <v>7.3711617280578998E-2</v>
      </c>
      <c r="S20" s="29">
        <v>59738.875609043404</v>
      </c>
      <c r="T20" s="30">
        <v>8.9436559697005702E-2</v>
      </c>
      <c r="U20" s="29"/>
      <c r="V20" s="30"/>
      <c r="W20" s="29"/>
      <c r="X20" s="30"/>
      <c r="Y20" s="29"/>
      <c r="Z20" s="30"/>
      <c r="AA20" s="29">
        <v>159072.85635244599</v>
      </c>
      <c r="AB20" s="30">
        <v>7.6501185268485802E-2</v>
      </c>
      <c r="AC20" s="29">
        <v>109008.674594262</v>
      </c>
      <c r="AD20" s="30">
        <v>0.10659070624315301</v>
      </c>
      <c r="AE20" s="29">
        <v>77263.430391110305</v>
      </c>
      <c r="AF20" s="30">
        <v>7.2833897952058399E-2</v>
      </c>
      <c r="AG20" s="29">
        <v>64733.518234376003</v>
      </c>
      <c r="AH20" s="30">
        <v>7.1412134501953398E-2</v>
      </c>
      <c r="AI20" s="29">
        <v>50280.108690726498</v>
      </c>
      <c r="AJ20" s="30">
        <v>8.0215603373552397E-3</v>
      </c>
      <c r="AK20" s="29">
        <v>145668.45205017601</v>
      </c>
      <c r="AL20" s="30">
        <v>5.6695680242695903E-2</v>
      </c>
      <c r="AM20" s="29">
        <v>112965.96875138101</v>
      </c>
      <c r="AN20" s="30">
        <v>5.2422731173651801E-2</v>
      </c>
      <c r="AO20" s="29">
        <v>76669.685561884806</v>
      </c>
      <c r="AP20" s="30">
        <v>4.4356953580441602E-2</v>
      </c>
      <c r="AQ20" s="29">
        <v>68058.465072526902</v>
      </c>
      <c r="AR20" s="30">
        <v>5.0410267221437897E-2</v>
      </c>
      <c r="AS20" s="29">
        <v>34120.147521728599</v>
      </c>
      <c r="AT20" s="30">
        <v>7.2287689934392899E-2</v>
      </c>
      <c r="AU20" s="29">
        <v>505251.06921137398</v>
      </c>
      <c r="AV20" s="30">
        <v>4.4420439775728397E-2</v>
      </c>
      <c r="AW20" s="29">
        <v>396993.48375741998</v>
      </c>
      <c r="AX20" s="30">
        <v>4.3614190367417198E-2</v>
      </c>
      <c r="AY20" s="29">
        <v>117096.722257303</v>
      </c>
      <c r="AZ20" s="30">
        <v>4.6752353936480702E-2</v>
      </c>
      <c r="BA20" s="29">
        <v>68202.977542935594</v>
      </c>
      <c r="BB20" s="30">
        <v>6.9093864422731494E-2</v>
      </c>
      <c r="BC20" s="29">
        <v>103183.50488156101</v>
      </c>
      <c r="BD20" s="30">
        <v>5.61848710831385E-2</v>
      </c>
      <c r="BE20" s="29"/>
      <c r="BF20" s="30"/>
    </row>
    <row r="21" spans="1:58" x14ac:dyDescent="0.2">
      <c r="A21" s="28">
        <v>1989</v>
      </c>
      <c r="B21" s="28"/>
      <c r="C21" s="29">
        <v>441827.41382399399</v>
      </c>
      <c r="D21" s="30">
        <v>4.33079405316283E-2</v>
      </c>
      <c r="E21" s="29">
        <v>437293.01723429997</v>
      </c>
      <c r="F21" s="30">
        <v>4.8744391006848603E-2</v>
      </c>
      <c r="G21" s="29">
        <v>296330.74258883501</v>
      </c>
      <c r="H21" s="30">
        <v>3.5197378058122501E-2</v>
      </c>
      <c r="I21" s="29">
        <v>238374.29733443799</v>
      </c>
      <c r="J21" s="30">
        <v>2.52775254669362E-2</v>
      </c>
      <c r="K21" s="29">
        <v>58296.759637061397</v>
      </c>
      <c r="L21" s="30">
        <v>8.7659129430813595E-2</v>
      </c>
      <c r="M21" s="29">
        <v>140681.43816058201</v>
      </c>
      <c r="N21" s="30">
        <v>7.4802960881013902E-2</v>
      </c>
      <c r="O21" s="29">
        <v>114736.171998719</v>
      </c>
      <c r="P21" s="30">
        <v>4.65384073071584E-2</v>
      </c>
      <c r="Q21" s="29">
        <v>56947.903356760602</v>
      </c>
      <c r="R21" s="30">
        <v>7.2721684433510306E-2</v>
      </c>
      <c r="S21" s="29">
        <v>61474.392356257202</v>
      </c>
      <c r="T21" s="30">
        <v>2.90517143069744E-2</v>
      </c>
      <c r="U21" s="29"/>
      <c r="V21" s="30"/>
      <c r="W21" s="29"/>
      <c r="X21" s="30"/>
      <c r="Y21" s="29"/>
      <c r="Z21" s="30"/>
      <c r="AA21" s="29">
        <v>168283.62182465501</v>
      </c>
      <c r="AB21" s="30">
        <v>5.79028105951735E-2</v>
      </c>
      <c r="AC21" s="29">
        <v>115765.368194817</v>
      </c>
      <c r="AD21" s="30">
        <v>6.1983081857512397E-2</v>
      </c>
      <c r="AE21" s="29">
        <v>81627.050254891903</v>
      </c>
      <c r="AF21" s="30">
        <v>5.6477169622067197E-2</v>
      </c>
      <c r="AG21" s="29">
        <v>67625.598602125596</v>
      </c>
      <c r="AH21" s="30">
        <v>4.46767060810511E-2</v>
      </c>
      <c r="AI21" s="29">
        <v>52693.900622487301</v>
      </c>
      <c r="AJ21" s="30">
        <v>4.8006895661424603E-2</v>
      </c>
      <c r="AK21" s="29">
        <v>156071.89822456799</v>
      </c>
      <c r="AL21" s="30">
        <v>7.1418663601974894E-2</v>
      </c>
      <c r="AM21" s="29">
        <v>122908.731729368</v>
      </c>
      <c r="AN21" s="30">
        <v>8.8015559799871093E-2</v>
      </c>
      <c r="AO21" s="29">
        <v>81596.321555311806</v>
      </c>
      <c r="AP21" s="30">
        <v>6.4257939201413095E-2</v>
      </c>
      <c r="AQ21" s="29">
        <v>72100.453510857304</v>
      </c>
      <c r="AR21" s="30">
        <v>5.9389944131461099E-2</v>
      </c>
      <c r="AS21" s="29">
        <v>34526.712512130602</v>
      </c>
      <c r="AT21" s="30">
        <v>1.1915686769615699E-2</v>
      </c>
      <c r="AU21" s="29">
        <v>526145.30978731206</v>
      </c>
      <c r="AV21" s="30">
        <v>4.1354173893290803E-2</v>
      </c>
      <c r="AW21" s="29">
        <v>412473.26240893902</v>
      </c>
      <c r="AX21" s="30">
        <v>3.8992525784071301E-2</v>
      </c>
      <c r="AY21" s="29">
        <v>122738.671658953</v>
      </c>
      <c r="AZ21" s="30">
        <v>4.8181958409159197E-2</v>
      </c>
      <c r="BA21" s="29">
        <v>71495.760717246696</v>
      </c>
      <c r="BB21" s="30">
        <v>4.8279170396015897E-2</v>
      </c>
      <c r="BC21" s="29">
        <v>108006.55983586999</v>
      </c>
      <c r="BD21" s="30">
        <v>4.6742499780809202E-2</v>
      </c>
      <c r="BE21" s="29"/>
      <c r="BF21" s="30"/>
    </row>
    <row r="22" spans="1:58" x14ac:dyDescent="0.2">
      <c r="A22" s="28">
        <v>1990</v>
      </c>
      <c r="B22" s="28"/>
      <c r="C22" s="29">
        <v>458062.91722703801</v>
      </c>
      <c r="D22" s="30">
        <v>3.6746256332368797E-2</v>
      </c>
      <c r="E22" s="29">
        <v>460751.04450112698</v>
      </c>
      <c r="F22" s="30">
        <v>5.36437270715844E-2</v>
      </c>
      <c r="G22" s="29">
        <v>302525.78313844802</v>
      </c>
      <c r="H22" s="30">
        <v>2.09058314216433E-2</v>
      </c>
      <c r="I22" s="29">
        <v>242133.72714742299</v>
      </c>
      <c r="J22" s="30">
        <v>1.5771120691384401E-2</v>
      </c>
      <c r="K22" s="29">
        <v>61005.098112605898</v>
      </c>
      <c r="L22" s="30">
        <v>4.6457787575258098E-2</v>
      </c>
      <c r="M22" s="29">
        <v>156806.00811499401</v>
      </c>
      <c r="N22" s="30">
        <v>0.11461760815955201</v>
      </c>
      <c r="O22" s="29">
        <v>120100.74220952499</v>
      </c>
      <c r="P22" s="30">
        <v>4.6755701513783603E-2</v>
      </c>
      <c r="Q22" s="29">
        <v>57675.252108469598</v>
      </c>
      <c r="R22" s="30">
        <v>1.2772177882518099E-2</v>
      </c>
      <c r="S22" s="29">
        <v>65798.241382655106</v>
      </c>
      <c r="T22" s="30">
        <v>7.0335774957160896E-2</v>
      </c>
      <c r="U22" s="29"/>
      <c r="V22" s="30"/>
      <c r="W22" s="29"/>
      <c r="X22" s="30"/>
      <c r="Y22" s="29"/>
      <c r="Z22" s="30"/>
      <c r="AA22" s="29">
        <v>171647.12430329801</v>
      </c>
      <c r="AB22" s="30">
        <v>1.9987105353290999E-2</v>
      </c>
      <c r="AC22" s="29">
        <v>120868.191127863</v>
      </c>
      <c r="AD22" s="30">
        <v>4.4079010956529899E-2</v>
      </c>
      <c r="AE22" s="29">
        <v>86013.551433874105</v>
      </c>
      <c r="AF22" s="30">
        <v>5.3738327739209397E-2</v>
      </c>
      <c r="AG22" s="29">
        <v>70636.681285991202</v>
      </c>
      <c r="AH22" s="30">
        <v>4.4525782338450802E-2</v>
      </c>
      <c r="AI22" s="29">
        <v>50434.996897584002</v>
      </c>
      <c r="AJ22" s="30">
        <v>-4.2868409782123397E-2</v>
      </c>
      <c r="AK22" s="29">
        <v>165209.21848918701</v>
      </c>
      <c r="AL22" s="30">
        <v>5.8545582956080401E-2</v>
      </c>
      <c r="AM22" s="29">
        <v>131500.29243250101</v>
      </c>
      <c r="AN22" s="30">
        <v>6.9901955558783202E-2</v>
      </c>
      <c r="AO22" s="29">
        <v>84833.200034458205</v>
      </c>
      <c r="AP22" s="30">
        <v>3.9669416677713197E-2</v>
      </c>
      <c r="AQ22" s="29">
        <v>74316.649913695204</v>
      </c>
      <c r="AR22" s="30">
        <v>3.0737620845952201E-2</v>
      </c>
      <c r="AS22" s="29">
        <v>35070.652031693498</v>
      </c>
      <c r="AT22" s="30">
        <v>1.5754164818667898E-2</v>
      </c>
      <c r="AU22" s="29">
        <v>539518.019709963</v>
      </c>
      <c r="AV22" s="30">
        <v>2.5416381508858402E-2</v>
      </c>
      <c r="AW22" s="29">
        <v>424727.45856822701</v>
      </c>
      <c r="AX22" s="30">
        <v>2.97090678986573E-2</v>
      </c>
      <c r="AY22" s="29">
        <v>124374.59737446099</v>
      </c>
      <c r="AZ22" s="30">
        <v>1.33285271332721E-2</v>
      </c>
      <c r="BA22" s="29">
        <v>74609.690789107393</v>
      </c>
      <c r="BB22" s="30">
        <v>4.3554051885338597E-2</v>
      </c>
      <c r="BC22" s="29">
        <v>110906.664657209</v>
      </c>
      <c r="BD22" s="30">
        <v>2.6851191499348601E-2</v>
      </c>
      <c r="BE22" s="29"/>
      <c r="BF22" s="30"/>
    </row>
    <row r="23" spans="1:58" x14ac:dyDescent="0.2">
      <c r="A23" s="28">
        <v>1991</v>
      </c>
      <c r="B23" s="28"/>
      <c r="C23" s="29">
        <v>453867.90112403699</v>
      </c>
      <c r="D23" s="30">
        <v>-9.1581657131215594E-3</v>
      </c>
      <c r="E23" s="29">
        <v>453539.33907239197</v>
      </c>
      <c r="F23" s="30">
        <v>-1.5652065285155201E-2</v>
      </c>
      <c r="G23" s="29">
        <v>308697.28380782198</v>
      </c>
      <c r="H23" s="30">
        <v>2.0399916348780502E-2</v>
      </c>
      <c r="I23" s="29">
        <v>246541.712666593</v>
      </c>
      <c r="J23" s="30">
        <v>1.82047564009362E-2</v>
      </c>
      <c r="K23" s="29">
        <v>62897.791639553499</v>
      </c>
      <c r="L23" s="30">
        <v>3.1025169789154799E-2</v>
      </c>
      <c r="M23" s="29">
        <v>144361.18466835501</v>
      </c>
      <c r="N23" s="30">
        <v>-7.9364455458316205E-2</v>
      </c>
      <c r="O23" s="29">
        <v>117882.713233339</v>
      </c>
      <c r="P23" s="30">
        <v>-1.8468070516305599E-2</v>
      </c>
      <c r="Q23" s="29">
        <v>55738.8136745745</v>
      </c>
      <c r="R23" s="30">
        <v>-3.35748585936523E-2</v>
      </c>
      <c r="S23" s="29">
        <v>65273.914501327803</v>
      </c>
      <c r="T23" s="30">
        <v>-7.9687066144840096E-3</v>
      </c>
      <c r="U23" s="29"/>
      <c r="V23" s="30"/>
      <c r="W23" s="29"/>
      <c r="X23" s="30"/>
      <c r="Y23" s="29"/>
      <c r="Z23" s="30"/>
      <c r="AA23" s="29">
        <v>168915.44954425</v>
      </c>
      <c r="AB23" s="30">
        <v>-1.5914480187975501E-2</v>
      </c>
      <c r="AC23" s="29">
        <v>117118.474704067</v>
      </c>
      <c r="AD23" s="30">
        <v>-3.1023186405002699E-2</v>
      </c>
      <c r="AE23" s="29">
        <v>83935.898677250501</v>
      </c>
      <c r="AF23" s="30">
        <v>-2.4154946772788E-2</v>
      </c>
      <c r="AG23" s="29">
        <v>70113.009045651197</v>
      </c>
      <c r="AH23" s="30">
        <v>-7.4136019813811904E-3</v>
      </c>
      <c r="AI23" s="29">
        <v>51664.1746834226</v>
      </c>
      <c r="AJ23" s="30">
        <v>2.43715249618159E-2</v>
      </c>
      <c r="AK23" s="29">
        <v>159948.52646096601</v>
      </c>
      <c r="AL23" s="30">
        <v>-3.1842605856558501E-2</v>
      </c>
      <c r="AM23" s="29">
        <v>126399.545674265</v>
      </c>
      <c r="AN23" s="30">
        <v>-3.8788862472335803E-2</v>
      </c>
      <c r="AO23" s="29">
        <v>83632.793020164507</v>
      </c>
      <c r="AP23" s="30">
        <v>-1.415020314931E-2</v>
      </c>
      <c r="AQ23" s="29">
        <v>73341.299038047902</v>
      </c>
      <c r="AR23" s="30">
        <v>-1.31242578450451E-2</v>
      </c>
      <c r="AS23" s="29">
        <v>34870.956595322001</v>
      </c>
      <c r="AT23" s="30">
        <v>-5.6940896391380899E-3</v>
      </c>
      <c r="AU23" s="29">
        <v>542732.695204071</v>
      </c>
      <c r="AV23" s="30">
        <v>5.9584209918262E-3</v>
      </c>
      <c r="AW23" s="29">
        <v>427797.479966257</v>
      </c>
      <c r="AX23" s="30">
        <v>7.2282150261238102E-3</v>
      </c>
      <c r="AY23" s="29">
        <v>124653.463744523</v>
      </c>
      <c r="AZ23" s="30">
        <v>2.2421489271022802E-3</v>
      </c>
      <c r="BA23" s="29">
        <v>73948.308936955407</v>
      </c>
      <c r="BB23" s="30">
        <v>-8.8645569383402102E-3</v>
      </c>
      <c r="BC23" s="29">
        <v>109664.660760112</v>
      </c>
      <c r="BD23" s="30">
        <v>-1.11986407754333E-2</v>
      </c>
      <c r="BE23" s="29"/>
      <c r="BF23" s="30"/>
    </row>
    <row r="24" spans="1:58" x14ac:dyDescent="0.2">
      <c r="A24" s="28">
        <v>1992</v>
      </c>
      <c r="B24" s="28"/>
      <c r="C24" s="29">
        <v>453669.411106741</v>
      </c>
      <c r="D24" s="30">
        <v>-4.3732992970924001E-4</v>
      </c>
      <c r="E24" s="29">
        <v>448496.881628934</v>
      </c>
      <c r="F24" s="30">
        <v>-1.1118015592144899E-2</v>
      </c>
      <c r="G24" s="29">
        <v>310141.87519696797</v>
      </c>
      <c r="H24" s="30">
        <v>4.6796375119579903E-3</v>
      </c>
      <c r="I24" s="29">
        <v>247697.98269354299</v>
      </c>
      <c r="J24" s="30">
        <v>4.6899569831182503E-3</v>
      </c>
      <c r="K24" s="29">
        <v>63189.063529059596</v>
      </c>
      <c r="L24" s="30">
        <v>4.63087625039749E-3</v>
      </c>
      <c r="M24" s="29">
        <v>138209.51560715499</v>
      </c>
      <c r="N24" s="30">
        <v>-4.2613040862282701E-2</v>
      </c>
      <c r="O24" s="29">
        <v>108324.994357121</v>
      </c>
      <c r="P24" s="30">
        <v>-8.1078205735717696E-2</v>
      </c>
      <c r="Q24" s="29">
        <v>55262.090603421602</v>
      </c>
      <c r="R24" s="30">
        <v>-8.5528026114116695E-3</v>
      </c>
      <c r="S24" s="29">
        <v>56803.796004811004</v>
      </c>
      <c r="T24" s="30">
        <v>-0.12976268638438199</v>
      </c>
      <c r="U24" s="29"/>
      <c r="V24" s="30"/>
      <c r="W24" s="29"/>
      <c r="X24" s="30"/>
      <c r="Y24" s="29"/>
      <c r="Z24" s="30"/>
      <c r="AA24" s="29">
        <v>175599.65666960599</v>
      </c>
      <c r="AB24" s="30">
        <v>3.9571318925476898E-2</v>
      </c>
      <c r="AC24" s="29">
        <v>122481.90397898899</v>
      </c>
      <c r="AD24" s="30">
        <v>4.57949037372085E-2</v>
      </c>
      <c r="AE24" s="29">
        <v>86926.727991181004</v>
      </c>
      <c r="AF24" s="30">
        <v>3.5632302281421599E-2</v>
      </c>
      <c r="AG24" s="29">
        <v>73158.612033595302</v>
      </c>
      <c r="AH24" s="30">
        <v>4.34384863722082E-2</v>
      </c>
      <c r="AI24" s="29">
        <v>52918.439005357897</v>
      </c>
      <c r="AJ24" s="30">
        <v>2.4277254589295499E-2</v>
      </c>
      <c r="AK24" s="29">
        <v>161990.349173697</v>
      </c>
      <c r="AL24" s="30">
        <v>1.27654987383086E-2</v>
      </c>
      <c r="AM24" s="29">
        <v>125613.56615591299</v>
      </c>
      <c r="AN24" s="30">
        <v>-6.21821474246131E-3</v>
      </c>
      <c r="AO24" s="29">
        <v>79732.479003585206</v>
      </c>
      <c r="AP24" s="30">
        <v>-4.6636180327481701E-2</v>
      </c>
      <c r="AQ24" s="29">
        <v>70207.643409772907</v>
      </c>
      <c r="AR24" s="30">
        <v>-4.27270265099799E-2</v>
      </c>
      <c r="AS24" s="29">
        <v>37588.518552060203</v>
      </c>
      <c r="AT24" s="30">
        <v>7.79319589157106E-2</v>
      </c>
      <c r="AU24" s="29">
        <v>537751.01038671006</v>
      </c>
      <c r="AV24" s="30">
        <v>-9.1788920427724498E-3</v>
      </c>
      <c r="AW24" s="29">
        <v>417955.548693916</v>
      </c>
      <c r="AX24" s="30">
        <v>-2.3006052473982901E-2</v>
      </c>
      <c r="AY24" s="29">
        <v>128638.709375358</v>
      </c>
      <c r="AZ24" s="30">
        <v>3.19705968139221E-2</v>
      </c>
      <c r="BA24" s="29">
        <v>76611.653048694905</v>
      </c>
      <c r="BB24" s="30">
        <v>3.6016295031305899E-2</v>
      </c>
      <c r="BC24" s="29">
        <v>108562.379196254</v>
      </c>
      <c r="BD24" s="30">
        <v>-1.0051383519700099E-2</v>
      </c>
      <c r="BE24" s="29"/>
      <c r="BF24" s="30"/>
    </row>
    <row r="25" spans="1:58" x14ac:dyDescent="0.2">
      <c r="A25" s="28">
        <v>1993</v>
      </c>
      <c r="B25" s="28"/>
      <c r="C25" s="29">
        <v>453097.86229530902</v>
      </c>
      <c r="D25" s="30">
        <v>-1.2598354604455E-3</v>
      </c>
      <c r="E25" s="29">
        <v>446882.69173659198</v>
      </c>
      <c r="F25" s="30">
        <v>-3.5991106258732599E-3</v>
      </c>
      <c r="G25" s="29">
        <v>309486.90141905902</v>
      </c>
      <c r="H25" s="30">
        <v>-2.1118521241058098E-3</v>
      </c>
      <c r="I25" s="29">
        <v>246777.71796417201</v>
      </c>
      <c r="J25" s="30">
        <v>-3.7152693750812601E-3</v>
      </c>
      <c r="K25" s="29">
        <v>63528.833757805798</v>
      </c>
      <c r="L25" s="30">
        <v>5.3770416868095198E-3</v>
      </c>
      <c r="M25" s="29">
        <v>137254.962078963</v>
      </c>
      <c r="N25" s="30">
        <v>-6.9065687988215697E-3</v>
      </c>
      <c r="O25" s="29">
        <v>104533.940985409</v>
      </c>
      <c r="P25" s="30">
        <v>-3.4997032718178799E-2</v>
      </c>
      <c r="Q25" s="29">
        <v>54710.950463159701</v>
      </c>
      <c r="R25" s="30">
        <v>-9.9732046732907698E-3</v>
      </c>
      <c r="S25" s="29">
        <v>53772.026144701696</v>
      </c>
      <c r="T25" s="30">
        <v>-5.3372662979293301E-2</v>
      </c>
      <c r="U25" s="29"/>
      <c r="V25" s="30"/>
      <c r="W25" s="29"/>
      <c r="X25" s="30"/>
      <c r="Y25" s="29"/>
      <c r="Z25" s="30"/>
      <c r="AA25" s="29">
        <v>174491.82271366101</v>
      </c>
      <c r="AB25" s="30">
        <v>-6.3088617424214002E-3</v>
      </c>
      <c r="AC25" s="29">
        <v>119832.59583462701</v>
      </c>
      <c r="AD25" s="30">
        <v>-2.16302005300009E-2</v>
      </c>
      <c r="AE25" s="29">
        <v>87328.891825358296</v>
      </c>
      <c r="AF25" s="30">
        <v>4.6264692514146298E-3</v>
      </c>
      <c r="AG25" s="29">
        <v>73304.472943845205</v>
      </c>
      <c r="AH25" s="30">
        <v>1.99376267804174E-3</v>
      </c>
      <c r="AI25" s="29">
        <v>54621.446479075101</v>
      </c>
      <c r="AJ25" s="30">
        <v>3.2181740537448697E-2</v>
      </c>
      <c r="AK25" s="29">
        <v>159942.293684456</v>
      </c>
      <c r="AL25" s="30">
        <v>-1.26430710205189E-2</v>
      </c>
      <c r="AM25" s="29">
        <v>121305.265348047</v>
      </c>
      <c r="AN25" s="30">
        <v>-3.4298053464368601E-2</v>
      </c>
      <c r="AO25" s="29">
        <v>79097.735248791607</v>
      </c>
      <c r="AP25" s="30">
        <v>-7.9609183450206605E-3</v>
      </c>
      <c r="AQ25" s="29">
        <v>69530.229651080299</v>
      </c>
      <c r="AR25" s="30">
        <v>-9.6487180852777906E-3</v>
      </c>
      <c r="AS25" s="29">
        <v>39713.693657941003</v>
      </c>
      <c r="AT25" s="30">
        <v>5.6537878792360101E-2</v>
      </c>
      <c r="AU25" s="29">
        <v>534598.76781416801</v>
      </c>
      <c r="AV25" s="30">
        <v>-5.86189986007746E-3</v>
      </c>
      <c r="AW25" s="29">
        <v>413023.36723599199</v>
      </c>
      <c r="AX25" s="30">
        <v>-1.1800732095403299E-2</v>
      </c>
      <c r="AY25" s="29">
        <v>130074.165766283</v>
      </c>
      <c r="AZ25" s="30">
        <v>1.1158821461249699E-2</v>
      </c>
      <c r="BA25" s="29">
        <v>76636.530043027495</v>
      </c>
      <c r="BB25" s="30">
        <v>3.2471554055524298E-4</v>
      </c>
      <c r="BC25" s="29">
        <v>109589.78890980499</v>
      </c>
      <c r="BD25" s="30">
        <v>9.46377300458923E-3</v>
      </c>
      <c r="BE25" s="29"/>
      <c r="BF25" s="30"/>
    </row>
    <row r="26" spans="1:58" x14ac:dyDescent="0.2">
      <c r="A26" s="28">
        <v>1994</v>
      </c>
      <c r="B26" s="28"/>
      <c r="C26" s="29">
        <v>458851.10727512097</v>
      </c>
      <c r="D26" s="30">
        <v>1.26975769664113E-2</v>
      </c>
      <c r="E26" s="29">
        <v>457892.36745774897</v>
      </c>
      <c r="F26" s="30">
        <v>2.4636612526597799E-2</v>
      </c>
      <c r="G26" s="29">
        <v>313860.92546354502</v>
      </c>
      <c r="H26" s="30">
        <v>1.41331475562603E-2</v>
      </c>
      <c r="I26" s="29">
        <v>249787.02594661599</v>
      </c>
      <c r="J26" s="30">
        <v>1.2194407206897399E-2</v>
      </c>
      <c r="K26" s="29">
        <v>65001.065096984203</v>
      </c>
      <c r="L26" s="30">
        <v>2.3174222665428599E-2</v>
      </c>
      <c r="M26" s="29">
        <v>143990.93536543401</v>
      </c>
      <c r="N26" s="30">
        <v>4.9076355305797098E-2</v>
      </c>
      <c r="O26" s="29">
        <v>108634.12859999199</v>
      </c>
      <c r="P26" s="30">
        <v>3.92235055517101E-2</v>
      </c>
      <c r="Q26" s="29">
        <v>58570.6099238772</v>
      </c>
      <c r="R26" s="30">
        <v>7.0546379253937405E-2</v>
      </c>
      <c r="S26" s="29">
        <v>54637.924913404298</v>
      </c>
      <c r="T26" s="30">
        <v>1.6103145646260399E-2</v>
      </c>
      <c r="U26" s="29"/>
      <c r="V26" s="30"/>
      <c r="W26" s="29"/>
      <c r="X26" s="30"/>
      <c r="Y26" s="29"/>
      <c r="Z26" s="30"/>
      <c r="AA26" s="29">
        <v>176862.910477645</v>
      </c>
      <c r="AB26" s="30">
        <v>1.35885322710838E-2</v>
      </c>
      <c r="AC26" s="29">
        <v>122679.96196571</v>
      </c>
      <c r="AD26" s="30">
        <v>2.3761198789455901E-2</v>
      </c>
      <c r="AE26" s="29">
        <v>90133.658796172196</v>
      </c>
      <c r="AF26" s="30">
        <v>3.2117285725129299E-2</v>
      </c>
      <c r="AG26" s="29">
        <v>76435.357856933901</v>
      </c>
      <c r="AH26" s="30">
        <v>4.2710694004814101E-2</v>
      </c>
      <c r="AI26" s="29">
        <v>54106.628255975098</v>
      </c>
      <c r="AJ26" s="30">
        <v>-9.4252030344376108E-3</v>
      </c>
      <c r="AK26" s="29">
        <v>167174.65701361399</v>
      </c>
      <c r="AL26" s="30">
        <v>4.5218579542361401E-2</v>
      </c>
      <c r="AM26" s="29">
        <v>125896.702177236</v>
      </c>
      <c r="AN26" s="30">
        <v>3.7850268213961397E-2</v>
      </c>
      <c r="AO26" s="29">
        <v>85252.932468681596</v>
      </c>
      <c r="AP26" s="30">
        <v>7.7817616402412498E-2</v>
      </c>
      <c r="AQ26" s="29">
        <v>75745.841217015899</v>
      </c>
      <c r="AR26" s="30">
        <v>8.9394377051925003E-2</v>
      </c>
      <c r="AS26" s="29">
        <v>42371.823930177903</v>
      </c>
      <c r="AT26" s="30">
        <v>6.6932335610276006E-2</v>
      </c>
      <c r="AU26" s="29">
        <v>546560.092526778</v>
      </c>
      <c r="AV26" s="30">
        <v>2.23743963374947E-2</v>
      </c>
      <c r="AW26" s="29">
        <v>421774.48995130102</v>
      </c>
      <c r="AX26" s="30">
        <v>2.1187960317773102E-2</v>
      </c>
      <c r="AY26" s="29">
        <v>133411.49753940999</v>
      </c>
      <c r="AZ26" s="30">
        <v>2.5657145317570199E-2</v>
      </c>
      <c r="BA26" s="29">
        <v>80119.4571314973</v>
      </c>
      <c r="BB26" s="30">
        <v>4.5447348497046999E-2</v>
      </c>
      <c r="BC26" s="29">
        <v>118633.262689518</v>
      </c>
      <c r="BD26" s="30">
        <v>8.2521135131990095E-2</v>
      </c>
      <c r="BE26" s="29"/>
      <c r="BF26" s="30"/>
    </row>
    <row r="27" spans="1:58" x14ac:dyDescent="0.2">
      <c r="A27" s="28">
        <v>1995</v>
      </c>
      <c r="B27" s="28"/>
      <c r="C27" s="29">
        <v>461057.56827869901</v>
      </c>
      <c r="D27" s="30">
        <v>4.8086644416780499E-3</v>
      </c>
      <c r="E27" s="29">
        <v>464842.27253224899</v>
      </c>
      <c r="F27" s="30">
        <v>1.5178032149969699E-2</v>
      </c>
      <c r="G27" s="29">
        <v>316727.923627718</v>
      </c>
      <c r="H27" s="30">
        <v>9.1346132365446309E-3</v>
      </c>
      <c r="I27" s="29">
        <v>251991.68372722299</v>
      </c>
      <c r="J27" s="30">
        <v>8.8261500862660807E-3</v>
      </c>
      <c r="K27" s="29">
        <v>65687.050351042402</v>
      </c>
      <c r="L27" s="30">
        <v>1.05534463632968E-2</v>
      </c>
      <c r="M27" s="29">
        <v>148129.50940035301</v>
      </c>
      <c r="N27" s="30">
        <v>2.8741906734725001E-2</v>
      </c>
      <c r="O27" s="29">
        <v>113930.512349091</v>
      </c>
      <c r="P27" s="30">
        <v>4.8754326263349898E-2</v>
      </c>
      <c r="Q27" s="29">
        <v>56459.375988807798</v>
      </c>
      <c r="R27" s="30">
        <v>-3.6045961239148397E-2</v>
      </c>
      <c r="S27" s="29">
        <v>60936.050509317502</v>
      </c>
      <c r="T27" s="30">
        <v>0.115270219465601</v>
      </c>
      <c r="U27" s="29"/>
      <c r="V27" s="30"/>
      <c r="W27" s="29"/>
      <c r="X27" s="30"/>
      <c r="Y27" s="29"/>
      <c r="Z27" s="30"/>
      <c r="AA27" s="29">
        <v>181852.18869927301</v>
      </c>
      <c r="AB27" s="30">
        <v>2.82098615710531E-2</v>
      </c>
      <c r="AC27" s="29">
        <v>129232.18372631499</v>
      </c>
      <c r="AD27" s="30">
        <v>5.3409062536521099E-2</v>
      </c>
      <c r="AE27" s="29">
        <v>92204.097618869593</v>
      </c>
      <c r="AF27" s="30">
        <v>2.2970761981153699E-2</v>
      </c>
      <c r="AG27" s="29">
        <v>78852.978682218498</v>
      </c>
      <c r="AH27" s="30">
        <v>3.16296134808405E-2</v>
      </c>
      <c r="AI27" s="29">
        <v>52448.019322427303</v>
      </c>
      <c r="AJ27" s="30">
        <v>-3.0654450055565299E-2</v>
      </c>
      <c r="AK27" s="29">
        <v>176941.52876300001</v>
      </c>
      <c r="AL27" s="30">
        <v>5.8423160088135098E-2</v>
      </c>
      <c r="AM27" s="29">
        <v>134079.085028823</v>
      </c>
      <c r="AN27" s="30">
        <v>6.4992829121669496E-2</v>
      </c>
      <c r="AO27" s="29">
        <v>88318.961630241596</v>
      </c>
      <c r="AP27" s="30">
        <v>3.5963914351993899E-2</v>
      </c>
      <c r="AQ27" s="29">
        <v>79641.209078755899</v>
      </c>
      <c r="AR27" s="30">
        <v>5.1426821580600898E-2</v>
      </c>
      <c r="AS27" s="29">
        <v>44060.9501629734</v>
      </c>
      <c r="AT27" s="30">
        <v>3.9864373919302802E-2</v>
      </c>
      <c r="AU27" s="29">
        <v>556464.15678276296</v>
      </c>
      <c r="AV27" s="30">
        <v>1.8120723396027199E-2</v>
      </c>
      <c r="AW27" s="29">
        <v>430394.17587492499</v>
      </c>
      <c r="AX27" s="30">
        <v>2.04367170821993E-2</v>
      </c>
      <c r="AY27" s="29">
        <v>134976.68273761001</v>
      </c>
      <c r="AZ27" s="30">
        <v>1.17320113113732E-2</v>
      </c>
      <c r="BA27" s="29">
        <v>82865.356727593506</v>
      </c>
      <c r="BB27" s="30">
        <v>3.4272568666926503E-2</v>
      </c>
      <c r="BC27" s="29">
        <v>124315.475203731</v>
      </c>
      <c r="BD27" s="30">
        <v>4.78972961325781E-2</v>
      </c>
      <c r="BE27" s="29"/>
      <c r="BF27" s="30"/>
    </row>
    <row r="28" spans="1:58" x14ac:dyDescent="0.2">
      <c r="A28" s="28">
        <v>1996</v>
      </c>
      <c r="B28" s="28"/>
      <c r="C28" s="29">
        <v>463640.25987926399</v>
      </c>
      <c r="D28" s="30">
        <v>5.6016683777850903E-3</v>
      </c>
      <c r="E28" s="29">
        <v>468266.39390700299</v>
      </c>
      <c r="F28" s="30">
        <v>7.3662004879662098E-3</v>
      </c>
      <c r="G28" s="29">
        <v>321297.97992206702</v>
      </c>
      <c r="H28" s="30">
        <v>1.4428965536113199E-2</v>
      </c>
      <c r="I28" s="29">
        <v>255768.52730982401</v>
      </c>
      <c r="J28" s="30">
        <v>1.49879691533374E-2</v>
      </c>
      <c r="K28" s="29">
        <v>66463.969148310498</v>
      </c>
      <c r="L28" s="30">
        <v>1.1827579303929499E-2</v>
      </c>
      <c r="M28" s="29">
        <v>146835.09517232899</v>
      </c>
      <c r="N28" s="30">
        <v>-8.7383954302093798E-3</v>
      </c>
      <c r="O28" s="29">
        <v>112507.03013454701</v>
      </c>
      <c r="P28" s="30">
        <v>-1.24943018792177E-2</v>
      </c>
      <c r="Q28" s="29">
        <v>52858.156615264299</v>
      </c>
      <c r="R28" s="30">
        <v>-6.3784257450125101E-2</v>
      </c>
      <c r="S28" s="29">
        <v>62440.174874676399</v>
      </c>
      <c r="T28" s="30">
        <v>2.46836536465211E-2</v>
      </c>
      <c r="U28" s="29"/>
      <c r="V28" s="30"/>
      <c r="W28" s="29"/>
      <c r="X28" s="30"/>
      <c r="Y28" s="29"/>
      <c r="Z28" s="30"/>
      <c r="AA28" s="29">
        <v>188354.622303813</v>
      </c>
      <c r="AB28" s="30">
        <v>3.57566969693877E-2</v>
      </c>
      <c r="AC28" s="29">
        <v>133154.18832461</v>
      </c>
      <c r="AD28" s="30">
        <v>3.0348512926173101E-2</v>
      </c>
      <c r="AE28" s="29">
        <v>95618.923287149795</v>
      </c>
      <c r="AF28" s="30">
        <v>3.7035508794798902E-2</v>
      </c>
      <c r="AG28" s="29">
        <v>82030.037708292206</v>
      </c>
      <c r="AH28" s="30">
        <v>4.0290919622421303E-2</v>
      </c>
      <c r="AI28" s="29">
        <v>55000.080554378001</v>
      </c>
      <c r="AJ28" s="30">
        <v>4.8658867673567099E-2</v>
      </c>
      <c r="AK28" s="29">
        <v>184592.91473392601</v>
      </c>
      <c r="AL28" s="30">
        <v>4.3242454297854699E-2</v>
      </c>
      <c r="AM28" s="29">
        <v>139477.39012295299</v>
      </c>
      <c r="AN28" s="30">
        <v>4.0262096754082502E-2</v>
      </c>
      <c r="AO28" s="29">
        <v>91134.998424644305</v>
      </c>
      <c r="AP28" s="30">
        <v>3.1884849441418998E-2</v>
      </c>
      <c r="AQ28" s="29">
        <v>81677.612671434297</v>
      </c>
      <c r="AR28" s="30">
        <v>2.5569722210829801E-2</v>
      </c>
      <c r="AS28" s="29">
        <v>46347.058360912699</v>
      </c>
      <c r="AT28" s="30">
        <v>5.18851316070887E-2</v>
      </c>
      <c r="AU28" s="29">
        <v>565511.78734250099</v>
      </c>
      <c r="AV28" s="30">
        <v>1.6259143467653801E-2</v>
      </c>
      <c r="AW28" s="29">
        <v>433319.16980605602</v>
      </c>
      <c r="AX28" s="30">
        <v>6.7960815807634996E-3</v>
      </c>
      <c r="AY28" s="29">
        <v>140702.69766396901</v>
      </c>
      <c r="AZ28" s="30">
        <v>4.2422252571504303E-2</v>
      </c>
      <c r="BA28" s="29">
        <v>86113.206126994904</v>
      </c>
      <c r="BB28" s="30">
        <v>3.91942969614947E-2</v>
      </c>
      <c r="BC28" s="29">
        <v>128465.675223069</v>
      </c>
      <c r="BD28" s="30">
        <v>3.3384419860329702E-2</v>
      </c>
      <c r="BE28" s="29"/>
      <c r="BF28" s="30"/>
    </row>
    <row r="29" spans="1:58" x14ac:dyDescent="0.2">
      <c r="A29" s="28">
        <v>1997</v>
      </c>
      <c r="B29" s="28"/>
      <c r="C29" s="29">
        <v>473365.65609312599</v>
      </c>
      <c r="D29" s="30">
        <v>2.09761684983845E-2</v>
      </c>
      <c r="E29" s="29">
        <v>469911.09800294403</v>
      </c>
      <c r="F29" s="30">
        <v>3.5123257131872698E-3</v>
      </c>
      <c r="G29" s="29">
        <v>326801.61311608198</v>
      </c>
      <c r="H29" s="30">
        <v>1.7129373783642401E-2</v>
      </c>
      <c r="I29" s="29">
        <v>260866.721408107</v>
      </c>
      <c r="J29" s="30">
        <v>1.9932843778340401E-2</v>
      </c>
      <c r="K29" s="29">
        <v>66733.294013575796</v>
      </c>
      <c r="L29" s="30">
        <v>4.0521935225430496E-3</v>
      </c>
      <c r="M29" s="29">
        <v>142653.93474223299</v>
      </c>
      <c r="N29" s="30">
        <v>-2.8475211768609801E-2</v>
      </c>
      <c r="O29" s="29">
        <v>117356.368305884</v>
      </c>
      <c r="P29" s="30">
        <v>4.3102534708607802E-2</v>
      </c>
      <c r="Q29" s="29">
        <v>52047.187005975502</v>
      </c>
      <c r="R29" s="30">
        <v>-1.5342374029263899E-2</v>
      </c>
      <c r="S29" s="29">
        <v>67528.777958857798</v>
      </c>
      <c r="T29" s="30">
        <v>8.1495657153342893E-2</v>
      </c>
      <c r="U29" s="29"/>
      <c r="V29" s="30"/>
      <c r="W29" s="29"/>
      <c r="X29" s="30"/>
      <c r="Y29" s="29"/>
      <c r="Z29" s="30"/>
      <c r="AA29" s="29">
        <v>216861.840595936</v>
      </c>
      <c r="AB29" s="30">
        <v>0.151348652575889</v>
      </c>
      <c r="AC29" s="29">
        <v>155456.032929115</v>
      </c>
      <c r="AD29" s="30">
        <v>0.167488870497531</v>
      </c>
      <c r="AE29" s="29">
        <v>106973.613222838</v>
      </c>
      <c r="AF29" s="30">
        <v>0.11874940174330501</v>
      </c>
      <c r="AG29" s="29">
        <v>91603.201713749499</v>
      </c>
      <c r="AH29" s="30">
        <v>0.116703152563461</v>
      </c>
      <c r="AI29" s="29">
        <v>61266.325754295802</v>
      </c>
      <c r="AJ29" s="30">
        <v>0.113931564040574</v>
      </c>
      <c r="AK29" s="29">
        <v>205983.39803044801</v>
      </c>
      <c r="AL29" s="30">
        <v>0.11587922173152899</v>
      </c>
      <c r="AM29" s="29">
        <v>159240.31996595601</v>
      </c>
      <c r="AN29" s="30">
        <v>0.14169271324608099</v>
      </c>
      <c r="AO29" s="29">
        <v>101824.44485565599</v>
      </c>
      <c r="AP29" s="30">
        <v>0.117292441057654</v>
      </c>
      <c r="AQ29" s="29">
        <v>90882.077220067993</v>
      </c>
      <c r="AR29" s="30">
        <v>0.1126926246689</v>
      </c>
      <c r="AS29" s="29">
        <v>48365.4731017413</v>
      </c>
      <c r="AT29" s="30">
        <v>4.3550007534693999E-2</v>
      </c>
      <c r="AU29" s="29">
        <v>593761.90181822598</v>
      </c>
      <c r="AV29" s="30">
        <v>4.9954952501485503E-2</v>
      </c>
      <c r="AW29" s="29">
        <v>443804.22799658298</v>
      </c>
      <c r="AX29" s="30">
        <v>2.41970790150354E-2</v>
      </c>
      <c r="AY29" s="29">
        <v>157478.16923028001</v>
      </c>
      <c r="AZ29" s="30">
        <v>0.11922636768752599</v>
      </c>
      <c r="BA29" s="29">
        <v>96624.486272922004</v>
      </c>
      <c r="BB29" s="30">
        <v>0.122063509404418</v>
      </c>
      <c r="BC29" s="29">
        <v>140184.33955702701</v>
      </c>
      <c r="BD29" s="30">
        <v>9.1220198030403293E-2</v>
      </c>
      <c r="BE29" s="29"/>
      <c r="BF29" s="30"/>
    </row>
    <row r="30" spans="1:58" x14ac:dyDescent="0.2">
      <c r="A30" s="28">
        <v>1998</v>
      </c>
      <c r="B30" s="28"/>
      <c r="C30" s="29">
        <v>486506.82526546402</v>
      </c>
      <c r="D30" s="30">
        <v>2.7761137723419298E-2</v>
      </c>
      <c r="E30" s="29">
        <v>490454.37505323399</v>
      </c>
      <c r="F30" s="30">
        <v>4.3717369386668398E-2</v>
      </c>
      <c r="G30" s="29">
        <v>333480.10653339501</v>
      </c>
      <c r="H30" s="30">
        <v>2.04359254950848E-2</v>
      </c>
      <c r="I30" s="29">
        <v>266481.32554097701</v>
      </c>
      <c r="J30" s="30">
        <v>2.1522883802743E-2</v>
      </c>
      <c r="K30" s="29">
        <v>67747.443420905402</v>
      </c>
      <c r="L30" s="30">
        <v>1.51970530200907E-2</v>
      </c>
      <c r="M30" s="29">
        <v>157188.41053692001</v>
      </c>
      <c r="N30" s="30">
        <v>0.10188625936571</v>
      </c>
      <c r="O30" s="29">
        <v>127054.617244432</v>
      </c>
      <c r="P30" s="30">
        <v>8.2639306912345195E-2</v>
      </c>
      <c r="Q30" s="29">
        <v>52573.735707199201</v>
      </c>
      <c r="R30" s="30">
        <v>1.01167561882498E-2</v>
      </c>
      <c r="S30" s="29">
        <v>75988.614858916306</v>
      </c>
      <c r="T30" s="30">
        <v>0.12527750620946601</v>
      </c>
      <c r="U30" s="29"/>
      <c r="V30" s="30"/>
      <c r="W30" s="29"/>
      <c r="X30" s="30"/>
      <c r="Y30" s="29"/>
      <c r="Z30" s="30"/>
      <c r="AA30" s="29">
        <v>222060.57001609399</v>
      </c>
      <c r="AB30" s="30">
        <v>2.39725412542489E-2</v>
      </c>
      <c r="AC30" s="29">
        <v>156612.16168413</v>
      </c>
      <c r="AD30" s="30">
        <v>7.4370143971362896E-3</v>
      </c>
      <c r="AE30" s="29">
        <v>109859.985348551</v>
      </c>
      <c r="AF30" s="30">
        <v>2.6982094357240301E-2</v>
      </c>
      <c r="AG30" s="29">
        <v>95787.535386863907</v>
      </c>
      <c r="AH30" s="30">
        <v>4.5678901990674897E-2</v>
      </c>
      <c r="AI30" s="29">
        <v>65190.423820089403</v>
      </c>
      <c r="AJ30" s="30">
        <v>6.4049835166072794E-2</v>
      </c>
      <c r="AK30" s="29">
        <v>218383.73039626601</v>
      </c>
      <c r="AL30" s="30">
        <v>6.0200639878680302E-2</v>
      </c>
      <c r="AM30" s="29">
        <v>166977.97936479599</v>
      </c>
      <c r="AN30" s="30">
        <v>4.8591081709042701E-2</v>
      </c>
      <c r="AO30" s="29">
        <v>110142.17196213199</v>
      </c>
      <c r="AP30" s="30">
        <v>8.1686937927988798E-2</v>
      </c>
      <c r="AQ30" s="29">
        <v>98866.368031593607</v>
      </c>
      <c r="AR30" s="30">
        <v>8.7853304587129297E-2</v>
      </c>
      <c r="AS30" s="29">
        <v>52971.932564919603</v>
      </c>
      <c r="AT30" s="30">
        <v>9.5242725187203198E-2</v>
      </c>
      <c r="AU30" s="29">
        <v>617489.54131703998</v>
      </c>
      <c r="AV30" s="30">
        <v>3.99615391727806E-2</v>
      </c>
      <c r="AW30" s="29">
        <v>460389.78851855901</v>
      </c>
      <c r="AX30" s="30">
        <v>3.7371344110096197E-2</v>
      </c>
      <c r="AY30" s="29">
        <v>164773.13446240101</v>
      </c>
      <c r="AZ30" s="30">
        <v>4.6323660401805397E-2</v>
      </c>
      <c r="BA30" s="29">
        <v>100181.341576844</v>
      </c>
      <c r="BB30" s="30">
        <v>3.6811117358758E-2</v>
      </c>
      <c r="BC30" s="29">
        <v>152813.28655352999</v>
      </c>
      <c r="BD30" s="30">
        <v>9.0088144199343301E-2</v>
      </c>
      <c r="BE30" s="29"/>
      <c r="BF30" s="30"/>
    </row>
    <row r="31" spans="1:58" x14ac:dyDescent="0.2">
      <c r="A31" s="28">
        <v>1999</v>
      </c>
      <c r="B31" s="28"/>
      <c r="C31" s="29">
        <v>494680.50768559601</v>
      </c>
      <c r="D31" s="30">
        <v>1.6800755910612301E-2</v>
      </c>
      <c r="E31" s="29">
        <v>500354.82252253802</v>
      </c>
      <c r="F31" s="30">
        <v>2.01862761816105E-2</v>
      </c>
      <c r="G31" s="29">
        <v>341080.43282612303</v>
      </c>
      <c r="H31" s="30">
        <v>2.2790943579018799E-2</v>
      </c>
      <c r="I31" s="29">
        <v>272690.75764761597</v>
      </c>
      <c r="J31" s="30">
        <v>2.3301565668942401E-2</v>
      </c>
      <c r="K31" s="29">
        <v>69122.931679372501</v>
      </c>
      <c r="L31" s="30">
        <v>2.0303175869256201E-2</v>
      </c>
      <c r="M31" s="29">
        <v>159387.75707773399</v>
      </c>
      <c r="N31" s="30">
        <v>1.39917856113048E-2</v>
      </c>
      <c r="O31" s="29">
        <v>130398.98839010501</v>
      </c>
      <c r="P31" s="30">
        <v>2.6322310973075001E-2</v>
      </c>
      <c r="Q31" s="29">
        <v>50666.408693370999</v>
      </c>
      <c r="R31" s="30">
        <v>-3.6279084759179799E-2</v>
      </c>
      <c r="S31" s="29">
        <v>80511.337228931006</v>
      </c>
      <c r="T31" s="30">
        <v>5.9518420995193999E-2</v>
      </c>
      <c r="U31" s="29"/>
      <c r="V31" s="30"/>
      <c r="W31" s="29"/>
      <c r="X31" s="30"/>
      <c r="Y31" s="29"/>
      <c r="Z31" s="30"/>
      <c r="AA31" s="29">
        <v>230265.96260271399</v>
      </c>
      <c r="AB31" s="30">
        <v>3.6951146194144302E-2</v>
      </c>
      <c r="AC31" s="29">
        <v>159842.87003991901</v>
      </c>
      <c r="AD31" s="30">
        <v>2.0628719513524199E-2</v>
      </c>
      <c r="AE31" s="29">
        <v>117301.826042499</v>
      </c>
      <c r="AF31" s="30">
        <v>6.7739319920143495E-2</v>
      </c>
      <c r="AG31" s="29">
        <v>101693.23596525899</v>
      </c>
      <c r="AH31" s="30">
        <v>6.1654165696440902E-2</v>
      </c>
      <c r="AI31" s="29">
        <v>69962.525939664396</v>
      </c>
      <c r="AJ31" s="30">
        <v>7.3202501838994599E-2</v>
      </c>
      <c r="AK31" s="29">
        <v>228480.83056106599</v>
      </c>
      <c r="AL31" s="30">
        <v>4.6235587909769602E-2</v>
      </c>
      <c r="AM31" s="29">
        <v>171517.296171908</v>
      </c>
      <c r="AN31" s="30">
        <v>2.7185122399853202E-2</v>
      </c>
      <c r="AO31" s="29">
        <v>115579.41873618199</v>
      </c>
      <c r="AP31" s="30">
        <v>4.9365712307898997E-2</v>
      </c>
      <c r="AQ31" s="29">
        <v>107144.157165472</v>
      </c>
      <c r="AR31" s="30">
        <v>8.3727047920205494E-2</v>
      </c>
      <c r="AS31" s="29">
        <v>58168.136692968597</v>
      </c>
      <c r="AT31" s="30">
        <v>9.8093535131662996E-2</v>
      </c>
      <c r="AU31" s="29">
        <v>640260.56522009999</v>
      </c>
      <c r="AV31" s="30">
        <v>3.6876776656803202E-2</v>
      </c>
      <c r="AW31" s="29">
        <v>471342.43769683701</v>
      </c>
      <c r="AX31" s="30">
        <v>2.3789948107933102E-2</v>
      </c>
      <c r="AY31" s="29">
        <v>176083.88332277999</v>
      </c>
      <c r="AZ31" s="30">
        <v>6.8644375172456404E-2</v>
      </c>
      <c r="BA31" s="29">
        <v>106801.635017971</v>
      </c>
      <c r="BB31" s="30">
        <v>6.6083098278820099E-2</v>
      </c>
      <c r="BC31" s="29">
        <v>166307.533400001</v>
      </c>
      <c r="BD31" s="30">
        <v>8.8305455309632699E-2</v>
      </c>
      <c r="BE31" s="29"/>
      <c r="BF31" s="30"/>
    </row>
    <row r="32" spans="1:58" x14ac:dyDescent="0.2">
      <c r="A32" s="28">
        <v>2000</v>
      </c>
      <c r="B32" s="28"/>
      <c r="C32" s="29">
        <v>512653.323301428</v>
      </c>
      <c r="D32" s="30">
        <v>3.6332168615091302E-2</v>
      </c>
      <c r="E32" s="29">
        <v>508753.54812096403</v>
      </c>
      <c r="F32" s="30">
        <v>1.6785539421972001E-2</v>
      </c>
      <c r="G32" s="29">
        <v>349381.39662918402</v>
      </c>
      <c r="H32" s="30">
        <v>2.4337261842552801E-2</v>
      </c>
      <c r="I32" s="29">
        <v>279997.09146457299</v>
      </c>
      <c r="J32" s="30">
        <v>2.6793478004113899E-2</v>
      </c>
      <c r="K32" s="29">
        <v>69970.911187361606</v>
      </c>
      <c r="L32" s="30">
        <v>1.22677017219477E-2</v>
      </c>
      <c r="M32" s="29">
        <v>159113.119911824</v>
      </c>
      <c r="N32" s="30">
        <v>-1.7230756674511099E-3</v>
      </c>
      <c r="O32" s="29">
        <v>136640.70486229399</v>
      </c>
      <c r="P32" s="30">
        <v>4.7866295200972499E-2</v>
      </c>
      <c r="Q32" s="29">
        <v>52085.898471177803</v>
      </c>
      <c r="R32" s="30">
        <v>2.8016388262239698E-2</v>
      </c>
      <c r="S32" s="29">
        <v>85156.740257211699</v>
      </c>
      <c r="T32" s="30">
        <v>5.7698743905740098E-2</v>
      </c>
      <c r="U32" s="29"/>
      <c r="V32" s="30"/>
      <c r="W32" s="29"/>
      <c r="X32" s="30"/>
      <c r="Y32" s="29"/>
      <c r="Z32" s="30"/>
      <c r="AA32" s="29">
        <v>258532.286416116</v>
      </c>
      <c r="AB32" s="30">
        <v>0.122755111063334</v>
      </c>
      <c r="AC32" s="29">
        <v>176810.05447258</v>
      </c>
      <c r="AD32" s="30">
        <v>0.106149147775085</v>
      </c>
      <c r="AE32" s="29">
        <v>128034.974759055</v>
      </c>
      <c r="AF32" s="30">
        <v>9.1500269677531804E-2</v>
      </c>
      <c r="AG32" s="29">
        <v>111469.693594672</v>
      </c>
      <c r="AH32" s="30">
        <v>9.6136754196247204E-2</v>
      </c>
      <c r="AI32" s="29">
        <v>80942.514873359294</v>
      </c>
      <c r="AJ32" s="30">
        <v>0.15694100214683601</v>
      </c>
      <c r="AK32" s="29">
        <v>247952.78802179499</v>
      </c>
      <c r="AL32" s="30">
        <v>8.5223593650780999E-2</v>
      </c>
      <c r="AM32" s="29">
        <v>182591.214626581</v>
      </c>
      <c r="AN32" s="30">
        <v>6.4564441615113405E-2</v>
      </c>
      <c r="AO32" s="29">
        <v>125581.520825379</v>
      </c>
      <c r="AP32" s="30">
        <v>8.6538781718804997E-2</v>
      </c>
      <c r="AQ32" s="29">
        <v>115803.91672334701</v>
      </c>
      <c r="AR32" s="30">
        <v>8.08234418653513E-2</v>
      </c>
      <c r="AS32" s="29">
        <v>66167.902094993799</v>
      </c>
      <c r="AT32" s="30">
        <v>0.137528307709954</v>
      </c>
      <c r="AU32" s="29">
        <v>676715.94456440106</v>
      </c>
      <c r="AV32" s="30">
        <v>5.6938348735829501E-2</v>
      </c>
      <c r="AW32" s="29">
        <v>485958.56267370598</v>
      </c>
      <c r="AX32" s="30">
        <v>3.1009567159470799E-2</v>
      </c>
      <c r="AY32" s="29">
        <v>196821.321678482</v>
      </c>
      <c r="AZ32" s="30">
        <v>0.11777022385227801</v>
      </c>
      <c r="BA32" s="29">
        <v>116931.199560842</v>
      </c>
      <c r="BB32" s="30">
        <v>9.4844657960211395E-2</v>
      </c>
      <c r="BC32" s="29">
        <v>182808.52013103399</v>
      </c>
      <c r="BD32" s="30">
        <v>9.9219718997005005E-2</v>
      </c>
      <c r="BE32" s="29"/>
      <c r="BF32" s="30"/>
    </row>
    <row r="33" spans="1:58" x14ac:dyDescent="0.2">
      <c r="A33" s="28">
        <v>2001</v>
      </c>
      <c r="B33" s="28"/>
      <c r="C33" s="29">
        <v>520815.77781889698</v>
      </c>
      <c r="D33" s="30">
        <v>1.5921977185095099E-2</v>
      </c>
      <c r="E33" s="29">
        <v>521509.84781673201</v>
      </c>
      <c r="F33" s="30">
        <v>2.5073632887441698E-2</v>
      </c>
      <c r="G33" s="29">
        <v>356219.35289511998</v>
      </c>
      <c r="H33" s="30">
        <v>1.9571609513008702E-2</v>
      </c>
      <c r="I33" s="29">
        <v>286378.95358865999</v>
      </c>
      <c r="J33" s="30">
        <v>2.27926014899122E-2</v>
      </c>
      <c r="K33" s="29">
        <v>70238.025077769198</v>
      </c>
      <c r="L33" s="30">
        <v>3.8174990989077199E-3</v>
      </c>
      <c r="M33" s="29">
        <v>165226.49887000001</v>
      </c>
      <c r="N33" s="30">
        <v>3.8421589379705502E-2</v>
      </c>
      <c r="O33" s="29">
        <v>135020.24770991199</v>
      </c>
      <c r="P33" s="30">
        <v>-1.18592563908008E-2</v>
      </c>
      <c r="Q33" s="29">
        <v>50333.4646723638</v>
      </c>
      <c r="R33" s="30">
        <v>-3.3645071895682298E-2</v>
      </c>
      <c r="S33" s="29">
        <v>85076.939218541098</v>
      </c>
      <c r="T33" s="30">
        <v>-9.3710771959543105E-4</v>
      </c>
      <c r="U33" s="29"/>
      <c r="V33" s="30"/>
      <c r="W33" s="29"/>
      <c r="X33" s="30"/>
      <c r="Y33" s="29"/>
      <c r="Z33" s="30"/>
      <c r="AA33" s="29">
        <v>258321.48445076501</v>
      </c>
      <c r="AB33" s="30">
        <v>-8.1537965053746198E-4</v>
      </c>
      <c r="AC33" s="29">
        <v>179609.63192266901</v>
      </c>
      <c r="AD33" s="30">
        <v>1.5833813628078199E-2</v>
      </c>
      <c r="AE33" s="29">
        <v>130653.28487052199</v>
      </c>
      <c r="AF33" s="30">
        <v>2.0449959992526499E-2</v>
      </c>
      <c r="AG33" s="29">
        <v>117556.99335356599</v>
      </c>
      <c r="AH33" s="30">
        <v>5.46094598683287E-2</v>
      </c>
      <c r="AI33" s="29">
        <v>78206.148145814601</v>
      </c>
      <c r="AJ33" s="30">
        <v>-3.3806297368273203E-2</v>
      </c>
      <c r="AK33" s="29">
        <v>252029.538744347</v>
      </c>
      <c r="AL33" s="30">
        <v>1.6441640987692401E-2</v>
      </c>
      <c r="AM33" s="29">
        <v>186570.46713830199</v>
      </c>
      <c r="AN33" s="30">
        <v>2.1793230960532001E-2</v>
      </c>
      <c r="AO33" s="29">
        <v>128520.943899876</v>
      </c>
      <c r="AP33" s="30">
        <v>2.34064936877518E-2</v>
      </c>
      <c r="AQ33" s="29">
        <v>118630.91962558099</v>
      </c>
      <c r="AR33" s="30">
        <v>2.4411980028165001E-2</v>
      </c>
      <c r="AS33" s="29">
        <v>66375.297273688993</v>
      </c>
      <c r="AT33" s="30">
        <v>3.1343774266474598E-3</v>
      </c>
      <c r="AU33" s="29">
        <v>685321.19780166703</v>
      </c>
      <c r="AV33" s="30">
        <v>1.2716196960312899E-2</v>
      </c>
      <c r="AW33" s="29">
        <v>491055.37902817701</v>
      </c>
      <c r="AX33" s="30">
        <v>1.04881706918138E-2</v>
      </c>
      <c r="AY33" s="29">
        <v>200277.49300285801</v>
      </c>
      <c r="AZ33" s="30">
        <v>1.7559943683448601E-2</v>
      </c>
      <c r="BA33" s="29">
        <v>122812.73728258901</v>
      </c>
      <c r="BB33" s="30">
        <v>5.0299130974770699E-2</v>
      </c>
      <c r="BC33" s="29">
        <v>185984.42599387001</v>
      </c>
      <c r="BD33" s="30">
        <v>1.7372854725584901E-2</v>
      </c>
      <c r="BE33" s="29"/>
      <c r="BF33" s="30"/>
    </row>
    <row r="34" spans="1:58" x14ac:dyDescent="0.2">
      <c r="A34" s="28">
        <v>2002</v>
      </c>
      <c r="B34" s="28"/>
      <c r="C34" s="29">
        <v>522797.01421946299</v>
      </c>
      <c r="D34" s="30">
        <v>3.8041021123886901E-3</v>
      </c>
      <c r="E34" s="29">
        <v>523249.61209127802</v>
      </c>
      <c r="F34" s="30">
        <v>3.33601423219321E-3</v>
      </c>
      <c r="G34" s="29">
        <v>357836.66137993598</v>
      </c>
      <c r="H34" s="30">
        <v>4.5402038706541196E-3</v>
      </c>
      <c r="I34" s="29">
        <v>286737.39438266499</v>
      </c>
      <c r="J34" s="30">
        <v>1.2516310626675699E-3</v>
      </c>
      <c r="K34" s="29">
        <v>71681.213121321794</v>
      </c>
      <c r="L34" s="30">
        <v>2.0547104534256899E-2</v>
      </c>
      <c r="M34" s="29">
        <v>165304.34299346001</v>
      </c>
      <c r="N34" s="30">
        <v>4.7113582864932702E-4</v>
      </c>
      <c r="O34" s="29">
        <v>136583.30288430801</v>
      </c>
      <c r="P34" s="30">
        <v>1.15764502058524E-2</v>
      </c>
      <c r="Q34" s="29">
        <v>51401.302437362698</v>
      </c>
      <c r="R34" s="30">
        <v>2.1215264475628898E-2</v>
      </c>
      <c r="S34" s="29">
        <v>85653.947651140697</v>
      </c>
      <c r="T34" s="30">
        <v>6.7821954797575596E-3</v>
      </c>
      <c r="U34" s="29"/>
      <c r="V34" s="30"/>
      <c r="W34" s="29"/>
      <c r="X34" s="30"/>
      <c r="Y34" s="29"/>
      <c r="Z34" s="30"/>
      <c r="AA34" s="29">
        <v>253277.231642887</v>
      </c>
      <c r="AB34" s="30">
        <v>-1.9527035541016799E-2</v>
      </c>
      <c r="AC34" s="29">
        <v>177906.27636758299</v>
      </c>
      <c r="AD34" s="30">
        <v>-9.4836537264322302E-3</v>
      </c>
      <c r="AE34" s="29">
        <v>132924.241960788</v>
      </c>
      <c r="AF34" s="30">
        <v>1.73815537245567E-2</v>
      </c>
      <c r="AG34" s="29">
        <v>118788.723127497</v>
      </c>
      <c r="AH34" s="30">
        <v>1.0477724368360501E-2</v>
      </c>
      <c r="AI34" s="29">
        <v>75045.272439944994</v>
      </c>
      <c r="AJ34" s="30">
        <v>-4.0417227811504697E-2</v>
      </c>
      <c r="AK34" s="29">
        <v>246390.46826159701</v>
      </c>
      <c r="AL34" s="30">
        <v>-2.2374641126767299E-2</v>
      </c>
      <c r="AM34" s="29">
        <v>180741.77656512699</v>
      </c>
      <c r="AN34" s="30">
        <v>-3.1241228381848101E-2</v>
      </c>
      <c r="AO34" s="29">
        <v>125579.295162722</v>
      </c>
      <c r="AP34" s="30">
        <v>-2.2888477534417102E-2</v>
      </c>
      <c r="AQ34" s="29">
        <v>118764.045608845</v>
      </c>
      <c r="AR34" s="30">
        <v>1.1221862199537499E-3</v>
      </c>
      <c r="AS34" s="29">
        <v>66392.041485166497</v>
      </c>
      <c r="AT34" s="30">
        <v>2.5226570976322199E-4</v>
      </c>
      <c r="AU34" s="29">
        <v>688400.47468535195</v>
      </c>
      <c r="AV34" s="30">
        <v>4.4931878563843099E-3</v>
      </c>
      <c r="AW34" s="29">
        <v>494266.38206959597</v>
      </c>
      <c r="AX34" s="30">
        <v>6.5389835414786397E-3</v>
      </c>
      <c r="AY34" s="29">
        <v>200282.73252009699</v>
      </c>
      <c r="AZ34" s="30">
        <v>2.6161288321224801E-5</v>
      </c>
      <c r="BA34" s="29">
        <v>125731.504216488</v>
      </c>
      <c r="BB34" s="30">
        <v>2.3765995274432499E-2</v>
      </c>
      <c r="BC34" s="29">
        <v>186140.445518739</v>
      </c>
      <c r="BD34" s="30">
        <v>8.38884890688396E-4</v>
      </c>
      <c r="BE34" s="29"/>
      <c r="BF34" s="30"/>
    </row>
    <row r="35" spans="1:58" x14ac:dyDescent="0.2">
      <c r="A35" s="28">
        <v>2003</v>
      </c>
      <c r="B35" s="28"/>
      <c r="C35" s="29">
        <v>521311.10771313799</v>
      </c>
      <c r="D35" s="30">
        <v>-2.8422245458757898E-3</v>
      </c>
      <c r="E35" s="29">
        <v>526283.95096615097</v>
      </c>
      <c r="F35" s="30">
        <v>5.7990274713180003E-3</v>
      </c>
      <c r="G35" s="29">
        <v>360245.563614538</v>
      </c>
      <c r="H35" s="30">
        <v>6.7318486186207496E-3</v>
      </c>
      <c r="I35" s="29">
        <v>287987.07151545997</v>
      </c>
      <c r="J35" s="30">
        <v>4.3582635445393904E-3</v>
      </c>
      <c r="K35" s="29">
        <v>72962.903125438606</v>
      </c>
      <c r="L35" s="30">
        <v>1.7880417313075998E-2</v>
      </c>
      <c r="M35" s="29">
        <v>165877.86104465</v>
      </c>
      <c r="N35" s="30">
        <v>3.4694675336677202E-3</v>
      </c>
      <c r="O35" s="29">
        <v>135646.936177583</v>
      </c>
      <c r="P35" s="30">
        <v>-6.8556455068177202E-3</v>
      </c>
      <c r="Q35" s="29">
        <v>52335.468099268801</v>
      </c>
      <c r="R35" s="30">
        <v>1.8173968705256699E-2</v>
      </c>
      <c r="S35" s="29">
        <v>83994.279398127299</v>
      </c>
      <c r="T35" s="30">
        <v>-1.9376436212526001E-2</v>
      </c>
      <c r="U35" s="29"/>
      <c r="V35" s="30"/>
      <c r="W35" s="29"/>
      <c r="X35" s="30"/>
      <c r="Y35" s="29"/>
      <c r="Z35" s="30"/>
      <c r="AA35" s="29">
        <v>249585.757487909</v>
      </c>
      <c r="AB35" s="30">
        <v>-1.45748361628611E-2</v>
      </c>
      <c r="AC35" s="29">
        <v>177474.05741846701</v>
      </c>
      <c r="AD35" s="30">
        <v>-2.42947555274975E-3</v>
      </c>
      <c r="AE35" s="29">
        <v>133093.72828083101</v>
      </c>
      <c r="AF35" s="30">
        <v>1.27505951918838E-3</v>
      </c>
      <c r="AG35" s="29">
        <v>119087.81130339</v>
      </c>
      <c r="AH35" s="30">
        <v>2.51781623724745E-3</v>
      </c>
      <c r="AI35" s="29">
        <v>72004.020496465804</v>
      </c>
      <c r="AJ35" s="30">
        <v>-4.0525563364606103E-2</v>
      </c>
      <c r="AK35" s="29">
        <v>247191.78696212501</v>
      </c>
      <c r="AL35" s="30">
        <v>3.25223092508908E-3</v>
      </c>
      <c r="AM35" s="29">
        <v>183134.12429978</v>
      </c>
      <c r="AN35" s="30">
        <v>1.3236274314211101E-2</v>
      </c>
      <c r="AO35" s="29">
        <v>128147.927495832</v>
      </c>
      <c r="AP35" s="30">
        <v>2.04542662051246E-2</v>
      </c>
      <c r="AQ35" s="29">
        <v>121887.93573245801</v>
      </c>
      <c r="AR35" s="30">
        <v>2.6303332019367999E-2</v>
      </c>
      <c r="AS35" s="29">
        <v>65027.030314959396</v>
      </c>
      <c r="AT35" s="30">
        <v>-2.0559861388085601E-2</v>
      </c>
      <c r="AU35" s="29">
        <v>687768.86283754103</v>
      </c>
      <c r="AV35" s="30">
        <v>-9.1750640947763095E-4</v>
      </c>
      <c r="AW35" s="29">
        <v>495680.89216140797</v>
      </c>
      <c r="AX35" s="30">
        <v>2.8618375498028498E-3</v>
      </c>
      <c r="AY35" s="29">
        <v>198419.05194937199</v>
      </c>
      <c r="AZ35" s="30">
        <v>-9.3052483720137396E-3</v>
      </c>
      <c r="BA35" s="29">
        <v>126726.333259607</v>
      </c>
      <c r="BB35" s="30">
        <v>7.9123291279972197E-3</v>
      </c>
      <c r="BC35" s="29">
        <v>188148.78274285101</v>
      </c>
      <c r="BD35" s="30">
        <v>1.07893650867472E-2</v>
      </c>
      <c r="BE35" s="29"/>
      <c r="BF35" s="30"/>
    </row>
    <row r="36" spans="1:58" x14ac:dyDescent="0.2">
      <c r="A36" s="28">
        <v>2004</v>
      </c>
      <c r="B36" s="28"/>
      <c r="C36" s="29">
        <v>534797.05567569402</v>
      </c>
      <c r="D36" s="30">
        <v>2.5869289495317201E-2</v>
      </c>
      <c r="E36" s="29">
        <v>526798.990678787</v>
      </c>
      <c r="F36" s="30">
        <v>9.7863465471448308E-4</v>
      </c>
      <c r="G36" s="29">
        <v>366794.68834468198</v>
      </c>
      <c r="H36" s="30">
        <v>1.81796124411155E-2</v>
      </c>
      <c r="I36" s="29">
        <v>293595.17470513401</v>
      </c>
      <c r="J36" s="30">
        <v>1.9473454694208098E-2</v>
      </c>
      <c r="K36" s="29">
        <v>73850.7259514006</v>
      </c>
      <c r="L36" s="30">
        <v>1.21681400812086E-2</v>
      </c>
      <c r="M36" s="29">
        <v>158715.97679535099</v>
      </c>
      <c r="N36" s="30">
        <v>-4.3175648662184499E-2</v>
      </c>
      <c r="O36" s="29">
        <v>143242.96348777699</v>
      </c>
      <c r="P36" s="30">
        <v>5.5998517358694801E-2</v>
      </c>
      <c r="Q36" s="29">
        <v>54409.205746723797</v>
      </c>
      <c r="R36" s="30">
        <v>3.9623943814193902E-2</v>
      </c>
      <c r="S36" s="29">
        <v>89400.865572805502</v>
      </c>
      <c r="T36" s="30">
        <v>6.4368504776989105E-2</v>
      </c>
      <c r="U36" s="29"/>
      <c r="V36" s="30"/>
      <c r="W36" s="29"/>
      <c r="X36" s="30"/>
      <c r="Y36" s="29"/>
      <c r="Z36" s="30"/>
      <c r="AA36" s="29">
        <v>273932.70799432299</v>
      </c>
      <c r="AB36" s="30">
        <v>9.7549438523526502E-2</v>
      </c>
      <c r="AC36" s="29">
        <v>196681.81603801899</v>
      </c>
      <c r="AD36" s="30">
        <v>0.10822854280196099</v>
      </c>
      <c r="AE36" s="29">
        <v>145656.01813929999</v>
      </c>
      <c r="AF36" s="30">
        <v>9.4386790577853499E-2</v>
      </c>
      <c r="AG36" s="29">
        <v>127494.29432976901</v>
      </c>
      <c r="AH36" s="30">
        <v>7.0590624971373903E-2</v>
      </c>
      <c r="AI36" s="29">
        <v>77370.339699130694</v>
      </c>
      <c r="AJ36" s="30">
        <v>7.45280494847953E-2</v>
      </c>
      <c r="AK36" s="29">
        <v>259423.73788072099</v>
      </c>
      <c r="AL36" s="30">
        <v>4.9483646155567697E-2</v>
      </c>
      <c r="AM36" s="29">
        <v>187806.73268707801</v>
      </c>
      <c r="AN36" s="30">
        <v>2.5514678955455401E-2</v>
      </c>
      <c r="AO36" s="29">
        <v>135848.66182276301</v>
      </c>
      <c r="AP36" s="30">
        <v>6.0092538969711597E-2</v>
      </c>
      <c r="AQ36" s="29">
        <v>129126.738657649</v>
      </c>
      <c r="AR36" s="30">
        <v>5.9389002543129003E-2</v>
      </c>
      <c r="AS36" s="29">
        <v>71935.258616761101</v>
      </c>
      <c r="AT36" s="30">
        <v>0.106236256958706</v>
      </c>
      <c r="AU36" s="29">
        <v>719998.82797688199</v>
      </c>
      <c r="AV36" s="30">
        <v>4.6861622967881503E-2</v>
      </c>
      <c r="AW36" s="29">
        <v>509921.91021613398</v>
      </c>
      <c r="AX36" s="30">
        <v>2.8730213893515901E-2</v>
      </c>
      <c r="AY36" s="29">
        <v>215763.05519949799</v>
      </c>
      <c r="AZ36" s="30">
        <v>8.7410977321631597E-2</v>
      </c>
      <c r="BA36" s="29">
        <v>138686.37499579799</v>
      </c>
      <c r="BB36" s="30">
        <v>9.4376925683556004E-2</v>
      </c>
      <c r="BC36" s="29">
        <v>202233.40078216899</v>
      </c>
      <c r="BD36" s="30">
        <v>7.4858937878795606E-2</v>
      </c>
      <c r="BE36" s="29"/>
      <c r="BF36" s="30"/>
    </row>
    <row r="37" spans="1:58" x14ac:dyDescent="0.2">
      <c r="A37" s="28">
        <v>2005</v>
      </c>
      <c r="B37" s="28"/>
      <c r="C37" s="29">
        <v>550584.71877029398</v>
      </c>
      <c r="D37" s="30">
        <v>2.9520848940825201E-2</v>
      </c>
      <c r="E37" s="29">
        <v>550441.05541203404</v>
      </c>
      <c r="F37" s="30">
        <v>4.48787206345709E-2</v>
      </c>
      <c r="G37" s="29">
        <v>372972.89074118598</v>
      </c>
      <c r="H37" s="30">
        <v>1.6843761899568301E-2</v>
      </c>
      <c r="I37" s="29">
        <v>299057.35237439402</v>
      </c>
      <c r="J37" s="30">
        <v>1.8604453137712099E-2</v>
      </c>
      <c r="K37" s="29">
        <v>74480.595649174895</v>
      </c>
      <c r="L37" s="30">
        <v>8.5289574294615794E-3</v>
      </c>
      <c r="M37" s="29">
        <v>177965.30890041299</v>
      </c>
      <c r="N37" s="30">
        <v>0.121281628313209</v>
      </c>
      <c r="O37" s="29">
        <v>147998.02092255701</v>
      </c>
      <c r="P37" s="30">
        <v>3.31957488102788E-2</v>
      </c>
      <c r="Q37" s="29">
        <v>56320.865922919002</v>
      </c>
      <c r="R37" s="30">
        <v>3.5134866424884899E-2</v>
      </c>
      <c r="S37" s="29">
        <v>92280.854173760599</v>
      </c>
      <c r="T37" s="30">
        <v>3.2214325694752202E-2</v>
      </c>
      <c r="U37" s="29"/>
      <c r="V37" s="30"/>
      <c r="W37" s="29"/>
      <c r="X37" s="30"/>
      <c r="Y37" s="29"/>
      <c r="Z37" s="30"/>
      <c r="AA37" s="29">
        <v>291048.27234800701</v>
      </c>
      <c r="AB37" s="30">
        <v>6.2480908099657298E-2</v>
      </c>
      <c r="AC37" s="29">
        <v>204859.90054041499</v>
      </c>
      <c r="AD37" s="30">
        <v>4.1580277562696798E-2</v>
      </c>
      <c r="AE37" s="29">
        <v>153405.294621048</v>
      </c>
      <c r="AF37" s="30">
        <v>5.32025835989616E-2</v>
      </c>
      <c r="AG37" s="29">
        <v>134731.71124292599</v>
      </c>
      <c r="AH37" s="30">
        <v>5.6766594546080698E-2</v>
      </c>
      <c r="AI37" s="29">
        <v>85920.917333249294</v>
      </c>
      <c r="AJ37" s="30">
        <v>0.110514929459651</v>
      </c>
      <c r="AK37" s="29">
        <v>285337.94241655199</v>
      </c>
      <c r="AL37" s="30">
        <v>9.9891416057484902E-2</v>
      </c>
      <c r="AM37" s="29">
        <v>209004.133580019</v>
      </c>
      <c r="AN37" s="30">
        <v>0.112868162869649</v>
      </c>
      <c r="AO37" s="29">
        <v>143996.04273459001</v>
      </c>
      <c r="AP37" s="30">
        <v>5.9973950442416803E-2</v>
      </c>
      <c r="AQ37" s="29">
        <v>136146.70577876299</v>
      </c>
      <c r="AR37" s="30">
        <v>5.4364937843938997E-2</v>
      </c>
      <c r="AS37" s="29">
        <v>77117.8311830608</v>
      </c>
      <c r="AT37" s="30">
        <v>7.2044956339284899E-2</v>
      </c>
      <c r="AU37" s="29">
        <v>747985.44760338904</v>
      </c>
      <c r="AV37" s="30">
        <v>3.8870368310384797E-2</v>
      </c>
      <c r="AW37" s="29">
        <v>520896.84346931701</v>
      </c>
      <c r="AX37" s="30">
        <v>2.1522772474183299E-2</v>
      </c>
      <c r="AY37" s="29">
        <v>232048.735930561</v>
      </c>
      <c r="AZ37" s="30">
        <v>7.5479468512370307E-2</v>
      </c>
      <c r="BA37" s="29">
        <v>146649.96260285701</v>
      </c>
      <c r="BB37" s="30">
        <v>5.7421557145038299E-2</v>
      </c>
      <c r="BC37" s="29">
        <v>214463.880648716</v>
      </c>
      <c r="BD37" s="30">
        <v>6.0477051858116603E-2</v>
      </c>
      <c r="BE37" s="29"/>
      <c r="BF37" s="30"/>
    </row>
    <row r="38" spans="1:58" x14ac:dyDescent="0.2">
      <c r="A38" s="28">
        <v>2006</v>
      </c>
      <c r="B38" s="28"/>
      <c r="C38" s="29">
        <v>573347.66719402105</v>
      </c>
      <c r="D38" s="30">
        <v>4.13432259336355E-2</v>
      </c>
      <c r="E38" s="29">
        <v>562355.58463625598</v>
      </c>
      <c r="F38" s="30">
        <v>2.1645422533577801E-2</v>
      </c>
      <c r="G38" s="29">
        <v>377907.693660727</v>
      </c>
      <c r="H38" s="30">
        <v>1.3230996252124899E-2</v>
      </c>
      <c r="I38" s="29">
        <v>303967.33476268599</v>
      </c>
      <c r="J38" s="30">
        <v>1.6418196540927799E-2</v>
      </c>
      <c r="K38" s="29">
        <v>74334.135230620799</v>
      </c>
      <c r="L38" s="30">
        <v>-1.96642383532974E-3</v>
      </c>
      <c r="M38" s="29">
        <v>185496.95554420099</v>
      </c>
      <c r="N38" s="30">
        <v>4.2320869670184197E-2</v>
      </c>
      <c r="O38" s="29">
        <v>154915.479259541</v>
      </c>
      <c r="P38" s="30">
        <v>4.6740208374837597E-2</v>
      </c>
      <c r="Q38" s="29">
        <v>55524.844254617601</v>
      </c>
      <c r="R38" s="30">
        <v>-1.41336901565193E-2</v>
      </c>
      <c r="S38" s="29">
        <v>99534.141310955005</v>
      </c>
      <c r="T38" s="30">
        <v>7.8600130028454701E-2</v>
      </c>
      <c r="U38" s="29"/>
      <c r="V38" s="30"/>
      <c r="W38" s="29"/>
      <c r="X38" s="30"/>
      <c r="Y38" s="29"/>
      <c r="Z38" s="30"/>
      <c r="AA38" s="29">
        <v>310773.27989030897</v>
      </c>
      <c r="AB38" s="30">
        <v>6.7772288710640199E-2</v>
      </c>
      <c r="AC38" s="29">
        <v>220245.635152865</v>
      </c>
      <c r="AD38" s="30">
        <v>7.5103690726504593E-2</v>
      </c>
      <c r="AE38" s="29">
        <v>173245.88322261901</v>
      </c>
      <c r="AF38" s="30">
        <v>0.12933444475031</v>
      </c>
      <c r="AG38" s="29">
        <v>150144.23509438799</v>
      </c>
      <c r="AH38" s="30">
        <v>0.114394181661312</v>
      </c>
      <c r="AI38" s="29">
        <v>90348.223677989197</v>
      </c>
      <c r="AJ38" s="30">
        <v>5.1527689439909499E-2</v>
      </c>
      <c r="AK38" s="29">
        <v>294421.21819875401</v>
      </c>
      <c r="AL38" s="30">
        <v>3.1833396236318597E-2</v>
      </c>
      <c r="AM38" s="29">
        <v>216640.34996927399</v>
      </c>
      <c r="AN38" s="30">
        <v>3.6536197913667801E-2</v>
      </c>
      <c r="AO38" s="29">
        <v>155587.150584313</v>
      </c>
      <c r="AP38" s="30">
        <v>8.0496016623783598E-2</v>
      </c>
      <c r="AQ38" s="29">
        <v>145765.28939586901</v>
      </c>
      <c r="AR38" s="30">
        <v>7.0648669478175399E-2</v>
      </c>
      <c r="AS38" s="29">
        <v>78737.900922621106</v>
      </c>
      <c r="AT38" s="30">
        <v>2.10077191579028E-2</v>
      </c>
      <c r="AU38" s="29">
        <v>784827.34006786905</v>
      </c>
      <c r="AV38" s="30">
        <v>4.92548251874751E-2</v>
      </c>
      <c r="AW38" s="29">
        <v>532812.38993567799</v>
      </c>
      <c r="AX38" s="30">
        <v>2.2875059842942799E-2</v>
      </c>
      <c r="AY38" s="29">
        <v>255605.76748222701</v>
      </c>
      <c r="AZ38" s="30">
        <v>0.101517603434456</v>
      </c>
      <c r="BA38" s="29">
        <v>165434.71357192699</v>
      </c>
      <c r="BB38" s="30">
        <v>0.12809243613610999</v>
      </c>
      <c r="BC38" s="29">
        <v>225950.14579200299</v>
      </c>
      <c r="BD38" s="30">
        <v>5.3558040209586801E-2</v>
      </c>
      <c r="BE38" s="29"/>
      <c r="BF38" s="30"/>
    </row>
    <row r="39" spans="1:58" x14ac:dyDescent="0.2">
      <c r="A39" s="28">
        <v>2007</v>
      </c>
      <c r="B39" s="28"/>
      <c r="C39" s="29">
        <v>596185.21556237596</v>
      </c>
      <c r="D39" s="30">
        <v>3.9831937365547597E-2</v>
      </c>
      <c r="E39" s="29">
        <v>565146.24900610698</v>
      </c>
      <c r="F39" s="30">
        <v>4.9624551548743696E-3</v>
      </c>
      <c r="G39" s="29">
        <v>384706.72903097799</v>
      </c>
      <c r="H39" s="30">
        <v>1.7991259464420001E-2</v>
      </c>
      <c r="I39" s="29">
        <v>310040.64747234603</v>
      </c>
      <c r="J39" s="30">
        <v>1.9980149230183399E-2</v>
      </c>
      <c r="K39" s="29">
        <v>74953.265394907503</v>
      </c>
      <c r="L39" s="30">
        <v>8.3290154969293297E-3</v>
      </c>
      <c r="M39" s="29">
        <v>180830.75174906</v>
      </c>
      <c r="N39" s="30">
        <v>-2.5155150290482001E-2</v>
      </c>
      <c r="O39" s="29">
        <v>163042.164773839</v>
      </c>
      <c r="P39" s="30">
        <v>5.24588346699855E-2</v>
      </c>
      <c r="Q39" s="29">
        <v>54270.626027630598</v>
      </c>
      <c r="R39" s="30">
        <v>-2.2588415038781302E-2</v>
      </c>
      <c r="S39" s="29">
        <v>108446.19409340199</v>
      </c>
      <c r="T39" s="30">
        <v>8.9537646731732798E-2</v>
      </c>
      <c r="U39" s="29"/>
      <c r="V39" s="30"/>
      <c r="W39" s="29"/>
      <c r="X39" s="30"/>
      <c r="Y39" s="29"/>
      <c r="Z39" s="30"/>
      <c r="AA39" s="29">
        <v>346122.83906904398</v>
      </c>
      <c r="AB39" s="30">
        <v>0.113747099464961</v>
      </c>
      <c r="AC39" s="29">
        <v>244087.826653636</v>
      </c>
      <c r="AD39" s="30">
        <v>0.108252731021082</v>
      </c>
      <c r="AE39" s="29">
        <v>188382.10143318001</v>
      </c>
      <c r="AF39" s="30">
        <v>8.7368414931461705E-2</v>
      </c>
      <c r="AG39" s="29">
        <v>162604.34454250499</v>
      </c>
      <c r="AH39" s="30">
        <v>8.2987598160416495E-2</v>
      </c>
      <c r="AI39" s="29">
        <v>101780.904382792</v>
      </c>
      <c r="AJ39" s="30">
        <v>0.126540182411889</v>
      </c>
      <c r="AK39" s="29">
        <v>311468.71366359299</v>
      </c>
      <c r="AL39" s="30">
        <v>5.7901721788715201E-2</v>
      </c>
      <c r="AM39" s="29">
        <v>229141.41189208499</v>
      </c>
      <c r="AN39" s="30">
        <v>5.7704217725758303E-2</v>
      </c>
      <c r="AO39" s="29">
        <v>163033.527654854</v>
      </c>
      <c r="AP39" s="30">
        <v>4.7859846025693403E-2</v>
      </c>
      <c r="AQ39" s="29">
        <v>155476.60860667101</v>
      </c>
      <c r="AR39" s="30">
        <v>6.6622988580136405E-2</v>
      </c>
      <c r="AS39" s="29">
        <v>83335.036041476604</v>
      </c>
      <c r="AT39" s="30">
        <v>5.8385289231589699E-2</v>
      </c>
      <c r="AU39" s="29">
        <v>827233.78050297895</v>
      </c>
      <c r="AV39" s="30">
        <v>5.40328276935957E-2</v>
      </c>
      <c r="AW39" s="29">
        <v>547786.16068693099</v>
      </c>
      <c r="AX39" s="30">
        <v>2.81032705584425E-2</v>
      </c>
      <c r="AY39" s="29">
        <v>281439.94380831398</v>
      </c>
      <c r="AZ39" s="30">
        <v>0.101070396730714</v>
      </c>
      <c r="BA39" s="29">
        <v>180062.235246336</v>
      </c>
      <c r="BB39" s="30">
        <v>8.8418696164694499E-2</v>
      </c>
      <c r="BC39" s="29">
        <v>240387.413564452</v>
      </c>
      <c r="BD39" s="30">
        <v>6.3895810829609295E-2</v>
      </c>
      <c r="BE39" s="29"/>
      <c r="BF39" s="30"/>
    </row>
    <row r="40" spans="1:58" x14ac:dyDescent="0.2">
      <c r="A40" s="28">
        <v>2008</v>
      </c>
      <c r="B40" s="28"/>
      <c r="C40" s="29">
        <v>611278.21835853998</v>
      </c>
      <c r="D40" s="30">
        <v>2.5315962895736E-2</v>
      </c>
      <c r="E40" s="29">
        <v>578435.99451790098</v>
      </c>
      <c r="F40" s="30">
        <v>2.3515586514403899E-2</v>
      </c>
      <c r="G40" s="29">
        <v>389999.42389735399</v>
      </c>
      <c r="H40" s="30">
        <v>1.37577392516846E-2</v>
      </c>
      <c r="I40" s="29">
        <v>314831.53809605498</v>
      </c>
      <c r="J40" s="30">
        <v>1.54524597428378E-2</v>
      </c>
      <c r="K40" s="29">
        <v>75360.834228847001</v>
      </c>
      <c r="L40" s="30">
        <v>5.4376394649666704E-3</v>
      </c>
      <c r="M40" s="29">
        <v>189193.16508104501</v>
      </c>
      <c r="N40" s="30">
        <v>4.6244420548498602E-2</v>
      </c>
      <c r="O40" s="29">
        <v>164000.22921386399</v>
      </c>
      <c r="P40" s="30">
        <v>5.8761759042764697E-3</v>
      </c>
      <c r="Q40" s="29">
        <v>54293.895949182603</v>
      </c>
      <c r="R40" s="30">
        <v>4.2877562422338799E-4</v>
      </c>
      <c r="S40" s="29">
        <v>109353.300490525</v>
      </c>
      <c r="T40" s="30">
        <v>8.36457567466109E-3</v>
      </c>
      <c r="U40" s="29"/>
      <c r="V40" s="30"/>
      <c r="W40" s="29"/>
      <c r="X40" s="30"/>
      <c r="Y40" s="29"/>
      <c r="Z40" s="30"/>
      <c r="AA40" s="29">
        <v>361034.05621260201</v>
      </c>
      <c r="AB40" s="30">
        <v>4.3080708524361397E-2</v>
      </c>
      <c r="AC40" s="29">
        <v>258395.389043275</v>
      </c>
      <c r="AD40" s="30">
        <v>5.8616452060682001E-2</v>
      </c>
      <c r="AE40" s="29">
        <v>196535.71150954999</v>
      </c>
      <c r="AF40" s="30">
        <v>4.3282297067175998E-2</v>
      </c>
      <c r="AG40" s="29">
        <v>165820.65429589499</v>
      </c>
      <c r="AH40" s="30">
        <v>1.9779974283219599E-2</v>
      </c>
      <c r="AI40" s="29">
        <v>102538.856860186</v>
      </c>
      <c r="AJ40" s="30">
        <v>7.44690255986957E-3</v>
      </c>
      <c r="AK40" s="29">
        <v>324917.37544629897</v>
      </c>
      <c r="AL40" s="30">
        <v>4.31782108209793E-2</v>
      </c>
      <c r="AM40" s="29">
        <v>243399.98850533701</v>
      </c>
      <c r="AN40" s="30">
        <v>6.2226100884668498E-2</v>
      </c>
      <c r="AO40" s="29">
        <v>162978.780600356</v>
      </c>
      <c r="AP40" s="30">
        <v>-3.3580242840702801E-4</v>
      </c>
      <c r="AQ40" s="29">
        <v>154653.89974686599</v>
      </c>
      <c r="AR40" s="30">
        <v>-5.2915282059318204E-3</v>
      </c>
      <c r="AS40" s="29">
        <v>83029.650251620493</v>
      </c>
      <c r="AT40" s="30">
        <v>-3.66455460226944E-3</v>
      </c>
      <c r="AU40" s="29">
        <v>842081.342381355</v>
      </c>
      <c r="AV40" s="30">
        <v>1.7948447256769699E-2</v>
      </c>
      <c r="AW40" s="29">
        <v>554024.46053037106</v>
      </c>
      <c r="AX40" s="30">
        <v>1.13882027169456E-2</v>
      </c>
      <c r="AY40" s="29">
        <v>289568.578236025</v>
      </c>
      <c r="AZ40" s="30">
        <v>2.8882305467085499E-2</v>
      </c>
      <c r="BA40" s="29">
        <v>187262.39008908099</v>
      </c>
      <c r="BB40" s="30">
        <v>3.9987034665512899E-2</v>
      </c>
      <c r="BC40" s="29">
        <v>239244.38561245499</v>
      </c>
      <c r="BD40" s="30">
        <v>-4.7549409307574599E-3</v>
      </c>
      <c r="BE40" s="29"/>
      <c r="BF40" s="30"/>
    </row>
    <row r="41" spans="1:58" x14ac:dyDescent="0.2">
      <c r="A41" s="28">
        <v>2009</v>
      </c>
      <c r="B41" s="28"/>
      <c r="C41" s="29">
        <v>599450.538071346</v>
      </c>
      <c r="D41" s="30">
        <v>-1.9349094948866899E-2</v>
      </c>
      <c r="E41" s="29">
        <v>590364.54861572303</v>
      </c>
      <c r="F41" s="30">
        <v>2.0622081286217502E-2</v>
      </c>
      <c r="G41" s="29">
        <v>396173.492511636</v>
      </c>
      <c r="H41" s="30">
        <v>1.5830968550114601E-2</v>
      </c>
      <c r="I41" s="29">
        <v>319325.09048228001</v>
      </c>
      <c r="J41" s="30">
        <v>1.4272878801786701E-2</v>
      </c>
      <c r="K41" s="29">
        <v>77118.174993310196</v>
      </c>
      <c r="L41" s="30">
        <v>2.3319019520494901E-2</v>
      </c>
      <c r="M41" s="29">
        <v>195166.037454098</v>
      </c>
      <c r="N41" s="30">
        <v>3.15702333670147E-2</v>
      </c>
      <c r="O41" s="29">
        <v>153013.451020935</v>
      </c>
      <c r="P41" s="30">
        <v>-6.6992456325179903E-2</v>
      </c>
      <c r="Q41" s="29">
        <v>55910.6600832724</v>
      </c>
      <c r="R41" s="30">
        <v>2.97780092186248E-2</v>
      </c>
      <c r="S41" s="29">
        <v>97113.370694899</v>
      </c>
      <c r="T41" s="30">
        <v>-0.11193013599700601</v>
      </c>
      <c r="U41" s="29"/>
      <c r="V41" s="30"/>
      <c r="W41" s="29"/>
      <c r="X41" s="30"/>
      <c r="Y41" s="29"/>
      <c r="Z41" s="30"/>
      <c r="AA41" s="29">
        <v>331142.34297746897</v>
      </c>
      <c r="AB41" s="30">
        <v>-8.27947190043756E-2</v>
      </c>
      <c r="AC41" s="29">
        <v>231523.40923391099</v>
      </c>
      <c r="AD41" s="30">
        <v>-0.103995585636644</v>
      </c>
      <c r="AE41" s="29">
        <v>182506.75719718801</v>
      </c>
      <c r="AF41" s="30">
        <v>-7.1381196855313703E-2</v>
      </c>
      <c r="AG41" s="29">
        <v>147389.9165544</v>
      </c>
      <c r="AH41" s="30">
        <v>-0.111148625120047</v>
      </c>
      <c r="AI41" s="29">
        <v>99647.522703569004</v>
      </c>
      <c r="AJ41" s="30">
        <v>-2.8197448705319001E-2</v>
      </c>
      <c r="AK41" s="29">
        <v>316484.59388413001</v>
      </c>
      <c r="AL41" s="30">
        <v>-2.5953618364008099E-2</v>
      </c>
      <c r="AM41" s="29">
        <v>229716.495771949</v>
      </c>
      <c r="AN41" s="30">
        <v>-5.6218132208697598E-2</v>
      </c>
      <c r="AO41" s="29">
        <v>150884.26803738499</v>
      </c>
      <c r="AP41" s="30">
        <v>-7.4209124147447694E-2</v>
      </c>
      <c r="AQ41" s="29">
        <v>143140.891296032</v>
      </c>
      <c r="AR41" s="30">
        <v>-7.4443699574843106E-2</v>
      </c>
      <c r="AS41" s="29">
        <v>87695.012795129296</v>
      </c>
      <c r="AT41" s="30">
        <v>5.61891147243243E-2</v>
      </c>
      <c r="AU41" s="29">
        <v>820504.525879603</v>
      </c>
      <c r="AV41" s="30">
        <v>-2.56231974463829E-2</v>
      </c>
      <c r="AW41" s="29">
        <v>549089.34422687604</v>
      </c>
      <c r="AX41" s="30">
        <v>-8.9077588718208308E-3</v>
      </c>
      <c r="AY41" s="29">
        <v>274160.15867800999</v>
      </c>
      <c r="AZ41" s="30">
        <v>-5.3211642132854599E-2</v>
      </c>
      <c r="BA41" s="29">
        <v>175075.11455624999</v>
      </c>
      <c r="BB41" s="30">
        <v>-6.5081277276416202E-2</v>
      </c>
      <c r="BC41" s="29">
        <v>231623.363818793</v>
      </c>
      <c r="BD41" s="30">
        <v>-3.1854548118873303E-2</v>
      </c>
      <c r="BE41" s="29"/>
      <c r="BF41" s="30"/>
    </row>
    <row r="42" spans="1:58" x14ac:dyDescent="0.2">
      <c r="A42" s="28">
        <v>2010</v>
      </c>
      <c r="B42" s="28"/>
      <c r="C42" s="29">
        <v>618996.40692477801</v>
      </c>
      <c r="D42" s="30">
        <v>3.2606307963819497E-2</v>
      </c>
      <c r="E42" s="29">
        <v>591235.44469425105</v>
      </c>
      <c r="F42" s="30">
        <v>1.47518356339349E-3</v>
      </c>
      <c r="G42" s="29">
        <v>402667.92990939802</v>
      </c>
      <c r="H42" s="30">
        <v>1.6392912500503998E-2</v>
      </c>
      <c r="I42" s="29">
        <v>325841.74097527401</v>
      </c>
      <c r="J42" s="30">
        <v>2.0407574247145201E-2</v>
      </c>
      <c r="K42" s="29">
        <v>76962.810164407405</v>
      </c>
      <c r="L42" s="30">
        <v>-2.0146331123155302E-3</v>
      </c>
      <c r="M42" s="29">
        <v>188869.043123432</v>
      </c>
      <c r="N42" s="30">
        <v>-3.2264805971410702E-2</v>
      </c>
      <c r="O42" s="29">
        <v>158913.59428714801</v>
      </c>
      <c r="P42" s="30">
        <v>3.85596379066446E-2</v>
      </c>
      <c r="Q42" s="29">
        <v>57881.625618102298</v>
      </c>
      <c r="R42" s="30">
        <v>3.52520526835918E-2</v>
      </c>
      <c r="S42" s="29">
        <v>101029.44240242</v>
      </c>
      <c r="T42" s="30">
        <v>4.0324742921593201E-2</v>
      </c>
      <c r="U42" s="29"/>
      <c r="V42" s="30"/>
      <c r="W42" s="29"/>
      <c r="X42" s="30"/>
      <c r="Y42" s="29"/>
      <c r="Z42" s="30"/>
      <c r="AA42" s="29">
        <v>372690.97392856702</v>
      </c>
      <c r="AB42" s="30">
        <v>0.12547060752639799</v>
      </c>
      <c r="AC42" s="29">
        <v>271969.70142786799</v>
      </c>
      <c r="AD42" s="30">
        <v>0.17469633989837299</v>
      </c>
      <c r="AE42" s="29">
        <v>203574.481957677</v>
      </c>
      <c r="AF42" s="30">
        <v>0.11543531365102699</v>
      </c>
      <c r="AG42" s="29">
        <v>161303.983663833</v>
      </c>
      <c r="AH42" s="30">
        <v>9.4403114098360802E-2</v>
      </c>
      <c r="AI42" s="29">
        <v>100976.65484294599</v>
      </c>
      <c r="AJ42" s="30">
        <v>1.33383359998913E-2</v>
      </c>
      <c r="AK42" s="29">
        <v>341741.50280455302</v>
      </c>
      <c r="AL42" s="30">
        <v>7.9804544702955199E-2</v>
      </c>
      <c r="AM42" s="29">
        <v>249020.18407331899</v>
      </c>
      <c r="AN42" s="30">
        <v>8.4032660503990705E-2</v>
      </c>
      <c r="AO42" s="29">
        <v>165443.547953156</v>
      </c>
      <c r="AP42" s="30">
        <v>9.6493028101276399E-2</v>
      </c>
      <c r="AQ42" s="29">
        <v>157562.59436638499</v>
      </c>
      <c r="AR42" s="30">
        <v>0.10075180432212601</v>
      </c>
      <c r="AS42" s="29">
        <v>93813.121654573595</v>
      </c>
      <c r="AT42" s="30">
        <v>6.9765755935713894E-2</v>
      </c>
      <c r="AU42" s="29">
        <v>854937.81024280004</v>
      </c>
      <c r="AV42" s="30">
        <v>4.1965989555369898E-2</v>
      </c>
      <c r="AW42" s="29">
        <v>561504.971906677</v>
      </c>
      <c r="AX42" s="30">
        <v>2.2611306903584299E-2</v>
      </c>
      <c r="AY42" s="29">
        <v>295066.41315009998</v>
      </c>
      <c r="AZ42" s="30">
        <v>7.6255625809740699E-2</v>
      </c>
      <c r="BA42" s="29">
        <v>194208.714254044</v>
      </c>
      <c r="BB42" s="30">
        <v>0.109287946184075</v>
      </c>
      <c r="BC42" s="29">
        <v>252297.65756503501</v>
      </c>
      <c r="BD42" s="30">
        <v>8.9258239779370793E-2</v>
      </c>
      <c r="BE42" s="29"/>
      <c r="BF42" s="30"/>
    </row>
    <row r="43" spans="1:58" x14ac:dyDescent="0.2">
      <c r="A43" s="28">
        <v>2011</v>
      </c>
      <c r="B43" s="28"/>
      <c r="C43" s="29">
        <v>627709.77554362605</v>
      </c>
      <c r="D43" s="30">
        <v>1.40766061343334E-2</v>
      </c>
      <c r="E43" s="29">
        <v>616822.49861524801</v>
      </c>
      <c r="F43" s="30">
        <v>4.3277266528277E-2</v>
      </c>
      <c r="G43" s="29">
        <v>408161.43700264901</v>
      </c>
      <c r="H43" s="30">
        <v>1.36427728289328E-2</v>
      </c>
      <c r="I43" s="29">
        <v>330766.850103401</v>
      </c>
      <c r="J43" s="30">
        <v>1.51150344132893E-2</v>
      </c>
      <c r="K43" s="29">
        <v>77489.480542716105</v>
      </c>
      <c r="L43" s="30">
        <v>6.8431801955211001E-3</v>
      </c>
      <c r="M43" s="29">
        <v>210657.516998776</v>
      </c>
      <c r="N43" s="30">
        <v>0.115362864739588</v>
      </c>
      <c r="O43" s="29">
        <v>162395.06351379101</v>
      </c>
      <c r="P43" s="30">
        <v>2.1907938350147E-2</v>
      </c>
      <c r="Q43" s="29">
        <v>59360.289737778701</v>
      </c>
      <c r="R43" s="30">
        <v>2.5546347461497899E-2</v>
      </c>
      <c r="S43" s="29">
        <v>103046.050282098</v>
      </c>
      <c r="T43" s="30">
        <v>1.9960595958209398E-2</v>
      </c>
      <c r="U43" s="29"/>
      <c r="V43" s="30"/>
      <c r="W43" s="29"/>
      <c r="X43" s="30"/>
      <c r="Y43" s="29"/>
      <c r="Z43" s="30"/>
      <c r="AA43" s="29">
        <v>388044.27249727497</v>
      </c>
      <c r="AB43" s="30">
        <v>4.1195788582877098E-2</v>
      </c>
      <c r="AC43" s="29">
        <v>288494.04366494901</v>
      </c>
      <c r="AD43" s="30">
        <v>6.0758026171027699E-2</v>
      </c>
      <c r="AE43" s="29">
        <v>212648.41676707999</v>
      </c>
      <c r="AF43" s="30">
        <v>4.4573046298060699E-2</v>
      </c>
      <c r="AG43" s="29">
        <v>172105.58387959001</v>
      </c>
      <c r="AH43" s="30">
        <v>6.6964249551759294E-2</v>
      </c>
      <c r="AI43" s="29">
        <v>99537.890471186896</v>
      </c>
      <c r="AJ43" s="30">
        <v>-1.42484851968695E-2</v>
      </c>
      <c r="AK43" s="29">
        <v>373894.17666861502</v>
      </c>
      <c r="AL43" s="30">
        <v>9.4084779285502601E-2</v>
      </c>
      <c r="AM43" s="29">
        <v>273459.19756595202</v>
      </c>
      <c r="AN43" s="30">
        <v>9.8140693227647596E-2</v>
      </c>
      <c r="AO43" s="29">
        <v>172415.652249598</v>
      </c>
      <c r="AP43" s="30">
        <v>4.21418930064053E-2</v>
      </c>
      <c r="AQ43" s="29">
        <v>163503.67100082</v>
      </c>
      <c r="AR43" s="30">
        <v>3.77061361443463E-2</v>
      </c>
      <c r="AS43" s="29">
        <v>101644.528052497</v>
      </c>
      <c r="AT43" s="30">
        <v>8.3478795501117101E-2</v>
      </c>
      <c r="AU43" s="29">
        <v>871890.510141092</v>
      </c>
      <c r="AV43" s="30">
        <v>1.9829161484246099E-2</v>
      </c>
      <c r="AW43" s="29">
        <v>570481.17903401796</v>
      </c>
      <c r="AX43" s="30">
        <v>1.59859797801261E-2</v>
      </c>
      <c r="AY43" s="29">
        <v>302835.08099301701</v>
      </c>
      <c r="AZ43" s="30">
        <v>2.63285399377697E-2</v>
      </c>
      <c r="BA43" s="29">
        <v>202984.01210605999</v>
      </c>
      <c r="BB43" s="30">
        <v>4.51848820776257E-2</v>
      </c>
      <c r="BC43" s="29">
        <v>265938.02312638698</v>
      </c>
      <c r="BD43" s="30">
        <v>5.4064574728899903E-2</v>
      </c>
      <c r="BE43" s="29"/>
      <c r="BF43" s="30"/>
    </row>
    <row r="44" spans="1:58" x14ac:dyDescent="0.2">
      <c r="A44" s="28">
        <v>2012</v>
      </c>
      <c r="B44" s="28"/>
      <c r="C44" s="29">
        <v>634766.08641963301</v>
      </c>
      <c r="D44" s="30">
        <v>1.12413589065046E-2</v>
      </c>
      <c r="E44" s="29">
        <v>614089.17023589194</v>
      </c>
      <c r="F44" s="30">
        <v>-4.4313046062570702E-3</v>
      </c>
      <c r="G44" s="29">
        <v>416106.10413642199</v>
      </c>
      <c r="H44" s="30">
        <v>1.9464521666021601E-2</v>
      </c>
      <c r="I44" s="29">
        <v>338517.61891204503</v>
      </c>
      <c r="J44" s="30">
        <v>2.3432725517146698E-2</v>
      </c>
      <c r="K44" s="29">
        <v>77596.878480439394</v>
      </c>
      <c r="L44" s="30">
        <v>1.38596796585921E-3</v>
      </c>
      <c r="M44" s="29">
        <v>198533.56853594299</v>
      </c>
      <c r="N44" s="30">
        <v>-5.7552887908119001E-2</v>
      </c>
      <c r="O44" s="29">
        <v>168886.576432673</v>
      </c>
      <c r="P44" s="30">
        <v>3.9973585270529598E-2</v>
      </c>
      <c r="Q44" s="29">
        <v>61094.568405694197</v>
      </c>
      <c r="R44" s="30">
        <v>2.9216142232064299E-2</v>
      </c>
      <c r="S44" s="29">
        <v>107779.49649341201</v>
      </c>
      <c r="T44" s="30">
        <v>4.5935251262472901E-2</v>
      </c>
      <c r="U44" s="29"/>
      <c r="V44" s="30"/>
      <c r="W44" s="29"/>
      <c r="X44" s="30"/>
      <c r="Y44" s="29"/>
      <c r="Z44" s="30"/>
      <c r="AA44" s="29">
        <v>389513.634314052</v>
      </c>
      <c r="AB44" s="30">
        <v>3.78658292601708E-3</v>
      </c>
      <c r="AC44" s="29">
        <v>280395.75644021999</v>
      </c>
      <c r="AD44" s="30">
        <v>-2.8070899218060701E-2</v>
      </c>
      <c r="AE44" s="29">
        <v>210247.666405272</v>
      </c>
      <c r="AF44" s="30">
        <v>-1.12897636310042E-2</v>
      </c>
      <c r="AG44" s="29">
        <v>172335.96572061701</v>
      </c>
      <c r="AH44" s="30">
        <v>1.33860759095095E-3</v>
      </c>
      <c r="AI44" s="29">
        <v>109527.37768345</v>
      </c>
      <c r="AJ44" s="30">
        <v>0.100358638956232</v>
      </c>
      <c r="AK44" s="29">
        <v>365735.93249574403</v>
      </c>
      <c r="AL44" s="30">
        <v>-2.1819660968141402E-2</v>
      </c>
      <c r="AM44" s="29">
        <v>257094.05012828001</v>
      </c>
      <c r="AN44" s="30">
        <v>-5.9844933296583497E-2</v>
      </c>
      <c r="AO44" s="29">
        <v>173819.55367337601</v>
      </c>
      <c r="AP44" s="30">
        <v>8.1425404565094207E-3</v>
      </c>
      <c r="AQ44" s="29">
        <v>166584.19890282399</v>
      </c>
      <c r="AR44" s="30">
        <v>1.88407262243604E-2</v>
      </c>
      <c r="AS44" s="29">
        <v>110263.818384902</v>
      </c>
      <c r="AT44" s="30">
        <v>8.47983703358164E-2</v>
      </c>
      <c r="AU44" s="29">
        <v>892728.14527911099</v>
      </c>
      <c r="AV44" s="30">
        <v>2.3899371418375899E-2</v>
      </c>
      <c r="AW44" s="29">
        <v>584933.09853747603</v>
      </c>
      <c r="AX44" s="30">
        <v>2.5332859408140101E-2</v>
      </c>
      <c r="AY44" s="29">
        <v>309334.76739955298</v>
      </c>
      <c r="AZ44" s="30">
        <v>2.1462792174615299E-2</v>
      </c>
      <c r="BA44" s="29">
        <v>200083.83869857501</v>
      </c>
      <c r="BB44" s="30">
        <v>-1.4287693781368399E-2</v>
      </c>
      <c r="BC44" s="29">
        <v>277310.62799432297</v>
      </c>
      <c r="BD44" s="30">
        <v>4.2764117497149597E-2</v>
      </c>
      <c r="BE44" s="29"/>
      <c r="BF44" s="30"/>
    </row>
    <row r="45" spans="1:58" x14ac:dyDescent="0.2">
      <c r="A45" s="28">
        <v>2013</v>
      </c>
      <c r="B45" s="28"/>
      <c r="C45" s="29">
        <v>646421.178282368</v>
      </c>
      <c r="D45" s="30">
        <v>1.8361239064416598E-2</v>
      </c>
      <c r="E45" s="29">
        <v>610048.33640257001</v>
      </c>
      <c r="F45" s="30">
        <v>-6.5802069620754002E-3</v>
      </c>
      <c r="G45" s="29">
        <v>425519.70005892002</v>
      </c>
      <c r="H45" s="30">
        <v>2.2623066157694501E-2</v>
      </c>
      <c r="I45" s="29">
        <v>346594.66322515201</v>
      </c>
      <c r="J45" s="30">
        <v>2.3860041137784501E-2</v>
      </c>
      <c r="K45" s="29">
        <v>78915.064517355393</v>
      </c>
      <c r="L45" s="30">
        <v>1.69876168053371E-2</v>
      </c>
      <c r="M45" s="29">
        <v>183556.78001203199</v>
      </c>
      <c r="N45" s="30">
        <v>-7.5437059003949702E-2</v>
      </c>
      <c r="O45" s="29">
        <v>171167.38188707599</v>
      </c>
      <c r="P45" s="30">
        <v>1.35049540501064E-2</v>
      </c>
      <c r="Q45" s="29">
        <v>62985.524413737803</v>
      </c>
      <c r="R45" s="30">
        <v>3.0951294974159299E-2</v>
      </c>
      <c r="S45" s="29">
        <v>108195.233505068</v>
      </c>
      <c r="T45" s="30">
        <v>3.8572922047532799E-3</v>
      </c>
      <c r="U45" s="29"/>
      <c r="V45" s="30"/>
      <c r="W45" s="29"/>
      <c r="X45" s="30"/>
      <c r="Y45" s="29"/>
      <c r="Z45" s="30"/>
      <c r="AA45" s="29">
        <v>443551.56085675</v>
      </c>
      <c r="AB45" s="30">
        <v>0.13873179725238699</v>
      </c>
      <c r="AC45" s="29">
        <v>332472.980130599</v>
      </c>
      <c r="AD45" s="30">
        <v>0.18572757430971601</v>
      </c>
      <c r="AE45" s="29">
        <v>206843.03014625501</v>
      </c>
      <c r="AF45" s="30">
        <v>-1.6193455638428701E-2</v>
      </c>
      <c r="AG45" s="29">
        <v>171493.98532448799</v>
      </c>
      <c r="AH45" s="30">
        <v>-4.8856916930115598E-3</v>
      </c>
      <c r="AI45" s="29">
        <v>110496.32342321301</v>
      </c>
      <c r="AJ45" s="30">
        <v>8.8466076725044508E-3</v>
      </c>
      <c r="AK45" s="29">
        <v>409043.17651810002</v>
      </c>
      <c r="AL45" s="30">
        <v>0.118411236563037</v>
      </c>
      <c r="AM45" s="29">
        <v>298655.01015325799</v>
      </c>
      <c r="AN45" s="30">
        <v>0.16165663890020299</v>
      </c>
      <c r="AO45" s="29">
        <v>174093.399834093</v>
      </c>
      <c r="AP45" s="30">
        <v>1.5754623397052901E-3</v>
      </c>
      <c r="AQ45" s="29">
        <v>166782.05607603199</v>
      </c>
      <c r="AR45" s="30">
        <v>1.18773073623268E-3</v>
      </c>
      <c r="AS45" s="29">
        <v>111323.044406687</v>
      </c>
      <c r="AT45" s="30">
        <v>9.6062882394267694E-3</v>
      </c>
      <c r="AU45" s="29">
        <v>900848.69056814804</v>
      </c>
      <c r="AV45" s="30">
        <v>9.09632493607271E-3</v>
      </c>
      <c r="AW45" s="29">
        <v>596617.17820700398</v>
      </c>
      <c r="AX45" s="30">
        <v>1.9975070138348299E-2</v>
      </c>
      <c r="AY45" s="29">
        <v>306486.13516796398</v>
      </c>
      <c r="AZ45" s="30">
        <v>-9.2088977114842506E-3</v>
      </c>
      <c r="BA45" s="29">
        <v>196423.601399048</v>
      </c>
      <c r="BB45" s="30">
        <v>-1.8293517973939102E-2</v>
      </c>
      <c r="BC45" s="29">
        <v>278521.30585754098</v>
      </c>
      <c r="BD45" s="30">
        <v>4.3657824151004396E-3</v>
      </c>
      <c r="BE45" s="29"/>
      <c r="BF45" s="30"/>
    </row>
    <row r="46" spans="1:58" x14ac:dyDescent="0.2">
      <c r="A46" s="28">
        <v>2014</v>
      </c>
      <c r="B46" s="28"/>
      <c r="C46" s="29">
        <v>662862.40631210397</v>
      </c>
      <c r="D46" s="30">
        <v>2.54342348024903E-2</v>
      </c>
      <c r="E46" s="29">
        <v>622733.20365583105</v>
      </c>
      <c r="F46" s="30">
        <v>2.0793216695029301E-2</v>
      </c>
      <c r="G46" s="29">
        <v>430292.95965502202</v>
      </c>
      <c r="H46" s="30">
        <v>1.1217482047108899E-2</v>
      </c>
      <c r="I46" s="29">
        <v>349725.16366514901</v>
      </c>
      <c r="J46" s="30">
        <v>9.0321657317711194E-3</v>
      </c>
      <c r="K46" s="29">
        <v>80582.622744019201</v>
      </c>
      <c r="L46" s="30">
        <v>2.1131050666468101E-2</v>
      </c>
      <c r="M46" s="29">
        <v>191743.91288494901</v>
      </c>
      <c r="N46" s="30">
        <v>4.46027265916338E-2</v>
      </c>
      <c r="O46" s="29">
        <v>175652.95499352901</v>
      </c>
      <c r="P46" s="30">
        <v>2.62057703810177E-2</v>
      </c>
      <c r="Q46" s="29">
        <v>64999.211920836802</v>
      </c>
      <c r="R46" s="30">
        <v>3.1970639696060003E-2</v>
      </c>
      <c r="S46" s="29">
        <v>110675.423511897</v>
      </c>
      <c r="T46" s="30">
        <v>2.2923283461579999E-2</v>
      </c>
      <c r="U46" s="29"/>
      <c r="V46" s="30"/>
      <c r="W46" s="29"/>
      <c r="X46" s="30"/>
      <c r="Y46" s="29"/>
      <c r="Z46" s="30"/>
      <c r="AA46" s="29">
        <v>422615.172300109</v>
      </c>
      <c r="AB46" s="30">
        <v>-4.7201701908568802E-2</v>
      </c>
      <c r="AC46" s="29">
        <v>305993.94591116998</v>
      </c>
      <c r="AD46" s="30">
        <v>-7.9642665124329201E-2</v>
      </c>
      <c r="AE46" s="29">
        <v>221221.807759266</v>
      </c>
      <c r="AF46" s="30">
        <v>6.9515407905421406E-2</v>
      </c>
      <c r="AG46" s="29">
        <v>178920.282590085</v>
      </c>
      <c r="AH46" s="30">
        <v>4.3303543570612599E-2</v>
      </c>
      <c r="AI46" s="29">
        <v>116120.44564233</v>
      </c>
      <c r="AJ46" s="30">
        <v>5.08987271691888E-2</v>
      </c>
      <c r="AK46" s="29">
        <v>381971.05625942</v>
      </c>
      <c r="AL46" s="30">
        <v>-6.6184016291694805E-2</v>
      </c>
      <c r="AM46" s="29">
        <v>263753.59118124202</v>
      </c>
      <c r="AN46" s="30">
        <v>-0.116861990542553</v>
      </c>
      <c r="AO46" s="29">
        <v>177049.862079085</v>
      </c>
      <c r="AP46" s="30">
        <v>1.6982046693381402E-2</v>
      </c>
      <c r="AQ46" s="29">
        <v>170546.33839910201</v>
      </c>
      <c r="AR46" s="30">
        <v>2.25700678576208E-2</v>
      </c>
      <c r="AS46" s="29">
        <v>118794.95518506299</v>
      </c>
      <c r="AT46" s="30">
        <v>6.7119173915859406E-2</v>
      </c>
      <c r="AU46" s="29">
        <v>931370.56878689001</v>
      </c>
      <c r="AV46" s="30">
        <v>3.3881248358693203E-2</v>
      </c>
      <c r="AW46" s="29">
        <v>605904.13239281403</v>
      </c>
      <c r="AX46" s="30">
        <v>1.5566018755477799E-2</v>
      </c>
      <c r="AY46" s="29">
        <v>326580.13200084702</v>
      </c>
      <c r="AZ46" s="30">
        <v>6.5562498681614803E-2</v>
      </c>
      <c r="BA46" s="29">
        <v>210793.09866317399</v>
      </c>
      <c r="BB46" s="30">
        <v>7.3155655235816602E-2</v>
      </c>
      <c r="BC46" s="29">
        <v>289568.85766831198</v>
      </c>
      <c r="BD46" s="30">
        <v>3.9665015129656297E-2</v>
      </c>
      <c r="BE46" s="29"/>
      <c r="BF46" s="30"/>
    </row>
    <row r="47" spans="1:58" x14ac:dyDescent="0.2">
      <c r="A47" s="28">
        <v>2015</v>
      </c>
      <c r="B47" s="28"/>
      <c r="C47" s="29">
        <v>672503.76154870098</v>
      </c>
      <c r="D47" s="30">
        <v>1.4545032490585599E-2</v>
      </c>
      <c r="E47" s="29">
        <v>633507.49243096495</v>
      </c>
      <c r="F47" s="30">
        <v>1.7301612812488501E-2</v>
      </c>
      <c r="G47" s="29">
        <v>439429.42613414698</v>
      </c>
      <c r="H47" s="30">
        <v>2.12331302990636E-2</v>
      </c>
      <c r="I47" s="29">
        <v>358024.485873545</v>
      </c>
      <c r="J47" s="30">
        <v>2.3730983842907401E-2</v>
      </c>
      <c r="K47" s="29">
        <v>81394.628615114707</v>
      </c>
      <c r="L47" s="30">
        <v>1.0076687050443799E-2</v>
      </c>
      <c r="M47" s="29">
        <v>193245.26071514501</v>
      </c>
      <c r="N47" s="30">
        <v>7.8299634528500306E-3</v>
      </c>
      <c r="O47" s="29">
        <v>180018.65416877301</v>
      </c>
      <c r="P47" s="30">
        <v>2.48541174579451E-2</v>
      </c>
      <c r="Q47" s="29">
        <v>66052.160821736703</v>
      </c>
      <c r="R47" s="30">
        <v>1.61994102664242E-2</v>
      </c>
      <c r="S47" s="29">
        <v>113976.997549081</v>
      </c>
      <c r="T47" s="30">
        <v>2.9831139854003898E-2</v>
      </c>
      <c r="U47" s="29"/>
      <c r="V47" s="30"/>
      <c r="W47" s="29"/>
      <c r="X47" s="30"/>
      <c r="Y47" s="29"/>
      <c r="Z47" s="30"/>
      <c r="AA47" s="29">
        <v>438903.01181086397</v>
      </c>
      <c r="AB47" s="30">
        <v>3.8540593377439002E-2</v>
      </c>
      <c r="AC47" s="29">
        <v>318539.08339611598</v>
      </c>
      <c r="AD47" s="30">
        <v>4.0997992452397297E-2</v>
      </c>
      <c r="AE47" s="29">
        <v>229565.23337144</v>
      </c>
      <c r="AF47" s="30">
        <v>3.7715204014850102E-2</v>
      </c>
      <c r="AG47" s="29">
        <v>180954.96187170001</v>
      </c>
      <c r="AH47" s="30">
        <v>1.13719878605174E-2</v>
      </c>
      <c r="AI47" s="29">
        <v>119864.57368517001</v>
      </c>
      <c r="AJ47" s="30">
        <v>3.22434866842711E-2</v>
      </c>
      <c r="AK47" s="29">
        <v>400147.74101980898</v>
      </c>
      <c r="AL47" s="30">
        <v>4.7586549982060203E-2</v>
      </c>
      <c r="AM47" s="29">
        <v>270697.92739347101</v>
      </c>
      <c r="AN47" s="30">
        <v>2.6328878333478301E-2</v>
      </c>
      <c r="AO47" s="29">
        <v>177034.496396356</v>
      </c>
      <c r="AP47" s="30">
        <v>-8.6787318263836801E-5</v>
      </c>
      <c r="AQ47" s="29">
        <v>170148.430402417</v>
      </c>
      <c r="AR47" s="30">
        <v>-2.3331371427806101E-3</v>
      </c>
      <c r="AS47" s="29">
        <v>129696.84070468599</v>
      </c>
      <c r="AT47" s="30">
        <v>9.1770610146199499E-2</v>
      </c>
      <c r="AU47" s="29">
        <v>958768.69472618599</v>
      </c>
      <c r="AV47" s="30">
        <v>2.9416997763824299E-2</v>
      </c>
      <c r="AW47" s="29">
        <v>619412.794602899</v>
      </c>
      <c r="AX47" s="30">
        <v>2.2295048816942199E-2</v>
      </c>
      <c r="AY47" s="29">
        <v>340079.19117526599</v>
      </c>
      <c r="AZ47" s="30">
        <v>4.1334600153765597E-2</v>
      </c>
      <c r="BA47" s="29">
        <v>220487.836188377</v>
      </c>
      <c r="BB47" s="30">
        <v>4.5991721677255598E-2</v>
      </c>
      <c r="BC47" s="29">
        <v>299756.39702314098</v>
      </c>
      <c r="BD47" s="30">
        <v>3.5181750678792097E-2</v>
      </c>
      <c r="BE47" s="29"/>
      <c r="BF47" s="30"/>
    </row>
    <row r="48" spans="1:58" x14ac:dyDescent="0.2">
      <c r="A48" s="28">
        <v>2016</v>
      </c>
      <c r="B48" s="28"/>
      <c r="C48" s="29">
        <v>685359.28335051099</v>
      </c>
      <c r="D48" s="30">
        <v>1.91159106265886E-2</v>
      </c>
      <c r="E48" s="29">
        <v>640424.10467964003</v>
      </c>
      <c r="F48" s="30">
        <v>1.09179643987061E-2</v>
      </c>
      <c r="G48" s="29">
        <v>444750.09311466501</v>
      </c>
      <c r="H48" s="30">
        <v>1.2108126274852599E-2</v>
      </c>
      <c r="I48" s="29">
        <v>362738.187053492</v>
      </c>
      <c r="J48" s="30">
        <v>1.3165862576260999E-2</v>
      </c>
      <c r="K48" s="29">
        <v>81995.578031006604</v>
      </c>
      <c r="L48" s="30">
        <v>7.3831581532681802E-3</v>
      </c>
      <c r="M48" s="29">
        <v>194788.39190547599</v>
      </c>
      <c r="N48" s="30">
        <v>7.9853507642042593E-3</v>
      </c>
      <c r="O48" s="29">
        <v>185476.68296030301</v>
      </c>
      <c r="P48" s="30">
        <v>3.0319240062827799E-2</v>
      </c>
      <c r="Q48" s="29">
        <v>65945.991890064499</v>
      </c>
      <c r="R48" s="30">
        <v>-1.6073498633716299E-3</v>
      </c>
      <c r="S48" s="29">
        <v>119539.966832277</v>
      </c>
      <c r="T48" s="30">
        <v>4.8807824410363597E-2</v>
      </c>
      <c r="U48" s="29"/>
      <c r="V48" s="30"/>
      <c r="W48" s="29"/>
      <c r="X48" s="30"/>
      <c r="Y48" s="29"/>
      <c r="Z48" s="30"/>
      <c r="AA48" s="29">
        <v>464645.50332410802</v>
      </c>
      <c r="AB48" s="30">
        <v>5.86518907834193E-2</v>
      </c>
      <c r="AC48" s="29">
        <v>339356.64428304799</v>
      </c>
      <c r="AD48" s="30">
        <v>6.5353239122135004E-2</v>
      </c>
      <c r="AE48" s="29">
        <v>244877.46928223901</v>
      </c>
      <c r="AF48" s="30">
        <v>6.6701022998649301E-2</v>
      </c>
      <c r="AG48" s="29">
        <v>191792.965324541</v>
      </c>
      <c r="AH48" s="30">
        <v>5.98933753500785E-2</v>
      </c>
      <c r="AI48" s="29">
        <v>124893.421996502</v>
      </c>
      <c r="AJ48" s="30">
        <v>4.19544170285093E-2</v>
      </c>
      <c r="AK48" s="29">
        <v>421087.299565072</v>
      </c>
      <c r="AL48" s="30">
        <v>5.23295683036882E-2</v>
      </c>
      <c r="AM48" s="29">
        <v>285731.75601357</v>
      </c>
      <c r="AN48" s="30">
        <v>5.5537287502932103E-2</v>
      </c>
      <c r="AO48" s="29">
        <v>184764.25268623899</v>
      </c>
      <c r="AP48" s="30">
        <v>4.3662429906186698E-2</v>
      </c>
      <c r="AQ48" s="29">
        <v>176356.84535196601</v>
      </c>
      <c r="AR48" s="30">
        <v>3.6488229335203598E-2</v>
      </c>
      <c r="AS48" s="29">
        <v>135666.225388194</v>
      </c>
      <c r="AT48" s="30">
        <v>4.6025675344704801E-2</v>
      </c>
      <c r="AU48" s="29">
        <v>990662.444027483</v>
      </c>
      <c r="AV48" s="30">
        <v>3.3265321945461897E-2</v>
      </c>
      <c r="AW48" s="29">
        <v>630218.16128712299</v>
      </c>
      <c r="AX48" s="30">
        <v>1.7444532593407398E-2</v>
      </c>
      <c r="AY48" s="29">
        <v>360681.458505332</v>
      </c>
      <c r="AZ48" s="30">
        <v>6.0580793722976298E-2</v>
      </c>
      <c r="BA48" s="29">
        <v>236017.386174229</v>
      </c>
      <c r="BB48" s="30">
        <v>7.0432683518125302E-2</v>
      </c>
      <c r="BC48" s="29">
        <v>311899.78301862802</v>
      </c>
      <c r="BD48" s="30">
        <v>4.0510848529277298E-2</v>
      </c>
      <c r="BE48" s="29"/>
      <c r="BF48" s="30"/>
    </row>
    <row r="49" spans="1:58" x14ac:dyDescent="0.2">
      <c r="A49" s="28">
        <v>2017</v>
      </c>
      <c r="B49" s="28"/>
      <c r="C49" s="29">
        <v>695093.75738472794</v>
      </c>
      <c r="D49" s="30">
        <v>1.42034612657875E-2</v>
      </c>
      <c r="E49" s="29">
        <v>652097.941585675</v>
      </c>
      <c r="F49" s="30">
        <v>1.8228290941476599E-2</v>
      </c>
      <c r="G49" s="29">
        <v>451179.65806513699</v>
      </c>
      <c r="H49" s="30">
        <v>1.4456579211584501E-2</v>
      </c>
      <c r="I49" s="29">
        <v>368018.745423796</v>
      </c>
      <c r="J49" s="30">
        <v>1.4557492314767599E-2</v>
      </c>
      <c r="K49" s="29">
        <v>83144.106589073199</v>
      </c>
      <c r="L49" s="30">
        <v>1.40072011887307E-2</v>
      </c>
      <c r="M49" s="29">
        <v>200101.071557822</v>
      </c>
      <c r="N49" s="30">
        <v>2.7274108073774801E-2</v>
      </c>
      <c r="O49" s="29">
        <v>193100.94279385</v>
      </c>
      <c r="P49" s="30">
        <v>4.11062981710704E-2</v>
      </c>
      <c r="Q49" s="29">
        <v>66919.212201443006</v>
      </c>
      <c r="R49" s="30">
        <v>1.47578387023266E-2</v>
      </c>
      <c r="S49" s="29">
        <v>126196.59175228101</v>
      </c>
      <c r="T49" s="30">
        <v>5.56853502338963E-2</v>
      </c>
      <c r="U49" s="29"/>
      <c r="V49" s="30"/>
      <c r="W49" s="29"/>
      <c r="X49" s="30"/>
      <c r="Y49" s="29"/>
      <c r="Z49" s="30"/>
      <c r="AA49" s="29">
        <v>460888.69588715502</v>
      </c>
      <c r="AB49" s="30">
        <v>-8.0853196901217207E-3</v>
      </c>
      <c r="AC49" s="29">
        <v>337077.97754326701</v>
      </c>
      <c r="AD49" s="30">
        <v>-6.7146666439820103E-3</v>
      </c>
      <c r="AE49" s="29">
        <v>259176.69897441499</v>
      </c>
      <c r="AF49" s="30">
        <v>5.8393406849915501E-2</v>
      </c>
      <c r="AG49" s="29">
        <v>202303.630069373</v>
      </c>
      <c r="AH49" s="30">
        <v>5.4802138999447698E-2</v>
      </c>
      <c r="AI49" s="29">
        <v>123439.71846487399</v>
      </c>
      <c r="AJ49" s="30">
        <v>-1.1639552415090499E-2</v>
      </c>
      <c r="AK49" s="29">
        <v>418808.74818507099</v>
      </c>
      <c r="AL49" s="30">
        <v>-5.4111139954936497E-3</v>
      </c>
      <c r="AM49" s="29">
        <v>277172.429832972</v>
      </c>
      <c r="AN49" s="30">
        <v>-2.9955809952714699E-2</v>
      </c>
      <c r="AO49" s="29">
        <v>190919.62415256101</v>
      </c>
      <c r="AP49" s="30">
        <v>3.3314731485286603E-2</v>
      </c>
      <c r="AQ49" s="29">
        <v>182450.67685660199</v>
      </c>
      <c r="AR49" s="30">
        <v>3.4553983387909402E-2</v>
      </c>
      <c r="AS49" s="29">
        <v>141681.04036269401</v>
      </c>
      <c r="AT49" s="30">
        <v>4.4335389720536501E-2</v>
      </c>
      <c r="AU49" s="29">
        <v>1014573.5365069699</v>
      </c>
      <c r="AV49" s="30">
        <v>2.4136468101359599E-2</v>
      </c>
      <c r="AW49" s="29">
        <v>644285.92665188399</v>
      </c>
      <c r="AX49" s="30">
        <v>2.2322056438407699E-2</v>
      </c>
      <c r="AY49" s="29">
        <v>370489.54188902403</v>
      </c>
      <c r="AZ49" s="30">
        <v>2.7193200960029099E-2</v>
      </c>
      <c r="BA49" s="29">
        <v>247217.451280198</v>
      </c>
      <c r="BB49" s="30">
        <v>4.7454407014321499E-2</v>
      </c>
      <c r="BC49" s="29">
        <v>323976.85142560798</v>
      </c>
      <c r="BD49" s="30">
        <v>3.8720990088855899E-2</v>
      </c>
      <c r="BE49" s="29"/>
      <c r="BF49" s="30"/>
    </row>
    <row r="50" spans="1:58" x14ac:dyDescent="0.2">
      <c r="A50" s="28">
        <v>2018</v>
      </c>
      <c r="B50" s="28"/>
      <c r="C50" s="29">
        <v>718222.53303125699</v>
      </c>
      <c r="D50" s="30">
        <v>3.3274325083209003E-2</v>
      </c>
      <c r="E50" s="29">
        <v>660552.292164032</v>
      </c>
      <c r="F50" s="30">
        <v>1.2964847823010901E-2</v>
      </c>
      <c r="G50" s="29">
        <v>452142.29043196002</v>
      </c>
      <c r="H50" s="30">
        <v>2.1335899117236302E-3</v>
      </c>
      <c r="I50" s="29">
        <v>368321.14976761601</v>
      </c>
      <c r="J50" s="30">
        <v>8.2170907754219901E-4</v>
      </c>
      <c r="K50" s="29">
        <v>83809.987637564103</v>
      </c>
      <c r="L50" s="30">
        <v>8.0087582368515396E-3</v>
      </c>
      <c r="M50" s="29">
        <v>207836.31983264801</v>
      </c>
      <c r="N50" s="30">
        <v>3.8656705906698501E-2</v>
      </c>
      <c r="O50" s="29">
        <v>195756.53982814401</v>
      </c>
      <c r="P50" s="30">
        <v>1.37523773621784E-2</v>
      </c>
      <c r="Q50" s="29">
        <v>66935.041777453298</v>
      </c>
      <c r="R50" s="30">
        <v>2.36547554724353E-4</v>
      </c>
      <c r="S50" s="29">
        <v>128832.028751996</v>
      </c>
      <c r="T50" s="30">
        <v>2.0883583012198701E-2</v>
      </c>
      <c r="U50" s="29"/>
      <c r="V50" s="30"/>
      <c r="W50" s="29"/>
      <c r="X50" s="30"/>
      <c r="Y50" s="29"/>
      <c r="Z50" s="30"/>
      <c r="AA50" s="29">
        <v>478132.071910639</v>
      </c>
      <c r="AB50" s="30">
        <v>3.7413319478995198E-2</v>
      </c>
      <c r="AC50" s="29">
        <v>345856.17376069701</v>
      </c>
      <c r="AD50" s="30">
        <v>2.6042034194605899E-2</v>
      </c>
      <c r="AE50" s="29">
        <v>274309.64170429</v>
      </c>
      <c r="AF50" s="30">
        <v>5.83885155947945E-2</v>
      </c>
      <c r="AG50" s="29">
        <v>211380.848917414</v>
      </c>
      <c r="AH50" s="30">
        <v>4.4869283091604199E-2</v>
      </c>
      <c r="AI50" s="29">
        <v>131759.40258948799</v>
      </c>
      <c r="AJ50" s="30">
        <v>6.7398761339382302E-2</v>
      </c>
      <c r="AK50" s="29">
        <v>421124.53610248998</v>
      </c>
      <c r="AL50" s="30">
        <v>5.5294640512055801E-3</v>
      </c>
      <c r="AM50" s="29">
        <v>279740.79979612201</v>
      </c>
      <c r="AN50" s="30">
        <v>9.2663255313605308E-3</v>
      </c>
      <c r="AO50" s="29">
        <v>201132.116892024</v>
      </c>
      <c r="AP50" s="30">
        <v>5.3491058264927699E-2</v>
      </c>
      <c r="AQ50" s="29">
        <v>192992.165348251</v>
      </c>
      <c r="AR50" s="30">
        <v>5.7777195860632798E-2</v>
      </c>
      <c r="AS50" s="29">
        <v>141471.136095986</v>
      </c>
      <c r="AT50" s="30">
        <v>-1.4815268589958299E-3</v>
      </c>
      <c r="AU50" s="29">
        <v>1038332.84476525</v>
      </c>
      <c r="AV50" s="30">
        <v>2.3418024818664802E-2</v>
      </c>
      <c r="AW50" s="29">
        <v>647899.54547875002</v>
      </c>
      <c r="AX50" s="30">
        <v>5.6087191685920698E-3</v>
      </c>
      <c r="AY50" s="29">
        <v>390164.78246482502</v>
      </c>
      <c r="AZ50" s="30">
        <v>5.3106061983510901E-2</v>
      </c>
      <c r="BA50" s="29">
        <v>258628.97146596701</v>
      </c>
      <c r="BB50" s="30">
        <v>4.61598488564441E-2</v>
      </c>
      <c r="BC50" s="29">
        <v>334483.78275697801</v>
      </c>
      <c r="BD50" s="30">
        <v>3.24311174861283E-2</v>
      </c>
      <c r="BE50" s="29"/>
      <c r="BF50" s="30"/>
    </row>
    <row r="51" spans="1:58" x14ac:dyDescent="0.2">
      <c r="A51" s="28">
        <v>2019</v>
      </c>
      <c r="B51" s="28"/>
      <c r="C51" s="29">
        <v>726233.02622593602</v>
      </c>
      <c r="D51" s="30">
        <v>1.11532189903196E-2</v>
      </c>
      <c r="E51" s="29">
        <v>672784.78708152403</v>
      </c>
      <c r="F51" s="30">
        <v>1.8518586738102999E-2</v>
      </c>
      <c r="G51" s="29">
        <v>458284.53659863601</v>
      </c>
      <c r="H51" s="30">
        <v>1.3584763683148799E-2</v>
      </c>
      <c r="I51" s="29">
        <v>373540.19968753803</v>
      </c>
      <c r="J51" s="30">
        <v>1.41698350019113E-2</v>
      </c>
      <c r="K51" s="29">
        <v>84729.456129451995</v>
      </c>
      <c r="L51" s="30">
        <v>1.09708701529005E-2</v>
      </c>
      <c r="M51" s="29">
        <v>214041.605789778</v>
      </c>
      <c r="N51" s="30">
        <v>2.9856600435028E-2</v>
      </c>
      <c r="O51" s="29">
        <v>197330.568159855</v>
      </c>
      <c r="P51" s="30">
        <v>8.0407445549084394E-3</v>
      </c>
      <c r="Q51" s="29">
        <v>66357.890190139704</v>
      </c>
      <c r="R51" s="30">
        <v>-8.6225625918415795E-3</v>
      </c>
      <c r="S51" s="29">
        <v>130973.63631870601</v>
      </c>
      <c r="T51" s="30">
        <v>1.6623254228440399E-2</v>
      </c>
      <c r="U51" s="29"/>
      <c r="V51" s="30"/>
      <c r="W51" s="29"/>
      <c r="X51" s="30"/>
      <c r="Y51" s="29"/>
      <c r="Z51" s="30"/>
      <c r="AA51" s="29">
        <v>475586.37733796297</v>
      </c>
      <c r="AB51" s="30">
        <v>-5.3242497674407304E-3</v>
      </c>
      <c r="AC51" s="29">
        <v>346672.84347172</v>
      </c>
      <c r="AD51" s="30">
        <v>2.3612986350443101E-3</v>
      </c>
      <c r="AE51" s="29">
        <v>282381.18655701401</v>
      </c>
      <c r="AF51" s="30">
        <v>2.9424940379694699E-2</v>
      </c>
      <c r="AG51" s="29">
        <v>221995.875674196</v>
      </c>
      <c r="AH51" s="30">
        <v>5.0217542464920099E-2</v>
      </c>
      <c r="AI51" s="29">
        <v>128483.008594094</v>
      </c>
      <c r="AJ51" s="30">
        <v>-2.4866490975236102E-2</v>
      </c>
      <c r="AK51" s="29">
        <v>422580.26931899798</v>
      </c>
      <c r="AL51" s="30">
        <v>3.4567760643446901E-3</v>
      </c>
      <c r="AM51" s="29">
        <v>278072.50404494302</v>
      </c>
      <c r="AN51" s="30">
        <v>-5.9637198163276003E-3</v>
      </c>
      <c r="AO51" s="29">
        <v>207026.639534874</v>
      </c>
      <c r="AP51" s="30">
        <v>2.9306720050157602E-2</v>
      </c>
      <c r="AQ51" s="29">
        <v>198816.30611860199</v>
      </c>
      <c r="AR51" s="30">
        <v>3.01781202353038E-2</v>
      </c>
      <c r="AS51" s="29">
        <v>144437.559266189</v>
      </c>
      <c r="AT51" s="30">
        <v>2.09683985869034E-2</v>
      </c>
      <c r="AU51" s="29">
        <v>1051970.0729258901</v>
      </c>
      <c r="AV51" s="30">
        <v>1.31337732687524E-2</v>
      </c>
      <c r="AW51" s="29">
        <v>655620.13883774402</v>
      </c>
      <c r="AX51" s="30">
        <v>1.19163432246097E-2</v>
      </c>
      <c r="AY51" s="29">
        <v>396034.04056310502</v>
      </c>
      <c r="AZ51" s="30">
        <v>1.50430237737036E-2</v>
      </c>
      <c r="BA51" s="29">
        <v>267587.69874244498</v>
      </c>
      <c r="BB51" s="30">
        <v>3.4639302881257703E-2</v>
      </c>
      <c r="BC51" s="29">
        <v>343294.32336617901</v>
      </c>
      <c r="BD51" s="30">
        <v>2.63407108607174E-2</v>
      </c>
      <c r="BE51" s="29"/>
      <c r="BF51" s="30"/>
    </row>
    <row r="52" spans="1:58" x14ac:dyDescent="0.2">
      <c r="A52" s="28">
        <v>2020</v>
      </c>
      <c r="B52" s="28"/>
      <c r="C52" s="29">
        <v>709854.59789991495</v>
      </c>
      <c r="D52" s="30">
        <v>-2.2552579867011199E-2</v>
      </c>
      <c r="E52" s="29">
        <v>669496.86045183602</v>
      </c>
      <c r="F52" s="30">
        <v>-4.8870406894165903E-3</v>
      </c>
      <c r="G52" s="29">
        <v>447300.685300785</v>
      </c>
      <c r="H52" s="30">
        <v>-2.3967318163017001E-2</v>
      </c>
      <c r="I52" s="29">
        <v>359492.54806959501</v>
      </c>
      <c r="J52" s="30">
        <v>-3.76068000972671E-2</v>
      </c>
      <c r="K52" s="29">
        <v>87808.137231190005</v>
      </c>
      <c r="L52" s="30">
        <v>3.6335428579103997E-2</v>
      </c>
      <c r="M52" s="29">
        <v>222196.17515105099</v>
      </c>
      <c r="N52" s="30">
        <v>3.8098057296772798E-2</v>
      </c>
      <c r="O52" s="29">
        <v>196156.89172686599</v>
      </c>
      <c r="P52" s="30">
        <v>-5.9477679709408803E-3</v>
      </c>
      <c r="Q52" s="29">
        <v>65672.944430627307</v>
      </c>
      <c r="R52" s="30">
        <v>-1.0321994227811399E-2</v>
      </c>
      <c r="S52" s="29">
        <v>130483.947296239</v>
      </c>
      <c r="T52" s="30">
        <v>-3.7388365798745001E-3</v>
      </c>
      <c r="U52" s="29"/>
      <c r="V52" s="30"/>
      <c r="W52" s="29"/>
      <c r="X52" s="30"/>
      <c r="Y52" s="29"/>
      <c r="Z52" s="30"/>
      <c r="AA52" s="29">
        <v>451241.97974590003</v>
      </c>
      <c r="AB52" s="30">
        <v>-5.11881726476845E-2</v>
      </c>
      <c r="AC52" s="29">
        <v>339389.962567874</v>
      </c>
      <c r="AD52" s="30">
        <v>-2.1007935986311101E-2</v>
      </c>
      <c r="AE52" s="29">
        <v>275877.40683787398</v>
      </c>
      <c r="AF52" s="30">
        <v>-2.3031915824276002E-2</v>
      </c>
      <c r="AG52" s="29">
        <v>216005.529147394</v>
      </c>
      <c r="AH52" s="30">
        <v>-2.69840442242875E-2</v>
      </c>
      <c r="AI52" s="29">
        <v>111852.017178027</v>
      </c>
      <c r="AJ52" s="30">
        <v>-0.12944117356878199</v>
      </c>
      <c r="AK52" s="29">
        <v>410884.24229782203</v>
      </c>
      <c r="AL52" s="30">
        <v>-2.7677645811586399E-2</v>
      </c>
      <c r="AM52" s="29">
        <v>271946.95609540498</v>
      </c>
      <c r="AN52" s="30">
        <v>-2.202859995301E-2</v>
      </c>
      <c r="AO52" s="29">
        <v>191537.698322143</v>
      </c>
      <c r="AP52" s="30">
        <v>-7.4816174611778904E-2</v>
      </c>
      <c r="AQ52" s="29">
        <v>184862.38742242401</v>
      </c>
      <c r="AR52" s="30">
        <v>-7.0184981144623307E-2</v>
      </c>
      <c r="AS52" s="29">
        <v>138937.28620241699</v>
      </c>
      <c r="AT52" s="30">
        <v>-3.8080628693229403E-2</v>
      </c>
      <c r="AU52" s="29">
        <v>1021737.2285805501</v>
      </c>
      <c r="AV52" s="30">
        <v>-2.8739262763677199E-2</v>
      </c>
      <c r="AW52" s="29">
        <v>643457.57702765102</v>
      </c>
      <c r="AX52" s="30">
        <v>-1.8551232778867398E-2</v>
      </c>
      <c r="AY52" s="29">
        <v>378279.65155289997</v>
      </c>
      <c r="AZ52" s="30">
        <v>-4.4830462010185597E-2</v>
      </c>
      <c r="BA52" s="29">
        <v>266427.63437487301</v>
      </c>
      <c r="BB52" s="30">
        <v>-4.3352679253305703E-3</v>
      </c>
      <c r="BC52" s="29">
        <v>323799.67362484097</v>
      </c>
      <c r="BD52" s="30">
        <v>-5.6786985436237801E-2</v>
      </c>
      <c r="BE52" s="29"/>
      <c r="BF52" s="30"/>
    </row>
    <row r="53" spans="1:58" x14ac:dyDescent="0.2">
      <c r="A53" s="28">
        <v>2021</v>
      </c>
      <c r="B53" s="28"/>
      <c r="C53" s="29">
        <v>753696.83907210804</v>
      </c>
      <c r="D53" s="30">
        <v>6.1762283856298297E-2</v>
      </c>
      <c r="E53" s="29">
        <v>672831.08014187799</v>
      </c>
      <c r="F53" s="30">
        <v>4.9801871927999102E-3</v>
      </c>
      <c r="G53" s="29">
        <v>457675.86042506201</v>
      </c>
      <c r="H53" s="30">
        <v>2.3195079876302298E-2</v>
      </c>
      <c r="I53" s="29">
        <v>367309.98789089703</v>
      </c>
      <c r="J53" s="30">
        <v>2.1745763196706201E-2</v>
      </c>
      <c r="K53" s="29">
        <v>90365.872534164402</v>
      </c>
      <c r="L53" s="30">
        <v>2.9128681960763701E-2</v>
      </c>
      <c r="M53" s="29">
        <v>215155.21971681601</v>
      </c>
      <c r="N53" s="30">
        <v>-3.1688013663816898E-2</v>
      </c>
      <c r="O53" s="29">
        <v>203142.33280105199</v>
      </c>
      <c r="P53" s="30">
        <v>3.5611499614871797E-2</v>
      </c>
      <c r="Q53" s="29">
        <v>63653.769721466197</v>
      </c>
      <c r="R53" s="30">
        <v>-3.07459141152721E-2</v>
      </c>
      <c r="S53" s="29">
        <v>139488.563079585</v>
      </c>
      <c r="T53" s="30">
        <v>6.9009376018519794E-2</v>
      </c>
      <c r="U53" s="29"/>
      <c r="V53" s="30"/>
      <c r="W53" s="29"/>
      <c r="X53" s="30"/>
      <c r="Y53" s="29"/>
      <c r="Z53" s="30"/>
      <c r="AA53" s="29">
        <v>512746.53961190197</v>
      </c>
      <c r="AB53" s="30">
        <v>0.136300616136458</v>
      </c>
      <c r="AC53" s="29">
        <v>385760.60767181101</v>
      </c>
      <c r="AD53" s="30">
        <v>0.13662939455572301</v>
      </c>
      <c r="AE53" s="29">
        <v>310855.98376005498</v>
      </c>
      <c r="AF53" s="30">
        <v>0.12679029182965099</v>
      </c>
      <c r="AG53" s="29">
        <v>244502.94577848501</v>
      </c>
      <c r="AH53" s="30">
        <v>0.1319291072945</v>
      </c>
      <c r="AI53" s="29">
        <v>126985.93194009</v>
      </c>
      <c r="AJ53" s="30">
        <v>0.135303011460008</v>
      </c>
      <c r="AK53" s="29">
        <v>431880.78068167198</v>
      </c>
      <c r="AL53" s="30">
        <v>5.1100860588932699E-2</v>
      </c>
      <c r="AM53" s="29">
        <v>284167.71020682098</v>
      </c>
      <c r="AN53" s="30">
        <v>4.4938006613058197E-2</v>
      </c>
      <c r="AO53" s="29">
        <v>200407.586476197</v>
      </c>
      <c r="AP53" s="30">
        <v>4.6308837538267401E-2</v>
      </c>
      <c r="AQ53" s="29">
        <v>193083.778133449</v>
      </c>
      <c r="AR53" s="30">
        <v>4.4473031132281397E-2</v>
      </c>
      <c r="AS53" s="29">
        <v>147713.070474851</v>
      </c>
      <c r="AT53" s="30">
        <v>6.3163636719149499E-2</v>
      </c>
      <c r="AU53" s="29">
        <v>1085952.4059621</v>
      </c>
      <c r="AV53" s="30">
        <v>6.2849013998205402E-2</v>
      </c>
      <c r="AW53" s="29">
        <v>660818.19322611298</v>
      </c>
      <c r="AX53" s="30">
        <v>2.6980203230579002E-2</v>
      </c>
      <c r="AY53" s="29">
        <v>425134.212735985</v>
      </c>
      <c r="AZ53" s="30">
        <v>0.123862229942157</v>
      </c>
      <c r="BA53" s="29">
        <v>298148.28079589398</v>
      </c>
      <c r="BB53" s="30">
        <v>0.119059145255138</v>
      </c>
      <c r="BC53" s="29">
        <v>340796.84860829997</v>
      </c>
      <c r="BD53" s="30">
        <v>5.2492872501015898E-2</v>
      </c>
      <c r="BE53" s="29"/>
      <c r="BF53" s="30"/>
    </row>
    <row r="54" spans="1:58" x14ac:dyDescent="0.2">
      <c r="A54" s="28">
        <v>2022</v>
      </c>
      <c r="B54" s="28"/>
      <c r="C54" s="29">
        <v>780334.76842328196</v>
      </c>
      <c r="D54" s="30">
        <v>3.5343029146797503E-2</v>
      </c>
      <c r="E54" s="29">
        <v>689699.51004438603</v>
      </c>
      <c r="F54" s="30">
        <v>2.5070824461543899E-2</v>
      </c>
      <c r="G54" s="29">
        <v>474978.79107083799</v>
      </c>
      <c r="H54" s="30">
        <v>3.7806080988641397E-2</v>
      </c>
      <c r="I54" s="29">
        <v>385193.619824205</v>
      </c>
      <c r="J54" s="30">
        <v>4.8688117728559598E-2</v>
      </c>
      <c r="K54" s="29">
        <v>89854.198590304106</v>
      </c>
      <c r="L54" s="30">
        <v>-5.6622475887331304E-3</v>
      </c>
      <c r="M54" s="29">
        <v>214713.143460024</v>
      </c>
      <c r="N54" s="30">
        <v>-2.0546852517636699E-3</v>
      </c>
      <c r="O54" s="29">
        <v>205163.97546618499</v>
      </c>
      <c r="P54" s="30">
        <v>9.9518531527025295E-3</v>
      </c>
      <c r="Q54" s="29">
        <v>59284.111309353299</v>
      </c>
      <c r="R54" s="30">
        <v>-6.8647284068697204E-2</v>
      </c>
      <c r="S54" s="29">
        <v>145991.83504729799</v>
      </c>
      <c r="T54" s="30">
        <v>4.6622259374786902E-2</v>
      </c>
      <c r="U54" s="29"/>
      <c r="V54" s="30"/>
      <c r="W54" s="29"/>
      <c r="X54" s="30"/>
      <c r="Y54" s="29"/>
      <c r="Z54" s="30"/>
      <c r="AA54" s="29">
        <v>548816.11240253097</v>
      </c>
      <c r="AB54" s="30">
        <v>7.0345814167620299E-2</v>
      </c>
      <c r="AC54" s="29">
        <v>410174.23511590902</v>
      </c>
      <c r="AD54" s="30">
        <v>6.3286989284472295E-2</v>
      </c>
      <c r="AE54" s="29">
        <v>325135.46564706799</v>
      </c>
      <c r="AF54" s="30">
        <v>4.5936004558416101E-2</v>
      </c>
      <c r="AG54" s="29">
        <v>256374.74272388799</v>
      </c>
      <c r="AH54" s="30">
        <v>4.8554821732734302E-2</v>
      </c>
      <c r="AI54" s="29">
        <v>138805.35293203901</v>
      </c>
      <c r="AJ54" s="30">
        <v>9.3076617317930294E-2</v>
      </c>
      <c r="AK54" s="29">
        <v>458621.89045921603</v>
      </c>
      <c r="AL54" s="30">
        <v>6.1917804574068001E-2</v>
      </c>
      <c r="AM54" s="29">
        <v>305353.60241900198</v>
      </c>
      <c r="AN54" s="30">
        <v>7.4554185613702403E-2</v>
      </c>
      <c r="AO54" s="29">
        <v>216686.20816200899</v>
      </c>
      <c r="AP54" s="30">
        <v>8.12275721295872E-2</v>
      </c>
      <c r="AQ54" s="29">
        <v>208634.51342795099</v>
      </c>
      <c r="AR54" s="30">
        <v>8.0538797432033099E-2</v>
      </c>
      <c r="AS54" s="29">
        <v>153231.56388005801</v>
      </c>
      <c r="AT54" s="30">
        <v>3.7359547042566103E-2</v>
      </c>
      <c r="AU54" s="29">
        <v>1129359.6854923801</v>
      </c>
      <c r="AV54" s="30">
        <v>3.9971622413622197E-2</v>
      </c>
      <c r="AW54" s="29">
        <v>680119.44686976098</v>
      </c>
      <c r="AX54" s="30">
        <v>2.9208114790876701E-2</v>
      </c>
      <c r="AY54" s="29">
        <v>448901.55340775597</v>
      </c>
      <c r="AZ54" s="30">
        <v>5.5905499862771497E-2</v>
      </c>
      <c r="BA54" s="29">
        <v>310445.481698699</v>
      </c>
      <c r="BB54" s="30">
        <v>4.1245251758546903E-2</v>
      </c>
      <c r="BC54" s="29">
        <v>361967.94487496198</v>
      </c>
      <c r="BD54" s="30">
        <v>6.2122335793649799E-2</v>
      </c>
      <c r="BE54" s="29"/>
      <c r="BF54" s="30"/>
    </row>
    <row r="55" spans="1:58" x14ac:dyDescent="0.2">
      <c r="A55" s="28">
        <v>2023</v>
      </c>
      <c r="B55" s="28"/>
      <c r="C55" s="29">
        <v>786776.90694842604</v>
      </c>
      <c r="D55" s="30">
        <v>8.2556087282392703E-3</v>
      </c>
      <c r="E55" s="29">
        <v>712357.57091066602</v>
      </c>
      <c r="F55" s="30">
        <v>3.28520762104383E-2</v>
      </c>
      <c r="G55" s="29">
        <v>481667.50081129698</v>
      </c>
      <c r="H55" s="30">
        <v>1.4082122962542101E-2</v>
      </c>
      <c r="I55" s="29">
        <v>390611.517694643</v>
      </c>
      <c r="J55" s="30">
        <v>1.4065388395867E-2</v>
      </c>
      <c r="K55" s="29">
        <v>91125.890164547105</v>
      </c>
      <c r="L55" s="30">
        <v>1.41528341935513E-2</v>
      </c>
      <c r="M55" s="29">
        <v>230783.81126462799</v>
      </c>
      <c r="N55" s="30">
        <v>7.4847154420223397E-2</v>
      </c>
      <c r="O55" s="29">
        <v>209711.767818778</v>
      </c>
      <c r="P55" s="30">
        <v>2.2166622294480999E-2</v>
      </c>
      <c r="Q55" s="29">
        <v>58423.998588239701</v>
      </c>
      <c r="R55" s="30">
        <v>-1.4508317694523E-2</v>
      </c>
      <c r="S55" s="29">
        <v>151581.30147576201</v>
      </c>
      <c r="T55" s="30">
        <v>3.8286157761174798E-2</v>
      </c>
      <c r="U55" s="29"/>
      <c r="V55" s="30"/>
      <c r="W55" s="29"/>
      <c r="X55" s="30"/>
      <c r="Y55" s="29"/>
      <c r="Z55" s="30"/>
      <c r="AA55" s="29">
        <v>534268.32338746602</v>
      </c>
      <c r="AB55" s="30">
        <v>-2.6507583662913399E-2</v>
      </c>
      <c r="AC55" s="29">
        <v>397137.72224191099</v>
      </c>
      <c r="AD55" s="30">
        <v>-3.1782866299033999E-2</v>
      </c>
      <c r="AE55" s="29">
        <v>312715.89700999099</v>
      </c>
      <c r="AF55" s="30">
        <v>-3.8198135698178502E-2</v>
      </c>
      <c r="AG55" s="29">
        <v>259544.52339960699</v>
      </c>
      <c r="AH55" s="30">
        <v>1.2363857071258999E-2</v>
      </c>
      <c r="AI55" s="29">
        <v>137415.04411120299</v>
      </c>
      <c r="AJ55" s="30">
        <v>-1.0016247871340001E-2</v>
      </c>
      <c r="AK55" s="29">
        <v>458791.31591042201</v>
      </c>
      <c r="AL55" s="30">
        <v>3.6942294890662802E-4</v>
      </c>
      <c r="AM55" s="29">
        <v>303820.87736977602</v>
      </c>
      <c r="AN55" s="30">
        <v>-5.0195086518830499E-3</v>
      </c>
      <c r="AO55" s="29">
        <v>219238.91137347301</v>
      </c>
      <c r="AP55" s="30">
        <v>1.17806446156294E-2</v>
      </c>
      <c r="AQ55" s="29">
        <v>210280.227092683</v>
      </c>
      <c r="AR55" s="30">
        <v>7.8880221574701998E-3</v>
      </c>
      <c r="AS55" s="29">
        <v>155009.70267145001</v>
      </c>
      <c r="AT55" s="30">
        <v>1.1604259242466299E-2</v>
      </c>
      <c r="AU55" s="29">
        <v>1127860.4888069199</v>
      </c>
      <c r="AV55" s="30">
        <v>-1.3274749441840601E-3</v>
      </c>
      <c r="AW55" s="29">
        <v>691377.56541905901</v>
      </c>
      <c r="AX55" s="30">
        <v>1.6553149010976001E-2</v>
      </c>
      <c r="AY55" s="29">
        <v>437233.00618758402</v>
      </c>
      <c r="AZ55" s="30">
        <v>-2.5993555004637299E-2</v>
      </c>
      <c r="BA55" s="29">
        <v>300332.61087962898</v>
      </c>
      <c r="BB55" s="30">
        <v>-3.25753519224522E-2</v>
      </c>
      <c r="BC55" s="29">
        <v>365368.34863620199</v>
      </c>
      <c r="BD55" s="30">
        <v>9.3942124140684608E-3</v>
      </c>
      <c r="BE55" s="29"/>
      <c r="BF55" s="30"/>
    </row>
    <row r="56" spans="1:58" x14ac:dyDescent="0.2">
      <c r="A56" s="28">
        <v>2024</v>
      </c>
      <c r="B56" s="28"/>
      <c r="C56" s="29">
        <v>797715.73105106899</v>
      </c>
      <c r="D56" s="30">
        <v>1.3903336518950499E-2</v>
      </c>
      <c r="E56" s="29">
        <v>716715.07622129703</v>
      </c>
      <c r="F56" s="30">
        <v>6.1170197223567903E-3</v>
      </c>
      <c r="G56" s="29">
        <v>492146.77895218402</v>
      </c>
      <c r="H56" s="30">
        <v>2.1756249120475E-2</v>
      </c>
      <c r="I56" s="29">
        <v>399931.28910493403</v>
      </c>
      <c r="J56" s="30">
        <v>2.3859438311742299E-2</v>
      </c>
      <c r="K56" s="29">
        <v>92311.827572979906</v>
      </c>
      <c r="L56" s="30">
        <v>1.30142751559559E-2</v>
      </c>
      <c r="M56" s="29">
        <v>224542.51574247199</v>
      </c>
      <c r="N56" s="30">
        <v>-2.7043905237356398E-2</v>
      </c>
      <c r="O56" s="29">
        <v>210684.91836977299</v>
      </c>
      <c r="P56" s="30">
        <v>4.6404193771107903E-3</v>
      </c>
      <c r="Q56" s="29">
        <v>57608.9753082479</v>
      </c>
      <c r="R56" s="30">
        <v>-1.39501454827825E-2</v>
      </c>
      <c r="S56" s="29">
        <v>153475.445918029</v>
      </c>
      <c r="T56" s="30">
        <v>1.2495897738211701E-2</v>
      </c>
      <c r="U56" s="29"/>
      <c r="V56" s="30"/>
      <c r="W56" s="29"/>
      <c r="X56" s="30"/>
      <c r="Y56" s="29"/>
      <c r="Z56" s="30"/>
      <c r="AA56" s="29">
        <v>543379.93790360005</v>
      </c>
      <c r="AB56" s="30">
        <v>1.7054379077469501E-2</v>
      </c>
      <c r="AC56" s="29">
        <v>396398.602719524</v>
      </c>
      <c r="AD56" s="30">
        <v>-1.86111638606223E-3</v>
      </c>
      <c r="AE56" s="29">
        <v>321142.64765749802</v>
      </c>
      <c r="AF56" s="30">
        <v>2.69469851967221E-2</v>
      </c>
      <c r="AG56" s="29">
        <v>275210.34269911598</v>
      </c>
      <c r="AH56" s="30">
        <v>6.0358889851776197E-2</v>
      </c>
      <c r="AI56" s="29">
        <v>147075.816428708</v>
      </c>
      <c r="AJ56" s="30">
        <v>7.0303600162493499E-2</v>
      </c>
      <c r="AK56" s="29">
        <v>461524.164010162</v>
      </c>
      <c r="AL56" s="30">
        <v>5.9566256050786999E-3</v>
      </c>
      <c r="AM56" s="29">
        <v>300353.17247691902</v>
      </c>
      <c r="AN56" s="30">
        <v>-1.1413649130622899E-2</v>
      </c>
      <c r="AO56" s="29">
        <v>228350.24487283401</v>
      </c>
      <c r="AP56" s="30">
        <v>4.1558925111789401E-2</v>
      </c>
      <c r="AQ56" s="29">
        <v>219222.468434693</v>
      </c>
      <c r="AR56" s="30">
        <v>4.2525355168405499E-2</v>
      </c>
      <c r="AS56" s="29">
        <v>161162.950126365</v>
      </c>
      <c r="AT56" s="30">
        <v>3.9695885798558303E-2</v>
      </c>
      <c r="AU56" s="29">
        <v>1158565.3121670501</v>
      </c>
      <c r="AV56" s="30">
        <v>2.7223955147691999E-2</v>
      </c>
      <c r="AW56" s="29">
        <v>702779.86531072599</v>
      </c>
      <c r="AX56" s="30">
        <v>1.64921462048826E-2</v>
      </c>
      <c r="AY56" s="29">
        <v>456208.25123125798</v>
      </c>
      <c r="AZ56" s="30">
        <v>4.33984735258819E-2</v>
      </c>
      <c r="BA56" s="29">
        <v>309603.97407596698</v>
      </c>
      <c r="BB56" s="30">
        <v>3.0870317975740601E-2</v>
      </c>
      <c r="BC56" s="29">
        <v>380468.23100266198</v>
      </c>
      <c r="BD56" s="30">
        <v>4.1327833740451E-2</v>
      </c>
      <c r="BE56" s="29"/>
      <c r="BF56" s="30"/>
    </row>
    <row r="57" spans="1:58" x14ac:dyDescent="0.2">
      <c r="A57" s="28">
        <v>2025</v>
      </c>
      <c r="B57" s="28"/>
      <c r="C57" s="29">
        <v>808086.65703486605</v>
      </c>
      <c r="D57" s="30">
        <v>1.30007790746858E-2</v>
      </c>
      <c r="E57" s="29">
        <v>746182.83467725199</v>
      </c>
      <c r="F57" s="30">
        <v>4.1115025250084702E-2</v>
      </c>
      <c r="G57" s="29">
        <v>499181.30654685001</v>
      </c>
      <c r="H57" s="30">
        <v>1.42935561005662E-2</v>
      </c>
      <c r="I57" s="29">
        <v>406109.27757337602</v>
      </c>
      <c r="J57" s="30">
        <v>1.5447624721407901E-2</v>
      </c>
      <c r="K57" s="29">
        <v>93190.385571797204</v>
      </c>
      <c r="L57" s="30">
        <v>9.5172852917755294E-3</v>
      </c>
      <c r="M57" s="29">
        <v>247571.560969785</v>
      </c>
      <c r="N57" s="30">
        <v>0.102559843293668</v>
      </c>
      <c r="O57" s="29">
        <v>209556.20692628901</v>
      </c>
      <c r="P57" s="30">
        <v>-5.35734333628191E-3</v>
      </c>
      <c r="Q57" s="29">
        <v>57341.504384437299</v>
      </c>
      <c r="R57" s="30">
        <v>-4.6428689692792303E-3</v>
      </c>
      <c r="S57" s="29">
        <v>152607.748970652</v>
      </c>
      <c r="T57" s="30">
        <v>-5.6536532093908196E-3</v>
      </c>
      <c r="U57" s="29"/>
      <c r="V57" s="30"/>
      <c r="W57" s="29"/>
      <c r="X57" s="30"/>
      <c r="Y57" s="29"/>
      <c r="Z57" s="30"/>
      <c r="AA57" s="29">
        <v>569495.79395540396</v>
      </c>
      <c r="AB57" s="30">
        <v>4.8061870212877902E-2</v>
      </c>
      <c r="AC57" s="29">
        <v>424416.10270892101</v>
      </c>
      <c r="AD57" s="30">
        <v>7.0680117934777797E-2</v>
      </c>
      <c r="AE57" s="29">
        <v>335767.65214389301</v>
      </c>
      <c r="AF57" s="30">
        <v>4.5540524103768097E-2</v>
      </c>
      <c r="AG57" s="29">
        <v>280769.18333552702</v>
      </c>
      <c r="AH57" s="30">
        <v>2.01985164579692E-2</v>
      </c>
      <c r="AI57" s="29">
        <v>145284.88610899801</v>
      </c>
      <c r="AJ57" s="30">
        <v>-1.21769191101385E-2</v>
      </c>
      <c r="AK57" s="29">
        <v>506294.623242211</v>
      </c>
      <c r="AL57" s="30">
        <v>9.7005666708846999E-2</v>
      </c>
      <c r="AM57" s="29">
        <v>350465.45331328799</v>
      </c>
      <c r="AN57" s="30">
        <v>0.166844519813485</v>
      </c>
      <c r="AO57" s="29">
        <v>249011.27064188599</v>
      </c>
      <c r="AP57" s="30">
        <v>9.0479542864333407E-2</v>
      </c>
      <c r="AQ57" s="29">
        <v>237456.301277619</v>
      </c>
      <c r="AR57" s="30">
        <v>8.3175018387125196E-2</v>
      </c>
      <c r="AS57" s="29">
        <v>156182.18119474599</v>
      </c>
      <c r="AT57" s="30">
        <v>-3.0905173476368598E-2</v>
      </c>
      <c r="AU57" s="29">
        <v>1169329.99741114</v>
      </c>
      <c r="AV57" s="30">
        <v>9.2913926655975292E-3</v>
      </c>
      <c r="AW57" s="29">
        <v>708658.73959617596</v>
      </c>
      <c r="AX57" s="30">
        <v>8.3651717637800403E-3</v>
      </c>
      <c r="AY57" s="29">
        <v>461081.48023229599</v>
      </c>
      <c r="AZ57" s="30">
        <v>1.06820273151254E-2</v>
      </c>
      <c r="BA57" s="29">
        <v>316442.07664766</v>
      </c>
      <c r="BB57" s="30">
        <v>2.2086611104076299E-2</v>
      </c>
      <c r="BC57" s="29">
        <v>393038.47918442701</v>
      </c>
      <c r="BD57" s="30">
        <v>3.3038890392078898E-2</v>
      </c>
      <c r="BE57" s="29"/>
      <c r="BF57" s="30"/>
    </row>
    <row r="58" spans="1:58" x14ac:dyDescent="0.2">
      <c r="A58" s="28"/>
      <c r="B58" s="28"/>
      <c r="C58" s="29"/>
      <c r="D58" s="30"/>
      <c r="E58" s="29"/>
      <c r="F58" s="30"/>
      <c r="G58" s="29"/>
      <c r="H58" s="30"/>
      <c r="I58" s="29"/>
      <c r="J58" s="30"/>
      <c r="K58" s="29"/>
      <c r="L58" s="30"/>
      <c r="M58" s="29"/>
      <c r="N58" s="30"/>
      <c r="O58" s="29"/>
      <c r="P58" s="30"/>
      <c r="Q58" s="29"/>
      <c r="R58" s="30"/>
      <c r="S58" s="29"/>
      <c r="T58" s="30"/>
      <c r="U58" s="29"/>
      <c r="V58" s="30"/>
      <c r="W58" s="29"/>
      <c r="X58" s="30"/>
      <c r="Y58" s="29"/>
      <c r="Z58" s="30"/>
      <c r="AA58" s="29"/>
      <c r="AB58" s="30"/>
      <c r="AC58" s="29"/>
      <c r="AD58" s="30"/>
      <c r="AE58" s="29"/>
      <c r="AF58" s="30"/>
      <c r="AG58" s="29"/>
      <c r="AH58" s="30"/>
      <c r="AI58" s="29"/>
      <c r="AJ58" s="30"/>
      <c r="AK58" s="29"/>
      <c r="AL58" s="30"/>
      <c r="AM58" s="29"/>
      <c r="AN58" s="30"/>
      <c r="AO58" s="29"/>
      <c r="AP58" s="30"/>
      <c r="AQ58" s="29"/>
      <c r="AR58" s="30"/>
      <c r="AS58" s="29"/>
      <c r="AT58" s="30"/>
      <c r="AU58" s="29"/>
      <c r="AV58" s="30"/>
      <c r="AW58" s="29"/>
      <c r="AX58" s="30"/>
      <c r="AY58" s="29"/>
      <c r="AZ58" s="30"/>
      <c r="BA58" s="29"/>
      <c r="BB58" s="30"/>
      <c r="BC58" s="29"/>
      <c r="BD58" s="30"/>
      <c r="BE58" s="29"/>
      <c r="BF58" s="30"/>
    </row>
  </sheetData>
  <sheetProtection password="DD0B" sheet="1"/>
  <mergeCells count="65">
    <mergeCell ref="BC6:BD10"/>
    <mergeCell ref="BA7:BB10"/>
    <mergeCell ref="AU6:AV10"/>
    <mergeCell ref="AS11:AT11"/>
    <mergeCell ref="AS7:AT10"/>
    <mergeCell ref="AU11:AV11"/>
    <mergeCell ref="AW11:AX11"/>
    <mergeCell ref="AY11:AZ11"/>
    <mergeCell ref="BA11:BB11"/>
    <mergeCell ref="BC11:BD11"/>
    <mergeCell ref="AM11:AN11"/>
    <mergeCell ref="AO11:AP11"/>
    <mergeCell ref="AM8:AN10"/>
    <mergeCell ref="AO8:AP10"/>
    <mergeCell ref="AQ8:AR10"/>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C11:D11"/>
    <mergeCell ref="E11:F11"/>
    <mergeCell ref="G11:H11"/>
    <mergeCell ref="I11:J11"/>
    <mergeCell ref="K11:L11"/>
    <mergeCell ref="M11:N11"/>
    <mergeCell ref="G7:H10"/>
    <mergeCell ref="I7:J10"/>
    <mergeCell ref="K7:L10"/>
    <mergeCell ref="M7:N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Q8:R10"/>
    <mergeCell ref="S8:T10"/>
    <mergeCell ref="AC8:AD10"/>
    <mergeCell ref="AG8:AH10"/>
    <mergeCell ref="O7:T7"/>
    <mergeCell ref="AE8:AF10"/>
    <mergeCell ref="W7:X10"/>
    <mergeCell ref="AA7:AB10"/>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le09"/>
  <dimension ref="A1:BJ58"/>
  <sheetViews>
    <sheetView showGridLines="0" workbookViewId="0">
      <pane xSplit="2" ySplit="11" topLeftCell="C12" activePane="bottomRight" state="frozen"/>
      <selection pane="topRight"/>
      <selection pane="bottomLeft"/>
      <selection pane="bottomRight"/>
    </sheetView>
  </sheetViews>
  <sheetFormatPr baseColWidth="10" defaultRowHeight="10" x14ac:dyDescent="0.2"/>
  <cols>
    <col min="1" max="1" width="9.77734375" customWidth="1"/>
    <col min="2" max="2" width="2.6640625" customWidth="1"/>
    <col min="3" max="58" width="9.77734375" customWidth="1"/>
    <col min="59" max="256" width="10.33203125" customWidth="1"/>
  </cols>
  <sheetData>
    <row r="1" spans="1:62" ht="11.25" customHeight="1" x14ac:dyDescent="0.25">
      <c r="A1" s="6" t="str">
        <f ca="1">IF(INDIRECT("beschriftung!"&amp;ADDRESS(beschriftung!$C$1*12+ROW(beschriftung!$A1)-1,COLUMN(beschriftung!B$1)))="","",INDIRECT("beschriftung!"&amp;ADDRESS(beschriftung!$C$1*12+ROW(beschriftung!$A1)-1,COLUMN(beschriftung!B$1))))</f>
        <v>ESA 2010, Annual aggregates of Gross Domestic Product, expenditure approach (SFSO, SECO), raw data</v>
      </c>
      <c r="C1" s="21"/>
      <c r="D1" s="19"/>
      <c r="E1" s="21"/>
      <c r="F1" s="19"/>
      <c r="G1" s="21"/>
      <c r="H1" s="19"/>
      <c r="I1" s="21"/>
      <c r="J1" s="19"/>
      <c r="K1" s="21"/>
      <c r="L1" s="19"/>
      <c r="M1" s="21"/>
      <c r="N1" s="19"/>
      <c r="O1" s="21"/>
      <c r="P1" s="19"/>
      <c r="Q1" s="21"/>
      <c r="R1" s="19"/>
      <c r="S1" s="21"/>
      <c r="T1" s="19"/>
      <c r="U1" s="21"/>
      <c r="V1" s="19"/>
      <c r="W1" s="21"/>
      <c r="X1" s="19"/>
      <c r="Y1" s="21"/>
      <c r="Z1" s="19"/>
      <c r="AA1" s="21"/>
      <c r="AB1" s="19"/>
      <c r="AC1" s="21"/>
      <c r="AD1" s="19"/>
      <c r="AE1" s="21"/>
      <c r="AF1" s="19"/>
      <c r="AG1" s="21"/>
      <c r="AH1" s="19"/>
      <c r="AI1" s="21"/>
      <c r="AJ1" s="19"/>
      <c r="AK1" s="21"/>
      <c r="AL1" s="19"/>
      <c r="AM1" s="21"/>
      <c r="AN1" s="19"/>
      <c r="AO1" s="21"/>
      <c r="AP1" s="19"/>
      <c r="AQ1" s="21"/>
      <c r="AR1" s="19"/>
      <c r="AS1" s="21"/>
      <c r="AT1" s="19"/>
      <c r="AU1" s="21"/>
      <c r="AW1" s="21"/>
      <c r="BA1" s="21"/>
    </row>
    <row r="2" spans="1:62" ht="11.25" customHeight="1" x14ac:dyDescent="0.2">
      <c r="A2" s="4" t="str">
        <f ca="1">IF(INDIRECT("beschriftung!"&amp;ADDRESS(beschriftung!$C$1*12+ROW(beschriftung!$A4)-1,COLUMN(beschriftung!B$1)))="","",INDIRECT("beschriftung!"&amp;ADDRESS(beschriftung!$C$1*12+ROW(beschriftung!$A4)-1,COLUMN(beschriftung!B$1))))</f>
        <v>Implicit chain price indexes, year-on-year growth rates</v>
      </c>
      <c r="C2" s="21"/>
      <c r="D2" s="19"/>
      <c r="E2" s="21"/>
      <c r="F2" s="19"/>
      <c r="G2" s="21"/>
      <c r="H2" s="19"/>
      <c r="I2" s="21"/>
      <c r="J2" s="19"/>
      <c r="K2" s="21"/>
      <c r="L2" s="19"/>
      <c r="M2" s="21"/>
      <c r="N2" s="19"/>
      <c r="O2" s="21"/>
      <c r="P2" s="19"/>
      <c r="Q2" s="21"/>
      <c r="R2" s="19"/>
      <c r="S2" s="21"/>
      <c r="T2" s="19"/>
      <c r="U2" s="21"/>
      <c r="V2" s="19"/>
      <c r="W2" s="21"/>
      <c r="X2" s="19"/>
      <c r="Y2" s="21"/>
      <c r="Z2" s="19"/>
      <c r="AA2" s="21"/>
      <c r="AB2" s="19"/>
      <c r="AC2" s="21"/>
      <c r="AD2" s="19"/>
      <c r="AE2" s="21"/>
      <c r="AF2" s="19"/>
      <c r="AG2" s="21"/>
      <c r="AH2" s="19"/>
      <c r="AI2" s="21"/>
      <c r="AJ2" s="19"/>
      <c r="AK2" s="21"/>
      <c r="AL2" s="19"/>
      <c r="AM2" s="21"/>
      <c r="AN2" s="19"/>
      <c r="AO2" s="21"/>
      <c r="AP2" s="19"/>
      <c r="AQ2" s="21"/>
      <c r="AR2" s="19"/>
      <c r="AS2" s="21"/>
      <c r="AT2" s="19"/>
      <c r="AU2" s="21"/>
      <c r="AW2" s="21"/>
      <c r="BA2" s="21"/>
    </row>
    <row r="3" spans="1:62" ht="11.25" customHeight="1" x14ac:dyDescent="0.2">
      <c r="A3" s="4" t="str">
        <f ca="1">IF(INDIRECT("beschriftung!"&amp;ADDRESS(beschriftung!$C$1*12+ROW(beschriftung!$A5)-1,COLUMN(beschriftung!B$1)))="","",INDIRECT("beschriftung!"&amp;ADDRESS(beschriftung!$C$1*12+ROW(beschriftung!$A5)-1,COLUMN(beschriftung!B$1))))</f>
        <v/>
      </c>
      <c r="C3" s="21"/>
      <c r="D3" s="19"/>
      <c r="E3" s="21"/>
      <c r="F3" s="19"/>
      <c r="G3" s="21"/>
      <c r="H3" s="19"/>
      <c r="I3" s="21"/>
      <c r="J3" s="19"/>
      <c r="K3" s="21"/>
      <c r="L3" s="19"/>
      <c r="M3" s="21"/>
      <c r="N3" s="19"/>
      <c r="O3" s="21"/>
      <c r="P3" s="19"/>
      <c r="Q3" s="21"/>
      <c r="R3" s="19"/>
      <c r="S3" s="21"/>
      <c r="T3" s="19"/>
      <c r="U3" s="21"/>
      <c r="V3" s="19"/>
      <c r="W3" s="21"/>
      <c r="X3" s="19"/>
      <c r="Y3" s="21"/>
      <c r="Z3" s="19"/>
      <c r="AA3" s="21"/>
      <c r="AB3" s="19"/>
      <c r="AC3" s="21"/>
      <c r="AD3" s="19"/>
      <c r="AE3" s="21"/>
      <c r="AF3" s="19"/>
      <c r="AG3" s="21"/>
      <c r="AH3" s="19"/>
      <c r="AI3" s="21"/>
      <c r="AJ3" s="19"/>
      <c r="AK3" s="21"/>
      <c r="AL3" s="19"/>
      <c r="AM3" s="21"/>
      <c r="AN3" s="19"/>
      <c r="AO3" s="21"/>
      <c r="AP3" s="19"/>
      <c r="AQ3" s="21"/>
      <c r="AR3" s="19"/>
      <c r="AS3" s="21"/>
      <c r="AT3" s="19"/>
      <c r="AU3" s="21"/>
      <c r="AW3" s="21"/>
      <c r="BA3" s="21"/>
    </row>
    <row r="4" spans="1:62" ht="11.25" customHeight="1" x14ac:dyDescent="0.2">
      <c r="A4" s="9"/>
      <c r="C4" s="43" t="str">
        <f ca="1">IF(INDIRECT("beschriftung!"&amp;ADDRESS(beschriftung!$C$1*12+ROW(beschriftung!$A5)-1,COLUMN(beschriftung!C$1)))="","",INDIRECT("beschriftung!"&amp;ADDRESS(beschriftung!$C$1*12+ROW(beschriftung!$A5)-1,COLUMN(beschriftung!C$1))))</f>
        <v>Gross domestic product</v>
      </c>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4"/>
      <c r="AU4" s="12"/>
      <c r="AV4" s="12"/>
      <c r="AW4" s="12"/>
      <c r="AX4" s="12"/>
      <c r="AY4" s="12"/>
      <c r="AZ4" s="12"/>
      <c r="BA4" s="12"/>
      <c r="BB4" s="12"/>
      <c r="BC4" s="5"/>
      <c r="BD4" s="5"/>
      <c r="BE4" s="5"/>
      <c r="BF4" s="5"/>
      <c r="BG4" s="5"/>
      <c r="BH4" s="5"/>
      <c r="BI4" s="5"/>
      <c r="BJ4" s="5"/>
    </row>
    <row r="5" spans="1:62" ht="11.25" customHeight="1" x14ac:dyDescent="0.2">
      <c r="A5" s="9"/>
      <c r="C5" s="45"/>
      <c r="D5" s="46"/>
      <c r="E5" s="43" t="str">
        <f ca="1">IF(INDIRECT("beschriftung!"&amp;ADDRESS(beschriftung!$C$1*12+ROW(beschriftung!$A6)-1,COLUMN(beschriftung!E$1)))="","",INDIRECT("beschriftung!"&amp;ADDRESS(beschriftung!$C$1*12+ROW(beschriftung!$A6)-1,COLUMN(beschriftung!E$1))))</f>
        <v>Internal demand</v>
      </c>
      <c r="F5" s="47"/>
      <c r="G5" s="47"/>
      <c r="H5" s="47"/>
      <c r="I5" s="47"/>
      <c r="J5" s="47"/>
      <c r="K5" s="47"/>
      <c r="L5" s="47"/>
      <c r="M5" s="47"/>
      <c r="N5" s="47"/>
      <c r="O5" s="47"/>
      <c r="P5" s="47"/>
      <c r="Q5" s="47"/>
      <c r="R5" s="47"/>
      <c r="S5" s="47"/>
      <c r="T5" s="47"/>
      <c r="U5" s="47"/>
      <c r="V5" s="47"/>
      <c r="W5" s="47"/>
      <c r="X5" s="44"/>
      <c r="Y5" s="43" t="str">
        <f ca="1">IF(INDIRECT("beschriftung!"&amp;ADDRESS(beschriftung!$C$1*12+ROW(beschriftung!$A6)-1,COLUMN(beschriftung!Y$1)))="","",INDIRECT("beschriftung!"&amp;ADDRESS(beschriftung!$C$1*12+ROW(beschriftung!$A6)-1,COLUMN(beschriftung!Y$1))))</f>
        <v>Trade balance (goods and services)</v>
      </c>
      <c r="Z5" s="47"/>
      <c r="AA5" s="47"/>
      <c r="AB5" s="47"/>
      <c r="AC5" s="47"/>
      <c r="AD5" s="47"/>
      <c r="AE5" s="47"/>
      <c r="AF5" s="47"/>
      <c r="AG5" s="47"/>
      <c r="AH5" s="47"/>
      <c r="AI5" s="47"/>
      <c r="AJ5" s="47"/>
      <c r="AK5" s="47"/>
      <c r="AL5" s="47"/>
      <c r="AM5" s="47"/>
      <c r="AN5" s="47"/>
      <c r="AO5" s="47"/>
      <c r="AP5" s="47"/>
      <c r="AQ5" s="47"/>
      <c r="AR5" s="47"/>
      <c r="AS5" s="47"/>
      <c r="AT5" s="47"/>
      <c r="AU5" s="50" t="str">
        <f ca="1">IF(INDIRECT("beschriftung!"&amp;ADDRESS(beschriftung!$C$1*12+ROW(beschriftung!$A6)-1,COLUMN(beschriftung!AU$1)))="","",INDIRECT("beschriftung!"&amp;ADDRESS(beschriftung!$C$1*12+ROW(beschriftung!$A6)-1,COLUMN(beschriftung!AU$1))))</f>
        <v>Global demand excluding inventories change, stat. discrepancies and valuables</v>
      </c>
      <c r="AV5" s="51"/>
      <c r="AW5" s="51"/>
      <c r="AX5" s="51"/>
      <c r="AY5" s="51"/>
      <c r="AZ5" s="51"/>
      <c r="BA5" s="51"/>
      <c r="BB5" s="51"/>
      <c r="BC5" s="22"/>
      <c r="BD5" s="13"/>
      <c r="BE5" s="14"/>
      <c r="BF5" s="14"/>
      <c r="BG5" s="14"/>
      <c r="BH5" s="14"/>
      <c r="BI5" s="14"/>
      <c r="BJ5" s="14"/>
    </row>
    <row r="6" spans="1:62" ht="11.25" customHeight="1" x14ac:dyDescent="0.2">
      <c r="A6" s="9"/>
      <c r="C6" s="45"/>
      <c r="D6" s="46"/>
      <c r="E6" s="45"/>
      <c r="F6" s="46"/>
      <c r="G6" s="43" t="str">
        <f ca="1">IF(INDIRECT("beschriftung!"&amp;ADDRESS(beschriftung!$C$1*12+ROW(beschriftung!$A7)-1,COLUMN(beschriftung!G$1)))="","",INDIRECT("beschriftung!"&amp;ADDRESS(beschriftung!$C$1*12+ROW(beschriftung!$A7)-1,COLUMN(beschriftung!G$1))))</f>
        <v>Final consumption expenditure</v>
      </c>
      <c r="H6" s="47"/>
      <c r="I6" s="47"/>
      <c r="J6" s="47"/>
      <c r="K6" s="47"/>
      <c r="L6" s="44"/>
      <c r="M6" s="43" t="str">
        <f ca="1">IF(INDIRECT("beschriftung!"&amp;ADDRESS(beschriftung!$C$1*12+ROW(beschriftung!$A7)-1,COLUMN(beschriftung!M$1)))="","",INDIRECT("beschriftung!"&amp;ADDRESS(beschriftung!$C$1*12+ROW(beschriftung!$A7)-1,COLUMN(beschriftung!M$1))))</f>
        <v xml:space="preserve">Gross capital formation </v>
      </c>
      <c r="N6" s="47"/>
      <c r="O6" s="47"/>
      <c r="P6" s="47"/>
      <c r="Q6" s="47"/>
      <c r="R6" s="47"/>
      <c r="S6" s="47"/>
      <c r="T6" s="47"/>
      <c r="U6" s="47"/>
      <c r="V6" s="47"/>
      <c r="W6" s="47"/>
      <c r="X6" s="44"/>
      <c r="Y6" s="45"/>
      <c r="Z6" s="46"/>
      <c r="AA6" s="43" t="str">
        <f ca="1">IF(INDIRECT("beschriftung!"&amp;ADDRESS(beschriftung!$C$1*12+ROW(beschriftung!$A7)-1,COLUMN(beschriftung!AA$1)))="","",INDIRECT("beschriftung!"&amp;ADDRESS(beschriftung!$C$1*12+ROW(beschriftung!$A7)-1,COLUMN(beschriftung!AA$1))))</f>
        <v>Exports of goods and services</v>
      </c>
      <c r="AB6" s="47"/>
      <c r="AC6" s="47"/>
      <c r="AD6" s="47"/>
      <c r="AE6" s="47"/>
      <c r="AF6" s="47"/>
      <c r="AG6" s="47"/>
      <c r="AH6" s="47"/>
      <c r="AI6" s="47"/>
      <c r="AJ6" s="44"/>
      <c r="AK6" s="43" t="str">
        <f ca="1">IF(INDIRECT("beschriftung!"&amp;ADDRESS(beschriftung!$C$1*12+ROW(beschriftung!$A7)-1,COLUMN(beschriftung!AK$1)))="","",INDIRECT("beschriftung!"&amp;ADDRESS(beschriftung!$C$1*12+ROW(beschriftung!$A7)-1,COLUMN(beschriftung!AK$1))))</f>
        <v>Imports of goods and services</v>
      </c>
      <c r="AL6" s="47"/>
      <c r="AM6" s="47"/>
      <c r="AN6" s="47"/>
      <c r="AO6" s="47"/>
      <c r="AP6" s="47"/>
      <c r="AQ6" s="47"/>
      <c r="AR6" s="47"/>
      <c r="AS6" s="47"/>
      <c r="AT6" s="47"/>
      <c r="AU6" s="58"/>
      <c r="AV6" s="59"/>
      <c r="AW6" s="52" t="str">
        <f ca="1">IF(INDIRECT("beschriftung!"&amp;ADDRESS(beschriftung!$C$1*12+ROW(beschriftung!$A7)-1,COLUMN(beschriftung!AW$1)))="","",INDIRECT("beschriftung!"&amp;ADDRESS(beschriftung!$C$1*12+ROW(beschriftung!$A7)-1,COLUMN(beschriftung!AW$1))))</f>
        <v>Final domestic demand</v>
      </c>
      <c r="AX6" s="53"/>
      <c r="AY6" s="52" t="str">
        <f ca="1">IF(INDIRECT("beschriftung!"&amp;ADDRESS(beschriftung!$C$1*12+ROW(beschriftung!$A7)-1,COLUMN(beschriftung!AY$1)))="","",INDIRECT("beschriftung!"&amp;ADDRESS(beschriftung!$C$1*12+ROW(beschriftung!$A7)-1,COLUMN(beschriftung!AY$1))))</f>
        <v>Exports of goods and services (excluding valuables)</v>
      </c>
      <c r="AZ6" s="56"/>
      <c r="BA6" s="23"/>
      <c r="BB6" s="15"/>
      <c r="BC6" s="52" t="str">
        <f ca="1">IF(INDIRECT("beschriftung!"&amp;ADDRESS(beschriftung!$C$1*12+ROW(beschriftung!$A7)-1,COLUMN(beschriftung!BC$1)))="","",INDIRECT("beschriftung!"&amp;ADDRESS(beschriftung!$C$1*12+ROW(beschriftung!$A7)-1,COLUMN(beschriftung!BC$1))))</f>
        <v>Imports of goods and services (excluding valuables)</v>
      </c>
      <c r="BD6" s="53"/>
    </row>
    <row r="7" spans="1:62" ht="11.25" customHeight="1" x14ac:dyDescent="0.2">
      <c r="A7" s="10"/>
      <c r="B7" s="10"/>
      <c r="C7" s="45"/>
      <c r="D7" s="46"/>
      <c r="E7" s="45"/>
      <c r="F7" s="46"/>
      <c r="G7" s="45"/>
      <c r="H7" s="46"/>
      <c r="I7" s="43" t="str">
        <f ca="1">IF(INDIRECT("beschriftung!"&amp;ADDRESS(beschriftung!$C$1*12+ROW(beschriftung!$A8)-1,COLUMN(beschriftung!I$1)))="","",INDIRECT("beschriftung!"&amp;ADDRESS(beschriftung!$C$1*12+ROW(beschriftung!$A8)-1,COLUMN(beschriftung!I$1))))</f>
        <v>Households and NPISH</v>
      </c>
      <c r="J7" s="44"/>
      <c r="K7" s="43" t="str">
        <f ca="1">IF(INDIRECT("beschriftung!"&amp;ADDRESS(beschriftung!$C$1*12+ROW(beschriftung!$A8)-1,COLUMN(beschriftung!K$1)))="","",INDIRECT("beschriftung!"&amp;ADDRESS(beschriftung!$C$1*12+ROW(beschriftung!$A8)-1,COLUMN(beschriftung!K$1))))</f>
        <v>General government</v>
      </c>
      <c r="L7" s="44"/>
      <c r="M7" s="45"/>
      <c r="N7" s="46"/>
      <c r="O7" s="43" t="str">
        <f ca="1">IF(INDIRECT("beschriftung!"&amp;ADDRESS(beschriftung!$C$1*12+ROW(beschriftung!$A8)-1,COLUMN(beschriftung!O$1)))="","",INDIRECT("beschriftung!"&amp;ADDRESS(beschriftung!$C$1*12+ROW(beschriftung!$A8)-1,COLUMN(beschriftung!O$1))))</f>
        <v>Gross fixed capital formation</v>
      </c>
      <c r="P7" s="47"/>
      <c r="Q7" s="47"/>
      <c r="R7" s="47"/>
      <c r="S7" s="47"/>
      <c r="T7" s="44"/>
      <c r="U7" s="43" t="str">
        <f ca="1">IF(INDIRECT("beschriftung!"&amp;ADDRESS(beschriftung!$C$1*12+ROW(beschriftung!$A8)-1,COLUMN(beschriftung!U$1)))="","",INDIRECT("beschriftung!"&amp;ADDRESS(beschriftung!$C$1*12+ROW(beschriftung!$A8)-1,COLUMN(beschriftung!U$1))))</f>
        <v>Changes in inventories and statistical discrepancies</v>
      </c>
      <c r="V7" s="44"/>
      <c r="W7" s="43" t="str">
        <f ca="1">IF(INDIRECT("beschriftung!"&amp;ADDRESS(beschriftung!$C$1*12+ROW(beschriftung!$A8)-1,COLUMN(beschriftung!W$1)))="","",INDIRECT("beschriftung!"&amp;ADDRESS(beschriftung!$C$1*12+ROW(beschriftung!$A8)-1,COLUMN(beschriftung!W$1))))</f>
        <v>Acquisitions less disposals of valuables (including non-monetary gold)</v>
      </c>
      <c r="X7" s="44"/>
      <c r="Y7" s="45"/>
      <c r="Z7" s="46"/>
      <c r="AA7" s="45"/>
      <c r="AB7" s="46"/>
      <c r="AC7" s="43" t="str">
        <f ca="1">IF(INDIRECT("beschriftung!"&amp;ADDRESS(beschriftung!$C$1*12+ROW(beschriftung!$A8)-1,COLUMN(beschriftung!AC$1)))="","",INDIRECT("beschriftung!"&amp;ADDRESS(beschriftung!$C$1*12+ROW(beschriftung!$A8)-1,COLUMN(beschriftung!AC$1))))</f>
        <v>Exports (exp.) of goods</v>
      </c>
      <c r="AD7" s="47"/>
      <c r="AE7" s="47"/>
      <c r="AF7" s="47"/>
      <c r="AG7" s="47"/>
      <c r="AH7" s="44"/>
      <c r="AI7" s="43" t="str">
        <f ca="1">IF(INDIRECT("beschriftung!"&amp;ADDRESS(beschriftung!$C$1*12+ROW(beschriftung!$A8)-1,COLUMN(beschriftung!AI$1)))="","",INDIRECT("beschriftung!"&amp;ADDRESS(beschriftung!$C$1*12+ROW(beschriftung!$A8)-1,COLUMN(beschriftung!AI$1))))</f>
        <v>Exports of services</v>
      </c>
      <c r="AJ7" s="44"/>
      <c r="AK7" s="45"/>
      <c r="AL7" s="46"/>
      <c r="AM7" s="43" t="str">
        <f ca="1">IF(INDIRECT("beschriftung!"&amp;ADDRESS(beschriftung!$C$1*12+ROW(beschriftung!$A8)-1,COLUMN(beschriftung!AM$1)))="","",INDIRECT("beschriftung!"&amp;ADDRESS(beschriftung!$C$1*12+ROW(beschriftung!$A8)-1,COLUMN(beschriftung!AM$1))))</f>
        <v>Imports (imp.) of goods</v>
      </c>
      <c r="AN7" s="47"/>
      <c r="AO7" s="47"/>
      <c r="AP7" s="47"/>
      <c r="AQ7" s="47"/>
      <c r="AR7" s="44"/>
      <c r="AS7" s="43" t="str">
        <f ca="1">IF(INDIRECT("beschriftung!"&amp;ADDRESS(beschriftung!$C$1*12+ROW(beschriftung!$A8)-1,COLUMN(beschriftung!AS$1)))="","",INDIRECT("beschriftung!"&amp;ADDRESS(beschriftung!$C$1*12+ROW(beschriftung!$A8)-1,COLUMN(beschriftung!AS$1))))</f>
        <v>Imports of services</v>
      </c>
      <c r="AT7" s="47"/>
      <c r="AU7" s="58"/>
      <c r="AV7" s="59"/>
      <c r="AW7" s="54"/>
      <c r="AX7" s="55"/>
      <c r="AY7" s="54"/>
      <c r="AZ7" s="57"/>
      <c r="BA7" s="52" t="str">
        <f ca="1">IF(INDIRECT("beschriftung!"&amp;ADDRESS(beschriftung!$C$1*12+ROW(beschriftung!$A8)-1,COLUMN(beschriftung!BA$1)))="","",INDIRECT("beschriftung!"&amp;ADDRESS(beschriftung!$C$1*12+ROW(beschriftung!$A8)-1,COLUMN(beschriftung!BA$1))))</f>
        <v>thereof exports of goods excluding valuables</v>
      </c>
      <c r="BB7" s="53"/>
      <c r="BC7" s="54"/>
      <c r="BD7" s="55"/>
    </row>
    <row r="8" spans="1:62" ht="11.25" customHeight="1" x14ac:dyDescent="0.2">
      <c r="A8" s="11"/>
      <c r="B8" s="11"/>
      <c r="C8" s="45"/>
      <c r="D8" s="46"/>
      <c r="E8" s="45"/>
      <c r="F8" s="46"/>
      <c r="G8" s="45"/>
      <c r="H8" s="46"/>
      <c r="I8" s="45"/>
      <c r="J8" s="46"/>
      <c r="K8" s="45"/>
      <c r="L8" s="46"/>
      <c r="M8" s="45"/>
      <c r="N8" s="46"/>
      <c r="O8" s="45"/>
      <c r="P8" s="46"/>
      <c r="Q8" s="43" t="str">
        <f ca="1">IF(INDIRECT("beschriftung!"&amp;ADDRESS(beschriftung!$C$1*12+ROW(beschriftung!$A9)-1,COLUMN(beschriftung!Q$1)))="","",INDIRECT("beschriftung!"&amp;ADDRESS(beschriftung!$C$1*12+ROW(beschriftung!$A9)-1,COLUMN(beschriftung!Q$1))))</f>
        <v>Construction</v>
      </c>
      <c r="R8" s="44"/>
      <c r="S8" s="43" t="str">
        <f ca="1">IF(INDIRECT("beschriftung!"&amp;ADDRESS(beschriftung!$C$1*12+ROW(beschriftung!$A9)-1,COLUMN(beschriftung!S$1)))="","",INDIRECT("beschriftung!"&amp;ADDRESS(beschriftung!$C$1*12+ROW(beschriftung!$A9)-1,COLUMN(beschriftung!S$1))))</f>
        <v>Fixed assets and software</v>
      </c>
      <c r="T8" s="44"/>
      <c r="U8" s="45"/>
      <c r="V8" s="46"/>
      <c r="W8" s="45"/>
      <c r="X8" s="46"/>
      <c r="Y8" s="45"/>
      <c r="Z8" s="46"/>
      <c r="AA8" s="45"/>
      <c r="AB8" s="46"/>
      <c r="AC8" s="45"/>
      <c r="AD8" s="46"/>
      <c r="AE8" s="43" t="str">
        <f ca="1">IF(INDIRECT("beschriftung!"&amp;ADDRESS(beschriftung!$C$1*12+ROW(beschriftung!$A9)-1,COLUMN(beschriftung!AE$1)))="","",INDIRECT("beschriftung!"&amp;ADDRESS(beschriftung!$C$1*12+ROW(beschriftung!$A9)-1,COLUMN(beschriftung!AE$1))))</f>
        <v xml:space="preserve">thereof exp. of goods excluding non-monetary gold </v>
      </c>
      <c r="AF8" s="44"/>
      <c r="AG8" s="43" t="str">
        <f ca="1">IF(INDIRECT("beschriftung!"&amp;ADDRESS(beschriftung!$C$1*12+ROW(beschriftung!$A9)-1,COLUMN(beschriftung!AG$1)))="","",INDIRECT("beschriftung!"&amp;ADDRESS(beschriftung!$C$1*12+ROW(beschriftung!$A9)-1,COLUMN(beschriftung!AG$1))))</f>
        <v>thereof exp. of goods excluding valuables and merchanting</v>
      </c>
      <c r="AH8" s="44"/>
      <c r="AI8" s="45"/>
      <c r="AJ8" s="46"/>
      <c r="AK8" s="45"/>
      <c r="AL8" s="46"/>
      <c r="AM8" s="45"/>
      <c r="AN8" s="46"/>
      <c r="AO8" s="43" t="str">
        <f ca="1">IF(INDIRECT("beschriftung!"&amp;ADDRESS(beschriftung!$C$1*12+ROW(beschriftung!$A9)-1,COLUMN(beschriftung!AO$1)))="","",INDIRECT("beschriftung!"&amp;ADDRESS(beschriftung!$C$1*12+ROW(beschriftung!$A9)-1,COLUMN(beschriftung!AO$1))))</f>
        <v>thereof imp. of goods excluding non-monetary gold</v>
      </c>
      <c r="AP8" s="44"/>
      <c r="AQ8" s="43" t="str">
        <f ca="1">IF(INDIRECT("beschriftung!"&amp;ADDRESS(beschriftung!$C$1*12+ROW(beschriftung!$A9)-1,COLUMN(beschriftung!AQ$1)))="","",INDIRECT("beschriftung!"&amp;ADDRESS(beschriftung!$C$1*12+ROW(beschriftung!$A9)-1,COLUMN(beschriftung!AQ$1))))</f>
        <v>thereof imp. of goods excluding valuables</v>
      </c>
      <c r="AR8" s="44"/>
      <c r="AS8" s="45"/>
      <c r="AT8" s="61"/>
      <c r="AU8" s="58"/>
      <c r="AV8" s="59"/>
      <c r="AW8" s="54"/>
      <c r="AX8" s="55"/>
      <c r="AY8" s="54"/>
      <c r="AZ8" s="57"/>
      <c r="BA8" s="54"/>
      <c r="BB8" s="55"/>
      <c r="BC8" s="54"/>
      <c r="BD8" s="55"/>
    </row>
    <row r="9" spans="1:62" ht="11.25" customHeight="1" x14ac:dyDescent="0.2">
      <c r="A9" s="11"/>
      <c r="B9" s="11"/>
      <c r="C9" s="45"/>
      <c r="D9" s="46"/>
      <c r="E9" s="45"/>
      <c r="F9" s="46"/>
      <c r="G9" s="45"/>
      <c r="H9" s="46"/>
      <c r="I9" s="45"/>
      <c r="J9" s="46"/>
      <c r="K9" s="45"/>
      <c r="L9" s="46"/>
      <c r="M9" s="45"/>
      <c r="N9" s="46"/>
      <c r="O9" s="45"/>
      <c r="P9" s="46"/>
      <c r="Q9" s="45"/>
      <c r="R9" s="46"/>
      <c r="S9" s="45"/>
      <c r="T9" s="46"/>
      <c r="U9" s="45"/>
      <c r="V9" s="46"/>
      <c r="W9" s="45"/>
      <c r="X9" s="46"/>
      <c r="Y9" s="45"/>
      <c r="Z9" s="46"/>
      <c r="AA9" s="45"/>
      <c r="AB9" s="46"/>
      <c r="AC9" s="45"/>
      <c r="AD9" s="46"/>
      <c r="AE9" s="45"/>
      <c r="AF9" s="46"/>
      <c r="AG9" s="45"/>
      <c r="AH9" s="46"/>
      <c r="AI9" s="45"/>
      <c r="AJ9" s="46"/>
      <c r="AK9" s="45"/>
      <c r="AL9" s="46"/>
      <c r="AM9" s="45"/>
      <c r="AN9" s="46"/>
      <c r="AO9" s="45"/>
      <c r="AP9" s="46"/>
      <c r="AQ9" s="45"/>
      <c r="AR9" s="46"/>
      <c r="AS9" s="45"/>
      <c r="AT9" s="61"/>
      <c r="AU9" s="58"/>
      <c r="AV9" s="59"/>
      <c r="AW9" s="54"/>
      <c r="AX9" s="55"/>
      <c r="AY9" s="54"/>
      <c r="AZ9" s="57"/>
      <c r="BA9" s="54"/>
      <c r="BB9" s="55"/>
      <c r="BC9" s="54"/>
      <c r="BD9" s="55"/>
    </row>
    <row r="10" spans="1:62" ht="11.25" customHeight="1" x14ac:dyDescent="0.2">
      <c r="A10" s="11"/>
      <c r="B10" s="10"/>
      <c r="C10" s="45"/>
      <c r="D10" s="46"/>
      <c r="E10" s="45"/>
      <c r="F10" s="46"/>
      <c r="G10" s="45"/>
      <c r="H10" s="46"/>
      <c r="I10" s="45"/>
      <c r="J10" s="46"/>
      <c r="K10" s="45"/>
      <c r="L10" s="46"/>
      <c r="M10" s="45"/>
      <c r="N10" s="46"/>
      <c r="O10" s="45"/>
      <c r="P10" s="46"/>
      <c r="Q10" s="45"/>
      <c r="R10" s="46"/>
      <c r="S10" s="45"/>
      <c r="T10" s="46"/>
      <c r="U10" s="45"/>
      <c r="V10" s="46"/>
      <c r="W10" s="45"/>
      <c r="X10" s="46"/>
      <c r="Y10" s="45"/>
      <c r="Z10" s="46"/>
      <c r="AA10" s="45"/>
      <c r="AB10" s="46"/>
      <c r="AC10" s="45"/>
      <c r="AD10" s="46"/>
      <c r="AE10" s="45"/>
      <c r="AF10" s="46"/>
      <c r="AG10" s="45"/>
      <c r="AH10" s="46"/>
      <c r="AI10" s="45"/>
      <c r="AJ10" s="46"/>
      <c r="AK10" s="45"/>
      <c r="AL10" s="46"/>
      <c r="AM10" s="45"/>
      <c r="AN10" s="46"/>
      <c r="AO10" s="45"/>
      <c r="AP10" s="46"/>
      <c r="AQ10" s="45"/>
      <c r="AR10" s="46"/>
      <c r="AS10" s="45"/>
      <c r="AT10" s="61"/>
      <c r="AU10" s="58"/>
      <c r="AV10" s="59"/>
      <c r="AW10" s="54"/>
      <c r="AX10" s="55"/>
      <c r="AY10" s="54"/>
      <c r="AZ10" s="57"/>
      <c r="BA10" s="54"/>
      <c r="BB10" s="55"/>
      <c r="BC10" s="54"/>
      <c r="BD10" s="55"/>
    </row>
    <row r="11" spans="1:62" ht="11.25" customHeight="1" x14ac:dyDescent="0.2">
      <c r="A11" s="3"/>
      <c r="B11" s="8"/>
      <c r="C11" s="48" t="s">
        <v>167</v>
      </c>
      <c r="D11" s="49"/>
      <c r="E11" s="48" t="s">
        <v>182</v>
      </c>
      <c r="F11" s="49"/>
      <c r="G11" s="48" t="s">
        <v>168</v>
      </c>
      <c r="H11" s="49"/>
      <c r="I11" s="48" t="s">
        <v>184</v>
      </c>
      <c r="J11" s="49"/>
      <c r="K11" s="48" t="s">
        <v>185</v>
      </c>
      <c r="L11" s="49"/>
      <c r="M11" s="48" t="s">
        <v>169</v>
      </c>
      <c r="N11" s="49"/>
      <c r="O11" s="48" t="s">
        <v>170</v>
      </c>
      <c r="P11" s="49"/>
      <c r="Q11" s="48" t="s">
        <v>171</v>
      </c>
      <c r="R11" s="49"/>
      <c r="S11" s="48" t="s">
        <v>172</v>
      </c>
      <c r="T11" s="49"/>
      <c r="U11" s="48" t="s">
        <v>186</v>
      </c>
      <c r="V11" s="49"/>
      <c r="W11" s="48" t="s">
        <v>173</v>
      </c>
      <c r="X11" s="49"/>
      <c r="Y11" s="48" t="s">
        <v>187</v>
      </c>
      <c r="Z11" s="49"/>
      <c r="AA11" s="48" t="s">
        <v>174</v>
      </c>
      <c r="AB11" s="49"/>
      <c r="AC11" s="48" t="s">
        <v>175</v>
      </c>
      <c r="AD11" s="49"/>
      <c r="AE11" s="48" t="s">
        <v>176</v>
      </c>
      <c r="AF11" s="49"/>
      <c r="AG11" s="48"/>
      <c r="AH11" s="49"/>
      <c r="AI11" s="48" t="s">
        <v>177</v>
      </c>
      <c r="AJ11" s="49"/>
      <c r="AK11" s="48" t="s">
        <v>178</v>
      </c>
      <c r="AL11" s="49"/>
      <c r="AM11" s="48" t="s">
        <v>179</v>
      </c>
      <c r="AN11" s="49"/>
      <c r="AO11" s="48" t="s">
        <v>180</v>
      </c>
      <c r="AP11" s="49"/>
      <c r="AQ11" s="48"/>
      <c r="AR11" s="49"/>
      <c r="AS11" s="48" t="s">
        <v>181</v>
      </c>
      <c r="AT11" s="60"/>
      <c r="AU11" s="62" t="s">
        <v>188</v>
      </c>
      <c r="AV11" s="63"/>
      <c r="AW11" s="62" t="s">
        <v>183</v>
      </c>
      <c r="AX11" s="63"/>
      <c r="AY11" s="62"/>
      <c r="AZ11" s="63"/>
      <c r="BA11" s="62"/>
      <c r="BB11" s="63"/>
      <c r="BC11" s="62"/>
      <c r="BD11" s="63"/>
    </row>
    <row r="12" spans="1:62" x14ac:dyDescent="0.2">
      <c r="A12" s="28">
        <v>1980</v>
      </c>
      <c r="B12" s="28"/>
      <c r="C12" s="31">
        <v>56.690595251614702</v>
      </c>
      <c r="D12" s="30"/>
      <c r="E12" s="31">
        <v>58.717373939859499</v>
      </c>
      <c r="F12" s="30"/>
      <c r="G12" s="31">
        <v>56.911768047222502</v>
      </c>
      <c r="H12" s="30"/>
      <c r="I12" s="31">
        <v>59.437689239323397</v>
      </c>
      <c r="J12" s="30"/>
      <c r="K12" s="31">
        <v>46.048709453528303</v>
      </c>
      <c r="L12" s="30"/>
      <c r="M12" s="31">
        <v>62.372731502845198</v>
      </c>
      <c r="N12" s="30"/>
      <c r="O12" s="31">
        <v>75.853812015861394</v>
      </c>
      <c r="P12" s="30"/>
      <c r="Q12" s="31">
        <v>62.741654066646497</v>
      </c>
      <c r="R12" s="30"/>
      <c r="S12" s="31">
        <v>83.155577537533304</v>
      </c>
      <c r="T12" s="30"/>
      <c r="U12" s="31"/>
      <c r="V12" s="30"/>
      <c r="W12" s="31"/>
      <c r="X12" s="30"/>
      <c r="Y12" s="31"/>
      <c r="Z12" s="30"/>
      <c r="AA12" s="31">
        <v>87.135494495504602</v>
      </c>
      <c r="AB12" s="30"/>
      <c r="AC12" s="31">
        <v>98.9978215564485</v>
      </c>
      <c r="AD12" s="30"/>
      <c r="AE12" s="31">
        <v>92.828748658925207</v>
      </c>
      <c r="AF12" s="30"/>
      <c r="AG12" s="31">
        <v>88.408001872894602</v>
      </c>
      <c r="AH12" s="30"/>
      <c r="AI12" s="31">
        <v>61.502043529748498</v>
      </c>
      <c r="AJ12" s="30"/>
      <c r="AK12" s="31">
        <v>99.503608732222105</v>
      </c>
      <c r="AL12" s="30"/>
      <c r="AM12" s="31">
        <v>105.504788313986</v>
      </c>
      <c r="AN12" s="30"/>
      <c r="AO12" s="31">
        <v>114.37158561513201</v>
      </c>
      <c r="AP12" s="30"/>
      <c r="AQ12" s="31">
        <v>111.296041823328</v>
      </c>
      <c r="AR12" s="30"/>
      <c r="AS12" s="31">
        <v>74.675057316345899</v>
      </c>
      <c r="AT12" s="30"/>
      <c r="AU12" s="31">
        <v>66.345938270802407</v>
      </c>
      <c r="AV12" s="30"/>
      <c r="AW12" s="31">
        <v>61.931712056364603</v>
      </c>
      <c r="AX12" s="30"/>
      <c r="AY12" s="31">
        <v>76.332968449014501</v>
      </c>
      <c r="AZ12" s="30"/>
      <c r="BA12" s="31">
        <v>85.695657846686501</v>
      </c>
      <c r="BB12" s="30"/>
      <c r="BC12" s="31">
        <v>98.1152575792063</v>
      </c>
      <c r="BD12" s="30"/>
      <c r="BE12" s="31"/>
      <c r="BF12" s="30"/>
    </row>
    <row r="13" spans="1:62" x14ac:dyDescent="0.2">
      <c r="A13" s="28">
        <v>1981</v>
      </c>
      <c r="B13" s="28"/>
      <c r="C13" s="31">
        <v>59.899910707644501</v>
      </c>
      <c r="D13" s="30">
        <v>5.6611073526140303E-2</v>
      </c>
      <c r="E13" s="31">
        <v>62.433528081086202</v>
      </c>
      <c r="F13" s="30">
        <v>6.3288834153803597E-2</v>
      </c>
      <c r="G13" s="31">
        <v>60.3662504056228</v>
      </c>
      <c r="H13" s="30">
        <v>6.06989112609186E-2</v>
      </c>
      <c r="I13" s="31">
        <v>62.980273017834797</v>
      </c>
      <c r="J13" s="30">
        <v>5.9601640370764E-2</v>
      </c>
      <c r="K13" s="31">
        <v>49.146064666722602</v>
      </c>
      <c r="L13" s="30">
        <v>6.7262584553430899E-2</v>
      </c>
      <c r="M13" s="31">
        <v>66.652736927860602</v>
      </c>
      <c r="N13" s="30">
        <v>6.8619817056115404E-2</v>
      </c>
      <c r="O13" s="31">
        <v>81.146263670153601</v>
      </c>
      <c r="P13" s="30">
        <v>6.9771729510251596E-2</v>
      </c>
      <c r="Q13" s="31">
        <v>67.370785880636106</v>
      </c>
      <c r="R13" s="30">
        <v>7.3780837991175297E-2</v>
      </c>
      <c r="S13" s="31">
        <v>88.713808802610004</v>
      </c>
      <c r="T13" s="30">
        <v>6.6841352434452203E-2</v>
      </c>
      <c r="U13" s="31"/>
      <c r="V13" s="30"/>
      <c r="W13" s="31"/>
      <c r="X13" s="30"/>
      <c r="Y13" s="31"/>
      <c r="Z13" s="30"/>
      <c r="AA13" s="31">
        <v>84.585189858205695</v>
      </c>
      <c r="AB13" s="30">
        <v>-2.9268263777748299E-2</v>
      </c>
      <c r="AC13" s="31">
        <v>94.070397674488206</v>
      </c>
      <c r="AD13" s="30">
        <v>-4.9773053633818898E-2</v>
      </c>
      <c r="AE13" s="31">
        <v>92.891059520983404</v>
      </c>
      <c r="AF13" s="30">
        <v>6.7124530879092404E-4</v>
      </c>
      <c r="AG13" s="31">
        <v>92.142696509721105</v>
      </c>
      <c r="AH13" s="30">
        <v>4.2243853019051397E-2</v>
      </c>
      <c r="AI13" s="31">
        <v>64.076391205079204</v>
      </c>
      <c r="AJ13" s="30">
        <v>4.1857920933724403E-2</v>
      </c>
      <c r="AK13" s="31">
        <v>97.773909192837607</v>
      </c>
      <c r="AL13" s="30">
        <v>-1.7383284500157099E-2</v>
      </c>
      <c r="AM13" s="31">
        <v>102.219947362206</v>
      </c>
      <c r="AN13" s="30">
        <v>-3.11345200940518E-2</v>
      </c>
      <c r="AO13" s="31">
        <v>117.723042801293</v>
      </c>
      <c r="AP13" s="30">
        <v>2.93032326878668E-2</v>
      </c>
      <c r="AQ13" s="31">
        <v>118.303267816925</v>
      </c>
      <c r="AR13" s="30">
        <v>6.2960244396825807E-2</v>
      </c>
      <c r="AS13" s="31">
        <v>78.4216491809497</v>
      </c>
      <c r="AT13" s="30">
        <v>5.0171931555836199E-2</v>
      </c>
      <c r="AU13" s="31">
        <v>70.196217993914402</v>
      </c>
      <c r="AV13" s="30">
        <v>5.8033390188807897E-2</v>
      </c>
      <c r="AW13" s="31">
        <v>65.866518547106494</v>
      </c>
      <c r="AX13" s="30">
        <v>6.3534598997695604E-2</v>
      </c>
      <c r="AY13" s="31">
        <v>79.561243132641906</v>
      </c>
      <c r="AZ13" s="30">
        <v>4.2292010244350697E-2</v>
      </c>
      <c r="BA13" s="31">
        <v>89.338990862981802</v>
      </c>
      <c r="BB13" s="30">
        <v>4.2514791389003999E-2</v>
      </c>
      <c r="BC13" s="31">
        <v>103.98112997284601</v>
      </c>
      <c r="BD13" s="30">
        <v>5.97855271276653E-2</v>
      </c>
      <c r="BE13" s="31"/>
      <c r="BF13" s="30"/>
    </row>
    <row r="14" spans="1:62" x14ac:dyDescent="0.2">
      <c r="A14" s="28">
        <v>1982</v>
      </c>
      <c r="B14" s="28"/>
      <c r="C14" s="31">
        <v>64.301380702499699</v>
      </c>
      <c r="D14" s="30">
        <v>7.3480409951487399E-2</v>
      </c>
      <c r="E14" s="31">
        <v>65.686175896365398</v>
      </c>
      <c r="F14" s="30">
        <v>5.2097773668257699E-2</v>
      </c>
      <c r="G14" s="31">
        <v>64.054171519842498</v>
      </c>
      <c r="H14" s="30">
        <v>6.1092433096956902E-2</v>
      </c>
      <c r="I14" s="31">
        <v>66.633619005429196</v>
      </c>
      <c r="J14" s="30">
        <v>5.8007782636316098E-2</v>
      </c>
      <c r="K14" s="31">
        <v>53.045421454328</v>
      </c>
      <c r="L14" s="30">
        <v>7.9342197875828899E-2</v>
      </c>
      <c r="M14" s="31">
        <v>68.913825953421295</v>
      </c>
      <c r="N14" s="30">
        <v>3.3923423549851797E-2</v>
      </c>
      <c r="O14" s="31">
        <v>85.107008362450699</v>
      </c>
      <c r="P14" s="30">
        <v>4.8809945315497101E-2</v>
      </c>
      <c r="Q14" s="31">
        <v>70.609436692571506</v>
      </c>
      <c r="R14" s="30">
        <v>4.8072035521055503E-2</v>
      </c>
      <c r="S14" s="31">
        <v>93.0928245936</v>
      </c>
      <c r="T14" s="30">
        <v>4.9361151889368203E-2</v>
      </c>
      <c r="U14" s="31"/>
      <c r="V14" s="30"/>
      <c r="W14" s="31"/>
      <c r="X14" s="30"/>
      <c r="Y14" s="31"/>
      <c r="Z14" s="30"/>
      <c r="AA14" s="31">
        <v>84.029763782971699</v>
      </c>
      <c r="AB14" s="30">
        <v>-6.5664695694959098E-3</v>
      </c>
      <c r="AC14" s="31">
        <v>90.085966263023394</v>
      </c>
      <c r="AD14" s="30">
        <v>-4.2355847428774698E-2</v>
      </c>
      <c r="AE14" s="31">
        <v>92.8375358031236</v>
      </c>
      <c r="AF14" s="30">
        <v>-5.7619880896930798E-4</v>
      </c>
      <c r="AG14" s="31">
        <v>96.912206853375807</v>
      </c>
      <c r="AH14" s="30">
        <v>5.17622179979444E-2</v>
      </c>
      <c r="AI14" s="31">
        <v>70.579835199226295</v>
      </c>
      <c r="AJ14" s="30">
        <v>0.101495166501068</v>
      </c>
      <c r="AK14" s="31">
        <v>93.087665820088802</v>
      </c>
      <c r="AL14" s="30">
        <v>-4.7929385369120003E-2</v>
      </c>
      <c r="AM14" s="31">
        <v>96.269091472916799</v>
      </c>
      <c r="AN14" s="30">
        <v>-5.8216190116030103E-2</v>
      </c>
      <c r="AO14" s="31">
        <v>113.82334761396601</v>
      </c>
      <c r="AP14" s="30">
        <v>-3.3126014198504E-2</v>
      </c>
      <c r="AQ14" s="31">
        <v>117.74662546612799</v>
      </c>
      <c r="AR14" s="30">
        <v>-4.7052153424667099E-3</v>
      </c>
      <c r="AS14" s="31">
        <v>78.154254366411706</v>
      </c>
      <c r="AT14" s="30">
        <v>-3.4097065967214602E-3</v>
      </c>
      <c r="AU14" s="31">
        <v>74.438361117181003</v>
      </c>
      <c r="AV14" s="30">
        <v>6.0432645012788999E-2</v>
      </c>
      <c r="AW14" s="31">
        <v>69.643974180627296</v>
      </c>
      <c r="AX14" s="30">
        <v>5.7350163889704299E-2</v>
      </c>
      <c r="AY14" s="31">
        <v>85.091552123794301</v>
      </c>
      <c r="AZ14" s="30">
        <v>6.95100877437584E-2</v>
      </c>
      <c r="BA14" s="31">
        <v>94.003375739538697</v>
      </c>
      <c r="BB14" s="30">
        <v>5.2209957057949702E-2</v>
      </c>
      <c r="BC14" s="31">
        <v>103.527396105604</v>
      </c>
      <c r="BD14" s="30">
        <v>-4.36361739250468E-3</v>
      </c>
      <c r="BE14" s="31"/>
      <c r="BF14" s="30"/>
    </row>
    <row r="15" spans="1:62" x14ac:dyDescent="0.2">
      <c r="A15" s="28">
        <v>1983</v>
      </c>
      <c r="B15" s="28"/>
      <c r="C15" s="31">
        <v>65.823319875458594</v>
      </c>
      <c r="D15" s="30">
        <v>2.36688412648614E-2</v>
      </c>
      <c r="E15" s="31">
        <v>67.175285229232202</v>
      </c>
      <c r="F15" s="30">
        <v>2.2670056713549401E-2</v>
      </c>
      <c r="G15" s="31">
        <v>66.138294240843607</v>
      </c>
      <c r="H15" s="30">
        <v>3.2536877326647E-2</v>
      </c>
      <c r="I15" s="31">
        <v>68.801005405279597</v>
      </c>
      <c r="J15" s="30">
        <v>3.2526920077293499E-2</v>
      </c>
      <c r="K15" s="31">
        <v>54.774376717982697</v>
      </c>
      <c r="L15" s="30">
        <v>3.2593864206419902E-2</v>
      </c>
      <c r="M15" s="31">
        <v>69.101437215855697</v>
      </c>
      <c r="N15" s="30">
        <v>2.7224038114097601E-3</v>
      </c>
      <c r="O15" s="31">
        <v>86.692273294876301</v>
      </c>
      <c r="P15" s="30">
        <v>1.86267260819977E-2</v>
      </c>
      <c r="Q15" s="31">
        <v>70.795293536123395</v>
      </c>
      <c r="R15" s="30">
        <v>2.6321813663674502E-3</v>
      </c>
      <c r="S15" s="31">
        <v>95.971935277963397</v>
      </c>
      <c r="T15" s="30">
        <v>3.0927310423035401E-2</v>
      </c>
      <c r="U15" s="31"/>
      <c r="V15" s="30"/>
      <c r="W15" s="31"/>
      <c r="X15" s="30"/>
      <c r="Y15" s="31"/>
      <c r="Z15" s="30"/>
      <c r="AA15" s="31">
        <v>86.4463032900305</v>
      </c>
      <c r="AB15" s="30">
        <v>2.8758137572540799E-2</v>
      </c>
      <c r="AC15" s="31">
        <v>93.552164891286793</v>
      </c>
      <c r="AD15" s="30">
        <v>3.8476566018541797E-2</v>
      </c>
      <c r="AE15" s="31">
        <v>93.630046917010304</v>
      </c>
      <c r="AF15" s="30">
        <v>8.5365375872035205E-3</v>
      </c>
      <c r="AG15" s="31">
        <v>97.825595948817906</v>
      </c>
      <c r="AH15" s="30">
        <v>9.4249127648498004E-3</v>
      </c>
      <c r="AI15" s="31">
        <v>70.992235430247703</v>
      </c>
      <c r="AJ15" s="30">
        <v>5.8430319347915196E-3</v>
      </c>
      <c r="AK15" s="31">
        <v>95.530907866641599</v>
      </c>
      <c r="AL15" s="30">
        <v>2.6246678601597601E-2</v>
      </c>
      <c r="AM15" s="31">
        <v>99.383521626206303</v>
      </c>
      <c r="AN15" s="30">
        <v>3.2351298902261599E-2</v>
      </c>
      <c r="AO15" s="31">
        <v>112.983287758378</v>
      </c>
      <c r="AP15" s="30">
        <v>-7.3803826121570104E-3</v>
      </c>
      <c r="AQ15" s="31">
        <v>116.43407632512201</v>
      </c>
      <c r="AR15" s="30">
        <v>-1.1147233611246799E-2</v>
      </c>
      <c r="AS15" s="31">
        <v>78.302037265766401</v>
      </c>
      <c r="AT15" s="30">
        <v>1.89091304821187E-3</v>
      </c>
      <c r="AU15" s="31">
        <v>76.159198299435005</v>
      </c>
      <c r="AV15" s="30">
        <v>2.31176124303034E-2</v>
      </c>
      <c r="AW15" s="31">
        <v>71.613125742029993</v>
      </c>
      <c r="AX15" s="30">
        <v>2.8274543269105602E-2</v>
      </c>
      <c r="AY15" s="31">
        <v>85.787599142318101</v>
      </c>
      <c r="AZ15" s="30">
        <v>8.1799779314306598E-3</v>
      </c>
      <c r="BA15" s="31">
        <v>94.901238391162394</v>
      </c>
      <c r="BB15" s="30">
        <v>9.5513873258286103E-3</v>
      </c>
      <c r="BC15" s="31">
        <v>102.724686357179</v>
      </c>
      <c r="BD15" s="30">
        <v>-7.7535973918103603E-3</v>
      </c>
      <c r="BE15" s="31"/>
      <c r="BF15" s="30"/>
    </row>
    <row r="16" spans="1:62" x14ac:dyDescent="0.2">
      <c r="A16" s="28">
        <v>1984</v>
      </c>
      <c r="B16" s="28"/>
      <c r="C16" s="31">
        <v>68.298038381740596</v>
      </c>
      <c r="D16" s="30">
        <v>3.7596379382933497E-2</v>
      </c>
      <c r="E16" s="31">
        <v>69.8783996496404</v>
      </c>
      <c r="F16" s="30">
        <v>4.0239716306137201E-2</v>
      </c>
      <c r="G16" s="31">
        <v>68.192074000800901</v>
      </c>
      <c r="H16" s="30">
        <v>3.1052808112625799E-2</v>
      </c>
      <c r="I16" s="31">
        <v>70.932709490280004</v>
      </c>
      <c r="J16" s="30">
        <v>3.0983618225393101E-2</v>
      </c>
      <c r="K16" s="31">
        <v>56.496974414929802</v>
      </c>
      <c r="L16" s="30">
        <v>3.1448969393413198E-2</v>
      </c>
      <c r="M16" s="31">
        <v>73.319744966469003</v>
      </c>
      <c r="N16" s="30">
        <v>6.1045152178765397E-2</v>
      </c>
      <c r="O16" s="31">
        <v>88.149292874462503</v>
      </c>
      <c r="P16" s="30">
        <v>1.6806798624719999E-2</v>
      </c>
      <c r="Q16" s="31">
        <v>70.929073086131694</v>
      </c>
      <c r="R16" s="30">
        <v>1.8896672833204099E-3</v>
      </c>
      <c r="S16" s="31">
        <v>98.677575195336402</v>
      </c>
      <c r="T16" s="30">
        <v>2.8191990809987001E-2</v>
      </c>
      <c r="U16" s="31"/>
      <c r="V16" s="30"/>
      <c r="W16" s="31"/>
      <c r="X16" s="30"/>
      <c r="Y16" s="31"/>
      <c r="Z16" s="30"/>
      <c r="AA16" s="31">
        <v>87.635444827591101</v>
      </c>
      <c r="AB16" s="30">
        <v>1.37558402419005E-2</v>
      </c>
      <c r="AC16" s="31">
        <v>94.6369862819096</v>
      </c>
      <c r="AD16" s="30">
        <v>1.15958983085365E-2</v>
      </c>
      <c r="AE16" s="31">
        <v>97.444728442040301</v>
      </c>
      <c r="AF16" s="30">
        <v>4.0742065721821201E-2</v>
      </c>
      <c r="AG16" s="31">
        <v>102.066465929336</v>
      </c>
      <c r="AH16" s="30">
        <v>4.3351332944972801E-2</v>
      </c>
      <c r="AI16" s="31">
        <v>72.382290688365202</v>
      </c>
      <c r="AJ16" s="30">
        <v>1.9580384385603101E-2</v>
      </c>
      <c r="AK16" s="31">
        <v>97.264931573092994</v>
      </c>
      <c r="AL16" s="30">
        <v>1.8151441718444301E-2</v>
      </c>
      <c r="AM16" s="31">
        <v>100.566097459023</v>
      </c>
      <c r="AN16" s="30">
        <v>1.1899113791363099E-2</v>
      </c>
      <c r="AO16" s="31">
        <v>116.222122800338</v>
      </c>
      <c r="AP16" s="30">
        <v>2.8666496667065802E-2</v>
      </c>
      <c r="AQ16" s="31">
        <v>121.257456996735</v>
      </c>
      <c r="AR16" s="30">
        <v>4.1425850780528697E-2</v>
      </c>
      <c r="AS16" s="31">
        <v>81.771668905060906</v>
      </c>
      <c r="AT16" s="30">
        <v>4.4310873132434599E-2</v>
      </c>
      <c r="AU16" s="31">
        <v>78.341566637319403</v>
      </c>
      <c r="AV16" s="30">
        <v>2.8655348094710899E-2</v>
      </c>
      <c r="AW16" s="31">
        <v>73.521664774832104</v>
      </c>
      <c r="AX16" s="30">
        <v>2.6650687468624999E-2</v>
      </c>
      <c r="AY16" s="31">
        <v>88.7329920111777</v>
      </c>
      <c r="AZ16" s="30">
        <v>3.4333550516703899E-2</v>
      </c>
      <c r="BA16" s="31">
        <v>98.986837820999199</v>
      </c>
      <c r="BB16" s="30">
        <v>4.3051065498184798E-2</v>
      </c>
      <c r="BC16" s="31">
        <v>107.056360032783</v>
      </c>
      <c r="BD16" s="30">
        <v>4.2167796556159098E-2</v>
      </c>
      <c r="BE16" s="31"/>
      <c r="BF16" s="30"/>
    </row>
    <row r="17" spans="1:58" x14ac:dyDescent="0.2">
      <c r="A17" s="28">
        <v>1985</v>
      </c>
      <c r="B17" s="28"/>
      <c r="C17" s="31">
        <v>69.848902838591499</v>
      </c>
      <c r="D17" s="30">
        <v>2.27073060017133E-2</v>
      </c>
      <c r="E17" s="31">
        <v>72.340061760752903</v>
      </c>
      <c r="F17" s="30">
        <v>3.5227797480407198E-2</v>
      </c>
      <c r="G17" s="31">
        <v>69.9356836048415</v>
      </c>
      <c r="H17" s="30">
        <v>2.5569094789815699E-2</v>
      </c>
      <c r="I17" s="31">
        <v>72.822821690465105</v>
      </c>
      <c r="J17" s="30">
        <v>2.6646552962200601E-2</v>
      </c>
      <c r="K17" s="31">
        <v>57.603055343756601</v>
      </c>
      <c r="L17" s="30">
        <v>1.95777019969854E-2</v>
      </c>
      <c r="M17" s="31">
        <v>77.454713083664004</v>
      </c>
      <c r="N17" s="30">
        <v>5.6396378889288099E-2</v>
      </c>
      <c r="O17" s="31">
        <v>91.374288691266599</v>
      </c>
      <c r="P17" s="30">
        <v>3.6585611882298301E-2</v>
      </c>
      <c r="Q17" s="31">
        <v>72.403668053734407</v>
      </c>
      <c r="R17" s="30">
        <v>2.0789711516630699E-2</v>
      </c>
      <c r="S17" s="31">
        <v>103.39868806710599</v>
      </c>
      <c r="T17" s="30">
        <v>4.7843827358183398E-2</v>
      </c>
      <c r="U17" s="31"/>
      <c r="V17" s="30"/>
      <c r="W17" s="31"/>
      <c r="X17" s="30"/>
      <c r="Y17" s="31"/>
      <c r="Z17" s="30"/>
      <c r="AA17" s="31">
        <v>86.890360572628893</v>
      </c>
      <c r="AB17" s="30">
        <v>-8.5020878986578098E-3</v>
      </c>
      <c r="AC17" s="31">
        <v>92.946045522739794</v>
      </c>
      <c r="AD17" s="30">
        <v>-1.7867652232000701E-2</v>
      </c>
      <c r="AE17" s="31">
        <v>99.271854947763799</v>
      </c>
      <c r="AF17" s="30">
        <v>1.8750388399001901E-2</v>
      </c>
      <c r="AG17" s="31">
        <v>104.812727553079</v>
      </c>
      <c r="AH17" s="30">
        <v>2.6906600505248301E-2</v>
      </c>
      <c r="AI17" s="31">
        <v>73.563183203380106</v>
      </c>
      <c r="AJ17" s="30">
        <v>1.6314660724114902E-2</v>
      </c>
      <c r="AK17" s="31">
        <v>98.838588599921906</v>
      </c>
      <c r="AL17" s="30">
        <v>1.6179079153994601E-2</v>
      </c>
      <c r="AM17" s="31">
        <v>101.468779667915</v>
      </c>
      <c r="AN17" s="30">
        <v>8.9760091293158394E-3</v>
      </c>
      <c r="AO17" s="31">
        <v>121.292372235605</v>
      </c>
      <c r="AP17" s="30">
        <v>4.3625510471677002E-2</v>
      </c>
      <c r="AQ17" s="31">
        <v>127.282942347613</v>
      </c>
      <c r="AR17" s="30">
        <v>4.9691668455823297E-2</v>
      </c>
      <c r="AS17" s="31">
        <v>85.471209877755598</v>
      </c>
      <c r="AT17" s="30">
        <v>4.5242331754166601E-2</v>
      </c>
      <c r="AU17" s="31">
        <v>80.488006191693103</v>
      </c>
      <c r="AV17" s="30">
        <v>2.7398476268806E-2</v>
      </c>
      <c r="AW17" s="31">
        <v>75.6511289749361</v>
      </c>
      <c r="AX17" s="30">
        <v>2.89637647165044E-2</v>
      </c>
      <c r="AY17" s="31">
        <v>90.793868671525203</v>
      </c>
      <c r="AZ17" s="30">
        <v>2.322559640599E-2</v>
      </c>
      <c r="BA17" s="31">
        <v>101.68235043549601</v>
      </c>
      <c r="BB17" s="30">
        <v>2.7231020546096801E-2</v>
      </c>
      <c r="BC17" s="31">
        <v>112.251829982358</v>
      </c>
      <c r="BD17" s="30">
        <v>4.8530231627376998E-2</v>
      </c>
      <c r="BE17" s="31"/>
      <c r="BF17" s="30"/>
    </row>
    <row r="18" spans="1:58" x14ac:dyDescent="0.2">
      <c r="A18" s="28">
        <v>1986</v>
      </c>
      <c r="B18" s="28"/>
      <c r="C18" s="31">
        <v>71.968533411898505</v>
      </c>
      <c r="D18" s="30">
        <v>3.03459394087418E-2</v>
      </c>
      <c r="E18" s="31">
        <v>72.600119557394905</v>
      </c>
      <c r="F18" s="30">
        <v>3.5949346781334302E-3</v>
      </c>
      <c r="G18" s="31">
        <v>71.017982191804094</v>
      </c>
      <c r="H18" s="30">
        <v>1.54756274790695E-2</v>
      </c>
      <c r="I18" s="31">
        <v>73.746086362571006</v>
      </c>
      <c r="J18" s="30">
        <v>1.2678232601728101E-2</v>
      </c>
      <c r="K18" s="31">
        <v>59.393177409794099</v>
      </c>
      <c r="L18" s="30">
        <v>3.1076859644937602E-2</v>
      </c>
      <c r="M18" s="31">
        <v>75.962871866314998</v>
      </c>
      <c r="N18" s="30">
        <v>-1.9260819102609201E-2</v>
      </c>
      <c r="O18" s="31">
        <v>91.944257813772197</v>
      </c>
      <c r="P18" s="30">
        <v>6.2377407328597602E-3</v>
      </c>
      <c r="Q18" s="31">
        <v>74.538332899651394</v>
      </c>
      <c r="R18" s="30">
        <v>2.9482827366325501E-2</v>
      </c>
      <c r="S18" s="31">
        <v>102.513425718504</v>
      </c>
      <c r="T18" s="30">
        <v>-8.56164004738247E-3</v>
      </c>
      <c r="U18" s="31"/>
      <c r="V18" s="30"/>
      <c r="W18" s="31"/>
      <c r="X18" s="30"/>
      <c r="Y18" s="31"/>
      <c r="Z18" s="30"/>
      <c r="AA18" s="31">
        <v>82.614924575303704</v>
      </c>
      <c r="AB18" s="30">
        <v>-4.9204951724783598E-2</v>
      </c>
      <c r="AC18" s="31">
        <v>86.506368018432795</v>
      </c>
      <c r="AD18" s="30">
        <v>-6.9284039660745603E-2</v>
      </c>
      <c r="AE18" s="31">
        <v>96.776709006469105</v>
      </c>
      <c r="AF18" s="30">
        <v>-2.5134474847958201E-2</v>
      </c>
      <c r="AG18" s="31">
        <v>103.867058820967</v>
      </c>
      <c r="AH18" s="30">
        <v>-9.0224608612763397E-3</v>
      </c>
      <c r="AI18" s="31">
        <v>73.902495721617299</v>
      </c>
      <c r="AJ18" s="30">
        <v>4.6125317510949896E-3</v>
      </c>
      <c r="AK18" s="31">
        <v>88.823666014582301</v>
      </c>
      <c r="AL18" s="30">
        <v>-0.101326038010093</v>
      </c>
      <c r="AM18" s="31">
        <v>89.865351023544505</v>
      </c>
      <c r="AN18" s="30">
        <v>-0.114354668326019</v>
      </c>
      <c r="AO18" s="31">
        <v>108.847619738616</v>
      </c>
      <c r="AP18" s="30">
        <v>-0.102601278774692</v>
      </c>
      <c r="AQ18" s="31">
        <v>114.96921396680099</v>
      </c>
      <c r="AR18" s="30">
        <v>-9.6742958276238897E-2</v>
      </c>
      <c r="AS18" s="31">
        <v>81.663738619024599</v>
      </c>
      <c r="AT18" s="30">
        <v>-4.4546827688254E-2</v>
      </c>
      <c r="AU18" s="31">
        <v>81.151211142640406</v>
      </c>
      <c r="AV18" s="30">
        <v>8.2397984783948407E-3</v>
      </c>
      <c r="AW18" s="31">
        <v>76.599054109360395</v>
      </c>
      <c r="AX18" s="30">
        <v>1.2530217952707401E-2</v>
      </c>
      <c r="AY18" s="31">
        <v>90.459539484035005</v>
      </c>
      <c r="AZ18" s="30">
        <v>-3.6822881586832099E-3</v>
      </c>
      <c r="BA18" s="31">
        <v>100.840829012603</v>
      </c>
      <c r="BB18" s="30">
        <v>-8.2759831896973592E-3</v>
      </c>
      <c r="BC18" s="31">
        <v>102.847630401291</v>
      </c>
      <c r="BD18" s="30">
        <v>-8.3777695050005402E-2</v>
      </c>
      <c r="BE18" s="31"/>
      <c r="BF18" s="30"/>
    </row>
    <row r="19" spans="1:58" x14ac:dyDescent="0.2">
      <c r="A19" s="28">
        <v>1987</v>
      </c>
      <c r="B19" s="28"/>
      <c r="C19" s="31">
        <v>73.547150543608794</v>
      </c>
      <c r="D19" s="30">
        <v>2.1934824247082901E-2</v>
      </c>
      <c r="E19" s="31">
        <v>73.505203030800203</v>
      </c>
      <c r="F19" s="30">
        <v>1.2466693979611899E-2</v>
      </c>
      <c r="G19" s="31">
        <v>71.578947489558402</v>
      </c>
      <c r="H19" s="30">
        <v>7.8989191250078399E-3</v>
      </c>
      <c r="I19" s="31">
        <v>74.305358971178094</v>
      </c>
      <c r="J19" s="30">
        <v>7.5837598466914598E-3</v>
      </c>
      <c r="K19" s="31">
        <v>59.965537476019797</v>
      </c>
      <c r="L19" s="30">
        <v>9.6367982180280993E-3</v>
      </c>
      <c r="M19" s="31">
        <v>77.618160494632306</v>
      </c>
      <c r="N19" s="30">
        <v>2.1790758927998401E-2</v>
      </c>
      <c r="O19" s="31">
        <v>92.629196123618499</v>
      </c>
      <c r="P19" s="30">
        <v>7.4494952282235802E-3</v>
      </c>
      <c r="Q19" s="31">
        <v>76.209248783430297</v>
      </c>
      <c r="R19" s="30">
        <v>2.24168668492815E-2</v>
      </c>
      <c r="S19" s="31">
        <v>102.271156520223</v>
      </c>
      <c r="T19" s="30">
        <v>-2.3632923842243901E-3</v>
      </c>
      <c r="U19" s="31"/>
      <c r="V19" s="30"/>
      <c r="W19" s="31"/>
      <c r="X19" s="30"/>
      <c r="Y19" s="31"/>
      <c r="Z19" s="30"/>
      <c r="AA19" s="31">
        <v>82.336264836965697</v>
      </c>
      <c r="AB19" s="30">
        <v>-3.3729951309697799E-3</v>
      </c>
      <c r="AC19" s="31">
        <v>85.806278648626403</v>
      </c>
      <c r="AD19" s="30">
        <v>-8.0929229355376497E-3</v>
      </c>
      <c r="AE19" s="31">
        <v>96.5162491550401</v>
      </c>
      <c r="AF19" s="30">
        <v>-2.6913485083649401E-3</v>
      </c>
      <c r="AG19" s="31">
        <v>103.894306724381</v>
      </c>
      <c r="AH19" s="30">
        <v>2.62334408260179E-4</v>
      </c>
      <c r="AI19" s="31">
        <v>74.4595868852103</v>
      </c>
      <c r="AJ19" s="30">
        <v>7.5381914799121904E-3</v>
      </c>
      <c r="AK19" s="31">
        <v>86.501415573195899</v>
      </c>
      <c r="AL19" s="30">
        <v>-2.61445011851359E-2</v>
      </c>
      <c r="AM19" s="31">
        <v>87.195847840057596</v>
      </c>
      <c r="AN19" s="30">
        <v>-2.9705589007129801E-2</v>
      </c>
      <c r="AO19" s="31">
        <v>104.612312563369</v>
      </c>
      <c r="AP19" s="30">
        <v>-3.8910425284605199E-2</v>
      </c>
      <c r="AQ19" s="31">
        <v>110.39142884641301</v>
      </c>
      <c r="AR19" s="30">
        <v>-3.98174864595469E-2</v>
      </c>
      <c r="AS19" s="31">
        <v>80.608206122051797</v>
      </c>
      <c r="AT19" s="30">
        <v>-1.2925351138980501E-2</v>
      </c>
      <c r="AU19" s="31">
        <v>81.687023344994003</v>
      </c>
      <c r="AV19" s="30">
        <v>6.6026396255722802E-3</v>
      </c>
      <c r="AW19" s="31">
        <v>77.1931085410111</v>
      </c>
      <c r="AX19" s="30">
        <v>7.7553755533663598E-3</v>
      </c>
      <c r="AY19" s="31">
        <v>90.756552353704393</v>
      </c>
      <c r="AZ19" s="30">
        <v>3.2833780866390301E-3</v>
      </c>
      <c r="BA19" s="31">
        <v>100.926072883017</v>
      </c>
      <c r="BB19" s="30">
        <v>8.4533091654193104E-4</v>
      </c>
      <c r="BC19" s="31">
        <v>99.467788970505794</v>
      </c>
      <c r="BD19" s="30">
        <v>-3.2862608672634498E-2</v>
      </c>
      <c r="BE19" s="31"/>
      <c r="BF19" s="30"/>
    </row>
    <row r="20" spans="1:58" x14ac:dyDescent="0.2">
      <c r="A20" s="28">
        <v>1988</v>
      </c>
      <c r="B20" s="28"/>
      <c r="C20" s="31">
        <v>75.599291414374306</v>
      </c>
      <c r="D20" s="30">
        <v>2.7902384464898001E-2</v>
      </c>
      <c r="E20" s="31">
        <v>76.192553637699106</v>
      </c>
      <c r="F20" s="30">
        <v>3.6560005225382698E-2</v>
      </c>
      <c r="G20" s="31">
        <v>73.022390085497904</v>
      </c>
      <c r="H20" s="30">
        <v>2.01657421150272E-2</v>
      </c>
      <c r="I20" s="31">
        <v>75.609758175730093</v>
      </c>
      <c r="J20" s="30">
        <v>1.7554577793749401E-2</v>
      </c>
      <c r="K20" s="31">
        <v>62.016416099092602</v>
      </c>
      <c r="L20" s="30">
        <v>3.4200954571497397E-2</v>
      </c>
      <c r="M20" s="31">
        <v>83.022271765778797</v>
      </c>
      <c r="N20" s="30">
        <v>6.9624315195155703E-2</v>
      </c>
      <c r="O20" s="31">
        <v>95.892161492065597</v>
      </c>
      <c r="P20" s="30">
        <v>3.5226100462887301E-2</v>
      </c>
      <c r="Q20" s="31">
        <v>79.298031061037307</v>
      </c>
      <c r="R20" s="30">
        <v>4.0530281126175197E-2</v>
      </c>
      <c r="S20" s="31">
        <v>105.514551285792</v>
      </c>
      <c r="T20" s="30">
        <v>3.1713680336914199E-2</v>
      </c>
      <c r="U20" s="31"/>
      <c r="V20" s="30"/>
      <c r="W20" s="31"/>
      <c r="X20" s="30"/>
      <c r="Y20" s="31"/>
      <c r="Z20" s="30"/>
      <c r="AA20" s="31">
        <v>83.541736237658995</v>
      </c>
      <c r="AB20" s="30">
        <v>1.4640831753544199E-2</v>
      </c>
      <c r="AC20" s="31">
        <v>86.318879208372493</v>
      </c>
      <c r="AD20" s="30">
        <v>5.9739283397339804E-3</v>
      </c>
      <c r="AE20" s="31">
        <v>98.760391252894706</v>
      </c>
      <c r="AF20" s="30">
        <v>2.3251443332093402E-2</v>
      </c>
      <c r="AG20" s="31">
        <v>105.404069287217</v>
      </c>
      <c r="AH20" s="30">
        <v>1.45317160336882E-2</v>
      </c>
      <c r="AI20" s="31">
        <v>77.162044673857096</v>
      </c>
      <c r="AJ20" s="30">
        <v>3.6294289314458002E-2</v>
      </c>
      <c r="AK20" s="31">
        <v>89.544231633299901</v>
      </c>
      <c r="AL20" s="30">
        <v>3.5176488615139598E-2</v>
      </c>
      <c r="AM20" s="31">
        <v>90.283887202920198</v>
      </c>
      <c r="AN20" s="30">
        <v>3.5414981783615601E-2</v>
      </c>
      <c r="AO20" s="31">
        <v>109.43415703389</v>
      </c>
      <c r="AP20" s="30">
        <v>4.6092513896009303E-2</v>
      </c>
      <c r="AQ20" s="31">
        <v>115.099880253507</v>
      </c>
      <c r="AR20" s="30">
        <v>4.2652327778502502E-2</v>
      </c>
      <c r="AS20" s="31">
        <v>83.374869048127394</v>
      </c>
      <c r="AT20" s="30">
        <v>3.4322348296480697E-2</v>
      </c>
      <c r="AU20" s="31">
        <v>83.686176958560793</v>
      </c>
      <c r="AV20" s="30">
        <v>2.44733316468588E-2</v>
      </c>
      <c r="AW20" s="31">
        <v>79.135016954307005</v>
      </c>
      <c r="AX20" s="30">
        <v>2.5156499718679101E-2</v>
      </c>
      <c r="AY20" s="31">
        <v>92.798876938287506</v>
      </c>
      <c r="AZ20" s="30">
        <v>2.2503329309200501E-2</v>
      </c>
      <c r="BA20" s="31">
        <v>102.440224420315</v>
      </c>
      <c r="BB20" s="30">
        <v>1.5002580542818699E-2</v>
      </c>
      <c r="BC20" s="31">
        <v>103.488285495529</v>
      </c>
      <c r="BD20" s="30">
        <v>4.04200854028764E-2</v>
      </c>
      <c r="BE20" s="31"/>
      <c r="BF20" s="30"/>
    </row>
    <row r="21" spans="1:58" x14ac:dyDescent="0.2">
      <c r="A21" s="28">
        <v>1989</v>
      </c>
      <c r="B21" s="28"/>
      <c r="C21" s="31">
        <v>78.213862975602098</v>
      </c>
      <c r="D21" s="30">
        <v>3.4584604065887301E-2</v>
      </c>
      <c r="E21" s="31">
        <v>78.464896701967405</v>
      </c>
      <c r="F21" s="30">
        <v>2.9823689531046398E-2</v>
      </c>
      <c r="G21" s="31">
        <v>75.339183293464004</v>
      </c>
      <c r="H21" s="30">
        <v>3.1727162110873702E-2</v>
      </c>
      <c r="I21" s="31">
        <v>77.985278257358701</v>
      </c>
      <c r="J21" s="30">
        <v>3.1418167957995902E-2</v>
      </c>
      <c r="K21" s="31">
        <v>64.079551721519906</v>
      </c>
      <c r="L21" s="30">
        <v>3.3267572559025897E-2</v>
      </c>
      <c r="M21" s="31">
        <v>85.205521432827297</v>
      </c>
      <c r="N21" s="30">
        <v>2.6297156420963998E-2</v>
      </c>
      <c r="O21" s="31">
        <v>100.484945763829</v>
      </c>
      <c r="P21" s="30">
        <v>4.7895304478499497E-2</v>
      </c>
      <c r="Q21" s="31">
        <v>82.931753491355593</v>
      </c>
      <c r="R21" s="30">
        <v>4.5823614807299497E-2</v>
      </c>
      <c r="S21" s="31">
        <v>110.720387408847</v>
      </c>
      <c r="T21" s="30">
        <v>4.9337613244970303E-2</v>
      </c>
      <c r="U21" s="31"/>
      <c r="V21" s="30"/>
      <c r="W21" s="31"/>
      <c r="X21" s="30"/>
      <c r="Y21" s="31"/>
      <c r="Z21" s="30"/>
      <c r="AA21" s="31">
        <v>90.175428424013901</v>
      </c>
      <c r="AB21" s="30">
        <v>7.94057256301621E-2</v>
      </c>
      <c r="AC21" s="31">
        <v>94.762845704503903</v>
      </c>
      <c r="AD21" s="30">
        <v>9.7822939472462095E-2</v>
      </c>
      <c r="AE21" s="31">
        <v>106.4468910372</v>
      </c>
      <c r="AF21" s="30">
        <v>7.7829782636463105E-2</v>
      </c>
      <c r="AG21" s="31">
        <v>112.568847963821</v>
      </c>
      <c r="AH21" s="30">
        <v>6.7974402933925995E-2</v>
      </c>
      <c r="AI21" s="31">
        <v>79.796559391887399</v>
      </c>
      <c r="AJ21" s="30">
        <v>3.4142624513978599E-2</v>
      </c>
      <c r="AK21" s="31">
        <v>95.662130637937906</v>
      </c>
      <c r="AL21" s="30">
        <v>6.8322647847288503E-2</v>
      </c>
      <c r="AM21" s="31">
        <v>95.997066588557601</v>
      </c>
      <c r="AN21" s="30">
        <v>6.3280166180667202E-2</v>
      </c>
      <c r="AO21" s="31">
        <v>118.77076024278701</v>
      </c>
      <c r="AP21" s="30">
        <v>8.5317084372533505E-2</v>
      </c>
      <c r="AQ21" s="31">
        <v>124.00566062818901</v>
      </c>
      <c r="AR21" s="30">
        <v>7.73743669851545E-2</v>
      </c>
      <c r="AS21" s="31">
        <v>90.691884193435897</v>
      </c>
      <c r="AT21" s="30">
        <v>8.7760439432713194E-2</v>
      </c>
      <c r="AU21" s="31">
        <v>87.194816390094701</v>
      </c>
      <c r="AV21" s="30">
        <v>4.1926152670007898E-2</v>
      </c>
      <c r="AW21" s="31">
        <v>82.077015014526495</v>
      </c>
      <c r="AX21" s="30">
        <v>3.7176943576295002E-2</v>
      </c>
      <c r="AY21" s="31">
        <v>97.952579794829504</v>
      </c>
      <c r="AZ21" s="30">
        <v>5.5536263224061702E-2</v>
      </c>
      <c r="BA21" s="31">
        <v>109.346029478452</v>
      </c>
      <c r="BB21" s="30">
        <v>6.7413021566633993E-2</v>
      </c>
      <c r="BC21" s="31">
        <v>111.77244234314399</v>
      </c>
      <c r="BD21" s="30">
        <v>8.0049223039575707E-2</v>
      </c>
      <c r="BE21" s="31"/>
      <c r="BF21" s="30"/>
    </row>
    <row r="22" spans="1:58" x14ac:dyDescent="0.2">
      <c r="A22" s="28">
        <v>1990</v>
      </c>
      <c r="B22" s="28"/>
      <c r="C22" s="31">
        <v>81.814533009406901</v>
      </c>
      <c r="D22" s="30">
        <v>4.6036212722646998E-2</v>
      </c>
      <c r="E22" s="31">
        <v>81.526058772947593</v>
      </c>
      <c r="F22" s="30">
        <v>3.9013140903089397E-2</v>
      </c>
      <c r="G22" s="31">
        <v>79.295548573099794</v>
      </c>
      <c r="H22" s="30">
        <v>5.2514045237586703E-2</v>
      </c>
      <c r="I22" s="31">
        <v>82.109457651415994</v>
      </c>
      <c r="J22" s="30">
        <v>5.28840761514906E-2</v>
      </c>
      <c r="K22" s="31">
        <v>67.330092784987201</v>
      </c>
      <c r="L22" s="30">
        <v>5.0726651110070999E-2</v>
      </c>
      <c r="M22" s="31">
        <v>86.567274847474394</v>
      </c>
      <c r="N22" s="30">
        <v>1.5981985577316001E-2</v>
      </c>
      <c r="O22" s="31">
        <v>102.38516514386301</v>
      </c>
      <c r="P22" s="30">
        <v>1.8910488188940599E-2</v>
      </c>
      <c r="Q22" s="31">
        <v>87.420219864708798</v>
      </c>
      <c r="R22" s="30">
        <v>5.4122410107017502E-2</v>
      </c>
      <c r="S22" s="31">
        <v>110.25448328866899</v>
      </c>
      <c r="T22" s="30">
        <v>-4.2079343387517697E-3</v>
      </c>
      <c r="U22" s="31"/>
      <c r="V22" s="30"/>
      <c r="W22" s="31"/>
      <c r="X22" s="30"/>
      <c r="Y22" s="31"/>
      <c r="Z22" s="30"/>
      <c r="AA22" s="31">
        <v>88.499053667651594</v>
      </c>
      <c r="AB22" s="30">
        <v>-1.85901501735025E-2</v>
      </c>
      <c r="AC22" s="31">
        <v>91.400597761648299</v>
      </c>
      <c r="AD22" s="30">
        <v>-3.5480656135422201E-2</v>
      </c>
      <c r="AE22" s="31">
        <v>105.800943778632</v>
      </c>
      <c r="AF22" s="30">
        <v>-6.0682585679426903E-3</v>
      </c>
      <c r="AG22" s="31">
        <v>113.82136002879901</v>
      </c>
      <c r="AH22" s="30">
        <v>1.1126631280621999E-2</v>
      </c>
      <c r="AI22" s="31">
        <v>82.148971964312395</v>
      </c>
      <c r="AJ22" s="30">
        <v>2.9480125338137798E-2</v>
      </c>
      <c r="AK22" s="31">
        <v>92.474386581852201</v>
      </c>
      <c r="AL22" s="30">
        <v>-3.33229464452411E-2</v>
      </c>
      <c r="AM22" s="31">
        <v>91.794500522588294</v>
      </c>
      <c r="AN22" s="30">
        <v>-4.3778067552640701E-2</v>
      </c>
      <c r="AO22" s="31">
        <v>116.549732866374</v>
      </c>
      <c r="AP22" s="30">
        <v>-1.8700119220199499E-2</v>
      </c>
      <c r="AQ22" s="31">
        <v>123.342576017928</v>
      </c>
      <c r="AR22" s="30">
        <v>-5.3472124329019301E-3</v>
      </c>
      <c r="AS22" s="31">
        <v>91.433072648355605</v>
      </c>
      <c r="AT22" s="30">
        <v>8.1725995827675001E-3</v>
      </c>
      <c r="AU22" s="31">
        <v>90.235509681865196</v>
      </c>
      <c r="AV22" s="30">
        <v>3.4872408907508298E-2</v>
      </c>
      <c r="AW22" s="31">
        <v>85.432390876757296</v>
      </c>
      <c r="AX22" s="30">
        <v>4.0880822257449698E-2</v>
      </c>
      <c r="AY22" s="31">
        <v>99.684352724042597</v>
      </c>
      <c r="AZ22" s="30">
        <v>1.76797071893409E-2</v>
      </c>
      <c r="BA22" s="31">
        <v>110.642706076352</v>
      </c>
      <c r="BB22" s="30">
        <v>1.18584698876096E-2</v>
      </c>
      <c r="BC22" s="31">
        <v>111.56249766106799</v>
      </c>
      <c r="BD22" s="30">
        <v>-1.8783223992842001E-3</v>
      </c>
      <c r="BE22" s="31"/>
      <c r="BF22" s="30"/>
    </row>
    <row r="23" spans="1:58" x14ac:dyDescent="0.2">
      <c r="A23" s="28">
        <v>1991</v>
      </c>
      <c r="B23" s="28"/>
      <c r="C23" s="31">
        <v>86.239966867432997</v>
      </c>
      <c r="D23" s="30">
        <v>5.4091048316773999E-2</v>
      </c>
      <c r="E23" s="31">
        <v>85.489947732214603</v>
      </c>
      <c r="F23" s="30">
        <v>4.8621128249392201E-2</v>
      </c>
      <c r="G23" s="31">
        <v>83.646015257665297</v>
      </c>
      <c r="H23" s="30">
        <v>5.4863945868978803E-2</v>
      </c>
      <c r="I23" s="31">
        <v>86.440389835478896</v>
      </c>
      <c r="J23" s="30">
        <v>5.2745838395976498E-2</v>
      </c>
      <c r="K23" s="31">
        <v>71.705791892155801</v>
      </c>
      <c r="L23" s="30">
        <v>6.4988758015557896E-2</v>
      </c>
      <c r="M23" s="31">
        <v>89.717722323818705</v>
      </c>
      <c r="N23" s="30">
        <v>3.6393053632509199E-2</v>
      </c>
      <c r="O23" s="31">
        <v>104.427616058981</v>
      </c>
      <c r="P23" s="30">
        <v>1.99486997188312E-2</v>
      </c>
      <c r="Q23" s="31">
        <v>88.707486229848698</v>
      </c>
      <c r="R23" s="30">
        <v>1.4725041496487901E-2</v>
      </c>
      <c r="S23" s="31">
        <v>112.843863085104</v>
      </c>
      <c r="T23" s="30">
        <v>2.3485483031604901E-2</v>
      </c>
      <c r="U23" s="31"/>
      <c r="V23" s="30"/>
      <c r="W23" s="31"/>
      <c r="X23" s="30"/>
      <c r="Y23" s="31"/>
      <c r="Z23" s="30"/>
      <c r="AA23" s="31">
        <v>90.385395812872702</v>
      </c>
      <c r="AB23" s="30">
        <v>2.13148284308784E-2</v>
      </c>
      <c r="AC23" s="31">
        <v>92.655311548535593</v>
      </c>
      <c r="AD23" s="30">
        <v>1.37276321776281E-2</v>
      </c>
      <c r="AE23" s="31">
        <v>108.14108033437699</v>
      </c>
      <c r="AF23" s="30">
        <v>2.21182956613406E-2</v>
      </c>
      <c r="AG23" s="31">
        <v>116.71751323704299</v>
      </c>
      <c r="AH23" s="30">
        <v>2.54447250279803E-2</v>
      </c>
      <c r="AI23" s="31">
        <v>85.472012883786803</v>
      </c>
      <c r="AJ23" s="30">
        <v>4.0451399938613998E-2</v>
      </c>
      <c r="AK23" s="31">
        <v>93.148663087408707</v>
      </c>
      <c r="AL23" s="30">
        <v>7.2914947639004498E-3</v>
      </c>
      <c r="AM23" s="31">
        <v>91.281017179217201</v>
      </c>
      <c r="AN23" s="30">
        <v>-5.5938355832629797E-3</v>
      </c>
      <c r="AO23" s="31">
        <v>116.30384205861201</v>
      </c>
      <c r="AP23" s="30">
        <v>-2.1097500759049699E-3</v>
      </c>
      <c r="AQ23" s="31">
        <v>123.398744098547</v>
      </c>
      <c r="AR23" s="30">
        <v>4.55382743186794E-4</v>
      </c>
      <c r="AS23" s="31">
        <v>96.387155119026801</v>
      </c>
      <c r="AT23" s="30">
        <v>5.4182609499783901E-2</v>
      </c>
      <c r="AU23" s="31">
        <v>93.866758938757002</v>
      </c>
      <c r="AV23" s="30">
        <v>4.0241909971963301E-2</v>
      </c>
      <c r="AW23" s="31">
        <v>89.134485859801003</v>
      </c>
      <c r="AX23" s="30">
        <v>4.3333622587997701E-2</v>
      </c>
      <c r="AY23" s="31">
        <v>102.78936705884</v>
      </c>
      <c r="AZ23" s="30">
        <v>3.1148462621742E-2</v>
      </c>
      <c r="BA23" s="31">
        <v>113.55512731168599</v>
      </c>
      <c r="BB23" s="30">
        <v>2.63227585316279E-2</v>
      </c>
      <c r="BC23" s="31">
        <v>113.17535118722201</v>
      </c>
      <c r="BD23" s="30">
        <v>1.4456950677586899E-2</v>
      </c>
      <c r="BE23" s="31"/>
      <c r="BF23" s="30"/>
    </row>
    <row r="24" spans="1:58" x14ac:dyDescent="0.2">
      <c r="A24" s="28">
        <v>1992</v>
      </c>
      <c r="B24" s="28"/>
      <c r="C24" s="31">
        <v>88.072251394693794</v>
      </c>
      <c r="D24" s="30">
        <v>2.1246350083568E-2</v>
      </c>
      <c r="E24" s="31">
        <v>87.230615422277793</v>
      </c>
      <c r="F24" s="30">
        <v>2.0361080293506102E-2</v>
      </c>
      <c r="G24" s="31">
        <v>87.016050428965499</v>
      </c>
      <c r="H24" s="30">
        <v>4.0289249415158802E-2</v>
      </c>
      <c r="I24" s="31">
        <v>89.738890003643803</v>
      </c>
      <c r="J24" s="30">
        <v>3.8159246787790903E-2</v>
      </c>
      <c r="K24" s="31">
        <v>75.316498827749399</v>
      </c>
      <c r="L24" s="30">
        <v>5.0354467056497897E-2</v>
      </c>
      <c r="M24" s="31">
        <v>87.803925032805694</v>
      </c>
      <c r="N24" s="30">
        <v>-2.1331318288548302E-2</v>
      </c>
      <c r="O24" s="31">
        <v>104.06050945647</v>
      </c>
      <c r="P24" s="30">
        <v>-3.5154168635210801E-3</v>
      </c>
      <c r="Q24" s="31">
        <v>86.366485487435199</v>
      </c>
      <c r="R24" s="30">
        <v>-2.6390114768304999E-2</v>
      </c>
      <c r="S24" s="31">
        <v>114.421253696056</v>
      </c>
      <c r="T24" s="30">
        <v>1.39785236682579E-2</v>
      </c>
      <c r="U24" s="31"/>
      <c r="V24" s="30"/>
      <c r="W24" s="31"/>
      <c r="X24" s="30"/>
      <c r="Y24" s="31"/>
      <c r="Z24" s="30"/>
      <c r="AA24" s="31">
        <v>90.805157249756704</v>
      </c>
      <c r="AB24" s="30">
        <v>4.6441289890804E-3</v>
      </c>
      <c r="AC24" s="31">
        <v>93.118998675086203</v>
      </c>
      <c r="AD24" s="30">
        <v>5.0044311416264104E-3</v>
      </c>
      <c r="AE24" s="31">
        <v>109.243525826774</v>
      </c>
      <c r="AF24" s="30">
        <v>1.0194511549060301E-2</v>
      </c>
      <c r="AG24" s="31">
        <v>118.122670718116</v>
      </c>
      <c r="AH24" s="30">
        <v>1.2038960067793701E-2</v>
      </c>
      <c r="AI24" s="31">
        <v>85.791687507745607</v>
      </c>
      <c r="AJ24" s="30">
        <v>3.74010875809594E-3</v>
      </c>
      <c r="AK24" s="31">
        <v>93.291526861709201</v>
      </c>
      <c r="AL24" s="30">
        <v>1.5337179253605E-3</v>
      </c>
      <c r="AM24" s="31">
        <v>91.627036378971695</v>
      </c>
      <c r="AN24" s="30">
        <v>3.79070271615323E-3</v>
      </c>
      <c r="AO24" s="31">
        <v>118.77187455358499</v>
      </c>
      <c r="AP24" s="30">
        <v>2.1220558592803401E-2</v>
      </c>
      <c r="AQ24" s="31">
        <v>126.38975968511301</v>
      </c>
      <c r="AR24" s="30">
        <v>2.4238622592279699E-2</v>
      </c>
      <c r="AS24" s="31">
        <v>95.846507236663101</v>
      </c>
      <c r="AT24" s="30">
        <v>-5.6091279143587504E-3</v>
      </c>
      <c r="AU24" s="31">
        <v>95.972215640756701</v>
      </c>
      <c r="AV24" s="30">
        <v>2.2430269520367301E-2</v>
      </c>
      <c r="AW24" s="31">
        <v>91.540057959521206</v>
      </c>
      <c r="AX24" s="30">
        <v>2.6988118869097501E-2</v>
      </c>
      <c r="AY24" s="31">
        <v>103.774989991316</v>
      </c>
      <c r="AZ24" s="30">
        <v>9.58876351395066E-3</v>
      </c>
      <c r="BA24" s="31">
        <v>114.989277020022</v>
      </c>
      <c r="BB24" s="30">
        <v>1.2629546038899901E-2</v>
      </c>
      <c r="BC24" s="31">
        <v>114.922457359568</v>
      </c>
      <c r="BD24" s="30">
        <v>1.54371614845332E-2</v>
      </c>
      <c r="BE24" s="31"/>
      <c r="BF24" s="30"/>
    </row>
    <row r="25" spans="1:58" x14ac:dyDescent="0.2">
      <c r="A25" s="28">
        <v>1993</v>
      </c>
      <c r="B25" s="28"/>
      <c r="C25" s="31">
        <v>90.117310229175004</v>
      </c>
      <c r="D25" s="30">
        <v>2.32202402243167E-2</v>
      </c>
      <c r="E25" s="31">
        <v>88.255442972153602</v>
      </c>
      <c r="F25" s="30">
        <v>1.17484846910068E-2</v>
      </c>
      <c r="G25" s="31">
        <v>89.130557100455704</v>
      </c>
      <c r="H25" s="30">
        <v>2.4300191298803699E-2</v>
      </c>
      <c r="I25" s="31">
        <v>92.042411031956505</v>
      </c>
      <c r="J25" s="30">
        <v>2.5669149999729201E-2</v>
      </c>
      <c r="K25" s="31">
        <v>76.669497931552002</v>
      </c>
      <c r="L25" s="30">
        <v>1.7964179494015999E-2</v>
      </c>
      <c r="M25" s="31">
        <v>86.372760572448101</v>
      </c>
      <c r="N25" s="30">
        <v>-1.62995499326818E-2</v>
      </c>
      <c r="O25" s="31">
        <v>103.22093432651999</v>
      </c>
      <c r="P25" s="30">
        <v>-8.0681435669975893E-3</v>
      </c>
      <c r="Q25" s="31">
        <v>83.753222992477504</v>
      </c>
      <c r="R25" s="30">
        <v>-3.02578306875507E-2</v>
      </c>
      <c r="S25" s="31">
        <v>115.44799532698001</v>
      </c>
      <c r="T25" s="30">
        <v>8.9733471514918898E-3</v>
      </c>
      <c r="U25" s="31"/>
      <c r="V25" s="30"/>
      <c r="W25" s="31"/>
      <c r="X25" s="30"/>
      <c r="Y25" s="31"/>
      <c r="Z25" s="30"/>
      <c r="AA25" s="31">
        <v>93.518708906373405</v>
      </c>
      <c r="AB25" s="30">
        <v>2.9883232833935999E-2</v>
      </c>
      <c r="AC25" s="31">
        <v>94.433385748009002</v>
      </c>
      <c r="AD25" s="30">
        <v>1.41151332340785E-2</v>
      </c>
      <c r="AE25" s="31">
        <v>110.236000324937</v>
      </c>
      <c r="AF25" s="30">
        <v>9.0849731428230794E-3</v>
      </c>
      <c r="AG25" s="31">
        <v>118.822406170367</v>
      </c>
      <c r="AH25" s="30">
        <v>5.9238031784896198E-3</v>
      </c>
      <c r="AI25" s="31">
        <v>91.576707496770197</v>
      </c>
      <c r="AJ25" s="30">
        <v>6.7431008260588898E-2</v>
      </c>
      <c r="AK25" s="31">
        <v>93.321903332882002</v>
      </c>
      <c r="AL25" s="30">
        <v>3.2560803960057799E-4</v>
      </c>
      <c r="AM25" s="31">
        <v>91.870680558332097</v>
      </c>
      <c r="AN25" s="30">
        <v>2.65908610590304E-3</v>
      </c>
      <c r="AO25" s="31">
        <v>116.61361744962301</v>
      </c>
      <c r="AP25" s="30">
        <v>-1.8171449361003102E-2</v>
      </c>
      <c r="AQ25" s="31">
        <v>123.357902543102</v>
      </c>
      <c r="AR25" s="30">
        <v>-2.3988154970502398E-2</v>
      </c>
      <c r="AS25" s="31">
        <v>95.2246351044178</v>
      </c>
      <c r="AT25" s="30">
        <v>-6.4882085969992804E-3</v>
      </c>
      <c r="AU25" s="31">
        <v>97.725787728527806</v>
      </c>
      <c r="AV25" s="30">
        <v>1.8271664106777299E-2</v>
      </c>
      <c r="AW25" s="31">
        <v>92.912009441333396</v>
      </c>
      <c r="AX25" s="30">
        <v>1.4987443884062E-2</v>
      </c>
      <c r="AY25" s="31">
        <v>106.62574405542099</v>
      </c>
      <c r="AZ25" s="30">
        <v>2.7470530850869399E-2</v>
      </c>
      <c r="BA25" s="31">
        <v>115.70464470370599</v>
      </c>
      <c r="BB25" s="30">
        <v>6.2211686360889003E-3</v>
      </c>
      <c r="BC25" s="31">
        <v>112.773511138844</v>
      </c>
      <c r="BD25" s="30">
        <v>-1.8699097374855402E-2</v>
      </c>
      <c r="BE25" s="31"/>
      <c r="BF25" s="30"/>
    </row>
    <row r="26" spans="1:58" x14ac:dyDescent="0.2">
      <c r="A26" s="28">
        <v>1994</v>
      </c>
      <c r="B26" s="28"/>
      <c r="C26" s="31">
        <v>91.184648021350299</v>
      </c>
      <c r="D26" s="30">
        <v>1.18438709440061E-2</v>
      </c>
      <c r="E26" s="31">
        <v>88.235601596365996</v>
      </c>
      <c r="F26" s="30">
        <v>-2.2481758766779199E-4</v>
      </c>
      <c r="G26" s="31">
        <v>89.050450371835097</v>
      </c>
      <c r="H26" s="30">
        <v>-8.9875718526433201E-4</v>
      </c>
      <c r="I26" s="31">
        <v>91.911102768172498</v>
      </c>
      <c r="J26" s="30">
        <v>-1.4266060863881199E-3</v>
      </c>
      <c r="K26" s="31">
        <v>76.787291827708501</v>
      </c>
      <c r="L26" s="30">
        <v>1.53638538577172E-3</v>
      </c>
      <c r="M26" s="31">
        <v>86.484275630024399</v>
      </c>
      <c r="N26" s="30">
        <v>1.2910905803780199E-3</v>
      </c>
      <c r="O26" s="31">
        <v>102.685659304822</v>
      </c>
      <c r="P26" s="30">
        <v>-5.1857215320738597E-3</v>
      </c>
      <c r="Q26" s="31">
        <v>83.721382400340005</v>
      </c>
      <c r="R26" s="30">
        <v>-3.8017154444824902E-4</v>
      </c>
      <c r="S26" s="31">
        <v>114.417864465845</v>
      </c>
      <c r="T26" s="30">
        <v>-8.9228995117405195E-3</v>
      </c>
      <c r="U26" s="31"/>
      <c r="V26" s="30"/>
      <c r="W26" s="31"/>
      <c r="X26" s="30"/>
      <c r="Y26" s="31"/>
      <c r="Z26" s="30"/>
      <c r="AA26" s="31">
        <v>92.827221627547999</v>
      </c>
      <c r="AB26" s="30">
        <v>-7.3941063441933502E-3</v>
      </c>
      <c r="AC26" s="31">
        <v>93.709371138932298</v>
      </c>
      <c r="AD26" s="30">
        <v>-7.6669347746216596E-3</v>
      </c>
      <c r="AE26" s="31">
        <v>109.828694622738</v>
      </c>
      <c r="AF26" s="30">
        <v>-3.6948519630496399E-3</v>
      </c>
      <c r="AG26" s="31">
        <v>118.597671566087</v>
      </c>
      <c r="AH26" s="30">
        <v>-1.89134870706398E-3</v>
      </c>
      <c r="AI26" s="31">
        <v>90.957996461427101</v>
      </c>
      <c r="AJ26" s="30">
        <v>-6.7562052868626E-3</v>
      </c>
      <c r="AK26" s="31">
        <v>89.606431107029394</v>
      </c>
      <c r="AL26" s="30">
        <v>-3.9813506724133502E-2</v>
      </c>
      <c r="AM26" s="31">
        <v>87.877773378286506</v>
      </c>
      <c r="AN26" s="30">
        <v>-4.3462257553544603E-2</v>
      </c>
      <c r="AO26" s="31">
        <v>111.226631650334</v>
      </c>
      <c r="AP26" s="30">
        <v>-4.6195169287297298E-2</v>
      </c>
      <c r="AQ26" s="31">
        <v>117.67542420882199</v>
      </c>
      <c r="AR26" s="30">
        <v>-4.60649720620427E-2</v>
      </c>
      <c r="AS26" s="31">
        <v>92.429406153968699</v>
      </c>
      <c r="AT26" s="30">
        <v>-2.93540526291758E-2</v>
      </c>
      <c r="AU26" s="31">
        <v>97.483468785469697</v>
      </c>
      <c r="AV26" s="30">
        <v>-2.4795803512089902E-3</v>
      </c>
      <c r="AW26" s="31">
        <v>92.714530671259297</v>
      </c>
      <c r="AX26" s="30">
        <v>-2.1254385871266601E-3</v>
      </c>
      <c r="AY26" s="31">
        <v>106.257332356871</v>
      </c>
      <c r="AZ26" s="30">
        <v>-3.45518525393473E-3</v>
      </c>
      <c r="BA26" s="31">
        <v>115.509011969928</v>
      </c>
      <c r="BB26" s="30">
        <v>-1.6907941273980301E-3</v>
      </c>
      <c r="BC26" s="31">
        <v>108.14695836505</v>
      </c>
      <c r="BD26" s="30">
        <v>-4.10251727295999E-2</v>
      </c>
      <c r="BE26" s="31"/>
      <c r="BF26" s="30"/>
    </row>
    <row r="27" spans="1:58" x14ac:dyDescent="0.2">
      <c r="A27" s="28">
        <v>1995</v>
      </c>
      <c r="B27" s="28"/>
      <c r="C27" s="31">
        <v>91.857369802880697</v>
      </c>
      <c r="D27" s="30">
        <v>7.3775772142363697E-3</v>
      </c>
      <c r="E27" s="31">
        <v>88.138647602029707</v>
      </c>
      <c r="F27" s="30">
        <v>-1.09880810673024E-3</v>
      </c>
      <c r="G27" s="31">
        <v>89.920541061730304</v>
      </c>
      <c r="H27" s="30">
        <v>9.7707612512016907E-3</v>
      </c>
      <c r="I27" s="31">
        <v>93.030046047615699</v>
      </c>
      <c r="J27" s="30">
        <v>1.2174190557429699E-2</v>
      </c>
      <c r="K27" s="31">
        <v>76.690128332472199</v>
      </c>
      <c r="L27" s="30">
        <v>-1.26535905777614E-3</v>
      </c>
      <c r="M27" s="31">
        <v>84.319613545240003</v>
      </c>
      <c r="N27" s="30">
        <v>-2.5029545186279499E-2</v>
      </c>
      <c r="O27" s="31">
        <v>98.912917916876296</v>
      </c>
      <c r="P27" s="30">
        <v>-3.6740684273607903E-2</v>
      </c>
      <c r="Q27" s="31">
        <v>83.8796715026172</v>
      </c>
      <c r="R27" s="30">
        <v>1.89066517703074E-3</v>
      </c>
      <c r="S27" s="31">
        <v>107.217409898108</v>
      </c>
      <c r="T27" s="30">
        <v>-6.2931209224644499E-2</v>
      </c>
      <c r="U27" s="31"/>
      <c r="V27" s="30"/>
      <c r="W27" s="31"/>
      <c r="X27" s="30"/>
      <c r="Y27" s="31"/>
      <c r="Z27" s="30"/>
      <c r="AA27" s="31">
        <v>91.290985281198203</v>
      </c>
      <c r="AB27" s="30">
        <v>-1.6549416425643702E-2</v>
      </c>
      <c r="AC27" s="31">
        <v>90.519421324324</v>
      </c>
      <c r="AD27" s="30">
        <v>-3.4040883807436098E-2</v>
      </c>
      <c r="AE27" s="31">
        <v>108.021350842291</v>
      </c>
      <c r="AF27" s="30">
        <v>-1.64560253279461E-2</v>
      </c>
      <c r="AG27" s="31">
        <v>117.33357497778501</v>
      </c>
      <c r="AH27" s="30">
        <v>-1.06586965124144E-2</v>
      </c>
      <c r="AI27" s="31">
        <v>93.491480857839406</v>
      </c>
      <c r="AJ27" s="30">
        <v>2.78533443454494E-2</v>
      </c>
      <c r="AK27" s="31">
        <v>86.019937138324096</v>
      </c>
      <c r="AL27" s="30">
        <v>-4.0024961650591898E-2</v>
      </c>
      <c r="AM27" s="31">
        <v>84.410527923082896</v>
      </c>
      <c r="AN27" s="30">
        <v>-3.9455317561110002E-2</v>
      </c>
      <c r="AO27" s="31">
        <v>109.10417803507799</v>
      </c>
      <c r="AP27" s="30">
        <v>-1.90822430182752E-2</v>
      </c>
      <c r="AQ27" s="31">
        <v>116.015532080594</v>
      </c>
      <c r="AR27" s="30">
        <v>-1.41056821285158E-2</v>
      </c>
      <c r="AS27" s="31">
        <v>88.577591181976302</v>
      </c>
      <c r="AT27" s="30">
        <v>-4.1673046839401401E-2</v>
      </c>
      <c r="AU27" s="31">
        <v>97.2690712912122</v>
      </c>
      <c r="AV27" s="30">
        <v>-2.1993215560406299E-3</v>
      </c>
      <c r="AW27" s="31">
        <v>92.356142128018803</v>
      </c>
      <c r="AX27" s="30">
        <v>-3.8655056617952202E-3</v>
      </c>
      <c r="AY27" s="31">
        <v>106.51622018952401</v>
      </c>
      <c r="AZ27" s="30">
        <v>2.4364232275633198E-3</v>
      </c>
      <c r="BA27" s="31">
        <v>114.32718615524701</v>
      </c>
      <c r="BB27" s="30">
        <v>-1.0231459818814801E-2</v>
      </c>
      <c r="BC27" s="31">
        <v>105.718375414652</v>
      </c>
      <c r="BD27" s="30">
        <v>-2.2456322277689001E-2</v>
      </c>
      <c r="BE27" s="31"/>
      <c r="BF27" s="30"/>
    </row>
    <row r="28" spans="1:58" x14ac:dyDescent="0.2">
      <c r="A28" s="28">
        <v>1996</v>
      </c>
      <c r="B28" s="28"/>
      <c r="C28" s="31">
        <v>92.071777397623293</v>
      </c>
      <c r="D28" s="30">
        <v>2.33413601110732E-3</v>
      </c>
      <c r="E28" s="31">
        <v>88.594653831901098</v>
      </c>
      <c r="F28" s="30">
        <v>5.1737375405434003E-3</v>
      </c>
      <c r="G28" s="31">
        <v>90.565920561721697</v>
      </c>
      <c r="H28" s="30">
        <v>7.1772199363036001E-3</v>
      </c>
      <c r="I28" s="31">
        <v>93.685316232374404</v>
      </c>
      <c r="J28" s="30">
        <v>7.0436403355462803E-3</v>
      </c>
      <c r="K28" s="31">
        <v>77.288371861922997</v>
      </c>
      <c r="L28" s="30">
        <v>7.8007892600890898E-3</v>
      </c>
      <c r="M28" s="31">
        <v>84.361655696153406</v>
      </c>
      <c r="N28" s="30">
        <v>4.9860464423057095E-4</v>
      </c>
      <c r="O28" s="31">
        <v>96.690636381308195</v>
      </c>
      <c r="P28" s="30">
        <v>-2.24670506377702E-2</v>
      </c>
      <c r="Q28" s="31">
        <v>81.594248842892895</v>
      </c>
      <c r="R28" s="30">
        <v>-2.7246442657479698E-2</v>
      </c>
      <c r="S28" s="31">
        <v>105.147923913016</v>
      </c>
      <c r="T28" s="30">
        <v>-1.9301771858306699E-2</v>
      </c>
      <c r="U28" s="31"/>
      <c r="V28" s="30"/>
      <c r="W28" s="31"/>
      <c r="X28" s="30"/>
      <c r="Y28" s="31"/>
      <c r="Z28" s="30"/>
      <c r="AA28" s="31">
        <v>91.366298502793597</v>
      </c>
      <c r="AB28" s="30">
        <v>8.2497983085017001E-4</v>
      </c>
      <c r="AC28" s="31">
        <v>90.293969563344305</v>
      </c>
      <c r="AD28" s="30">
        <v>-2.4906451862074502E-3</v>
      </c>
      <c r="AE28" s="31">
        <v>106.53467780873</v>
      </c>
      <c r="AF28" s="30">
        <v>-1.37627702483651E-2</v>
      </c>
      <c r="AG28" s="31">
        <v>115.251018264943</v>
      </c>
      <c r="AH28" s="30">
        <v>-1.7749026339955801E-2</v>
      </c>
      <c r="AI28" s="31">
        <v>94.295214946992104</v>
      </c>
      <c r="AJ28" s="30">
        <v>8.5968698086491494E-3</v>
      </c>
      <c r="AK28" s="31">
        <v>86.715034203709905</v>
      </c>
      <c r="AL28" s="30">
        <v>8.0806507015695993E-3</v>
      </c>
      <c r="AM28" s="31">
        <v>84.578764085391995</v>
      </c>
      <c r="AN28" s="30">
        <v>1.9930708461197702E-3</v>
      </c>
      <c r="AO28" s="31">
        <v>108.061772024918</v>
      </c>
      <c r="AP28" s="30">
        <v>-9.5542263269241499E-3</v>
      </c>
      <c r="AQ28" s="31">
        <v>114.435527389778</v>
      </c>
      <c r="AR28" s="30">
        <v>-1.36189065591544E-2</v>
      </c>
      <c r="AS28" s="31">
        <v>90.839759616981397</v>
      </c>
      <c r="AT28" s="30">
        <v>2.5538834425488301E-2</v>
      </c>
      <c r="AU28" s="31">
        <v>96.977774596080195</v>
      </c>
      <c r="AV28" s="30">
        <v>-2.99475147922323E-3</v>
      </c>
      <c r="AW28" s="31">
        <v>92.257685449819405</v>
      </c>
      <c r="AX28" s="30">
        <v>-1.0660544705620701E-3</v>
      </c>
      <c r="AY28" s="31">
        <v>105.648656520323</v>
      </c>
      <c r="AZ28" s="30">
        <v>-8.1448972528070894E-3</v>
      </c>
      <c r="BA28" s="31">
        <v>112.396309396874</v>
      </c>
      <c r="BB28" s="30">
        <v>-1.6889042959129099E-2</v>
      </c>
      <c r="BC28" s="31">
        <v>105.52995030705701</v>
      </c>
      <c r="BD28" s="30">
        <v>-1.78233071455858E-3</v>
      </c>
      <c r="BE28" s="31"/>
      <c r="BF28" s="30"/>
    </row>
    <row r="29" spans="1:58" x14ac:dyDescent="0.2">
      <c r="A29" s="28">
        <v>1997</v>
      </c>
      <c r="B29" s="28"/>
      <c r="C29" s="31">
        <v>91.630536876950998</v>
      </c>
      <c r="D29" s="30">
        <v>-4.7923536738808696E-3</v>
      </c>
      <c r="E29" s="31">
        <v>88.616180219487205</v>
      </c>
      <c r="F29" s="30">
        <v>2.4297614647217399E-4</v>
      </c>
      <c r="G29" s="31">
        <v>91.000220331192196</v>
      </c>
      <c r="H29" s="30">
        <v>4.7953994921796604E-3</v>
      </c>
      <c r="I29" s="31">
        <v>94.412220524327097</v>
      </c>
      <c r="J29" s="30">
        <v>7.7589991813626904E-3</v>
      </c>
      <c r="K29" s="31">
        <v>76.573657042501907</v>
      </c>
      <c r="L29" s="30">
        <v>-9.2473783856894497E-3</v>
      </c>
      <c r="M29" s="31">
        <v>83.437640687030495</v>
      </c>
      <c r="N29" s="30">
        <v>-1.09530212689396E-2</v>
      </c>
      <c r="O29" s="31">
        <v>94.803628501860899</v>
      </c>
      <c r="P29" s="30">
        <v>-1.9515931946147098E-2</v>
      </c>
      <c r="Q29" s="31">
        <v>79.145956050728401</v>
      </c>
      <c r="R29" s="30">
        <v>-3.0005702937208101E-2</v>
      </c>
      <c r="S29" s="31">
        <v>103.755545111868</v>
      </c>
      <c r="T29" s="30">
        <v>-1.3242095034609901E-2</v>
      </c>
      <c r="U29" s="31"/>
      <c r="V29" s="30"/>
      <c r="W29" s="31"/>
      <c r="X29" s="30"/>
      <c r="Y29" s="31"/>
      <c r="Z29" s="30"/>
      <c r="AA29" s="31">
        <v>91.728396627210799</v>
      </c>
      <c r="AB29" s="30">
        <v>3.9631475757566604E-3</v>
      </c>
      <c r="AC29" s="31">
        <v>90.586390706445798</v>
      </c>
      <c r="AD29" s="30">
        <v>3.2385456583157199E-3</v>
      </c>
      <c r="AE29" s="31">
        <v>106.89855942951</v>
      </c>
      <c r="AF29" s="30">
        <v>3.4156166636449799E-3</v>
      </c>
      <c r="AG29" s="31">
        <v>114.885894902521</v>
      </c>
      <c r="AH29" s="30">
        <v>-3.16807059858326E-3</v>
      </c>
      <c r="AI29" s="31">
        <v>94.834934515273503</v>
      </c>
      <c r="AJ29" s="30">
        <v>5.7237217030035002E-3</v>
      </c>
      <c r="AK29" s="31">
        <v>88.159368385841404</v>
      </c>
      <c r="AL29" s="30">
        <v>1.66560988575346E-2</v>
      </c>
      <c r="AM29" s="31">
        <v>85.658534769293595</v>
      </c>
      <c r="AN29" s="30">
        <v>1.27664514323171E-2</v>
      </c>
      <c r="AO29" s="31">
        <v>109.69735218744999</v>
      </c>
      <c r="AP29" s="30">
        <v>1.51356037559309E-2</v>
      </c>
      <c r="AQ29" s="31">
        <v>114.68805680219501</v>
      </c>
      <c r="AR29" s="30">
        <v>2.2067396216678401E-3</v>
      </c>
      <c r="AS29" s="31">
        <v>93.435947051527606</v>
      </c>
      <c r="AT29" s="30">
        <v>2.85798580433596E-2</v>
      </c>
      <c r="AU29" s="31">
        <v>96.843578396456195</v>
      </c>
      <c r="AV29" s="30">
        <v>-1.3837830387729601E-3</v>
      </c>
      <c r="AW29" s="31">
        <v>92.078501653358998</v>
      </c>
      <c r="AX29" s="30">
        <v>-1.9422099696820799E-3</v>
      </c>
      <c r="AY29" s="31">
        <v>105.64765279867299</v>
      </c>
      <c r="AZ29" s="30">
        <v>-9.5005623671484702E-6</v>
      </c>
      <c r="BA29" s="31">
        <v>112.052455572489</v>
      </c>
      <c r="BB29" s="30">
        <v>-3.0592981765178401E-3</v>
      </c>
      <c r="BC29" s="31">
        <v>106.589385558966</v>
      </c>
      <c r="BD29" s="30">
        <v>1.0039190285092699E-2</v>
      </c>
      <c r="BE29" s="31"/>
      <c r="BF29" s="30"/>
    </row>
    <row r="30" spans="1:58" x14ac:dyDescent="0.2">
      <c r="A30" s="28">
        <v>1998</v>
      </c>
      <c r="B30" s="28"/>
      <c r="C30" s="31">
        <v>91.459116236477399</v>
      </c>
      <c r="D30" s="30">
        <v>-1.87078070604185E-3</v>
      </c>
      <c r="E30" s="31">
        <v>87.841851026020805</v>
      </c>
      <c r="F30" s="30">
        <v>-8.7380114054616004E-3</v>
      </c>
      <c r="G30" s="31">
        <v>90.948311766903501</v>
      </c>
      <c r="H30" s="30">
        <v>-5.7042240227334095E-4</v>
      </c>
      <c r="I30" s="31">
        <v>94.432074018311994</v>
      </c>
      <c r="J30" s="30">
        <v>2.10285213869899E-4</v>
      </c>
      <c r="K30" s="31">
        <v>76.240049487714998</v>
      </c>
      <c r="L30" s="30">
        <v>-4.3566882877454898E-3</v>
      </c>
      <c r="M30" s="31">
        <v>81.1317285279857</v>
      </c>
      <c r="N30" s="30">
        <v>-2.7636353809357299E-2</v>
      </c>
      <c r="O30" s="31">
        <v>94.170666013089402</v>
      </c>
      <c r="P30" s="30">
        <v>-6.6765639540801204E-3</v>
      </c>
      <c r="Q30" s="31">
        <v>78.862447304192102</v>
      </c>
      <c r="R30" s="30">
        <v>-3.5821002194298401E-3</v>
      </c>
      <c r="S30" s="31">
        <v>102.89336736390599</v>
      </c>
      <c r="T30" s="30">
        <v>-8.3097028407801404E-3</v>
      </c>
      <c r="U30" s="31"/>
      <c r="V30" s="30"/>
      <c r="W30" s="31"/>
      <c r="X30" s="30"/>
      <c r="Y30" s="31"/>
      <c r="Z30" s="30"/>
      <c r="AA30" s="31">
        <v>90.919603527564803</v>
      </c>
      <c r="AB30" s="30">
        <v>-8.8172597514490896E-3</v>
      </c>
      <c r="AC30" s="31">
        <v>88.891150808627501</v>
      </c>
      <c r="AD30" s="30">
        <v>-1.8714068245768201E-2</v>
      </c>
      <c r="AE30" s="31">
        <v>106.73421334007</v>
      </c>
      <c r="AF30" s="30">
        <v>-1.5374022841572201E-3</v>
      </c>
      <c r="AG30" s="31">
        <v>114.120520825131</v>
      </c>
      <c r="AH30" s="30">
        <v>-6.6620369544834199E-3</v>
      </c>
      <c r="AI30" s="31">
        <v>96.1525226394903</v>
      </c>
      <c r="AJ30" s="30">
        <v>1.3893489049698201E-2</v>
      </c>
      <c r="AK30" s="31">
        <v>85.9798246764542</v>
      </c>
      <c r="AL30" s="30">
        <v>-2.4722769108872399E-2</v>
      </c>
      <c r="AM30" s="31">
        <v>82.238502146525803</v>
      </c>
      <c r="AN30" s="30">
        <v>-3.9926349802492003E-2</v>
      </c>
      <c r="AO30" s="31">
        <v>106.604177998501</v>
      </c>
      <c r="AP30" s="30">
        <v>-2.8197345945630701E-2</v>
      </c>
      <c r="AQ30" s="31">
        <v>109.08352217749299</v>
      </c>
      <c r="AR30" s="30">
        <v>-4.8867639586645098E-2</v>
      </c>
      <c r="AS30" s="31">
        <v>95.231110004610599</v>
      </c>
      <c r="AT30" s="30">
        <v>1.92127656403271E-2</v>
      </c>
      <c r="AU30" s="31">
        <v>96.710329277006593</v>
      </c>
      <c r="AV30" s="30">
        <v>-1.3759210642141401E-3</v>
      </c>
      <c r="AW30" s="31">
        <v>91.866222226822501</v>
      </c>
      <c r="AX30" s="30">
        <v>-2.3054179067290002E-3</v>
      </c>
      <c r="AY30" s="31">
        <v>105.74142623261601</v>
      </c>
      <c r="AZ30" s="30">
        <v>8.8760546457167201E-4</v>
      </c>
      <c r="BA30" s="31">
        <v>111.349302824791</v>
      </c>
      <c r="BB30" s="30">
        <v>-6.2752105173057302E-3</v>
      </c>
      <c r="BC30" s="31">
        <v>103.58567598429499</v>
      </c>
      <c r="BD30" s="30">
        <v>-2.81801941058188E-2</v>
      </c>
      <c r="BE30" s="31"/>
      <c r="BF30" s="30"/>
    </row>
    <row r="31" spans="1:58" x14ac:dyDescent="0.2">
      <c r="A31" s="28">
        <v>1999</v>
      </c>
      <c r="B31" s="28"/>
      <c r="C31" s="31">
        <v>91.681620781682497</v>
      </c>
      <c r="D31" s="30">
        <v>2.4328306937690899E-3</v>
      </c>
      <c r="E31" s="31">
        <v>87.703109641564794</v>
      </c>
      <c r="F31" s="30">
        <v>-1.57944513731789E-3</v>
      </c>
      <c r="G31" s="31">
        <v>91.375583763942998</v>
      </c>
      <c r="H31" s="30">
        <v>4.6979651269907201E-3</v>
      </c>
      <c r="I31" s="31">
        <v>94.966108646725203</v>
      </c>
      <c r="J31" s="30">
        <v>5.6552250277759298E-3</v>
      </c>
      <c r="K31" s="31">
        <v>76.241609176375107</v>
      </c>
      <c r="L31" s="30">
        <v>2.0457602934564899E-5</v>
      </c>
      <c r="M31" s="31">
        <v>79.781850454377803</v>
      </c>
      <c r="N31" s="30">
        <v>-1.6638103219287999E-2</v>
      </c>
      <c r="O31" s="31">
        <v>94.605280656361401</v>
      </c>
      <c r="P31" s="30">
        <v>4.6151807316685599E-3</v>
      </c>
      <c r="Q31" s="31">
        <v>80.655280099527005</v>
      </c>
      <c r="R31" s="30">
        <v>2.27336692763229E-2</v>
      </c>
      <c r="S31" s="31">
        <v>102.469040921432</v>
      </c>
      <c r="T31" s="30">
        <v>-4.1239435868844999E-3</v>
      </c>
      <c r="U31" s="31"/>
      <c r="V31" s="30"/>
      <c r="W31" s="31"/>
      <c r="X31" s="30"/>
      <c r="Y31" s="31"/>
      <c r="Z31" s="30"/>
      <c r="AA31" s="31">
        <v>90.933302068344901</v>
      </c>
      <c r="AB31" s="30">
        <v>1.50666525684739E-4</v>
      </c>
      <c r="AC31" s="31">
        <v>88.168261018116993</v>
      </c>
      <c r="AD31" s="30">
        <v>-8.1323032038005394E-3</v>
      </c>
      <c r="AE31" s="31">
        <v>105.888559027754</v>
      </c>
      <c r="AF31" s="30">
        <v>-7.9229919428073208E-3</v>
      </c>
      <c r="AG31" s="31">
        <v>112.15730232168301</v>
      </c>
      <c r="AH31" s="30">
        <v>-1.7203027897643601E-2</v>
      </c>
      <c r="AI31" s="31">
        <v>97.849189318150806</v>
      </c>
      <c r="AJ31" s="30">
        <v>1.7645576341474001E-2</v>
      </c>
      <c r="AK31" s="31">
        <v>85.208056322546994</v>
      </c>
      <c r="AL31" s="30">
        <v>-8.9761564042653008E-3</v>
      </c>
      <c r="AM31" s="31">
        <v>81.368348310237906</v>
      </c>
      <c r="AN31" s="30">
        <v>-1.05808570630034E-2</v>
      </c>
      <c r="AO31" s="31">
        <v>105.46273881330499</v>
      </c>
      <c r="AP31" s="30">
        <v>-1.07072650118151E-2</v>
      </c>
      <c r="AQ31" s="31">
        <v>107.13535136127101</v>
      </c>
      <c r="AR31" s="30">
        <v>-1.7859441805079101E-2</v>
      </c>
      <c r="AS31" s="31">
        <v>94.765428227820607</v>
      </c>
      <c r="AT31" s="30">
        <v>-4.8900173143785501E-3</v>
      </c>
      <c r="AU31" s="31">
        <v>96.906442019593001</v>
      </c>
      <c r="AV31" s="30">
        <v>2.02783657187977E-3</v>
      </c>
      <c r="AW31" s="31">
        <v>92.295649775285995</v>
      </c>
      <c r="AX31" s="30">
        <v>4.6744879462132802E-3</v>
      </c>
      <c r="AY31" s="31">
        <v>105.305019614125</v>
      </c>
      <c r="AZ31" s="30">
        <v>-4.1271111430916099E-3</v>
      </c>
      <c r="BA31" s="31">
        <v>109.518364014018</v>
      </c>
      <c r="BB31" s="30">
        <v>-1.6443199591954099E-2</v>
      </c>
      <c r="BC31" s="31">
        <v>102.167682724789</v>
      </c>
      <c r="BD31" s="30">
        <v>-1.3689086314604601E-2</v>
      </c>
      <c r="BE31" s="31"/>
      <c r="BF31" s="30"/>
    </row>
    <row r="32" spans="1:58" x14ac:dyDescent="0.2">
      <c r="A32" s="28">
        <v>2000</v>
      </c>
      <c r="B32" s="28"/>
      <c r="C32" s="31">
        <v>93.005235733523193</v>
      </c>
      <c r="D32" s="30">
        <v>1.4437080633561E-2</v>
      </c>
      <c r="E32" s="31">
        <v>89.637699606081995</v>
      </c>
      <c r="F32" s="30">
        <v>2.2058396474466498E-2</v>
      </c>
      <c r="G32" s="31">
        <v>92.427726132211404</v>
      </c>
      <c r="H32" s="30">
        <v>1.1514480399780201E-2</v>
      </c>
      <c r="I32" s="31">
        <v>95.754299223708202</v>
      </c>
      <c r="J32" s="30">
        <v>8.2997038439798203E-3</v>
      </c>
      <c r="K32" s="31">
        <v>78.341165956619705</v>
      </c>
      <c r="L32" s="30">
        <v>2.7538201290945499E-2</v>
      </c>
      <c r="M32" s="31">
        <v>83.657272788316902</v>
      </c>
      <c r="N32" s="30">
        <v>4.8575237499099803E-2</v>
      </c>
      <c r="O32" s="31">
        <v>96.0604724580934</v>
      </c>
      <c r="P32" s="30">
        <v>1.53817185640808E-2</v>
      </c>
      <c r="Q32" s="31">
        <v>84.150988584981306</v>
      </c>
      <c r="R32" s="30">
        <v>4.33413470406483E-2</v>
      </c>
      <c r="S32" s="31">
        <v>102.66586992392401</v>
      </c>
      <c r="T32" s="30">
        <v>1.92086312823858E-3</v>
      </c>
      <c r="U32" s="31"/>
      <c r="V32" s="30"/>
      <c r="W32" s="31"/>
      <c r="X32" s="30"/>
      <c r="Y32" s="31"/>
      <c r="Z32" s="30"/>
      <c r="AA32" s="31">
        <v>93.786077509605704</v>
      </c>
      <c r="AB32" s="30">
        <v>3.1372174729965299E-2</v>
      </c>
      <c r="AC32" s="31">
        <v>91.139754448894394</v>
      </c>
      <c r="AD32" s="30">
        <v>3.3702529645750899E-2</v>
      </c>
      <c r="AE32" s="31">
        <v>108.34804302287399</v>
      </c>
      <c r="AF32" s="30">
        <v>2.32270985430501E-2</v>
      </c>
      <c r="AG32" s="31">
        <v>111.70348017418399</v>
      </c>
      <c r="AH32" s="30">
        <v>-4.0463004914094202E-3</v>
      </c>
      <c r="AI32" s="31">
        <v>100.470119028973</v>
      </c>
      <c r="AJ32" s="30">
        <v>2.6785400360347201E-2</v>
      </c>
      <c r="AK32" s="31">
        <v>89.415343002235304</v>
      </c>
      <c r="AL32" s="30">
        <v>4.9376630113025802E-2</v>
      </c>
      <c r="AM32" s="31">
        <v>86.597422949007097</v>
      </c>
      <c r="AN32" s="30">
        <v>6.4264234771387097E-2</v>
      </c>
      <c r="AO32" s="31">
        <v>111.746101142859</v>
      </c>
      <c r="AP32" s="30">
        <v>5.9578979270372E-2</v>
      </c>
      <c r="AQ32" s="31">
        <v>111.070958891442</v>
      </c>
      <c r="AR32" s="30">
        <v>3.6734910374265399E-2</v>
      </c>
      <c r="AS32" s="31">
        <v>96.101806891342605</v>
      </c>
      <c r="AT32" s="30">
        <v>1.4101964065516901E-2</v>
      </c>
      <c r="AU32" s="31">
        <v>97.987649039400296</v>
      </c>
      <c r="AV32" s="30">
        <v>1.1157225435938001E-2</v>
      </c>
      <c r="AW32" s="31">
        <v>93.461258218237106</v>
      </c>
      <c r="AX32" s="30">
        <v>1.2629072397117601E-2</v>
      </c>
      <c r="AY32" s="31">
        <v>106.144525337857</v>
      </c>
      <c r="AZ32" s="30">
        <v>7.9721339667251402E-3</v>
      </c>
      <c r="BA32" s="31">
        <v>109.11717069542701</v>
      </c>
      <c r="BB32" s="30">
        <v>-3.6632515670072001E-3</v>
      </c>
      <c r="BC32" s="31">
        <v>105.144481283519</v>
      </c>
      <c r="BD32" s="30">
        <v>2.9136400859244498E-2</v>
      </c>
      <c r="BE32" s="31"/>
      <c r="BF32" s="30"/>
    </row>
    <row r="33" spans="1:58" x14ac:dyDescent="0.2">
      <c r="A33" s="28">
        <v>2001</v>
      </c>
      <c r="B33" s="28"/>
      <c r="C33" s="31">
        <v>94.020626199172</v>
      </c>
      <c r="D33" s="30">
        <v>1.09175624107674E-2</v>
      </c>
      <c r="E33" s="31">
        <v>90.464126471792397</v>
      </c>
      <c r="F33" s="30">
        <v>9.2196349230524392E-3</v>
      </c>
      <c r="G33" s="31">
        <v>93.246521307935694</v>
      </c>
      <c r="H33" s="30">
        <v>8.8587614343449399E-3</v>
      </c>
      <c r="I33" s="31">
        <v>96.219004959420303</v>
      </c>
      <c r="J33" s="30">
        <v>4.8531057036549398E-3</v>
      </c>
      <c r="K33" s="31">
        <v>80.599041874324897</v>
      </c>
      <c r="L33" s="30">
        <v>2.8821066040240598E-2</v>
      </c>
      <c r="M33" s="31">
        <v>84.500473257194102</v>
      </c>
      <c r="N33" s="30">
        <v>1.00792249229877E-2</v>
      </c>
      <c r="O33" s="31">
        <v>97.612174415255794</v>
      </c>
      <c r="P33" s="30">
        <v>1.6153386689195401E-2</v>
      </c>
      <c r="Q33" s="31">
        <v>86.977812148965299</v>
      </c>
      <c r="R33" s="30">
        <v>3.3592279918722698E-2</v>
      </c>
      <c r="S33" s="31">
        <v>103.456064767001</v>
      </c>
      <c r="T33" s="30">
        <v>7.6967627475623699E-3</v>
      </c>
      <c r="U33" s="31"/>
      <c r="V33" s="30"/>
      <c r="W33" s="31"/>
      <c r="X33" s="30"/>
      <c r="Y33" s="31"/>
      <c r="Z33" s="30"/>
      <c r="AA33" s="31">
        <v>93.706232682082302</v>
      </c>
      <c r="AB33" s="30">
        <v>-8.51350537773077E-4</v>
      </c>
      <c r="AC33" s="31">
        <v>91.0147370137244</v>
      </c>
      <c r="AD33" s="30">
        <v>-1.37171134513092E-3</v>
      </c>
      <c r="AE33" s="31">
        <v>108.543252355481</v>
      </c>
      <c r="AF33" s="30">
        <v>1.8016876646891301E-3</v>
      </c>
      <c r="AG33" s="31">
        <v>111.54348761113199</v>
      </c>
      <c r="AH33" s="30">
        <v>-1.43229703141357E-3</v>
      </c>
      <c r="AI33" s="31">
        <v>100.493502115681</v>
      </c>
      <c r="AJ33" s="30">
        <v>2.32736727441063E-4</v>
      </c>
      <c r="AK33" s="31">
        <v>88.945289923733597</v>
      </c>
      <c r="AL33" s="30">
        <v>-5.2569622026716898E-3</v>
      </c>
      <c r="AM33" s="31">
        <v>86.324852050671595</v>
      </c>
      <c r="AN33" s="30">
        <v>-3.1475636231810301E-3</v>
      </c>
      <c r="AO33" s="31">
        <v>111.65648640719699</v>
      </c>
      <c r="AP33" s="30">
        <v>-8.0194955122392397E-4</v>
      </c>
      <c r="AQ33" s="31">
        <v>110.15895186180001</v>
      </c>
      <c r="AR33" s="30">
        <v>-8.2110304866805893E-3</v>
      </c>
      <c r="AS33" s="31">
        <v>95.083151103624303</v>
      </c>
      <c r="AT33" s="30">
        <v>-1.05997568689846E-2</v>
      </c>
      <c r="AU33" s="31">
        <v>98.704175330821698</v>
      </c>
      <c r="AV33" s="30">
        <v>7.3124143547242896E-3</v>
      </c>
      <c r="AW33" s="31">
        <v>94.481880110761693</v>
      </c>
      <c r="AX33" s="30">
        <v>1.0920266985294099E-2</v>
      </c>
      <c r="AY33" s="31">
        <v>106.093939454077</v>
      </c>
      <c r="AZ33" s="30">
        <v>-4.76575533398638E-4</v>
      </c>
      <c r="BA33" s="31">
        <v>109.019787350729</v>
      </c>
      <c r="BB33" s="30">
        <v>-8.9246581520685498E-4</v>
      </c>
      <c r="BC33" s="31">
        <v>104.19920958982</v>
      </c>
      <c r="BD33" s="30">
        <v>-8.9902169106722604E-3</v>
      </c>
      <c r="BE33" s="31"/>
      <c r="BF33" s="30"/>
    </row>
    <row r="34" spans="1:58" x14ac:dyDescent="0.2">
      <c r="A34" s="28">
        <v>2002</v>
      </c>
      <c r="B34" s="28"/>
      <c r="C34" s="31">
        <v>93.5913526430367</v>
      </c>
      <c r="D34" s="30">
        <v>-4.56573810969918E-3</v>
      </c>
      <c r="E34" s="31">
        <v>89.113407852451104</v>
      </c>
      <c r="F34" s="30">
        <v>-1.4930986149104901E-2</v>
      </c>
      <c r="G34" s="31">
        <v>93.047847842560302</v>
      </c>
      <c r="H34" s="30">
        <v>-2.1306260286030301E-3</v>
      </c>
      <c r="I34" s="31">
        <v>95.737057510175305</v>
      </c>
      <c r="J34" s="30">
        <v>-5.0088592107996304E-3</v>
      </c>
      <c r="K34" s="31">
        <v>81.535126844840207</v>
      </c>
      <c r="L34" s="30">
        <v>1.1614095512138401E-2</v>
      </c>
      <c r="M34" s="31">
        <v>80.655018669922896</v>
      </c>
      <c r="N34" s="30">
        <v>-4.5508083434832501E-2</v>
      </c>
      <c r="O34" s="31">
        <v>97.0849631577385</v>
      </c>
      <c r="P34" s="30">
        <v>-5.4010809683888699E-3</v>
      </c>
      <c r="Q34" s="31">
        <v>86.018643367255805</v>
      </c>
      <c r="R34" s="30">
        <v>-1.1027740960725899E-2</v>
      </c>
      <c r="S34" s="31">
        <v>103.190977974681</v>
      </c>
      <c r="T34" s="30">
        <v>-2.5623127355259801E-3</v>
      </c>
      <c r="U34" s="31"/>
      <c r="V34" s="30"/>
      <c r="W34" s="31"/>
      <c r="X34" s="30"/>
      <c r="Y34" s="31"/>
      <c r="Z34" s="30"/>
      <c r="AA34" s="31">
        <v>92.344008464337406</v>
      </c>
      <c r="AB34" s="30">
        <v>-1.45371783578843E-2</v>
      </c>
      <c r="AC34" s="31">
        <v>89.553539695101705</v>
      </c>
      <c r="AD34" s="30">
        <v>-1.6054513439976E-2</v>
      </c>
      <c r="AE34" s="31">
        <v>105.886917489769</v>
      </c>
      <c r="AF34" s="30">
        <v>-2.4472593257228201E-2</v>
      </c>
      <c r="AG34" s="31">
        <v>110.171630208984</v>
      </c>
      <c r="AH34" s="30">
        <v>-1.2298856988680201E-2</v>
      </c>
      <c r="AI34" s="31">
        <v>99.359996939576703</v>
      </c>
      <c r="AJ34" s="30">
        <v>-1.12793877438929E-2</v>
      </c>
      <c r="AK34" s="31">
        <v>85.587366036626406</v>
      </c>
      <c r="AL34" s="30">
        <v>-3.7752689209136103E-2</v>
      </c>
      <c r="AM34" s="31">
        <v>82.206380995007706</v>
      </c>
      <c r="AN34" s="30">
        <v>-4.7708984815246297E-2</v>
      </c>
      <c r="AO34" s="31">
        <v>105.061953177145</v>
      </c>
      <c r="AP34" s="30">
        <v>-5.9060905839384101E-2</v>
      </c>
      <c r="AQ34" s="31">
        <v>105.996606937778</v>
      </c>
      <c r="AR34" s="30">
        <v>-3.7784899490001897E-2</v>
      </c>
      <c r="AS34" s="31">
        <v>93.833292510001201</v>
      </c>
      <c r="AT34" s="30">
        <v>-1.3144900848531E-2</v>
      </c>
      <c r="AU34" s="31">
        <v>98.101826953529596</v>
      </c>
      <c r="AV34" s="30">
        <v>-6.1025622804021804E-3</v>
      </c>
      <c r="AW34" s="31">
        <v>94.192358286871894</v>
      </c>
      <c r="AX34" s="30">
        <v>-3.0643105699254001E-3</v>
      </c>
      <c r="AY34" s="31">
        <v>104.73807616515199</v>
      </c>
      <c r="AZ34" s="30">
        <v>-1.27798373394551E-2</v>
      </c>
      <c r="BA34" s="31">
        <v>107.536533007763</v>
      </c>
      <c r="BB34" s="30">
        <v>-1.3605368153895301E-2</v>
      </c>
      <c r="BC34" s="31">
        <v>101.097693504018</v>
      </c>
      <c r="BD34" s="30">
        <v>-2.9765255398875499E-2</v>
      </c>
      <c r="BE34" s="31"/>
      <c r="BF34" s="30"/>
    </row>
    <row r="35" spans="1:58" x14ac:dyDescent="0.2">
      <c r="A35" s="28">
        <v>2003</v>
      </c>
      <c r="B35" s="28"/>
      <c r="C35" s="31">
        <v>94.694256077253797</v>
      </c>
      <c r="D35" s="30">
        <v>1.1784245051181599E-2</v>
      </c>
      <c r="E35" s="31">
        <v>89.504660607982501</v>
      </c>
      <c r="F35" s="30">
        <v>4.39050379690498E-3</v>
      </c>
      <c r="G35" s="31">
        <v>94.099684351304901</v>
      </c>
      <c r="H35" s="30">
        <v>1.1304254027715999E-2</v>
      </c>
      <c r="I35" s="31">
        <v>96.862516244815197</v>
      </c>
      <c r="J35" s="30">
        <v>1.1755727237807699E-2</v>
      </c>
      <c r="K35" s="31">
        <v>82.286219091380303</v>
      </c>
      <c r="L35" s="30">
        <v>9.2118854241736194E-3</v>
      </c>
      <c r="M35" s="31">
        <v>79.6120260196316</v>
      </c>
      <c r="N35" s="30">
        <v>-1.2931528223427999E-2</v>
      </c>
      <c r="O35" s="31">
        <v>96.693196693689003</v>
      </c>
      <c r="P35" s="30">
        <v>-4.0352949757316301E-3</v>
      </c>
      <c r="Q35" s="31">
        <v>84.772471859842298</v>
      </c>
      <c r="R35" s="30">
        <v>-1.44872257760794E-2</v>
      </c>
      <c r="S35" s="31">
        <v>103.334762155146</v>
      </c>
      <c r="T35" s="30">
        <v>1.39337937567019E-3</v>
      </c>
      <c r="U35" s="31"/>
      <c r="V35" s="30"/>
      <c r="W35" s="31"/>
      <c r="X35" s="30"/>
      <c r="Y35" s="31"/>
      <c r="Z35" s="30"/>
      <c r="AA35" s="31">
        <v>93.284870136586406</v>
      </c>
      <c r="AB35" s="30">
        <v>1.0188659642302001E-2</v>
      </c>
      <c r="AC35" s="31">
        <v>89.617205573230905</v>
      </c>
      <c r="AD35" s="30">
        <v>7.1092531178562602E-4</v>
      </c>
      <c r="AE35" s="31">
        <v>105.796767046567</v>
      </c>
      <c r="AF35" s="30">
        <v>-8.5138414961305497E-4</v>
      </c>
      <c r="AG35" s="31">
        <v>110.189142312556</v>
      </c>
      <c r="AH35" s="30">
        <v>1.5895293133882899E-4</v>
      </c>
      <c r="AI35" s="31">
        <v>102.464360139127</v>
      </c>
      <c r="AJ35" s="30">
        <v>3.1243591940106799E-2</v>
      </c>
      <c r="AK35" s="31">
        <v>85.044386460019894</v>
      </c>
      <c r="AL35" s="30">
        <v>-6.3441557060438499E-3</v>
      </c>
      <c r="AM35" s="31">
        <v>80.706147231269995</v>
      </c>
      <c r="AN35" s="30">
        <v>-1.82496023493454E-2</v>
      </c>
      <c r="AO35" s="31">
        <v>102.748004277739</v>
      </c>
      <c r="AP35" s="30">
        <v>-2.2024613377442399E-2</v>
      </c>
      <c r="AQ35" s="31">
        <v>103.873790778185</v>
      </c>
      <c r="AR35" s="30">
        <v>-2.0027208614700899E-2</v>
      </c>
      <c r="AS35" s="31">
        <v>95.994300079639999</v>
      </c>
      <c r="AT35" s="30">
        <v>2.3030286072594799E-2</v>
      </c>
      <c r="AU35" s="31">
        <v>98.925200713795206</v>
      </c>
      <c r="AV35" s="30">
        <v>8.3930522584010295E-3</v>
      </c>
      <c r="AW35" s="31">
        <v>94.849590632377598</v>
      </c>
      <c r="AX35" s="30">
        <v>6.9775548405317496E-3</v>
      </c>
      <c r="AY35" s="31">
        <v>105.95022447978</v>
      </c>
      <c r="AZ35" s="30">
        <v>1.15731390055018E-2</v>
      </c>
      <c r="BA35" s="31">
        <v>107.670575298144</v>
      </c>
      <c r="BB35" s="30">
        <v>1.2464814201405001E-3</v>
      </c>
      <c r="BC35" s="31">
        <v>100.46935154417601</v>
      </c>
      <c r="BD35" s="30">
        <v>-6.2151957978867599E-3</v>
      </c>
      <c r="BE35" s="31"/>
      <c r="BF35" s="30"/>
    </row>
    <row r="36" spans="1:58" x14ac:dyDescent="0.2">
      <c r="A36" s="28">
        <v>2004</v>
      </c>
      <c r="B36" s="28"/>
      <c r="C36" s="31">
        <v>95.102908178797605</v>
      </c>
      <c r="D36" s="30">
        <v>4.3154898562214302E-3</v>
      </c>
      <c r="E36" s="31">
        <v>90.116323438579599</v>
      </c>
      <c r="F36" s="30">
        <v>6.8338657053417197E-3</v>
      </c>
      <c r="G36" s="31">
        <v>94.684144023950793</v>
      </c>
      <c r="H36" s="30">
        <v>6.2110694278632002E-3</v>
      </c>
      <c r="I36" s="31">
        <v>97.619594693552997</v>
      </c>
      <c r="J36" s="30">
        <v>7.8160105486448899E-3</v>
      </c>
      <c r="K36" s="31">
        <v>82.179275309275397</v>
      </c>
      <c r="L36" s="30">
        <v>-1.2996560455180699E-3</v>
      </c>
      <c r="M36" s="31">
        <v>80.291520677281298</v>
      </c>
      <c r="N36" s="30">
        <v>8.5350755610975604E-3</v>
      </c>
      <c r="O36" s="31">
        <v>97.185040394359703</v>
      </c>
      <c r="P36" s="30">
        <v>5.0866422611792698E-3</v>
      </c>
      <c r="Q36" s="31">
        <v>85.979189344056095</v>
      </c>
      <c r="R36" s="30">
        <v>1.42347799673568E-2</v>
      </c>
      <c r="S36" s="31">
        <v>103.388414984449</v>
      </c>
      <c r="T36" s="30">
        <v>5.1921374940810895E-4</v>
      </c>
      <c r="U36" s="31"/>
      <c r="V36" s="30"/>
      <c r="W36" s="31"/>
      <c r="X36" s="30"/>
      <c r="Y36" s="31"/>
      <c r="Z36" s="30"/>
      <c r="AA36" s="31">
        <v>94.406299664108005</v>
      </c>
      <c r="AB36" s="30">
        <v>1.20215585429837E-2</v>
      </c>
      <c r="AC36" s="31">
        <v>91.620364784627</v>
      </c>
      <c r="AD36" s="30">
        <v>2.23523953752294E-2</v>
      </c>
      <c r="AE36" s="31">
        <v>107.91975770114099</v>
      </c>
      <c r="AF36" s="30">
        <v>2.0066687421930601E-2</v>
      </c>
      <c r="AG36" s="31">
        <v>111.687928635605</v>
      </c>
      <c r="AH36" s="30">
        <v>1.3601942002574099E-2</v>
      </c>
      <c r="AI36" s="31">
        <v>101.342628419332</v>
      </c>
      <c r="AJ36" s="30">
        <v>-1.0947530617207E-2</v>
      </c>
      <c r="AK36" s="31">
        <v>86.628180031680898</v>
      </c>
      <c r="AL36" s="30">
        <v>1.8623140663205601E-2</v>
      </c>
      <c r="AM36" s="31">
        <v>81.624516208455304</v>
      </c>
      <c r="AN36" s="30">
        <v>1.1379170096592801E-2</v>
      </c>
      <c r="AO36" s="31">
        <v>103.66857135331</v>
      </c>
      <c r="AP36" s="30">
        <v>8.95946429365857E-3</v>
      </c>
      <c r="AQ36" s="31">
        <v>104.706751236698</v>
      </c>
      <c r="AR36" s="30">
        <v>8.0189665966119393E-3</v>
      </c>
      <c r="AS36" s="31">
        <v>99.308360193825195</v>
      </c>
      <c r="AT36" s="30">
        <v>3.4523509327487802E-2</v>
      </c>
      <c r="AU36" s="31">
        <v>99.589539729959697</v>
      </c>
      <c r="AV36" s="30">
        <v>6.7155690498568203E-3</v>
      </c>
      <c r="AW36" s="31">
        <v>95.408166067220805</v>
      </c>
      <c r="AX36" s="30">
        <v>5.8890653203575996E-3</v>
      </c>
      <c r="AY36" s="31">
        <v>106.847011281875</v>
      </c>
      <c r="AZ36" s="30">
        <v>8.4642274851087808E-3</v>
      </c>
      <c r="BA36" s="31">
        <v>109.691554103762</v>
      </c>
      <c r="BB36" s="30">
        <v>1.8770019571475699E-2</v>
      </c>
      <c r="BC36" s="31">
        <v>102.180024645088</v>
      </c>
      <c r="BD36" s="30">
        <v>1.7026815388173602E-2</v>
      </c>
      <c r="BE36" s="31"/>
      <c r="BF36" s="30"/>
    </row>
    <row r="37" spans="1:58" x14ac:dyDescent="0.2">
      <c r="A37" s="28">
        <v>2005</v>
      </c>
      <c r="B37" s="28"/>
      <c r="C37" s="31">
        <v>96.007233597424204</v>
      </c>
      <c r="D37" s="30">
        <v>9.5089144584985501E-3</v>
      </c>
      <c r="E37" s="31">
        <v>91.160434812429202</v>
      </c>
      <c r="F37" s="30">
        <v>1.15862624440204E-2</v>
      </c>
      <c r="G37" s="31">
        <v>95.620942358700106</v>
      </c>
      <c r="H37" s="30">
        <v>9.8939304400571491E-3</v>
      </c>
      <c r="I37" s="31">
        <v>98.580497096964194</v>
      </c>
      <c r="J37" s="30">
        <v>9.8433353101667898E-3</v>
      </c>
      <c r="K37" s="31">
        <v>83.012182911019593</v>
      </c>
      <c r="L37" s="30">
        <v>1.01352512371233E-2</v>
      </c>
      <c r="M37" s="31">
        <v>81.557617901671193</v>
      </c>
      <c r="N37" s="30">
        <v>1.5768753832409801E-2</v>
      </c>
      <c r="O37" s="31">
        <v>97.380119191134199</v>
      </c>
      <c r="P37" s="30">
        <v>2.0072924390726098E-3</v>
      </c>
      <c r="Q37" s="31">
        <v>87.915092790295603</v>
      </c>
      <c r="R37" s="30">
        <v>2.2515953697734001E-2</v>
      </c>
      <c r="S37" s="31">
        <v>102.51975719723499</v>
      </c>
      <c r="T37" s="30">
        <v>-8.4018870716265903E-3</v>
      </c>
      <c r="U37" s="31"/>
      <c r="V37" s="30"/>
      <c r="W37" s="31"/>
      <c r="X37" s="30"/>
      <c r="Y37" s="31"/>
      <c r="Z37" s="30"/>
      <c r="AA37" s="31">
        <v>96.932312043497802</v>
      </c>
      <c r="AB37" s="30">
        <v>2.6756820131465402E-2</v>
      </c>
      <c r="AC37" s="31">
        <v>94.8889182760701</v>
      </c>
      <c r="AD37" s="30">
        <v>3.5674967013354701E-2</v>
      </c>
      <c r="AE37" s="31">
        <v>110.68528397646099</v>
      </c>
      <c r="AF37" s="30">
        <v>2.5625764310724299E-2</v>
      </c>
      <c r="AG37" s="31">
        <v>113.185046692567</v>
      </c>
      <c r="AH37" s="30">
        <v>1.34044750874283E-2</v>
      </c>
      <c r="AI37" s="31">
        <v>102.106074595408</v>
      </c>
      <c r="AJ37" s="30">
        <v>7.5333173017486698E-3</v>
      </c>
      <c r="AK37" s="31">
        <v>89.473947903882603</v>
      </c>
      <c r="AL37" s="30">
        <v>3.28503712205548E-2</v>
      </c>
      <c r="AM37" s="31">
        <v>85.1583829500603</v>
      </c>
      <c r="AN37" s="30">
        <v>4.3294182994973299E-2</v>
      </c>
      <c r="AO37" s="31">
        <v>107.156317269461</v>
      </c>
      <c r="AP37" s="30">
        <v>3.3643233147920198E-2</v>
      </c>
      <c r="AQ37" s="31">
        <v>108.161814211169</v>
      </c>
      <c r="AR37" s="30">
        <v>3.2997518628577999E-2</v>
      </c>
      <c r="AS37" s="31">
        <v>100.26031633168</v>
      </c>
      <c r="AT37" s="30">
        <v>9.5858610090524508E-3</v>
      </c>
      <c r="AU37" s="31">
        <v>100.74007537954699</v>
      </c>
      <c r="AV37" s="30">
        <v>1.1552776051647401E-2</v>
      </c>
      <c r="AW37" s="31">
        <v>96.134359100528798</v>
      </c>
      <c r="AX37" s="30">
        <v>7.6114347779874204E-3</v>
      </c>
      <c r="AY37" s="31">
        <v>108.925506827676</v>
      </c>
      <c r="AZ37" s="30">
        <v>1.94530059462041E-2</v>
      </c>
      <c r="BA37" s="31">
        <v>112.533125017665</v>
      </c>
      <c r="BB37" s="30">
        <v>2.5905102148660701E-2</v>
      </c>
      <c r="BC37" s="31">
        <v>104.71568814851901</v>
      </c>
      <c r="BD37" s="30">
        <v>2.48156477965094E-2</v>
      </c>
      <c r="BE37" s="31"/>
      <c r="BF37" s="30"/>
    </row>
    <row r="38" spans="1:58" x14ac:dyDescent="0.2">
      <c r="A38" s="28">
        <v>2006</v>
      </c>
      <c r="B38" s="28"/>
      <c r="C38" s="31">
        <v>98.048648423416793</v>
      </c>
      <c r="D38" s="30">
        <v>2.1263135594059301E-2</v>
      </c>
      <c r="E38" s="31">
        <v>93.366192138236102</v>
      </c>
      <c r="F38" s="30">
        <v>2.41964326996176E-2</v>
      </c>
      <c r="G38" s="31">
        <v>96.981902969008303</v>
      </c>
      <c r="H38" s="30">
        <v>1.42328717615312E-2</v>
      </c>
      <c r="I38" s="31">
        <v>99.990636168710395</v>
      </c>
      <c r="J38" s="30">
        <v>1.43044426968062E-2</v>
      </c>
      <c r="K38" s="31">
        <v>84.164833303136405</v>
      </c>
      <c r="L38" s="30">
        <v>1.3885316006595001E-2</v>
      </c>
      <c r="M38" s="31">
        <v>85.471981148145801</v>
      </c>
      <c r="N38" s="30">
        <v>4.7995065907809699E-2</v>
      </c>
      <c r="O38" s="31">
        <v>98.224757369902605</v>
      </c>
      <c r="P38" s="30">
        <v>8.6736203013944007E-3</v>
      </c>
      <c r="Q38" s="31">
        <v>90.624927821847805</v>
      </c>
      <c r="R38" s="30">
        <v>3.0823319927739901E-2</v>
      </c>
      <c r="S38" s="31">
        <v>102.322682710436</v>
      </c>
      <c r="T38" s="30">
        <v>-1.9223073891969601E-3</v>
      </c>
      <c r="U38" s="31"/>
      <c r="V38" s="30"/>
      <c r="W38" s="31"/>
      <c r="X38" s="30"/>
      <c r="Y38" s="31"/>
      <c r="Z38" s="30"/>
      <c r="AA38" s="31">
        <v>101.627213847135</v>
      </c>
      <c r="AB38" s="30">
        <v>4.8434848036336103E-2</v>
      </c>
      <c r="AC38" s="31">
        <v>100.31558530027201</v>
      </c>
      <c r="AD38" s="30">
        <v>5.7189681606583997E-2</v>
      </c>
      <c r="AE38" s="31">
        <v>114.021583954791</v>
      </c>
      <c r="AF38" s="30">
        <v>3.01422181745481E-2</v>
      </c>
      <c r="AG38" s="31">
        <v>114.682798811924</v>
      </c>
      <c r="AH38" s="30">
        <v>1.32327737905658E-2</v>
      </c>
      <c r="AI38" s="31">
        <v>105.026445312505</v>
      </c>
      <c r="AJ38" s="30">
        <v>2.86013415819697E-2</v>
      </c>
      <c r="AK38" s="31">
        <v>94.667288125404497</v>
      </c>
      <c r="AL38" s="30">
        <v>5.8043043178342503E-2</v>
      </c>
      <c r="AM38" s="31">
        <v>91.346946706634995</v>
      </c>
      <c r="AN38" s="30">
        <v>7.2671222047556494E-2</v>
      </c>
      <c r="AO38" s="31">
        <v>111.668645173733</v>
      </c>
      <c r="AP38" s="30">
        <v>4.2109770280039698E-2</v>
      </c>
      <c r="AQ38" s="31">
        <v>112.041137526692</v>
      </c>
      <c r="AR38" s="30">
        <v>3.5865923143159499E-2</v>
      </c>
      <c r="AS38" s="31">
        <v>102.652263974463</v>
      </c>
      <c r="AT38" s="30">
        <v>2.3857371792743099E-2</v>
      </c>
      <c r="AU38" s="31">
        <v>102.517315079502</v>
      </c>
      <c r="AV38" s="30">
        <v>1.7641834128665299E-2</v>
      </c>
      <c r="AW38" s="31">
        <v>97.345226238485907</v>
      </c>
      <c r="AX38" s="30">
        <v>1.25955709205992E-2</v>
      </c>
      <c r="AY38" s="31">
        <v>111.858387803304</v>
      </c>
      <c r="AZ38" s="30">
        <v>2.6925566481575701E-2</v>
      </c>
      <c r="BA38" s="31">
        <v>115.469697248784</v>
      </c>
      <c r="BB38" s="30">
        <v>2.6095180691533701E-2</v>
      </c>
      <c r="BC38" s="31">
        <v>108.051856043497</v>
      </c>
      <c r="BD38" s="30">
        <v>3.1859293998488698E-2</v>
      </c>
      <c r="BE38" s="31"/>
      <c r="BF38" s="30"/>
    </row>
    <row r="39" spans="1:58" x14ac:dyDescent="0.2">
      <c r="A39" s="28">
        <v>2007</v>
      </c>
      <c r="B39" s="28"/>
      <c r="C39" s="31">
        <v>100.470826268553</v>
      </c>
      <c r="D39" s="30">
        <v>2.4703837167400901E-2</v>
      </c>
      <c r="E39" s="31">
        <v>95.963140231580198</v>
      </c>
      <c r="F39" s="30">
        <v>2.7814651469336302E-2</v>
      </c>
      <c r="G39" s="31">
        <v>98.629612599580994</v>
      </c>
      <c r="H39" s="30">
        <v>1.6989866976514698E-2</v>
      </c>
      <c r="I39" s="31">
        <v>101.672581335107</v>
      </c>
      <c r="J39" s="30">
        <v>1.68210267565332E-2</v>
      </c>
      <c r="K39" s="31">
        <v>85.664616046097507</v>
      </c>
      <c r="L39" s="30">
        <v>1.78195890623267E-2</v>
      </c>
      <c r="M39" s="31">
        <v>90.082759366905705</v>
      </c>
      <c r="N39" s="30">
        <v>5.3944908691985899E-2</v>
      </c>
      <c r="O39" s="31">
        <v>100.043589336157</v>
      </c>
      <c r="P39" s="30">
        <v>1.8517042087515399E-2</v>
      </c>
      <c r="Q39" s="31">
        <v>94.244019889370193</v>
      </c>
      <c r="R39" s="30">
        <v>3.9934840826983703E-2</v>
      </c>
      <c r="S39" s="31">
        <v>103.246052219334</v>
      </c>
      <c r="T39" s="30">
        <v>9.0240940174659608E-3</v>
      </c>
      <c r="U39" s="31"/>
      <c r="V39" s="30"/>
      <c r="W39" s="31"/>
      <c r="X39" s="30"/>
      <c r="Y39" s="31"/>
      <c r="Z39" s="30"/>
      <c r="AA39" s="31">
        <v>105.71161386951501</v>
      </c>
      <c r="AB39" s="30">
        <v>4.0190022610704403E-2</v>
      </c>
      <c r="AC39" s="31">
        <v>104.389653825812</v>
      </c>
      <c r="AD39" s="30">
        <v>4.0612518118149601E-2</v>
      </c>
      <c r="AE39" s="31">
        <v>117.676822907355</v>
      </c>
      <c r="AF39" s="30">
        <v>3.2057430056518399E-2</v>
      </c>
      <c r="AG39" s="31">
        <v>117.78613108497601</v>
      </c>
      <c r="AH39" s="30">
        <v>2.7060137223722702E-2</v>
      </c>
      <c r="AI39" s="31">
        <v>109.145819198452</v>
      </c>
      <c r="AJ39" s="30">
        <v>3.9222253725618203E-2</v>
      </c>
      <c r="AK39" s="31">
        <v>99.281854281401294</v>
      </c>
      <c r="AL39" s="30">
        <v>4.8745097143629401E-2</v>
      </c>
      <c r="AM39" s="31">
        <v>95.939935622987804</v>
      </c>
      <c r="AN39" s="30">
        <v>5.0280705397887301E-2</v>
      </c>
      <c r="AO39" s="31">
        <v>116.422564663177</v>
      </c>
      <c r="AP39" s="30">
        <v>4.2571659054760499E-2</v>
      </c>
      <c r="AQ39" s="31">
        <v>116.837518991525</v>
      </c>
      <c r="AR39" s="30">
        <v>4.2809110749083099E-2</v>
      </c>
      <c r="AS39" s="31">
        <v>107.270357850783</v>
      </c>
      <c r="AT39" s="30">
        <v>4.4987745009397E-2</v>
      </c>
      <c r="AU39" s="31">
        <v>104.93687664095999</v>
      </c>
      <c r="AV39" s="30">
        <v>2.36014917049088E-2</v>
      </c>
      <c r="AW39" s="31">
        <v>99.043756340709905</v>
      </c>
      <c r="AX39" s="30">
        <v>1.7448519746235298E-2</v>
      </c>
      <c r="AY39" s="31">
        <v>115.66421493516999</v>
      </c>
      <c r="AZ39" s="30">
        <v>3.4023618671833698E-2</v>
      </c>
      <c r="BA39" s="31">
        <v>119.089768795948</v>
      </c>
      <c r="BB39" s="30">
        <v>3.1350836049772103E-2</v>
      </c>
      <c r="BC39" s="31">
        <v>112.754989733394</v>
      </c>
      <c r="BD39" s="30">
        <v>4.35266349150372E-2</v>
      </c>
      <c r="BE39" s="31"/>
      <c r="BF39" s="30"/>
    </row>
    <row r="40" spans="1:58" x14ac:dyDescent="0.2">
      <c r="A40" s="28">
        <v>2008</v>
      </c>
      <c r="B40" s="28"/>
      <c r="C40" s="31">
        <v>101.829547446684</v>
      </c>
      <c r="D40" s="30">
        <v>1.35235394053574E-2</v>
      </c>
      <c r="E40" s="31">
        <v>97.701915394572595</v>
      </c>
      <c r="F40" s="30">
        <v>1.8119198254625199E-2</v>
      </c>
      <c r="G40" s="31">
        <v>100.797741556996</v>
      </c>
      <c r="H40" s="30">
        <v>2.19825354705321E-2</v>
      </c>
      <c r="I40" s="31">
        <v>103.35749823050099</v>
      </c>
      <c r="J40" s="30">
        <v>1.6571988959741098E-2</v>
      </c>
      <c r="K40" s="31">
        <v>89.845886991551097</v>
      </c>
      <c r="L40" s="30">
        <v>4.8809778627893999E-2</v>
      </c>
      <c r="M40" s="31">
        <v>90.929518795307004</v>
      </c>
      <c r="N40" s="30">
        <v>9.3997945261918795E-3</v>
      </c>
      <c r="O40" s="31">
        <v>102.090642228083</v>
      </c>
      <c r="P40" s="30">
        <v>2.0461609839366599E-2</v>
      </c>
      <c r="Q40" s="31">
        <v>97.790173139412303</v>
      </c>
      <c r="R40" s="30">
        <v>3.7627355605213103E-2</v>
      </c>
      <c r="S40" s="31">
        <v>104.555410668223</v>
      </c>
      <c r="T40" s="30">
        <v>1.2681922657027399E-2</v>
      </c>
      <c r="U40" s="31"/>
      <c r="V40" s="30"/>
      <c r="W40" s="31"/>
      <c r="X40" s="30"/>
      <c r="Y40" s="31"/>
      <c r="Z40" s="30"/>
      <c r="AA40" s="31">
        <v>108.231804721172</v>
      </c>
      <c r="AB40" s="30">
        <v>2.38402457346703E-2</v>
      </c>
      <c r="AC40" s="31">
        <v>108.925787894606</v>
      </c>
      <c r="AD40" s="30">
        <v>4.3453866379931497E-2</v>
      </c>
      <c r="AE40" s="31">
        <v>121.314142352258</v>
      </c>
      <c r="AF40" s="30">
        <v>3.09093953680801E-2</v>
      </c>
      <c r="AG40" s="31">
        <v>120.562060731351</v>
      </c>
      <c r="AH40" s="30">
        <v>2.3567542467052699E-2</v>
      </c>
      <c r="AI40" s="31">
        <v>106.588336017103</v>
      </c>
      <c r="AJ40" s="30">
        <v>-2.34318016038545E-2</v>
      </c>
      <c r="AK40" s="31">
        <v>102.6214362405</v>
      </c>
      <c r="AL40" s="30">
        <v>3.3637385031438399E-2</v>
      </c>
      <c r="AM40" s="31">
        <v>100.107198823565</v>
      </c>
      <c r="AN40" s="30">
        <v>4.3436168405958098E-2</v>
      </c>
      <c r="AO40" s="31">
        <v>119.44866992457899</v>
      </c>
      <c r="AP40" s="30">
        <v>2.5992429132248199E-2</v>
      </c>
      <c r="AQ40" s="31">
        <v>120.002047160074</v>
      </c>
      <c r="AR40" s="30">
        <v>2.70848627723645E-2</v>
      </c>
      <c r="AS40" s="31">
        <v>108.122780929822</v>
      </c>
      <c r="AT40" s="30">
        <v>7.9464923592844593E-3</v>
      </c>
      <c r="AU40" s="31">
        <v>106.89730399537601</v>
      </c>
      <c r="AV40" s="30">
        <v>1.8681967837900201E-2</v>
      </c>
      <c r="AW40" s="31">
        <v>101.175947736528</v>
      </c>
      <c r="AX40" s="30">
        <v>2.1527771912081401E-2</v>
      </c>
      <c r="AY40" s="31">
        <v>117.285775925289</v>
      </c>
      <c r="AZ40" s="30">
        <v>1.40195564464662E-2</v>
      </c>
      <c r="BA40" s="31">
        <v>122.997625103552</v>
      </c>
      <c r="BB40" s="30">
        <v>3.2814374795703698E-2</v>
      </c>
      <c r="BC40" s="31">
        <v>115.09645747906301</v>
      </c>
      <c r="BD40" s="30">
        <v>2.0765978970909999E-2</v>
      </c>
      <c r="BE40" s="31"/>
      <c r="BF40" s="30"/>
    </row>
    <row r="41" spans="1:58" x14ac:dyDescent="0.2">
      <c r="A41" s="28">
        <v>2009</v>
      </c>
      <c r="B41" s="28"/>
      <c r="C41" s="31">
        <v>102.313356379825</v>
      </c>
      <c r="D41" s="30">
        <v>4.7511645222042499E-3</v>
      </c>
      <c r="E41" s="31">
        <v>97.491388331065806</v>
      </c>
      <c r="F41" s="30">
        <v>-2.1547895213374101E-3</v>
      </c>
      <c r="G41" s="31">
        <v>100.73822942837199</v>
      </c>
      <c r="H41" s="30">
        <v>-5.9041132970993903E-4</v>
      </c>
      <c r="I41" s="31">
        <v>102.603979282876</v>
      </c>
      <c r="J41" s="30">
        <v>-7.2904139566545298E-3</v>
      </c>
      <c r="K41" s="31">
        <v>92.660273850488196</v>
      </c>
      <c r="L41" s="30">
        <v>3.1324604310509999E-2</v>
      </c>
      <c r="M41" s="31">
        <v>90.413493628795294</v>
      </c>
      <c r="N41" s="30">
        <v>-5.67500162046686E-3</v>
      </c>
      <c r="O41" s="31">
        <v>101.698170524498</v>
      </c>
      <c r="P41" s="30">
        <v>-3.84434552491819E-3</v>
      </c>
      <c r="Q41" s="31">
        <v>96.845698697403805</v>
      </c>
      <c r="R41" s="30">
        <v>-9.6581733285414605E-3</v>
      </c>
      <c r="S41" s="31">
        <v>104.480783865988</v>
      </c>
      <c r="T41" s="30">
        <v>-7.1375361406889005E-4</v>
      </c>
      <c r="U41" s="31"/>
      <c r="V41" s="30"/>
      <c r="W41" s="31"/>
      <c r="X41" s="30"/>
      <c r="Y41" s="31"/>
      <c r="Z41" s="30"/>
      <c r="AA41" s="31">
        <v>106.70104713112499</v>
      </c>
      <c r="AB41" s="30">
        <v>-1.41433250049793E-2</v>
      </c>
      <c r="AC41" s="31">
        <v>106.054376998802</v>
      </c>
      <c r="AD41" s="30">
        <v>-2.63611670964627E-2</v>
      </c>
      <c r="AE41" s="31">
        <v>115.518194560119</v>
      </c>
      <c r="AF41" s="30">
        <v>-4.7776357148116802E-2</v>
      </c>
      <c r="AG41" s="31">
        <v>118.379811045352</v>
      </c>
      <c r="AH41" s="30">
        <v>-1.8100633588718301E-2</v>
      </c>
      <c r="AI41" s="31">
        <v>108.172923177176</v>
      </c>
      <c r="AJ41" s="30">
        <v>1.48664217801329E-2</v>
      </c>
      <c r="AK41" s="31">
        <v>99.710691411797299</v>
      </c>
      <c r="AL41" s="30">
        <v>-2.8363906561209101E-2</v>
      </c>
      <c r="AM41" s="31">
        <v>96.661533051903703</v>
      </c>
      <c r="AN41" s="30">
        <v>-3.4419760138667703E-2</v>
      </c>
      <c r="AO41" s="31">
        <v>110.035700358415</v>
      </c>
      <c r="AP41" s="30">
        <v>-7.8803469072591198E-2</v>
      </c>
      <c r="AQ41" s="31">
        <v>110.80520093772201</v>
      </c>
      <c r="AR41" s="30">
        <v>-7.6639077749097798E-2</v>
      </c>
      <c r="AS41" s="31">
        <v>106.644023766654</v>
      </c>
      <c r="AT41" s="30">
        <v>-1.36766475154615E-2</v>
      </c>
      <c r="AU41" s="31">
        <v>105.76595733651</v>
      </c>
      <c r="AV41" s="30">
        <v>-1.05834910384165E-2</v>
      </c>
      <c r="AW41" s="31">
        <v>101.02363995908399</v>
      </c>
      <c r="AX41" s="30">
        <v>-1.50537534712369E-3</v>
      </c>
      <c r="AY41" s="31">
        <v>114.204932667927</v>
      </c>
      <c r="AZ41" s="30">
        <v>-2.62678336998446E-2</v>
      </c>
      <c r="BA41" s="31">
        <v>117.271256374045</v>
      </c>
      <c r="BB41" s="30">
        <v>-4.6556742251617503E-2</v>
      </c>
      <c r="BC41" s="31">
        <v>108.853026894675</v>
      </c>
      <c r="BD41" s="30">
        <v>-5.4245201990888101E-2</v>
      </c>
      <c r="BE41" s="31"/>
      <c r="BF41" s="30"/>
    </row>
    <row r="42" spans="1:58" x14ac:dyDescent="0.2">
      <c r="A42" s="28">
        <v>2010</v>
      </c>
      <c r="B42" s="28"/>
      <c r="C42" s="31">
        <v>102.774751657115</v>
      </c>
      <c r="D42" s="30">
        <v>4.5096289831136902E-3</v>
      </c>
      <c r="E42" s="31">
        <v>97.3459839307138</v>
      </c>
      <c r="F42" s="30">
        <v>-1.4914589159215101E-3</v>
      </c>
      <c r="G42" s="31">
        <v>101.291551246624</v>
      </c>
      <c r="H42" s="30">
        <v>5.4926696785491096E-3</v>
      </c>
      <c r="I42" s="31">
        <v>102.894833705823</v>
      </c>
      <c r="J42" s="30">
        <v>2.8347284869418799E-3</v>
      </c>
      <c r="K42" s="31">
        <v>94.323836281646507</v>
      </c>
      <c r="L42" s="30">
        <v>1.7953351118328499E-2</v>
      </c>
      <c r="M42" s="31">
        <v>88.778640286365899</v>
      </c>
      <c r="N42" s="30">
        <v>-1.8081961848986E-2</v>
      </c>
      <c r="O42" s="31">
        <v>101.555744894345</v>
      </c>
      <c r="P42" s="30">
        <v>-1.40047386711772E-3</v>
      </c>
      <c r="Q42" s="31">
        <v>97.204312683797696</v>
      </c>
      <c r="R42" s="30">
        <v>3.7029418055456501E-3</v>
      </c>
      <c r="S42" s="31">
        <v>104.051299863342</v>
      </c>
      <c r="T42" s="30">
        <v>-4.1106506551228401E-3</v>
      </c>
      <c r="U42" s="31"/>
      <c r="V42" s="30"/>
      <c r="W42" s="31"/>
      <c r="X42" s="30"/>
      <c r="Y42" s="31"/>
      <c r="Z42" s="30"/>
      <c r="AA42" s="31">
        <v>109.871289681866</v>
      </c>
      <c r="AB42" s="30">
        <v>2.9711447412925401E-2</v>
      </c>
      <c r="AC42" s="31">
        <v>111.293629453501</v>
      </c>
      <c r="AD42" s="30">
        <v>4.9401567412515397E-2</v>
      </c>
      <c r="AE42" s="31">
        <v>117.201663870882</v>
      </c>
      <c r="AF42" s="30">
        <v>1.45731961720204E-2</v>
      </c>
      <c r="AG42" s="31">
        <v>116.19300245095199</v>
      </c>
      <c r="AH42" s="30">
        <v>-1.8472817071502501E-2</v>
      </c>
      <c r="AI42" s="31">
        <v>105.762493337102</v>
      </c>
      <c r="AJ42" s="30">
        <v>-2.22831164146928E-2</v>
      </c>
      <c r="AK42" s="31">
        <v>102.080759205908</v>
      </c>
      <c r="AL42" s="30">
        <v>2.3769444986821799E-2</v>
      </c>
      <c r="AM42" s="31">
        <v>101.33695246065101</v>
      </c>
      <c r="AN42" s="30">
        <v>4.83689763769488E-2</v>
      </c>
      <c r="AO42" s="31">
        <v>109.857003496983</v>
      </c>
      <c r="AP42" s="30">
        <v>-1.6239898582964801E-3</v>
      </c>
      <c r="AQ42" s="31">
        <v>110.129213811754</v>
      </c>
      <c r="AR42" s="30">
        <v>-6.1006804757109999E-3</v>
      </c>
      <c r="AS42" s="31">
        <v>102.867118512581</v>
      </c>
      <c r="AT42" s="30">
        <v>-3.5416004766822398E-2</v>
      </c>
      <c r="AU42" s="31">
        <v>105.956635566808</v>
      </c>
      <c r="AV42" s="30">
        <v>1.80283179105367E-3</v>
      </c>
      <c r="AW42" s="31">
        <v>101.38013116101099</v>
      </c>
      <c r="AX42" s="30">
        <v>3.5287899156206701E-3</v>
      </c>
      <c r="AY42" s="31">
        <v>114.079016765622</v>
      </c>
      <c r="AZ42" s="30">
        <v>-1.10254346605332E-3</v>
      </c>
      <c r="BA42" s="31">
        <v>118.333225138552</v>
      </c>
      <c r="BB42" s="30">
        <v>9.0556611853818102E-3</v>
      </c>
      <c r="BC42" s="31">
        <v>107.02647978420499</v>
      </c>
      <c r="BD42" s="30">
        <v>-1.67799386252988E-2</v>
      </c>
      <c r="BE42" s="31"/>
      <c r="BF42" s="30"/>
    </row>
    <row r="43" spans="1:58" x14ac:dyDescent="0.2">
      <c r="A43" s="28">
        <v>2011</v>
      </c>
      <c r="B43" s="28"/>
      <c r="C43" s="31">
        <v>102.883893671327</v>
      </c>
      <c r="D43" s="30">
        <v>1.0619535678924E-3</v>
      </c>
      <c r="E43" s="31">
        <v>96.997822700917993</v>
      </c>
      <c r="F43" s="30">
        <v>-3.5765340873601401E-3</v>
      </c>
      <c r="G43" s="31">
        <v>101.104928229957</v>
      </c>
      <c r="H43" s="30">
        <v>-1.8424341849867501E-3</v>
      </c>
      <c r="I43" s="31">
        <v>102.306040202064</v>
      </c>
      <c r="J43" s="30">
        <v>-5.7222844194698697E-3</v>
      </c>
      <c r="K43" s="31">
        <v>95.854122110232595</v>
      </c>
      <c r="L43" s="30">
        <v>1.6223744590039099E-2</v>
      </c>
      <c r="M43" s="31">
        <v>88.120788798332995</v>
      </c>
      <c r="N43" s="30">
        <v>-7.4100198641360304E-3</v>
      </c>
      <c r="O43" s="31">
        <v>101.855377852665</v>
      </c>
      <c r="P43" s="30">
        <v>2.9504284433403698E-3</v>
      </c>
      <c r="Q43" s="31">
        <v>99.360847284250497</v>
      </c>
      <c r="R43" s="30">
        <v>2.2185585607378901E-2</v>
      </c>
      <c r="S43" s="31">
        <v>103.281220804534</v>
      </c>
      <c r="T43" s="30">
        <v>-7.4009556806975399E-3</v>
      </c>
      <c r="U43" s="31"/>
      <c r="V43" s="30"/>
      <c r="W43" s="31"/>
      <c r="X43" s="30"/>
      <c r="Y43" s="31"/>
      <c r="Z43" s="30"/>
      <c r="AA43" s="31">
        <v>110.178032847164</v>
      </c>
      <c r="AB43" s="30">
        <v>2.7918409457663401E-3</v>
      </c>
      <c r="AC43" s="31">
        <v>111.43612390403899</v>
      </c>
      <c r="AD43" s="30">
        <v>1.28034687374257E-3</v>
      </c>
      <c r="AE43" s="31">
        <v>114.38111241461201</v>
      </c>
      <c r="AF43" s="30">
        <v>-2.40657970468501E-2</v>
      </c>
      <c r="AG43" s="31">
        <v>111.458517251949</v>
      </c>
      <c r="AH43" s="30">
        <v>-4.0746732584019098E-2</v>
      </c>
      <c r="AI43" s="31">
        <v>106.54532214547901</v>
      </c>
      <c r="AJ43" s="30">
        <v>7.4017620394246598E-3</v>
      </c>
      <c r="AK43" s="31">
        <v>101.64150855491199</v>
      </c>
      <c r="AL43" s="30">
        <v>-4.3029720234499802E-3</v>
      </c>
      <c r="AM43" s="31">
        <v>102.43764716437499</v>
      </c>
      <c r="AN43" s="30">
        <v>1.0861730859254E-2</v>
      </c>
      <c r="AO43" s="31">
        <v>107.047794468714</v>
      </c>
      <c r="AP43" s="30">
        <v>-2.5571506038265E-2</v>
      </c>
      <c r="AQ43" s="31">
        <v>107.36108327625099</v>
      </c>
      <c r="AR43" s="30">
        <v>-2.51352973447629E-2</v>
      </c>
      <c r="AS43" s="31">
        <v>98.290105269817005</v>
      </c>
      <c r="AT43" s="30">
        <v>-4.4494424544457498E-2</v>
      </c>
      <c r="AU43" s="31">
        <v>105.308526858601</v>
      </c>
      <c r="AV43" s="30">
        <v>-6.1167354431382898E-3</v>
      </c>
      <c r="AW43" s="31">
        <v>101.33190274195999</v>
      </c>
      <c r="AX43" s="30">
        <v>-4.75718649195711E-4</v>
      </c>
      <c r="AY43" s="31">
        <v>112.303903971227</v>
      </c>
      <c r="AZ43" s="30">
        <v>-1.55603795046918E-2</v>
      </c>
      <c r="BA43" s="31">
        <v>115.30102792921301</v>
      </c>
      <c r="BB43" s="30">
        <v>-2.56242251978549E-2</v>
      </c>
      <c r="BC43" s="31">
        <v>103.575194990383</v>
      </c>
      <c r="BD43" s="30">
        <v>-3.2247017754673403E-2</v>
      </c>
      <c r="BE43" s="31"/>
      <c r="BF43" s="30"/>
    </row>
    <row r="44" spans="1:58" x14ac:dyDescent="0.2">
      <c r="A44" s="28">
        <v>2012</v>
      </c>
      <c r="B44" s="28"/>
      <c r="C44" s="31">
        <v>103.092089819507</v>
      </c>
      <c r="D44" s="30">
        <v>2.0236029251150499E-3</v>
      </c>
      <c r="E44" s="31">
        <v>96.980905698366698</v>
      </c>
      <c r="F44" s="30">
        <v>-1.74406002941607E-4</v>
      </c>
      <c r="G44" s="31">
        <v>100.50051981993199</v>
      </c>
      <c r="H44" s="30">
        <v>-5.9780311465093003E-3</v>
      </c>
      <c r="I44" s="31">
        <v>101.300059764582</v>
      </c>
      <c r="J44" s="30">
        <v>-9.8330502822246996E-3</v>
      </c>
      <c r="K44" s="31">
        <v>97.001643444979706</v>
      </c>
      <c r="L44" s="30">
        <v>1.19715387245158E-2</v>
      </c>
      <c r="M44" s="31">
        <v>89.335240754850403</v>
      </c>
      <c r="N44" s="30">
        <v>1.3781673689925901E-2</v>
      </c>
      <c r="O44" s="31">
        <v>101.340377513729</v>
      </c>
      <c r="P44" s="30">
        <v>-5.0561919242149101E-3</v>
      </c>
      <c r="Q44" s="31">
        <v>99.752537183257004</v>
      </c>
      <c r="R44" s="30">
        <v>3.9420949972983604E-3</v>
      </c>
      <c r="S44" s="31">
        <v>102.252205332746</v>
      </c>
      <c r="T44" s="30">
        <v>-9.96323885187533E-3</v>
      </c>
      <c r="U44" s="31"/>
      <c r="V44" s="30"/>
      <c r="W44" s="31"/>
      <c r="X44" s="30"/>
      <c r="Y44" s="31"/>
      <c r="Z44" s="30"/>
      <c r="AA44" s="31">
        <v>113.28269372227101</v>
      </c>
      <c r="AB44" s="30">
        <v>2.8178583288143402E-2</v>
      </c>
      <c r="AC44" s="31">
        <v>115.556219325917</v>
      </c>
      <c r="AD44" s="30">
        <v>3.6972709365104002E-2</v>
      </c>
      <c r="AE44" s="31">
        <v>115.51331898423101</v>
      </c>
      <c r="AF44" s="30">
        <v>9.8985448359267796E-3</v>
      </c>
      <c r="AG44" s="31">
        <v>112.58769330013899</v>
      </c>
      <c r="AH44" s="30">
        <v>1.01309085750503E-2</v>
      </c>
      <c r="AI44" s="31">
        <v>107.038810344464</v>
      </c>
      <c r="AJ44" s="30">
        <v>4.6317209338453402E-3</v>
      </c>
      <c r="AK44" s="31">
        <v>104.558266914553</v>
      </c>
      <c r="AL44" s="30">
        <v>2.8696527640231801E-2</v>
      </c>
      <c r="AM44" s="31">
        <v>106.43763145174201</v>
      </c>
      <c r="AN44" s="30">
        <v>3.9047990637152398E-2</v>
      </c>
      <c r="AO44" s="31">
        <v>107.371892031027</v>
      </c>
      <c r="AP44" s="30">
        <v>3.0275968217909899E-3</v>
      </c>
      <c r="AQ44" s="31">
        <v>107.660643381879</v>
      </c>
      <c r="AR44" s="30">
        <v>2.7902112803481799E-3</v>
      </c>
      <c r="AS44" s="31">
        <v>98.638280928903001</v>
      </c>
      <c r="AT44" s="30">
        <v>3.5423266475316201E-3</v>
      </c>
      <c r="AU44" s="31">
        <v>105.24836186330501</v>
      </c>
      <c r="AV44" s="30">
        <v>-5.7132121291791904E-4</v>
      </c>
      <c r="AW44" s="31">
        <v>100.753247381623</v>
      </c>
      <c r="AX44" s="30">
        <v>-5.7104953591009498E-3</v>
      </c>
      <c r="AY44" s="31">
        <v>113.224471971521</v>
      </c>
      <c r="AZ44" s="30">
        <v>8.1971148619153205E-3</v>
      </c>
      <c r="BA44" s="31">
        <v>116.45411066390299</v>
      </c>
      <c r="BB44" s="30">
        <v>1.00006284020107E-2</v>
      </c>
      <c r="BC44" s="31">
        <v>103.893585809002</v>
      </c>
      <c r="BD44" s="30">
        <v>3.0740064611818299E-3</v>
      </c>
      <c r="BE44" s="31"/>
      <c r="BF44" s="30"/>
    </row>
    <row r="45" spans="1:58" x14ac:dyDescent="0.2">
      <c r="A45" s="28">
        <v>2013</v>
      </c>
      <c r="B45" s="28"/>
      <c r="C45" s="31">
        <v>103.061357907166</v>
      </c>
      <c r="D45" s="30">
        <v>-2.9810155556075902E-4</v>
      </c>
      <c r="E45" s="31">
        <v>97.9829909450456</v>
      </c>
      <c r="F45" s="30">
        <v>1.03328097367501E-2</v>
      </c>
      <c r="G45" s="31">
        <v>100.18233787413401</v>
      </c>
      <c r="H45" s="30">
        <v>-3.1659731349515901E-3</v>
      </c>
      <c r="I45" s="31">
        <v>100.77983262638099</v>
      </c>
      <c r="J45" s="30">
        <v>-5.1355067253638902E-3</v>
      </c>
      <c r="K45" s="31">
        <v>97.570803007854394</v>
      </c>
      <c r="L45" s="30">
        <v>5.8675249476312103E-3</v>
      </c>
      <c r="M45" s="31">
        <v>93.403263324005593</v>
      </c>
      <c r="N45" s="30">
        <v>4.5536593787421503E-2</v>
      </c>
      <c r="O45" s="31">
        <v>101.78914728204001</v>
      </c>
      <c r="P45" s="30">
        <v>4.42834119351643E-3</v>
      </c>
      <c r="Q45" s="31">
        <v>100.360553498922</v>
      </c>
      <c r="R45" s="30">
        <v>6.0952466256321003E-3</v>
      </c>
      <c r="S45" s="31">
        <v>102.608214729553</v>
      </c>
      <c r="T45" s="30">
        <v>3.4816793989787E-3</v>
      </c>
      <c r="U45" s="31"/>
      <c r="V45" s="30"/>
      <c r="W45" s="31"/>
      <c r="X45" s="30"/>
      <c r="Y45" s="31"/>
      <c r="Z45" s="30"/>
      <c r="AA45" s="31">
        <v>107.45062775280201</v>
      </c>
      <c r="AB45" s="30">
        <v>-5.1482408987970699E-2</v>
      </c>
      <c r="AC45" s="31">
        <v>107.725713511935</v>
      </c>
      <c r="AD45" s="30">
        <v>-6.7763603375569498E-2</v>
      </c>
      <c r="AE45" s="31">
        <v>115.244372203662</v>
      </c>
      <c r="AF45" s="30">
        <v>-2.3282750676216798E-3</v>
      </c>
      <c r="AG45" s="31">
        <v>112.92594706653399</v>
      </c>
      <c r="AH45" s="30">
        <v>3.0043582604855098E-3</v>
      </c>
      <c r="AI45" s="31">
        <v>107.189128831201</v>
      </c>
      <c r="AJ45" s="30">
        <v>1.4043362987075101E-3</v>
      </c>
      <c r="AK45" s="31">
        <v>99.777266082885603</v>
      </c>
      <c r="AL45" s="30">
        <v>-4.5725708475779898E-2</v>
      </c>
      <c r="AM45" s="31">
        <v>99.014346941898793</v>
      </c>
      <c r="AN45" s="30">
        <v>-6.9743044904271606E-2</v>
      </c>
      <c r="AO45" s="31">
        <v>107.814745090342</v>
      </c>
      <c r="AP45" s="30">
        <v>4.1244784918881301E-3</v>
      </c>
      <c r="AQ45" s="31">
        <v>108.25243840621</v>
      </c>
      <c r="AR45" s="30">
        <v>5.4968557287233804E-3</v>
      </c>
      <c r="AS45" s="31">
        <v>100.986090808966</v>
      </c>
      <c r="AT45" s="30">
        <v>2.3802218144447499E-2</v>
      </c>
      <c r="AU45" s="31">
        <v>105.200219594049</v>
      </c>
      <c r="AV45" s="30">
        <v>-4.5741585335756801E-4</v>
      </c>
      <c r="AW45" s="31">
        <v>100.65506391998601</v>
      </c>
      <c r="AX45" s="30">
        <v>-9.7449426384543802E-4</v>
      </c>
      <c r="AY45" s="31">
        <v>113.27409587897699</v>
      </c>
      <c r="AZ45" s="30">
        <v>4.3827899209447602E-4</v>
      </c>
      <c r="BA45" s="31">
        <v>116.44698015357299</v>
      </c>
      <c r="BB45" s="30">
        <v>-6.1230215828156394E-5</v>
      </c>
      <c r="BC45" s="31">
        <v>105.186363513608</v>
      </c>
      <c r="BD45" s="30">
        <v>1.24432869896556E-2</v>
      </c>
      <c r="BE45" s="31"/>
      <c r="BF45" s="30"/>
    </row>
    <row r="46" spans="1:58" x14ac:dyDescent="0.2">
      <c r="A46" s="28">
        <v>2014</v>
      </c>
      <c r="B46" s="28"/>
      <c r="C46" s="31">
        <v>102.43784271755599</v>
      </c>
      <c r="D46" s="30">
        <v>-6.0499415326147298E-3</v>
      </c>
      <c r="E46" s="31">
        <v>97.881152706983698</v>
      </c>
      <c r="F46" s="30">
        <v>-1.0393460852721199E-3</v>
      </c>
      <c r="G46" s="31">
        <v>100.104833066487</v>
      </c>
      <c r="H46" s="30">
        <v>-7.7363744239622402E-4</v>
      </c>
      <c r="I46" s="31">
        <v>100.634947885977</v>
      </c>
      <c r="J46" s="30">
        <v>-1.4376362475409001E-3</v>
      </c>
      <c r="K46" s="31">
        <v>97.785738509967203</v>
      </c>
      <c r="L46" s="30">
        <v>2.2028670000342498E-3</v>
      </c>
      <c r="M46" s="31">
        <v>93.246448545788994</v>
      </c>
      <c r="N46" s="30">
        <v>-1.67890042206098E-3</v>
      </c>
      <c r="O46" s="31">
        <v>101.759059634343</v>
      </c>
      <c r="P46" s="30">
        <v>-2.9558797278084198E-4</v>
      </c>
      <c r="Q46" s="31">
        <v>100.401242356311</v>
      </c>
      <c r="R46" s="30">
        <v>4.0542679340305199E-4</v>
      </c>
      <c r="S46" s="31">
        <v>102.536566231275</v>
      </c>
      <c r="T46" s="30">
        <v>-6.9827253565191095E-4</v>
      </c>
      <c r="U46" s="31"/>
      <c r="V46" s="30"/>
      <c r="W46" s="31"/>
      <c r="X46" s="30"/>
      <c r="Y46" s="31"/>
      <c r="Z46" s="30"/>
      <c r="AA46" s="31">
        <v>104.005374487626</v>
      </c>
      <c r="AB46" s="30">
        <v>-3.2063593645101002E-2</v>
      </c>
      <c r="AC46" s="31">
        <v>103.323105545846</v>
      </c>
      <c r="AD46" s="30">
        <v>-4.0868682346687203E-2</v>
      </c>
      <c r="AE46" s="31">
        <v>112.90754337768701</v>
      </c>
      <c r="AF46" s="30">
        <v>-2.02771621840672E-2</v>
      </c>
      <c r="AG46" s="31">
        <v>111.60543235024799</v>
      </c>
      <c r="AH46" s="30">
        <v>-1.1693634196472799E-2</v>
      </c>
      <c r="AI46" s="31">
        <v>106.25178383709201</v>
      </c>
      <c r="AJ46" s="30">
        <v>-8.7447766795938405E-3</v>
      </c>
      <c r="AK46" s="31">
        <v>96.881419506450698</v>
      </c>
      <c r="AL46" s="30">
        <v>-2.9023110074286401E-2</v>
      </c>
      <c r="AM46" s="31">
        <v>94.729098732638107</v>
      </c>
      <c r="AN46" s="30">
        <v>-4.3279063505566699E-2</v>
      </c>
      <c r="AO46" s="31">
        <v>105.81203710855701</v>
      </c>
      <c r="AP46" s="30">
        <v>-1.8575455334116399E-2</v>
      </c>
      <c r="AQ46" s="31">
        <v>106.32043604434899</v>
      </c>
      <c r="AR46" s="30">
        <v>-1.78471948558903E-2</v>
      </c>
      <c r="AS46" s="31">
        <v>101.189129975838</v>
      </c>
      <c r="AT46" s="30">
        <v>2.01056566548763E-3</v>
      </c>
      <c r="AU46" s="31">
        <v>104.546535088754</v>
      </c>
      <c r="AV46" s="30">
        <v>-6.2137180684380703E-3</v>
      </c>
      <c r="AW46" s="31">
        <v>100.591300107807</v>
      </c>
      <c r="AX46" s="30">
        <v>-6.3348836805132702E-4</v>
      </c>
      <c r="AY46" s="31">
        <v>111.52816066634099</v>
      </c>
      <c r="AZ46" s="30">
        <v>-1.54133670111279E-2</v>
      </c>
      <c r="BA46" s="31">
        <v>114.258375134258</v>
      </c>
      <c r="BB46" s="30">
        <v>-1.8794862833097899E-2</v>
      </c>
      <c r="BC46" s="31">
        <v>104.131775315404</v>
      </c>
      <c r="BD46" s="30">
        <v>-1.00259022460399E-2</v>
      </c>
      <c r="BE46" s="31"/>
      <c r="BF46" s="30"/>
    </row>
    <row r="47" spans="1:58" x14ac:dyDescent="0.2">
      <c r="A47" s="28">
        <v>2015</v>
      </c>
      <c r="B47" s="28"/>
      <c r="C47" s="31">
        <v>101.060065169118</v>
      </c>
      <c r="D47" s="30">
        <v>-1.3449888360466501E-2</v>
      </c>
      <c r="E47" s="31">
        <v>96.403550429198106</v>
      </c>
      <c r="F47" s="30">
        <v>-1.5095881453387101E-2</v>
      </c>
      <c r="G47" s="31">
        <v>98.860046466148503</v>
      </c>
      <c r="H47" s="30">
        <v>-1.2434830189589199E-2</v>
      </c>
      <c r="I47" s="31">
        <v>99.1436959304678</v>
      </c>
      <c r="J47" s="30">
        <v>-1.48184302455081E-2</v>
      </c>
      <c r="K47" s="31">
        <v>97.624902997965506</v>
      </c>
      <c r="L47" s="30">
        <v>-1.64477473353963E-3</v>
      </c>
      <c r="M47" s="31">
        <v>91.233067979953205</v>
      </c>
      <c r="N47" s="30">
        <v>-2.1592034841382099E-2</v>
      </c>
      <c r="O47" s="31">
        <v>100.02393942760899</v>
      </c>
      <c r="P47" s="30">
        <v>-1.70512602314692E-2</v>
      </c>
      <c r="Q47" s="31">
        <v>99.971641296832601</v>
      </c>
      <c r="R47" s="30">
        <v>-4.2788420680448499E-3</v>
      </c>
      <c r="S47" s="31">
        <v>100.04502905909</v>
      </c>
      <c r="T47" s="30">
        <v>-2.4299011208991101E-2</v>
      </c>
      <c r="U47" s="31"/>
      <c r="V47" s="30"/>
      <c r="W47" s="31"/>
      <c r="X47" s="30"/>
      <c r="Y47" s="31"/>
      <c r="Z47" s="30"/>
      <c r="AA47" s="31">
        <v>97.948493959543995</v>
      </c>
      <c r="AB47" s="30">
        <v>-5.8236226328883402E-2</v>
      </c>
      <c r="AC47" s="31">
        <v>96.307558210678195</v>
      </c>
      <c r="AD47" s="30">
        <v>-6.78991141246197E-2</v>
      </c>
      <c r="AE47" s="31">
        <v>104.393411383298</v>
      </c>
      <c r="AF47" s="30">
        <v>-7.5407999675530094E-2</v>
      </c>
      <c r="AG47" s="31">
        <v>106.65072703412901</v>
      </c>
      <c r="AH47" s="30">
        <v>-4.43948400340392E-2</v>
      </c>
      <c r="AI47" s="31">
        <v>102.71731927210701</v>
      </c>
      <c r="AJ47" s="30">
        <v>-3.3264990359167003E-2</v>
      </c>
      <c r="AK47" s="31">
        <v>90.214145491452101</v>
      </c>
      <c r="AL47" s="30">
        <v>-6.8818913357836298E-2</v>
      </c>
      <c r="AM47" s="31">
        <v>88.382193440924695</v>
      </c>
      <c r="AN47" s="30">
        <v>-6.70005877457657E-2</v>
      </c>
      <c r="AO47" s="31">
        <v>97.630351038154103</v>
      </c>
      <c r="AP47" s="30">
        <v>-7.7322829178776295E-2</v>
      </c>
      <c r="AQ47" s="31">
        <v>98.091692831665398</v>
      </c>
      <c r="AR47" s="30">
        <v>-7.7395687215311801E-2</v>
      </c>
      <c r="AS47" s="31">
        <v>93.865894322049797</v>
      </c>
      <c r="AT47" s="30">
        <v>-7.2371762219293506E-2</v>
      </c>
      <c r="AU47" s="31">
        <v>101.21130684760899</v>
      </c>
      <c r="AV47" s="30">
        <v>-3.1901853450362297E-2</v>
      </c>
      <c r="AW47" s="31">
        <v>99.203937958733505</v>
      </c>
      <c r="AX47" s="30">
        <v>-1.37920689720338E-2</v>
      </c>
      <c r="AY47" s="31">
        <v>104.652225230799</v>
      </c>
      <c r="AZ47" s="30">
        <v>-6.1652011424380301E-2</v>
      </c>
      <c r="BA47" s="31">
        <v>105.574424553106</v>
      </c>
      <c r="BB47" s="30">
        <v>-7.6002748778353196E-2</v>
      </c>
      <c r="BC47" s="31">
        <v>96.292382084127496</v>
      </c>
      <c r="BD47" s="30">
        <v>-7.52833917171946E-2</v>
      </c>
      <c r="BE47" s="31"/>
      <c r="BF47" s="30"/>
    </row>
    <row r="48" spans="1:58" x14ac:dyDescent="0.2">
      <c r="A48" s="28">
        <v>2016</v>
      </c>
      <c r="B48" s="28"/>
      <c r="C48" s="31">
        <v>100.444278790472</v>
      </c>
      <c r="D48" s="30">
        <v>-6.0932711414242204E-3</v>
      </c>
      <c r="E48" s="31">
        <v>97.244883145225401</v>
      </c>
      <c r="F48" s="30">
        <v>8.7271963769130993E-3</v>
      </c>
      <c r="G48" s="31">
        <v>98.823875386470604</v>
      </c>
      <c r="H48" s="30">
        <v>-3.6588167789586301E-4</v>
      </c>
      <c r="I48" s="31">
        <v>98.947305021861396</v>
      </c>
      <c r="J48" s="30">
        <v>-1.9808713682022399E-3</v>
      </c>
      <c r="K48" s="31">
        <v>98.297517209746701</v>
      </c>
      <c r="L48" s="30">
        <v>6.8897811022175003E-3</v>
      </c>
      <c r="M48" s="31">
        <v>94.081784153571604</v>
      </c>
      <c r="N48" s="30">
        <v>3.12246013062316E-2</v>
      </c>
      <c r="O48" s="31">
        <v>99.224750946211302</v>
      </c>
      <c r="P48" s="30">
        <v>-7.9899720603954193E-3</v>
      </c>
      <c r="Q48" s="31">
        <v>99.411100239411098</v>
      </c>
      <c r="R48" s="30">
        <v>-5.6070006468854601E-3</v>
      </c>
      <c r="S48" s="31">
        <v>99.114249207703196</v>
      </c>
      <c r="T48" s="30">
        <v>-9.3036091861856702E-3</v>
      </c>
      <c r="U48" s="31"/>
      <c r="V48" s="30"/>
      <c r="W48" s="31"/>
      <c r="X48" s="30"/>
      <c r="Y48" s="31"/>
      <c r="Z48" s="30"/>
      <c r="AA48" s="31">
        <v>98.135090672252105</v>
      </c>
      <c r="AB48" s="30">
        <v>1.9050493291423701E-3</v>
      </c>
      <c r="AC48" s="31">
        <v>96.970449635600104</v>
      </c>
      <c r="AD48" s="30">
        <v>6.8830675103581703E-3</v>
      </c>
      <c r="AE48" s="31">
        <v>102.057835140197</v>
      </c>
      <c r="AF48" s="30">
        <v>-2.2372831888065398E-2</v>
      </c>
      <c r="AG48" s="31">
        <v>104.84938660555</v>
      </c>
      <c r="AH48" s="30">
        <v>-1.6890090472638002E-2</v>
      </c>
      <c r="AI48" s="31">
        <v>101.610333141208</v>
      </c>
      <c r="AJ48" s="30">
        <v>-1.07770153927599E-2</v>
      </c>
      <c r="AK48" s="31">
        <v>92.701862378524595</v>
      </c>
      <c r="AL48" s="30">
        <v>2.7575685315428301E-2</v>
      </c>
      <c r="AM48" s="31">
        <v>91.480237484937902</v>
      </c>
      <c r="AN48" s="30">
        <v>3.5052807849625903E-2</v>
      </c>
      <c r="AO48" s="31">
        <v>98.051999435636802</v>
      </c>
      <c r="AP48" s="30">
        <v>4.3188249657921699E-3</v>
      </c>
      <c r="AQ48" s="31">
        <v>98.529819950758394</v>
      </c>
      <c r="AR48" s="30">
        <v>4.4665058420883001E-3</v>
      </c>
      <c r="AS48" s="31">
        <v>95.062481171076001</v>
      </c>
      <c r="AT48" s="30">
        <v>1.27478341059715E-2</v>
      </c>
      <c r="AU48" s="31">
        <v>100.30549454881699</v>
      </c>
      <c r="AV48" s="30">
        <v>-8.9497144835459803E-3</v>
      </c>
      <c r="AW48" s="31">
        <v>98.943206152292206</v>
      </c>
      <c r="AX48" s="30">
        <v>-2.6282404893009899E-3</v>
      </c>
      <c r="AY48" s="31">
        <v>102.61986041463901</v>
      </c>
      <c r="AZ48" s="30">
        <v>-1.9420177752341901E-2</v>
      </c>
      <c r="BA48" s="31">
        <v>103.054351647639</v>
      </c>
      <c r="BB48" s="30">
        <v>-2.3870107899098301E-2</v>
      </c>
      <c r="BC48" s="31">
        <v>97.060587612916194</v>
      </c>
      <c r="BD48" s="30">
        <v>7.9778432328900806E-3</v>
      </c>
      <c r="BE48" s="31"/>
      <c r="BF48" s="30"/>
    </row>
    <row r="49" spans="1:58" x14ac:dyDescent="0.2">
      <c r="A49" s="28">
        <v>2017</v>
      </c>
      <c r="B49" s="28"/>
      <c r="C49" s="31">
        <v>100.107739774058</v>
      </c>
      <c r="D49" s="30">
        <v>-3.3505045829059798E-3</v>
      </c>
      <c r="E49" s="31">
        <v>97.812755463980395</v>
      </c>
      <c r="F49" s="30">
        <v>5.8396113028065201E-3</v>
      </c>
      <c r="G49" s="31">
        <v>99.445813290650804</v>
      </c>
      <c r="H49" s="30">
        <v>6.2933972357184197E-3</v>
      </c>
      <c r="I49" s="31">
        <v>99.663416872165996</v>
      </c>
      <c r="J49" s="30">
        <v>7.23730525198585E-3</v>
      </c>
      <c r="K49" s="31">
        <v>98.502740970197905</v>
      </c>
      <c r="L49" s="30">
        <v>2.0877817291491399E-3</v>
      </c>
      <c r="M49" s="31">
        <v>94.530070804410002</v>
      </c>
      <c r="N49" s="30">
        <v>4.7648612839517003E-3</v>
      </c>
      <c r="O49" s="31">
        <v>99.152357817358407</v>
      </c>
      <c r="P49" s="30">
        <v>-7.2958740800632704E-4</v>
      </c>
      <c r="Q49" s="31">
        <v>98.819323815312401</v>
      </c>
      <c r="R49" s="30">
        <v>-5.9528203859878798E-3</v>
      </c>
      <c r="S49" s="31">
        <v>99.317281875313299</v>
      </c>
      <c r="T49" s="30">
        <v>2.0484710244301802E-3</v>
      </c>
      <c r="U49" s="31"/>
      <c r="V49" s="30"/>
      <c r="W49" s="31"/>
      <c r="X49" s="30"/>
      <c r="Y49" s="31"/>
      <c r="Z49" s="30"/>
      <c r="AA49" s="31">
        <v>99.105821749916203</v>
      </c>
      <c r="AB49" s="30">
        <v>9.8917835711393991E-3</v>
      </c>
      <c r="AC49" s="31">
        <v>98.249225183282903</v>
      </c>
      <c r="AD49" s="30">
        <v>1.3187270477637901E-2</v>
      </c>
      <c r="AE49" s="31">
        <v>103.525345855735</v>
      </c>
      <c r="AF49" s="30">
        <v>1.4379206785266401E-2</v>
      </c>
      <c r="AG49" s="31">
        <v>104.11394904261201</v>
      </c>
      <c r="AH49" s="30">
        <v>-7.01422856868761E-3</v>
      </c>
      <c r="AI49" s="31">
        <v>101.74280189033</v>
      </c>
      <c r="AJ49" s="30">
        <v>1.3036936798322999E-3</v>
      </c>
      <c r="AK49" s="31">
        <v>95.212873728140707</v>
      </c>
      <c r="AL49" s="30">
        <v>2.7086956887262498E-2</v>
      </c>
      <c r="AM49" s="31">
        <v>93.846720298579797</v>
      </c>
      <c r="AN49" s="30">
        <v>2.5868787387346701E-2</v>
      </c>
      <c r="AO49" s="31">
        <v>101.20255402035301</v>
      </c>
      <c r="AP49" s="30">
        <v>3.2131467005777098E-2</v>
      </c>
      <c r="AQ49" s="31">
        <v>101.672178062564</v>
      </c>
      <c r="AR49" s="30">
        <v>3.1892457667906E-2</v>
      </c>
      <c r="AS49" s="31">
        <v>97.855442934930394</v>
      </c>
      <c r="AT49" s="30">
        <v>2.9380274209634301E-2</v>
      </c>
      <c r="AU49" s="31">
        <v>100.94424947687401</v>
      </c>
      <c r="AV49" s="30">
        <v>6.3680950971944901E-3</v>
      </c>
      <c r="AW49" s="31">
        <v>99.357038797835202</v>
      </c>
      <c r="AX49" s="30">
        <v>4.1825271449764702E-3</v>
      </c>
      <c r="AY49" s="31">
        <v>103.649409845005</v>
      </c>
      <c r="AZ49" s="30">
        <v>1.00326528043055E-2</v>
      </c>
      <c r="BA49" s="31">
        <v>104.53113004585001</v>
      </c>
      <c r="BB49" s="30">
        <v>1.4330092563787301E-2</v>
      </c>
      <c r="BC49" s="31">
        <v>100.051650364952</v>
      </c>
      <c r="BD49" s="30">
        <v>3.0816450071003799E-2</v>
      </c>
      <c r="BE49" s="31"/>
      <c r="BF49" s="30"/>
    </row>
    <row r="50" spans="1:58" x14ac:dyDescent="0.2">
      <c r="A50" s="28">
        <v>2018</v>
      </c>
      <c r="B50" s="28"/>
      <c r="C50" s="31">
        <v>100.857772010285</v>
      </c>
      <c r="D50" s="30">
        <v>7.4922502287975102E-3</v>
      </c>
      <c r="E50" s="31">
        <v>98.709010807807999</v>
      </c>
      <c r="F50" s="30">
        <v>9.1629699989150808E-3</v>
      </c>
      <c r="G50" s="31">
        <v>100.482231774981</v>
      </c>
      <c r="H50" s="30">
        <v>1.04219418599456E-2</v>
      </c>
      <c r="I50" s="31">
        <v>100.789704200999</v>
      </c>
      <c r="J50" s="30">
        <v>1.13009102455099E-2</v>
      </c>
      <c r="K50" s="31">
        <v>99.144349267040496</v>
      </c>
      <c r="L50" s="30">
        <v>6.5136085607677696E-3</v>
      </c>
      <c r="M50" s="31">
        <v>95.123878924559307</v>
      </c>
      <c r="N50" s="30">
        <v>6.2816849188431804E-3</v>
      </c>
      <c r="O50" s="31">
        <v>99.911350888075205</v>
      </c>
      <c r="P50" s="30">
        <v>7.6548161579264003E-3</v>
      </c>
      <c r="Q50" s="31">
        <v>99.335034514131806</v>
      </c>
      <c r="R50" s="30">
        <v>5.2187232102829401E-3</v>
      </c>
      <c r="S50" s="31">
        <v>100.202610944578</v>
      </c>
      <c r="T50" s="30">
        <v>8.9141492049320502E-3</v>
      </c>
      <c r="U50" s="31"/>
      <c r="V50" s="30"/>
      <c r="W50" s="31"/>
      <c r="X50" s="30"/>
      <c r="Y50" s="31"/>
      <c r="Z50" s="30"/>
      <c r="AA50" s="31">
        <v>101.11962176234</v>
      </c>
      <c r="AB50" s="30">
        <v>2.0319694412158001E-2</v>
      </c>
      <c r="AC50" s="31">
        <v>100.334378135427</v>
      </c>
      <c r="AD50" s="30">
        <v>2.1223098179694099E-2</v>
      </c>
      <c r="AE50" s="31">
        <v>106.314205972081</v>
      </c>
      <c r="AF50" s="30">
        <v>2.6938911367969401E-2</v>
      </c>
      <c r="AG50" s="31">
        <v>105.15694311368</v>
      </c>
      <c r="AH50" s="30">
        <v>1.0017812989129101E-2</v>
      </c>
      <c r="AI50" s="31">
        <v>103.57720115041801</v>
      </c>
      <c r="AJ50" s="30">
        <v>1.80297694382845E-2</v>
      </c>
      <c r="AK50" s="31">
        <v>97.625926766870606</v>
      </c>
      <c r="AL50" s="30">
        <v>2.5343768591839001E-2</v>
      </c>
      <c r="AM50" s="31">
        <v>95.559919453364699</v>
      </c>
      <c r="AN50" s="30">
        <v>1.82552906413165E-2</v>
      </c>
      <c r="AO50" s="31">
        <v>103.789996718919</v>
      </c>
      <c r="AP50" s="30">
        <v>2.5566970355758199E-2</v>
      </c>
      <c r="AQ50" s="31">
        <v>104.318756574188</v>
      </c>
      <c r="AR50" s="30">
        <v>2.6030508660836602E-2</v>
      </c>
      <c r="AS50" s="31">
        <v>101.650875378422</v>
      </c>
      <c r="AT50" s="30">
        <v>3.8786114800126698E-2</v>
      </c>
      <c r="AU50" s="31">
        <v>102.502469879079</v>
      </c>
      <c r="AV50" s="30">
        <v>1.54364454664773E-2</v>
      </c>
      <c r="AW50" s="31">
        <v>100.309634750302</v>
      </c>
      <c r="AX50" s="30">
        <v>9.5876040992433093E-3</v>
      </c>
      <c r="AY50" s="31">
        <v>106.21439003630201</v>
      </c>
      <c r="AZ50" s="30">
        <v>2.47466936389922E-2</v>
      </c>
      <c r="BA50" s="31">
        <v>107.466089665577</v>
      </c>
      <c r="BB50" s="30">
        <v>2.8077373873596701E-2</v>
      </c>
      <c r="BC50" s="31">
        <v>103.18397878112501</v>
      </c>
      <c r="BD50" s="30">
        <v>3.13071139231322E-2</v>
      </c>
      <c r="BE50" s="31"/>
      <c r="BF50" s="30"/>
    </row>
    <row r="51" spans="1:58" x14ac:dyDescent="0.2">
      <c r="A51" s="28">
        <v>2019</v>
      </c>
      <c r="B51" s="28"/>
      <c r="C51" s="31">
        <v>100.76666057255601</v>
      </c>
      <c r="D51" s="30">
        <v>-9.0336556035908199E-4</v>
      </c>
      <c r="E51" s="31">
        <v>98.6839645402342</v>
      </c>
      <c r="F51" s="30">
        <v>-2.5373841120324099E-4</v>
      </c>
      <c r="G51" s="31">
        <v>100.33583789935101</v>
      </c>
      <c r="H51" s="30">
        <v>-1.45691305860218E-3</v>
      </c>
      <c r="I51" s="31">
        <v>100.391859083982</v>
      </c>
      <c r="J51" s="30">
        <v>-3.9472793394060802E-3</v>
      </c>
      <c r="K51" s="31">
        <v>100.10648331965</v>
      </c>
      <c r="L51" s="30">
        <v>9.7043760912485198E-3</v>
      </c>
      <c r="M51" s="31">
        <v>95.358596382746796</v>
      </c>
      <c r="N51" s="30">
        <v>2.4674925038923302E-3</v>
      </c>
      <c r="O51" s="31">
        <v>100.136513967811</v>
      </c>
      <c r="P51" s="30">
        <v>2.2536286191201498E-3</v>
      </c>
      <c r="Q51" s="31">
        <v>99.917655913268902</v>
      </c>
      <c r="R51" s="30">
        <v>5.8652156511223002E-3</v>
      </c>
      <c r="S51" s="31">
        <v>100.246665853557</v>
      </c>
      <c r="T51" s="30">
        <v>4.39658293964307E-4</v>
      </c>
      <c r="U51" s="31"/>
      <c r="V51" s="30"/>
      <c r="W51" s="31"/>
      <c r="X51" s="30"/>
      <c r="Y51" s="31"/>
      <c r="Z51" s="30"/>
      <c r="AA51" s="31">
        <v>101.784847818152</v>
      </c>
      <c r="AB51" s="30">
        <v>6.5786050641587499E-3</v>
      </c>
      <c r="AC51" s="31">
        <v>100.77000763039</v>
      </c>
      <c r="AD51" s="30">
        <v>4.3417769966711496E-3</v>
      </c>
      <c r="AE51" s="31">
        <v>104.68829068549</v>
      </c>
      <c r="AF51" s="30">
        <v>-1.52934903828159E-2</v>
      </c>
      <c r="AG51" s="31">
        <v>103.676952692033</v>
      </c>
      <c r="AH51" s="30">
        <v>-1.40741103518702E-2</v>
      </c>
      <c r="AI51" s="31">
        <v>104.864153690558</v>
      </c>
      <c r="AJ51" s="30">
        <v>1.2425056149866699E-2</v>
      </c>
      <c r="AK51" s="31">
        <v>98.491300434061003</v>
      </c>
      <c r="AL51" s="30">
        <v>8.8641787673557904E-3</v>
      </c>
      <c r="AM51" s="31">
        <v>97.0011749417651</v>
      </c>
      <c r="AN51" s="30">
        <v>1.5082217488722001E-2</v>
      </c>
      <c r="AO51" s="31">
        <v>102.56835300851699</v>
      </c>
      <c r="AP51" s="30">
        <v>-1.17703415456321E-2</v>
      </c>
      <c r="AQ51" s="31">
        <v>102.860738100565</v>
      </c>
      <c r="AR51" s="30">
        <v>-1.3976570671510801E-2</v>
      </c>
      <c r="AS51" s="31">
        <v>101.40797674829101</v>
      </c>
      <c r="AT51" s="30">
        <v>-2.3895380066947199E-3</v>
      </c>
      <c r="AU51" s="31">
        <v>102.06247694591001</v>
      </c>
      <c r="AV51" s="30">
        <v>-4.2925105481679297E-3</v>
      </c>
      <c r="AW51" s="31">
        <v>100.275074355252</v>
      </c>
      <c r="AX51" s="30">
        <v>-3.44537143778689E-4</v>
      </c>
      <c r="AY51" s="31">
        <v>105.102867131943</v>
      </c>
      <c r="AZ51" s="30">
        <v>-1.0464899379255399E-2</v>
      </c>
      <c r="BA51" s="31">
        <v>105.20308413837</v>
      </c>
      <c r="BB51" s="30">
        <v>-2.10578568016105E-2</v>
      </c>
      <c r="BC51" s="31">
        <v>102.23738132714701</v>
      </c>
      <c r="BD51" s="30">
        <v>-9.1738801426349808E-3</v>
      </c>
      <c r="BE51" s="31"/>
      <c r="BF51" s="30"/>
    </row>
    <row r="52" spans="1:58" x14ac:dyDescent="0.2">
      <c r="A52" s="28">
        <v>2020</v>
      </c>
      <c r="B52" s="28"/>
      <c r="C52" s="31">
        <v>100</v>
      </c>
      <c r="D52" s="30">
        <v>-7.6082760726589004E-3</v>
      </c>
      <c r="E52" s="31">
        <v>100</v>
      </c>
      <c r="F52" s="30">
        <v>1.3335859234042201E-2</v>
      </c>
      <c r="G52" s="31">
        <v>100</v>
      </c>
      <c r="H52" s="30">
        <v>-3.3471380354385101E-3</v>
      </c>
      <c r="I52" s="31">
        <v>100</v>
      </c>
      <c r="J52" s="30">
        <v>-3.9032954221304198E-3</v>
      </c>
      <c r="K52" s="31">
        <v>100</v>
      </c>
      <c r="L52" s="30">
        <v>-1.0637005328609801E-3</v>
      </c>
      <c r="M52" s="31">
        <v>100</v>
      </c>
      <c r="N52" s="30">
        <v>4.8673153688459501E-2</v>
      </c>
      <c r="O52" s="31">
        <v>100</v>
      </c>
      <c r="P52" s="30">
        <v>-1.3632786123887199E-3</v>
      </c>
      <c r="Q52" s="31">
        <v>100</v>
      </c>
      <c r="R52" s="30">
        <v>8.2411948097105303E-4</v>
      </c>
      <c r="S52" s="31">
        <v>100</v>
      </c>
      <c r="T52" s="30">
        <v>-2.4605891024557201E-3</v>
      </c>
      <c r="U52" s="31"/>
      <c r="V52" s="30"/>
      <c r="W52" s="31"/>
      <c r="X52" s="30"/>
      <c r="Y52" s="31"/>
      <c r="Z52" s="30"/>
      <c r="AA52" s="31">
        <v>100</v>
      </c>
      <c r="AB52" s="30">
        <v>-1.75354962591346E-2</v>
      </c>
      <c r="AC52" s="31">
        <v>100</v>
      </c>
      <c r="AD52" s="30">
        <v>-7.6412381868085104E-3</v>
      </c>
      <c r="AE52" s="31">
        <v>100</v>
      </c>
      <c r="AF52" s="30">
        <v>-4.47833339792989E-2</v>
      </c>
      <c r="AG52" s="31">
        <v>100</v>
      </c>
      <c r="AH52" s="30">
        <v>-3.5465478069703703E-2</v>
      </c>
      <c r="AI52" s="31">
        <v>100</v>
      </c>
      <c r="AJ52" s="30">
        <v>-4.6385285336981198E-2</v>
      </c>
      <c r="AK52" s="31">
        <v>100</v>
      </c>
      <c r="AL52" s="30">
        <v>1.5318099764040499E-2</v>
      </c>
      <c r="AM52" s="31">
        <v>100</v>
      </c>
      <c r="AN52" s="30">
        <v>3.09153477783672E-2</v>
      </c>
      <c r="AO52" s="31">
        <v>100</v>
      </c>
      <c r="AP52" s="30">
        <v>-2.5040404112795098E-2</v>
      </c>
      <c r="AQ52" s="31">
        <v>100</v>
      </c>
      <c r="AR52" s="30">
        <v>-2.78117594078304E-2</v>
      </c>
      <c r="AS52" s="31">
        <v>100</v>
      </c>
      <c r="AT52" s="30">
        <v>-1.38842800481672E-2</v>
      </c>
      <c r="AU52" s="31">
        <v>100</v>
      </c>
      <c r="AV52" s="30">
        <v>-2.0207984438811898E-2</v>
      </c>
      <c r="AW52" s="31">
        <v>100</v>
      </c>
      <c r="AX52" s="30">
        <v>-2.7431977190773798E-3</v>
      </c>
      <c r="AY52" s="31">
        <v>100</v>
      </c>
      <c r="AZ52" s="30">
        <v>-4.8551169641616598E-2</v>
      </c>
      <c r="BA52" s="31">
        <v>100</v>
      </c>
      <c r="BB52" s="30">
        <v>-4.94575247578002E-2</v>
      </c>
      <c r="BC52" s="31">
        <v>100</v>
      </c>
      <c r="BD52" s="30">
        <v>-2.18841806989096E-2</v>
      </c>
      <c r="BE52" s="31"/>
      <c r="BF52" s="30"/>
    </row>
    <row r="53" spans="1:58" x14ac:dyDescent="0.2">
      <c r="A53" s="28">
        <v>2021</v>
      </c>
      <c r="B53" s="28"/>
      <c r="C53" s="31">
        <v>101.93479826974701</v>
      </c>
      <c r="D53" s="30">
        <v>1.9347982697474501E-2</v>
      </c>
      <c r="E53" s="31">
        <v>100.620596142339</v>
      </c>
      <c r="F53" s="30">
        <v>6.2059614233869204E-3</v>
      </c>
      <c r="G53" s="31">
        <v>100.662378728204</v>
      </c>
      <c r="H53" s="30">
        <v>6.6237872820353897E-3</v>
      </c>
      <c r="I53" s="31">
        <v>100.314319506622</v>
      </c>
      <c r="J53" s="30">
        <v>3.14319506622174E-3</v>
      </c>
      <c r="K53" s="31">
        <v>102.07713437520999</v>
      </c>
      <c r="L53" s="30">
        <v>2.07713437520998E-2</v>
      </c>
      <c r="M53" s="31">
        <v>100.53171667679899</v>
      </c>
      <c r="N53" s="30">
        <v>5.3171667679903197E-3</v>
      </c>
      <c r="O53" s="31">
        <v>101.262469743867</v>
      </c>
      <c r="P53" s="30">
        <v>1.2624697438671201E-2</v>
      </c>
      <c r="Q53" s="31">
        <v>102.807777362504</v>
      </c>
      <c r="R53" s="30">
        <v>2.8077773625035701E-2</v>
      </c>
      <c r="S53" s="31">
        <v>100.557288952454</v>
      </c>
      <c r="T53" s="30">
        <v>5.5728895245419404E-3</v>
      </c>
      <c r="U53" s="31"/>
      <c r="V53" s="30"/>
      <c r="W53" s="31"/>
      <c r="X53" s="30"/>
      <c r="Y53" s="31"/>
      <c r="Z53" s="30"/>
      <c r="AA53" s="31">
        <v>104.798555066554</v>
      </c>
      <c r="AB53" s="30">
        <v>4.7985550665539098E-2</v>
      </c>
      <c r="AC53" s="31">
        <v>106.289375710005</v>
      </c>
      <c r="AD53" s="30">
        <v>6.2893757100049894E-2</v>
      </c>
      <c r="AE53" s="31">
        <v>108.07485101840901</v>
      </c>
      <c r="AF53" s="30">
        <v>8.0748510184092806E-2</v>
      </c>
      <c r="AG53" s="31">
        <v>101.96090476371801</v>
      </c>
      <c r="AH53" s="30">
        <v>1.9609047637181101E-2</v>
      </c>
      <c r="AI53" s="31">
        <v>100.269707905605</v>
      </c>
      <c r="AJ53" s="30">
        <v>2.6970790560474399E-3</v>
      </c>
      <c r="AK53" s="31">
        <v>103.287359849407</v>
      </c>
      <c r="AL53" s="30">
        <v>3.2873598494069997E-2</v>
      </c>
      <c r="AM53" s="31">
        <v>103.646235488134</v>
      </c>
      <c r="AN53" s="30">
        <v>3.6462354881336298E-2</v>
      </c>
      <c r="AO53" s="31">
        <v>105.702425947916</v>
      </c>
      <c r="AP53" s="30">
        <v>5.7024259479164799E-2</v>
      </c>
      <c r="AQ53" s="31">
        <v>105.53608911138301</v>
      </c>
      <c r="AR53" s="30">
        <v>5.53608911138255E-2</v>
      </c>
      <c r="AS53" s="31">
        <v>102.596961442698</v>
      </c>
      <c r="AT53" s="30">
        <v>2.59696144269774E-2</v>
      </c>
      <c r="AU53" s="31">
        <v>102.82075824723501</v>
      </c>
      <c r="AV53" s="30">
        <v>2.8207582472348398E-2</v>
      </c>
      <c r="AW53" s="31">
        <v>100.84685289986599</v>
      </c>
      <c r="AX53" s="30">
        <v>8.4685289986601298E-3</v>
      </c>
      <c r="AY53" s="31">
        <v>105.888948306212</v>
      </c>
      <c r="AZ53" s="30">
        <v>5.8889483062120898E-2</v>
      </c>
      <c r="BA53" s="31">
        <v>108.282269096665</v>
      </c>
      <c r="BB53" s="30">
        <v>8.2822690966647405E-2</v>
      </c>
      <c r="BC53" s="31">
        <v>104.262170135218</v>
      </c>
      <c r="BD53" s="30">
        <v>4.26217013521848E-2</v>
      </c>
      <c r="BE53" s="31"/>
      <c r="BF53" s="30"/>
    </row>
    <row r="54" spans="1:58" x14ac:dyDescent="0.2">
      <c r="A54" s="28">
        <v>2022</v>
      </c>
      <c r="B54" s="28"/>
      <c r="C54" s="31">
        <v>105.045131895864</v>
      </c>
      <c r="D54" s="30">
        <v>3.05129718105288E-2</v>
      </c>
      <c r="E54" s="31">
        <v>102.574255478575</v>
      </c>
      <c r="F54" s="30">
        <v>1.9416097808372199E-2</v>
      </c>
      <c r="G54" s="31">
        <v>102.93634426097201</v>
      </c>
      <c r="H54" s="30">
        <v>2.2590023815236102E-2</v>
      </c>
      <c r="I54" s="31">
        <v>102.63921629404599</v>
      </c>
      <c r="J54" s="30">
        <v>2.3176120805666001E-2</v>
      </c>
      <c r="K54" s="31">
        <v>104.13101714664499</v>
      </c>
      <c r="L54" s="30">
        <v>2.0120889795803201E-2</v>
      </c>
      <c r="M54" s="31">
        <v>101.7768779324</v>
      </c>
      <c r="N54" s="30">
        <v>1.23857554288505E-2</v>
      </c>
      <c r="O54" s="31">
        <v>104.90290523076</v>
      </c>
      <c r="P54" s="30">
        <v>3.5950490799808298E-2</v>
      </c>
      <c r="Q54" s="31">
        <v>110.844551525398</v>
      </c>
      <c r="R54" s="30">
        <v>7.8172822806553702E-2</v>
      </c>
      <c r="S54" s="31">
        <v>102.409674757388</v>
      </c>
      <c r="T54" s="30">
        <v>1.8421198743833599E-2</v>
      </c>
      <c r="U54" s="31"/>
      <c r="V54" s="30"/>
      <c r="W54" s="31"/>
      <c r="X54" s="30"/>
      <c r="Y54" s="31"/>
      <c r="Z54" s="30"/>
      <c r="AA54" s="31">
        <v>111.966465572624</v>
      </c>
      <c r="AB54" s="30">
        <v>6.8397035641554596E-2</v>
      </c>
      <c r="AC54" s="31">
        <v>113.504038994868</v>
      </c>
      <c r="AD54" s="30">
        <v>6.7877558191211898E-2</v>
      </c>
      <c r="AE54" s="31">
        <v>116.062011852772</v>
      </c>
      <c r="AF54" s="30">
        <v>7.3903972655044295E-2</v>
      </c>
      <c r="AG54" s="31">
        <v>104.30419663394299</v>
      </c>
      <c r="AH54" s="30">
        <v>2.2982258500499501E-2</v>
      </c>
      <c r="AI54" s="31">
        <v>107.29102057774899</v>
      </c>
      <c r="AJ54" s="30">
        <v>7.0024265740898303E-2</v>
      </c>
      <c r="AK54" s="31">
        <v>109.510789769583</v>
      </c>
      <c r="AL54" s="30">
        <v>6.0253548248791401E-2</v>
      </c>
      <c r="AM54" s="31">
        <v>111.159331232517</v>
      </c>
      <c r="AN54" s="30">
        <v>7.2487878686566101E-2</v>
      </c>
      <c r="AO54" s="31">
        <v>114.54100875661599</v>
      </c>
      <c r="AP54" s="30">
        <v>8.3617596563534805E-2</v>
      </c>
      <c r="AQ54" s="31">
        <v>114.50392790028199</v>
      </c>
      <c r="AR54" s="30">
        <v>8.4974143578840006E-2</v>
      </c>
      <c r="AS54" s="31">
        <v>106.251889514201</v>
      </c>
      <c r="AT54" s="30">
        <v>3.5624135647959403E-2</v>
      </c>
      <c r="AU54" s="31">
        <v>107.54690881992001</v>
      </c>
      <c r="AV54" s="30">
        <v>4.5964945729356298E-2</v>
      </c>
      <c r="AW54" s="31">
        <v>103.533104006225</v>
      </c>
      <c r="AX54" s="30">
        <v>2.66369354036886E-2</v>
      </c>
      <c r="AY54" s="31">
        <v>113.70926499056699</v>
      </c>
      <c r="AZ54" s="30">
        <v>7.3853946133638701E-2</v>
      </c>
      <c r="BA54" s="31">
        <v>116.451035188437</v>
      </c>
      <c r="BB54" s="30">
        <v>7.5439554046284704E-2</v>
      </c>
      <c r="BC54" s="31">
        <v>110.97837542607</v>
      </c>
      <c r="BD54" s="30">
        <v>6.4416511589404604E-2</v>
      </c>
      <c r="BE54" s="31"/>
      <c r="BF54" s="30"/>
    </row>
    <row r="55" spans="1:58" x14ac:dyDescent="0.2">
      <c r="A55" s="28">
        <v>2023</v>
      </c>
      <c r="B55" s="28"/>
      <c r="C55" s="31">
        <v>106.026219621059</v>
      </c>
      <c r="D55" s="30">
        <v>9.3396781696415392E-3</v>
      </c>
      <c r="E55" s="31">
        <v>104.338158400653</v>
      </c>
      <c r="F55" s="30">
        <v>1.7196351207705102E-2</v>
      </c>
      <c r="G55" s="31">
        <v>104.857453623434</v>
      </c>
      <c r="H55" s="30">
        <v>1.8663081307720202E-2</v>
      </c>
      <c r="I55" s="31">
        <v>104.22574914103301</v>
      </c>
      <c r="J55" s="30">
        <v>1.54573749125466E-2</v>
      </c>
      <c r="K55" s="31">
        <v>107.48481639751</v>
      </c>
      <c r="L55" s="30">
        <v>3.2207495353107497E-2</v>
      </c>
      <c r="M55" s="31">
        <v>103.21195976798001</v>
      </c>
      <c r="N55" s="30">
        <v>1.41002737039448E-2</v>
      </c>
      <c r="O55" s="31">
        <v>106.97113129064201</v>
      </c>
      <c r="P55" s="30">
        <v>1.9715622320777702E-2</v>
      </c>
      <c r="Q55" s="31">
        <v>114.053875282486</v>
      </c>
      <c r="R55" s="30">
        <v>2.8953374008217299E-2</v>
      </c>
      <c r="S55" s="31">
        <v>104.03408234734999</v>
      </c>
      <c r="T55" s="30">
        <v>1.5861856741654402E-2</v>
      </c>
      <c r="U55" s="31"/>
      <c r="V55" s="30"/>
      <c r="W55" s="31"/>
      <c r="X55" s="30"/>
      <c r="Y55" s="31"/>
      <c r="Z55" s="30"/>
      <c r="AA55" s="31">
        <v>109.79347335342899</v>
      </c>
      <c r="AB55" s="30">
        <v>-1.9407527138432201E-2</v>
      </c>
      <c r="AC55" s="31">
        <v>108.989123205198</v>
      </c>
      <c r="AD55" s="30">
        <v>-3.9777578222345199E-2</v>
      </c>
      <c r="AE55" s="31">
        <v>109.730034124422</v>
      </c>
      <c r="AF55" s="30">
        <v>-5.4556849629511399E-2</v>
      </c>
      <c r="AG55" s="31">
        <v>101.803845581084</v>
      </c>
      <c r="AH55" s="30">
        <v>-2.39717205400083E-2</v>
      </c>
      <c r="AI55" s="31">
        <v>111.89082598645599</v>
      </c>
      <c r="AJ55" s="30">
        <v>4.2872230909331698E-2</v>
      </c>
      <c r="AK55" s="31">
        <v>108.036637031271</v>
      </c>
      <c r="AL55" s="30">
        <v>-1.3461255657218899E-2</v>
      </c>
      <c r="AM55" s="31">
        <v>107.696665954539</v>
      </c>
      <c r="AN55" s="30">
        <v>-3.1150468787322898E-2</v>
      </c>
      <c r="AO55" s="31">
        <v>108.901853260786</v>
      </c>
      <c r="AP55" s="30">
        <v>-4.9232633421389602E-2</v>
      </c>
      <c r="AQ55" s="31">
        <v>109.173082952548</v>
      </c>
      <c r="AR55" s="30">
        <v>-4.6556000702235097E-2</v>
      </c>
      <c r="AS55" s="31">
        <v>108.675618620541</v>
      </c>
      <c r="AT55" s="30">
        <v>2.28111623936464E-2</v>
      </c>
      <c r="AU55" s="31">
        <v>107.57978132884701</v>
      </c>
      <c r="AV55" s="30">
        <v>3.0565740370480697E-4</v>
      </c>
      <c r="AW55" s="31">
        <v>105.498842202901</v>
      </c>
      <c r="AX55" s="30">
        <v>1.8986566814007899E-2</v>
      </c>
      <c r="AY55" s="31">
        <v>110.685724530504</v>
      </c>
      <c r="AZ55" s="30">
        <v>-2.6590097652231599E-2</v>
      </c>
      <c r="BA55" s="31">
        <v>109.94466832371199</v>
      </c>
      <c r="BB55" s="30">
        <v>-5.5872125603659499E-2</v>
      </c>
      <c r="BC55" s="31">
        <v>108.93859896251701</v>
      </c>
      <c r="BD55" s="30">
        <v>-1.8379945243586899E-2</v>
      </c>
      <c r="BE55" s="31"/>
      <c r="BF55" s="30"/>
    </row>
    <row r="56" spans="1:58" x14ac:dyDescent="0.2">
      <c r="A56" s="28">
        <v>2024</v>
      </c>
      <c r="B56" s="28"/>
      <c r="C56" s="31">
        <v>107.050287657453</v>
      </c>
      <c r="D56" s="30">
        <v>9.6586301016259295E-3</v>
      </c>
      <c r="E56" s="31">
        <v>104.79124195009</v>
      </c>
      <c r="F56" s="30">
        <v>4.34245300455194E-3</v>
      </c>
      <c r="G56" s="31">
        <v>106.234917270803</v>
      </c>
      <c r="H56" s="30">
        <v>1.3136535360810799E-2</v>
      </c>
      <c r="I56" s="31">
        <v>105.28971240824499</v>
      </c>
      <c r="J56" s="30">
        <v>1.02082573258639E-2</v>
      </c>
      <c r="K56" s="31">
        <v>110.219049949111</v>
      </c>
      <c r="L56" s="30">
        <v>2.5438323692986702E-2</v>
      </c>
      <c r="M56" s="31">
        <v>101.63906171195001</v>
      </c>
      <c r="N56" s="30">
        <v>-1.5239494139687299E-2</v>
      </c>
      <c r="O56" s="31">
        <v>107.208968281631</v>
      </c>
      <c r="P56" s="30">
        <v>2.2233754856992899E-3</v>
      </c>
      <c r="Q56" s="31">
        <v>114.93758692095599</v>
      </c>
      <c r="R56" s="30">
        <v>7.7481947569215696E-3</v>
      </c>
      <c r="S56" s="31">
        <v>104.028862913559</v>
      </c>
      <c r="T56" s="30">
        <v>-5.0170421774020599E-5</v>
      </c>
      <c r="U56" s="31"/>
      <c r="V56" s="30"/>
      <c r="W56" s="31"/>
      <c r="X56" s="30"/>
      <c r="Y56" s="31"/>
      <c r="Z56" s="30"/>
      <c r="AA56" s="31">
        <v>111.899038375503</v>
      </c>
      <c r="AB56" s="30">
        <v>1.9177506255729601E-2</v>
      </c>
      <c r="AC56" s="31">
        <v>111.517923758441</v>
      </c>
      <c r="AD56" s="30">
        <v>2.3202320368075801E-2</v>
      </c>
      <c r="AE56" s="31">
        <v>107.83533120727699</v>
      </c>
      <c r="AF56" s="30">
        <v>-1.7266949128951801E-2</v>
      </c>
      <c r="AG56" s="31">
        <v>99.564009766811793</v>
      </c>
      <c r="AH56" s="30">
        <v>-2.2001485321966201E-2</v>
      </c>
      <c r="AI56" s="31">
        <v>112.85433438998299</v>
      </c>
      <c r="AJ56" s="30">
        <v>8.6111474737291492E-3</v>
      </c>
      <c r="AK56" s="31">
        <v>109.449214031905</v>
      </c>
      <c r="AL56" s="30">
        <v>1.30749812234996E-2</v>
      </c>
      <c r="AM56" s="31">
        <v>108.78434495980299</v>
      </c>
      <c r="AN56" s="30">
        <v>1.00994677562589E-2</v>
      </c>
      <c r="AO56" s="31">
        <v>103.869581952711</v>
      </c>
      <c r="AP56" s="30">
        <v>-4.6209234805432903E-2</v>
      </c>
      <c r="AQ56" s="31">
        <v>103.789340275816</v>
      </c>
      <c r="AR56" s="30">
        <v>-4.9313828382699001E-2</v>
      </c>
      <c r="AS56" s="31">
        <v>110.693765962686</v>
      </c>
      <c r="AT56" s="30">
        <v>1.8570378229840801E-2</v>
      </c>
      <c r="AU56" s="31">
        <v>107.665369938737</v>
      </c>
      <c r="AV56" s="30">
        <v>7.9558267207002797E-4</v>
      </c>
      <c r="AW56" s="31">
        <v>106.534761130211</v>
      </c>
      <c r="AX56" s="30">
        <v>9.8192445118803207E-3</v>
      </c>
      <c r="AY56" s="31">
        <v>109.307268599522</v>
      </c>
      <c r="AZ56" s="30">
        <v>-1.24537824261343E-2</v>
      </c>
      <c r="BA56" s="31">
        <v>107.455773415121</v>
      </c>
      <c r="BB56" s="30">
        <v>-2.2637704461147799E-2</v>
      </c>
      <c r="BC56" s="31">
        <v>106.691402718806</v>
      </c>
      <c r="BD56" s="30">
        <v>-2.0628099361588902E-2</v>
      </c>
      <c r="BE56" s="31"/>
      <c r="BF56" s="30"/>
    </row>
    <row r="57" spans="1:58" x14ac:dyDescent="0.2">
      <c r="A57" s="28">
        <v>2025</v>
      </c>
      <c r="B57" s="28"/>
      <c r="C57" s="31">
        <v>107.357875779775</v>
      </c>
      <c r="D57" s="30">
        <v>2.8733049583795599E-3</v>
      </c>
      <c r="E57" s="31">
        <v>105.86632835661599</v>
      </c>
      <c r="F57" s="30">
        <v>1.02593154401032E-2</v>
      </c>
      <c r="G57" s="31">
        <v>107.002971407441</v>
      </c>
      <c r="H57" s="30">
        <v>7.2297711182920396E-3</v>
      </c>
      <c r="I57" s="31">
        <v>105.800371716475</v>
      </c>
      <c r="J57" s="30">
        <v>4.8500399189033098E-3</v>
      </c>
      <c r="K57" s="31">
        <v>112.107815443476</v>
      </c>
      <c r="L57" s="30">
        <v>1.7136470467105099E-2</v>
      </c>
      <c r="M57" s="31">
        <v>103.330745333761</v>
      </c>
      <c r="N57" s="30">
        <v>1.6644030290293901E-2</v>
      </c>
      <c r="O57" s="31">
        <v>107.62377105593799</v>
      </c>
      <c r="P57" s="30">
        <v>3.8691051780082E-3</v>
      </c>
      <c r="Q57" s="31">
        <v>115.891652818914</v>
      </c>
      <c r="R57" s="30">
        <v>8.3007301920614597E-3</v>
      </c>
      <c r="S57" s="31">
        <v>104.239972259925</v>
      </c>
      <c r="T57" s="30">
        <v>2.0293343640740398E-3</v>
      </c>
      <c r="U57" s="31"/>
      <c r="V57" s="30"/>
      <c r="W57" s="31"/>
      <c r="X57" s="30"/>
      <c r="Y57" s="31"/>
      <c r="Z57" s="30"/>
      <c r="AA57" s="31">
        <v>118.902092390086</v>
      </c>
      <c r="AB57" s="30">
        <v>6.2583683615601696E-2</v>
      </c>
      <c r="AC57" s="31">
        <v>121.20427732557199</v>
      </c>
      <c r="AD57" s="30">
        <v>8.6859163448139695E-2</v>
      </c>
      <c r="AE57" s="31">
        <v>107.933284370604</v>
      </c>
      <c r="AF57" s="30">
        <v>9.0835871908012699E-4</v>
      </c>
      <c r="AG57" s="31">
        <v>100.096669885867</v>
      </c>
      <c r="AH57" s="30">
        <v>5.3499263469052299E-3</v>
      </c>
      <c r="AI57" s="31">
        <v>112.00886018020699</v>
      </c>
      <c r="AJ57" s="30">
        <v>-7.49173006376469E-3</v>
      </c>
      <c r="AK57" s="31">
        <v>118.420004481734</v>
      </c>
      <c r="AL57" s="30">
        <v>8.1963041298898698E-2</v>
      </c>
      <c r="AM57" s="31">
        <v>121.021592652954</v>
      </c>
      <c r="AN57" s="30">
        <v>0.112490889177788</v>
      </c>
      <c r="AO57" s="31">
        <v>102.780090642647</v>
      </c>
      <c r="AP57" s="30">
        <v>-1.04890314332831E-2</v>
      </c>
      <c r="AQ57" s="31">
        <v>101.716235667622</v>
      </c>
      <c r="AR57" s="30">
        <v>-1.99741572948096E-2</v>
      </c>
      <c r="AS57" s="31">
        <v>112.31450405814201</v>
      </c>
      <c r="AT57" s="30">
        <v>1.4641638409902E-2</v>
      </c>
      <c r="AU57" s="31">
        <v>107.98977960902199</v>
      </c>
      <c r="AV57" s="30">
        <v>3.0131292027293401E-3</v>
      </c>
      <c r="AW57" s="31">
        <v>107.19844131526099</v>
      </c>
      <c r="AX57" s="30">
        <v>6.2297054783702101E-3</v>
      </c>
      <c r="AY57" s="31">
        <v>109.10994815092801</v>
      </c>
      <c r="AZ57" s="30">
        <v>-1.8051905524854E-3</v>
      </c>
      <c r="BA57" s="31">
        <v>107.556435817843</v>
      </c>
      <c r="BB57" s="30">
        <v>9.3677984460449604E-4</v>
      </c>
      <c r="BC57" s="31">
        <v>106.08296015097901</v>
      </c>
      <c r="BD57" s="30">
        <v>-5.7028265850990198E-3</v>
      </c>
      <c r="BE57" s="31"/>
      <c r="BF57" s="30"/>
    </row>
    <row r="58" spans="1:58" x14ac:dyDescent="0.2">
      <c r="A58" s="28"/>
      <c r="B58" s="28"/>
      <c r="C58" s="31"/>
      <c r="D58" s="30"/>
      <c r="E58" s="31"/>
      <c r="F58" s="30"/>
      <c r="G58" s="31"/>
      <c r="H58" s="30"/>
      <c r="I58" s="31"/>
      <c r="J58" s="30"/>
      <c r="K58" s="31"/>
      <c r="L58" s="30"/>
      <c r="M58" s="31"/>
      <c r="N58" s="30"/>
      <c r="O58" s="31"/>
      <c r="P58" s="30"/>
      <c r="Q58" s="31"/>
      <c r="R58" s="30"/>
      <c r="S58" s="31"/>
      <c r="T58" s="30"/>
      <c r="U58" s="31"/>
      <c r="V58" s="30"/>
      <c r="W58" s="31"/>
      <c r="X58" s="30"/>
      <c r="Y58" s="31"/>
      <c r="Z58" s="30"/>
      <c r="AA58" s="31"/>
      <c r="AB58" s="30"/>
      <c r="AC58" s="31"/>
      <c r="AD58" s="30"/>
      <c r="AE58" s="31"/>
      <c r="AF58" s="30"/>
      <c r="AG58" s="31"/>
      <c r="AH58" s="30"/>
      <c r="AI58" s="31"/>
      <c r="AJ58" s="30"/>
      <c r="AK58" s="31"/>
      <c r="AL58" s="30"/>
      <c r="AM58" s="31"/>
      <c r="AN58" s="30"/>
      <c r="AO58" s="31"/>
      <c r="AP58" s="30"/>
      <c r="AQ58" s="31"/>
      <c r="AR58" s="30"/>
      <c r="AS58" s="31"/>
      <c r="AT58" s="30"/>
      <c r="AU58" s="31"/>
      <c r="AV58" s="30"/>
      <c r="AW58" s="31"/>
      <c r="AX58" s="30"/>
      <c r="AY58" s="31"/>
      <c r="AZ58" s="30"/>
      <c r="BA58" s="31"/>
      <c r="BB58" s="30"/>
      <c r="BC58" s="31"/>
      <c r="BD58" s="30"/>
      <c r="BE58" s="31"/>
      <c r="BF58" s="30"/>
    </row>
  </sheetData>
  <sheetProtection password="DD0B" sheet="1"/>
  <mergeCells count="65">
    <mergeCell ref="BC6:BD10"/>
    <mergeCell ref="BA7:BB10"/>
    <mergeCell ref="AU6:AV10"/>
    <mergeCell ref="AS11:AT11"/>
    <mergeCell ref="AS7:AT10"/>
    <mergeCell ref="AU11:AV11"/>
    <mergeCell ref="AW11:AX11"/>
    <mergeCell ref="AY11:AZ11"/>
    <mergeCell ref="BA11:BB11"/>
    <mergeCell ref="BC11:BD11"/>
    <mergeCell ref="AM11:AN11"/>
    <mergeCell ref="AO11:AP11"/>
    <mergeCell ref="AM8:AN10"/>
    <mergeCell ref="AO8:AP10"/>
    <mergeCell ref="AQ8:AR10"/>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C11:D11"/>
    <mergeCell ref="E11:F11"/>
    <mergeCell ref="G11:H11"/>
    <mergeCell ref="I11:J11"/>
    <mergeCell ref="K11:L11"/>
    <mergeCell ref="M11:N11"/>
    <mergeCell ref="G7:H10"/>
    <mergeCell ref="I7:J10"/>
    <mergeCell ref="K7:L10"/>
    <mergeCell ref="M7:N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Q8:R10"/>
    <mergeCell ref="S8:T10"/>
    <mergeCell ref="AC8:AD10"/>
    <mergeCell ref="AG8:AH10"/>
    <mergeCell ref="O7:T7"/>
    <mergeCell ref="AE8:AF10"/>
    <mergeCell ref="W7:X10"/>
    <mergeCell ref="AA7:AB10"/>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le10"/>
  <dimension ref="A1:BJ58"/>
  <sheetViews>
    <sheetView showGridLines="0" workbookViewId="0">
      <pane xSplit="2" ySplit="11" topLeftCell="C12" activePane="bottomRight" state="frozen"/>
      <selection pane="topRight"/>
      <selection pane="bottomLeft"/>
      <selection pane="bottomRight"/>
    </sheetView>
  </sheetViews>
  <sheetFormatPr baseColWidth="10" defaultRowHeight="10" x14ac:dyDescent="0.2"/>
  <cols>
    <col min="1" max="1" width="9.77734375" customWidth="1"/>
    <col min="2" max="2" width="2.6640625" customWidth="1"/>
    <col min="3" max="58" width="9.77734375" customWidth="1"/>
    <col min="59" max="256" width="10.33203125" customWidth="1"/>
  </cols>
  <sheetData>
    <row r="1" spans="1:62" ht="11.25" customHeight="1" x14ac:dyDescent="0.25">
      <c r="A1" s="6" t="str">
        <f ca="1">IF(INDIRECT("beschriftung!"&amp;ADDRESS(beschriftung!$C$1*12+ROW(beschriftung!$A1)-1,COLUMN(beschriftung!B$1)))="","",INDIRECT("beschriftung!"&amp;ADDRESS(beschriftung!$C$1*12+ROW(beschriftung!$A1)-1,COLUMN(beschriftung!B$1))))</f>
        <v>ESA 2010, Annual aggregates of Gross Domestic Product, expenditure approach (SFSO, SECO), raw data</v>
      </c>
      <c r="AU1" s="5"/>
      <c r="AV1" s="24"/>
      <c r="AW1" s="5"/>
      <c r="AX1" s="24"/>
      <c r="AY1" s="24"/>
      <c r="AZ1" s="24"/>
      <c r="BA1" s="5"/>
      <c r="BB1" s="24"/>
    </row>
    <row r="2" spans="1:62" ht="11.25" customHeight="1" x14ac:dyDescent="0.2">
      <c r="A2" s="4" t="str">
        <f ca="1">IF(INDIRECT("beschriftung!"&amp;ADDRESS(beschriftung!$C$1*12+ROW(beschriftung!$A6)-1,COLUMN(beschriftung!B$1)))="","",INDIRECT("beschriftung!"&amp;ADDRESS(beschriftung!$C$1*12+ROW(beschriftung!$A6)-1,COLUMN(beschriftung!B$1))))</f>
        <v>Contributions to real GDP-growth</v>
      </c>
      <c r="AU2" s="5"/>
      <c r="AV2" s="24"/>
      <c r="AW2" s="5"/>
      <c r="AX2" s="24"/>
      <c r="AY2" s="24"/>
      <c r="AZ2" s="24"/>
      <c r="BA2" s="5"/>
      <c r="BB2" s="24"/>
    </row>
    <row r="3" spans="1:62" ht="11.25" customHeight="1" x14ac:dyDescent="0.2">
      <c r="A3" s="4" t="str">
        <f ca="1">IF(INDIRECT("beschriftung!"&amp;ADDRESS(beschriftung!$C$1*12+ROW(beschriftung!$A5)-1,COLUMN(beschriftung!B$1)))="","",INDIRECT("beschriftung!"&amp;ADDRESS(beschriftung!$C$1*12+ROW(beschriftung!$A5)-1,COLUMN(beschriftung!B$1))))</f>
        <v/>
      </c>
      <c r="AU3" s="5"/>
      <c r="AV3" s="24"/>
      <c r="AW3" s="5"/>
      <c r="AX3" s="24"/>
      <c r="AY3" s="24"/>
      <c r="AZ3" s="24"/>
      <c r="BA3" s="5"/>
      <c r="BB3" s="24"/>
    </row>
    <row r="4" spans="1:62" ht="11.25" customHeight="1" x14ac:dyDescent="0.2">
      <c r="A4" s="9"/>
      <c r="C4" s="43" t="str">
        <f ca="1">IF(INDIRECT("beschriftung!"&amp;ADDRESS(beschriftung!$C$1*12+ROW(beschriftung!$A5)-1,COLUMN(beschriftung!C$1)))="","",INDIRECT("beschriftung!"&amp;ADDRESS(beschriftung!$C$1*12+ROW(beschriftung!$A5)-1,COLUMN(beschriftung!C$1))))</f>
        <v>Gross domestic product</v>
      </c>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4"/>
      <c r="AU4" s="12"/>
      <c r="AV4" s="12"/>
      <c r="AW4" s="12"/>
      <c r="AX4" s="12"/>
      <c r="AY4" s="12"/>
      <c r="AZ4" s="12"/>
      <c r="BA4" s="12"/>
      <c r="BB4" s="12"/>
      <c r="BC4" s="5"/>
      <c r="BD4" s="5"/>
      <c r="BE4" s="5"/>
      <c r="BF4" s="5"/>
      <c r="BG4" s="5"/>
      <c r="BH4" s="5"/>
      <c r="BI4" s="5"/>
      <c r="BJ4" s="5"/>
    </row>
    <row r="5" spans="1:62" ht="11.25" customHeight="1" x14ac:dyDescent="0.2">
      <c r="A5" s="9"/>
      <c r="C5" s="45"/>
      <c r="D5" s="46"/>
      <c r="E5" s="43" t="str">
        <f ca="1">IF(INDIRECT("beschriftung!"&amp;ADDRESS(beschriftung!$C$1*12+ROW(beschriftung!$A6)-1,COLUMN(beschriftung!E$1)))="","",INDIRECT("beschriftung!"&amp;ADDRESS(beschriftung!$C$1*12+ROW(beschriftung!$A6)-1,COLUMN(beschriftung!E$1))))</f>
        <v>Internal demand</v>
      </c>
      <c r="F5" s="47"/>
      <c r="G5" s="47"/>
      <c r="H5" s="47"/>
      <c r="I5" s="47"/>
      <c r="J5" s="47"/>
      <c r="K5" s="47"/>
      <c r="L5" s="47"/>
      <c r="M5" s="47"/>
      <c r="N5" s="47"/>
      <c r="O5" s="47"/>
      <c r="P5" s="47"/>
      <c r="Q5" s="47"/>
      <c r="R5" s="47"/>
      <c r="S5" s="47"/>
      <c r="T5" s="47"/>
      <c r="U5" s="47"/>
      <c r="V5" s="47"/>
      <c r="W5" s="47"/>
      <c r="X5" s="44"/>
      <c r="Y5" s="43" t="str">
        <f ca="1">IF(INDIRECT("beschriftung!"&amp;ADDRESS(beschriftung!$C$1*12+ROW(beschriftung!$A6)-1,COLUMN(beschriftung!Y$1)))="","",INDIRECT("beschriftung!"&amp;ADDRESS(beschriftung!$C$1*12+ROW(beschriftung!$A6)-1,COLUMN(beschriftung!Y$1))))</f>
        <v>Trade balance (goods and services)</v>
      </c>
      <c r="Z5" s="47"/>
      <c r="AA5" s="47"/>
      <c r="AB5" s="47"/>
      <c r="AC5" s="47"/>
      <c r="AD5" s="47"/>
      <c r="AE5" s="47"/>
      <c r="AF5" s="47"/>
      <c r="AG5" s="47"/>
      <c r="AH5" s="47"/>
      <c r="AI5" s="47"/>
      <c r="AJ5" s="47"/>
      <c r="AK5" s="47"/>
      <c r="AL5" s="47"/>
      <c r="AM5" s="47"/>
      <c r="AN5" s="47"/>
      <c r="AO5" s="47"/>
      <c r="AP5" s="47"/>
      <c r="AQ5" s="47"/>
      <c r="AR5" s="47"/>
      <c r="AS5" s="47"/>
      <c r="AT5" s="47"/>
      <c r="AU5" s="50" t="str">
        <f ca="1">IF(INDIRECT("beschriftung!"&amp;ADDRESS(beschriftung!$C$1*12+ROW(beschriftung!$A6)-1,COLUMN(beschriftung!AU$1)))="","",INDIRECT("beschriftung!"&amp;ADDRESS(beschriftung!$C$1*12+ROW(beschriftung!$A6)-1,COLUMN(beschriftung!AU$1))))</f>
        <v>Global demand excluding inventories change, stat. discrepancies and valuables</v>
      </c>
      <c r="AV5" s="51"/>
      <c r="AW5" s="51"/>
      <c r="AX5" s="51"/>
      <c r="AY5" s="51"/>
      <c r="AZ5" s="51"/>
      <c r="BA5" s="51"/>
      <c r="BB5" s="51"/>
      <c r="BC5" s="22"/>
      <c r="BD5" s="13"/>
      <c r="BE5" s="14"/>
      <c r="BF5" s="14"/>
      <c r="BG5" s="14"/>
      <c r="BH5" s="14"/>
      <c r="BI5" s="14"/>
      <c r="BJ5" s="14"/>
    </row>
    <row r="6" spans="1:62" ht="11.25" customHeight="1" x14ac:dyDescent="0.2">
      <c r="A6" s="9"/>
      <c r="C6" s="45"/>
      <c r="D6" s="46"/>
      <c r="E6" s="45"/>
      <c r="F6" s="46"/>
      <c r="G6" s="43" t="str">
        <f ca="1">IF(INDIRECT("beschriftung!"&amp;ADDRESS(beschriftung!$C$1*12+ROW(beschriftung!$A7)-1,COLUMN(beschriftung!G$1)))="","",INDIRECT("beschriftung!"&amp;ADDRESS(beschriftung!$C$1*12+ROW(beschriftung!$A7)-1,COLUMN(beschriftung!G$1))))</f>
        <v>Final consumption expenditure</v>
      </c>
      <c r="H6" s="47"/>
      <c r="I6" s="47"/>
      <c r="J6" s="47"/>
      <c r="K6" s="47"/>
      <c r="L6" s="44"/>
      <c r="M6" s="43" t="str">
        <f ca="1">IF(INDIRECT("beschriftung!"&amp;ADDRESS(beschriftung!$C$1*12+ROW(beschriftung!$A7)-1,COLUMN(beschriftung!M$1)))="","",INDIRECT("beschriftung!"&amp;ADDRESS(beschriftung!$C$1*12+ROW(beschriftung!$A7)-1,COLUMN(beschriftung!M$1))))</f>
        <v xml:space="preserve">Gross capital formation </v>
      </c>
      <c r="N6" s="47"/>
      <c r="O6" s="47"/>
      <c r="P6" s="47"/>
      <c r="Q6" s="47"/>
      <c r="R6" s="47"/>
      <c r="S6" s="47"/>
      <c r="T6" s="47"/>
      <c r="U6" s="47"/>
      <c r="V6" s="47"/>
      <c r="W6" s="47"/>
      <c r="X6" s="44"/>
      <c r="Y6" s="45"/>
      <c r="Z6" s="46"/>
      <c r="AA6" s="43" t="str">
        <f ca="1">IF(INDIRECT("beschriftung!"&amp;ADDRESS(beschriftung!$C$1*12+ROW(beschriftung!$A7)-1,COLUMN(beschriftung!AA$1)))="","",INDIRECT("beschriftung!"&amp;ADDRESS(beschriftung!$C$1*12+ROW(beschriftung!$A7)-1,COLUMN(beschriftung!AA$1))))</f>
        <v>Exports of goods and services</v>
      </c>
      <c r="AB6" s="47"/>
      <c r="AC6" s="47"/>
      <c r="AD6" s="47"/>
      <c r="AE6" s="47"/>
      <c r="AF6" s="47"/>
      <c r="AG6" s="47"/>
      <c r="AH6" s="47"/>
      <c r="AI6" s="47"/>
      <c r="AJ6" s="44"/>
      <c r="AK6" s="43" t="str">
        <f ca="1">IF(INDIRECT("beschriftung!"&amp;ADDRESS(beschriftung!$C$1*12+ROW(beschriftung!$A7)-1,COLUMN(beschriftung!AK$1)))="","",INDIRECT("beschriftung!"&amp;ADDRESS(beschriftung!$C$1*12+ROW(beschriftung!$A7)-1,COLUMN(beschriftung!AK$1))))</f>
        <v>Imports of goods and services</v>
      </c>
      <c r="AL6" s="47"/>
      <c r="AM6" s="47"/>
      <c r="AN6" s="47"/>
      <c r="AO6" s="47"/>
      <c r="AP6" s="47"/>
      <c r="AQ6" s="47"/>
      <c r="AR6" s="47"/>
      <c r="AS6" s="47"/>
      <c r="AT6" s="47"/>
      <c r="AU6" s="58"/>
      <c r="AV6" s="59"/>
      <c r="AW6" s="52" t="str">
        <f ca="1">IF(INDIRECT("beschriftung!"&amp;ADDRESS(beschriftung!$C$1*12+ROW(beschriftung!$A7)-1,COLUMN(beschriftung!AW$1)))="","",INDIRECT("beschriftung!"&amp;ADDRESS(beschriftung!$C$1*12+ROW(beschriftung!$A7)-1,COLUMN(beschriftung!AW$1))))</f>
        <v>Final domestic demand</v>
      </c>
      <c r="AX6" s="53"/>
      <c r="AY6" s="52" t="str">
        <f ca="1">IF(INDIRECT("beschriftung!"&amp;ADDRESS(beschriftung!$C$1*12+ROW(beschriftung!$A7)-1,COLUMN(beschriftung!AY$1)))="","",INDIRECT("beschriftung!"&amp;ADDRESS(beschriftung!$C$1*12+ROW(beschriftung!$A7)-1,COLUMN(beschriftung!AY$1))))</f>
        <v>Exports of goods and services (excluding valuables)</v>
      </c>
      <c r="AZ6" s="56"/>
      <c r="BA6" s="23"/>
      <c r="BB6" s="15"/>
      <c r="BC6" s="52" t="str">
        <f ca="1">IF(INDIRECT("beschriftung!"&amp;ADDRESS(beschriftung!$C$1*12+ROW(beschriftung!$A7)-1,COLUMN(beschriftung!BC$1)))="","",INDIRECT("beschriftung!"&amp;ADDRESS(beschriftung!$C$1*12+ROW(beschriftung!$A7)-1,COLUMN(beschriftung!BC$1))))</f>
        <v>Imports of goods and services (excluding valuables)</v>
      </c>
      <c r="BD6" s="53"/>
    </row>
    <row r="7" spans="1:62" ht="11.25" customHeight="1" x14ac:dyDescent="0.2">
      <c r="A7" s="10"/>
      <c r="B7" s="10"/>
      <c r="C7" s="45"/>
      <c r="D7" s="46"/>
      <c r="E7" s="45"/>
      <c r="F7" s="46"/>
      <c r="G7" s="45"/>
      <c r="H7" s="46"/>
      <c r="I7" s="43" t="str">
        <f ca="1">IF(INDIRECT("beschriftung!"&amp;ADDRESS(beschriftung!$C$1*12+ROW(beschriftung!$A8)-1,COLUMN(beschriftung!I$1)))="","",INDIRECT("beschriftung!"&amp;ADDRESS(beschriftung!$C$1*12+ROW(beschriftung!$A8)-1,COLUMN(beschriftung!I$1))))</f>
        <v>Households and NPISH</v>
      </c>
      <c r="J7" s="44"/>
      <c r="K7" s="43" t="str">
        <f ca="1">IF(INDIRECT("beschriftung!"&amp;ADDRESS(beschriftung!$C$1*12+ROW(beschriftung!$A8)-1,COLUMN(beschriftung!K$1)))="","",INDIRECT("beschriftung!"&amp;ADDRESS(beschriftung!$C$1*12+ROW(beschriftung!$A8)-1,COLUMN(beschriftung!K$1))))</f>
        <v>General government</v>
      </c>
      <c r="L7" s="44"/>
      <c r="M7" s="45"/>
      <c r="N7" s="46"/>
      <c r="O7" s="43" t="str">
        <f ca="1">IF(INDIRECT("beschriftung!"&amp;ADDRESS(beschriftung!$C$1*12+ROW(beschriftung!$A8)-1,COLUMN(beschriftung!O$1)))="","",INDIRECT("beschriftung!"&amp;ADDRESS(beschriftung!$C$1*12+ROW(beschriftung!$A8)-1,COLUMN(beschriftung!O$1))))</f>
        <v>Gross fixed capital formation</v>
      </c>
      <c r="P7" s="47"/>
      <c r="Q7" s="47"/>
      <c r="R7" s="47"/>
      <c r="S7" s="47"/>
      <c r="T7" s="44"/>
      <c r="U7" s="43" t="str">
        <f ca="1">IF(INDIRECT("beschriftung!"&amp;ADDRESS(beschriftung!$C$1*12+ROW(beschriftung!$A8)-1,COLUMN(beschriftung!U$1)))="","",INDIRECT("beschriftung!"&amp;ADDRESS(beschriftung!$C$1*12+ROW(beschriftung!$A8)-1,COLUMN(beschriftung!U$1))))</f>
        <v>Changes in inventories and statistical discrepancies</v>
      </c>
      <c r="V7" s="44"/>
      <c r="W7" s="43" t="str">
        <f ca="1">IF(INDIRECT("beschriftung!"&amp;ADDRESS(beschriftung!$C$1*12+ROW(beschriftung!$A8)-1,COLUMN(beschriftung!W$1)))="","",INDIRECT("beschriftung!"&amp;ADDRESS(beschriftung!$C$1*12+ROW(beschriftung!$A8)-1,COLUMN(beschriftung!W$1))))</f>
        <v>Acquisitions less disposals of valuables (including non-monetary gold)</v>
      </c>
      <c r="X7" s="44"/>
      <c r="Y7" s="45"/>
      <c r="Z7" s="46"/>
      <c r="AA7" s="45"/>
      <c r="AB7" s="46"/>
      <c r="AC7" s="43" t="str">
        <f ca="1">IF(INDIRECT("beschriftung!"&amp;ADDRESS(beschriftung!$C$1*12+ROW(beschriftung!$A8)-1,COLUMN(beschriftung!AC$1)))="","",INDIRECT("beschriftung!"&amp;ADDRESS(beschriftung!$C$1*12+ROW(beschriftung!$A8)-1,COLUMN(beschriftung!AC$1))))</f>
        <v>Exports (exp.) of goods</v>
      </c>
      <c r="AD7" s="47"/>
      <c r="AE7" s="47"/>
      <c r="AF7" s="47"/>
      <c r="AG7" s="47"/>
      <c r="AH7" s="44"/>
      <c r="AI7" s="43" t="str">
        <f ca="1">IF(INDIRECT("beschriftung!"&amp;ADDRESS(beschriftung!$C$1*12+ROW(beschriftung!$A8)-1,COLUMN(beschriftung!AI$1)))="","",INDIRECT("beschriftung!"&amp;ADDRESS(beschriftung!$C$1*12+ROW(beschriftung!$A8)-1,COLUMN(beschriftung!AI$1))))</f>
        <v>Exports of services</v>
      </c>
      <c r="AJ7" s="44"/>
      <c r="AK7" s="45"/>
      <c r="AL7" s="46"/>
      <c r="AM7" s="43" t="str">
        <f ca="1">IF(INDIRECT("beschriftung!"&amp;ADDRESS(beschriftung!$C$1*12+ROW(beschriftung!$A8)-1,COLUMN(beschriftung!AM$1)))="","",INDIRECT("beschriftung!"&amp;ADDRESS(beschriftung!$C$1*12+ROW(beschriftung!$A8)-1,COLUMN(beschriftung!AM$1))))</f>
        <v>Imports (imp.) of goods</v>
      </c>
      <c r="AN7" s="47"/>
      <c r="AO7" s="47"/>
      <c r="AP7" s="47"/>
      <c r="AQ7" s="47"/>
      <c r="AR7" s="44"/>
      <c r="AS7" s="43" t="str">
        <f ca="1">IF(INDIRECT("beschriftung!"&amp;ADDRESS(beschriftung!$C$1*12+ROW(beschriftung!$A8)-1,COLUMN(beschriftung!AS$1)))="","",INDIRECT("beschriftung!"&amp;ADDRESS(beschriftung!$C$1*12+ROW(beschriftung!$A8)-1,COLUMN(beschriftung!AS$1))))</f>
        <v>Imports of services</v>
      </c>
      <c r="AT7" s="47"/>
      <c r="AU7" s="58"/>
      <c r="AV7" s="59"/>
      <c r="AW7" s="54"/>
      <c r="AX7" s="55"/>
      <c r="AY7" s="54"/>
      <c r="AZ7" s="57"/>
      <c r="BA7" s="52" t="str">
        <f ca="1">IF(INDIRECT("beschriftung!"&amp;ADDRESS(beschriftung!$C$1*12+ROW(beschriftung!$A8)-1,COLUMN(beschriftung!BA$1)))="","",INDIRECT("beschriftung!"&amp;ADDRESS(beschriftung!$C$1*12+ROW(beschriftung!$A8)-1,COLUMN(beschriftung!BA$1))))</f>
        <v>thereof exports of goods excluding valuables</v>
      </c>
      <c r="BB7" s="53"/>
      <c r="BC7" s="54"/>
      <c r="BD7" s="55"/>
    </row>
    <row r="8" spans="1:62" ht="11.25" customHeight="1" x14ac:dyDescent="0.2">
      <c r="A8" s="11"/>
      <c r="B8" s="11"/>
      <c r="C8" s="45"/>
      <c r="D8" s="46"/>
      <c r="E8" s="45"/>
      <c r="F8" s="46"/>
      <c r="G8" s="45"/>
      <c r="H8" s="46"/>
      <c r="I8" s="45"/>
      <c r="J8" s="46"/>
      <c r="K8" s="45"/>
      <c r="L8" s="46"/>
      <c r="M8" s="45"/>
      <c r="N8" s="46"/>
      <c r="O8" s="45"/>
      <c r="P8" s="46"/>
      <c r="Q8" s="43" t="str">
        <f ca="1">IF(INDIRECT("beschriftung!"&amp;ADDRESS(beschriftung!$C$1*12+ROW(beschriftung!$A9)-1,COLUMN(beschriftung!Q$1)))="","",INDIRECT("beschriftung!"&amp;ADDRESS(beschriftung!$C$1*12+ROW(beschriftung!$A9)-1,COLUMN(beschriftung!Q$1))))</f>
        <v>Construction</v>
      </c>
      <c r="R8" s="44"/>
      <c r="S8" s="43" t="str">
        <f ca="1">IF(INDIRECT("beschriftung!"&amp;ADDRESS(beschriftung!$C$1*12+ROW(beschriftung!$A9)-1,COLUMN(beschriftung!S$1)))="","",INDIRECT("beschriftung!"&amp;ADDRESS(beschriftung!$C$1*12+ROW(beschriftung!$A9)-1,COLUMN(beschriftung!S$1))))</f>
        <v>Fixed assets and software</v>
      </c>
      <c r="T8" s="44"/>
      <c r="U8" s="45"/>
      <c r="V8" s="46"/>
      <c r="W8" s="45"/>
      <c r="X8" s="46"/>
      <c r="Y8" s="45"/>
      <c r="Z8" s="46"/>
      <c r="AA8" s="45"/>
      <c r="AB8" s="46"/>
      <c r="AC8" s="45"/>
      <c r="AD8" s="46"/>
      <c r="AE8" s="43" t="str">
        <f ca="1">IF(INDIRECT("beschriftung!"&amp;ADDRESS(beschriftung!$C$1*12+ROW(beschriftung!$A9)-1,COLUMN(beschriftung!AE$1)))="","",INDIRECT("beschriftung!"&amp;ADDRESS(beschriftung!$C$1*12+ROW(beschriftung!$A9)-1,COLUMN(beschriftung!AE$1))))</f>
        <v xml:space="preserve">thereof exp. of goods excluding non-monetary gold </v>
      </c>
      <c r="AF8" s="44"/>
      <c r="AG8" s="43" t="str">
        <f ca="1">IF(INDIRECT("beschriftung!"&amp;ADDRESS(beschriftung!$C$1*12+ROW(beschriftung!$A9)-1,COLUMN(beschriftung!AG$1)))="","",INDIRECT("beschriftung!"&amp;ADDRESS(beschriftung!$C$1*12+ROW(beschriftung!$A9)-1,COLUMN(beschriftung!AG$1))))</f>
        <v>thereof exp. of goods excluding valuables and merchanting</v>
      </c>
      <c r="AH8" s="44"/>
      <c r="AI8" s="45"/>
      <c r="AJ8" s="46"/>
      <c r="AK8" s="45"/>
      <c r="AL8" s="46"/>
      <c r="AM8" s="45"/>
      <c r="AN8" s="46"/>
      <c r="AO8" s="43" t="str">
        <f ca="1">IF(INDIRECT("beschriftung!"&amp;ADDRESS(beschriftung!$C$1*12+ROW(beschriftung!$A9)-1,COLUMN(beschriftung!AO$1)))="","",INDIRECT("beschriftung!"&amp;ADDRESS(beschriftung!$C$1*12+ROW(beschriftung!$A9)-1,COLUMN(beschriftung!AO$1))))</f>
        <v>thereof imp. of goods excluding non-monetary gold</v>
      </c>
      <c r="AP8" s="44"/>
      <c r="AQ8" s="43" t="str">
        <f ca="1">IF(INDIRECT("beschriftung!"&amp;ADDRESS(beschriftung!$C$1*12+ROW(beschriftung!$A9)-1,COLUMN(beschriftung!AQ$1)))="","",INDIRECT("beschriftung!"&amp;ADDRESS(beschriftung!$C$1*12+ROW(beschriftung!$A9)-1,COLUMN(beschriftung!AQ$1))))</f>
        <v>thereof imp. of goods excluding valuables</v>
      </c>
      <c r="AR8" s="44"/>
      <c r="AS8" s="45"/>
      <c r="AT8" s="61"/>
      <c r="AU8" s="58"/>
      <c r="AV8" s="59"/>
      <c r="AW8" s="54"/>
      <c r="AX8" s="55"/>
      <c r="AY8" s="54"/>
      <c r="AZ8" s="57"/>
      <c r="BA8" s="54"/>
      <c r="BB8" s="55"/>
      <c r="BC8" s="54"/>
      <c r="BD8" s="55"/>
    </row>
    <row r="9" spans="1:62" ht="11.25" customHeight="1" x14ac:dyDescent="0.2">
      <c r="A9" s="11"/>
      <c r="B9" s="11"/>
      <c r="C9" s="45"/>
      <c r="D9" s="46"/>
      <c r="E9" s="45"/>
      <c r="F9" s="46"/>
      <c r="G9" s="45"/>
      <c r="H9" s="46"/>
      <c r="I9" s="45"/>
      <c r="J9" s="46"/>
      <c r="K9" s="45"/>
      <c r="L9" s="46"/>
      <c r="M9" s="45"/>
      <c r="N9" s="46"/>
      <c r="O9" s="45"/>
      <c r="P9" s="46"/>
      <c r="Q9" s="45"/>
      <c r="R9" s="46"/>
      <c r="S9" s="45"/>
      <c r="T9" s="46"/>
      <c r="U9" s="45"/>
      <c r="V9" s="46"/>
      <c r="W9" s="45"/>
      <c r="X9" s="46"/>
      <c r="Y9" s="45"/>
      <c r="Z9" s="46"/>
      <c r="AA9" s="45"/>
      <c r="AB9" s="46"/>
      <c r="AC9" s="45"/>
      <c r="AD9" s="46"/>
      <c r="AE9" s="45"/>
      <c r="AF9" s="46"/>
      <c r="AG9" s="45"/>
      <c r="AH9" s="46"/>
      <c r="AI9" s="45"/>
      <c r="AJ9" s="46"/>
      <c r="AK9" s="45"/>
      <c r="AL9" s="46"/>
      <c r="AM9" s="45"/>
      <c r="AN9" s="46"/>
      <c r="AO9" s="45"/>
      <c r="AP9" s="46"/>
      <c r="AQ9" s="45"/>
      <c r="AR9" s="46"/>
      <c r="AS9" s="45"/>
      <c r="AT9" s="61"/>
      <c r="AU9" s="58"/>
      <c r="AV9" s="59"/>
      <c r="AW9" s="54"/>
      <c r="AX9" s="55"/>
      <c r="AY9" s="54"/>
      <c r="AZ9" s="57"/>
      <c r="BA9" s="54"/>
      <c r="BB9" s="55"/>
      <c r="BC9" s="54"/>
      <c r="BD9" s="55"/>
    </row>
    <row r="10" spans="1:62" ht="11.25" customHeight="1" x14ac:dyDescent="0.2">
      <c r="A10" s="11"/>
      <c r="B10" s="10"/>
      <c r="C10" s="45"/>
      <c r="D10" s="46"/>
      <c r="E10" s="45"/>
      <c r="F10" s="46"/>
      <c r="G10" s="45"/>
      <c r="H10" s="46"/>
      <c r="I10" s="45"/>
      <c r="J10" s="46"/>
      <c r="K10" s="45"/>
      <c r="L10" s="46"/>
      <c r="M10" s="45"/>
      <c r="N10" s="46"/>
      <c r="O10" s="45"/>
      <c r="P10" s="46"/>
      <c r="Q10" s="45"/>
      <c r="R10" s="46"/>
      <c r="S10" s="45"/>
      <c r="T10" s="46"/>
      <c r="U10" s="45"/>
      <c r="V10" s="46"/>
      <c r="W10" s="45"/>
      <c r="X10" s="46"/>
      <c r="Y10" s="45"/>
      <c r="Z10" s="46"/>
      <c r="AA10" s="45"/>
      <c r="AB10" s="46"/>
      <c r="AC10" s="45"/>
      <c r="AD10" s="46"/>
      <c r="AE10" s="45"/>
      <c r="AF10" s="46"/>
      <c r="AG10" s="45"/>
      <c r="AH10" s="46"/>
      <c r="AI10" s="45"/>
      <c r="AJ10" s="46"/>
      <c r="AK10" s="45"/>
      <c r="AL10" s="46"/>
      <c r="AM10" s="45"/>
      <c r="AN10" s="46"/>
      <c r="AO10" s="45"/>
      <c r="AP10" s="46"/>
      <c r="AQ10" s="45"/>
      <c r="AR10" s="46"/>
      <c r="AS10" s="45"/>
      <c r="AT10" s="61"/>
      <c r="AU10" s="58"/>
      <c r="AV10" s="59"/>
      <c r="AW10" s="54"/>
      <c r="AX10" s="55"/>
      <c r="AY10" s="54"/>
      <c r="AZ10" s="57"/>
      <c r="BA10" s="54"/>
      <c r="BB10" s="55"/>
      <c r="BC10" s="54"/>
      <c r="BD10" s="55"/>
    </row>
    <row r="11" spans="1:62" ht="11.25" customHeight="1" x14ac:dyDescent="0.2">
      <c r="A11" s="3"/>
      <c r="B11" s="8"/>
      <c r="C11" s="48" t="s">
        <v>167</v>
      </c>
      <c r="D11" s="49"/>
      <c r="E11" s="48" t="s">
        <v>182</v>
      </c>
      <c r="F11" s="49"/>
      <c r="G11" s="48" t="s">
        <v>168</v>
      </c>
      <c r="H11" s="49"/>
      <c r="I11" s="48" t="s">
        <v>184</v>
      </c>
      <c r="J11" s="49"/>
      <c r="K11" s="48" t="s">
        <v>185</v>
      </c>
      <c r="L11" s="49"/>
      <c r="M11" s="48" t="s">
        <v>169</v>
      </c>
      <c r="N11" s="49"/>
      <c r="O11" s="48" t="s">
        <v>170</v>
      </c>
      <c r="P11" s="49"/>
      <c r="Q11" s="48" t="s">
        <v>171</v>
      </c>
      <c r="R11" s="49"/>
      <c r="S11" s="48" t="s">
        <v>172</v>
      </c>
      <c r="T11" s="49"/>
      <c r="U11" s="48" t="s">
        <v>186</v>
      </c>
      <c r="V11" s="49"/>
      <c r="W11" s="48" t="s">
        <v>173</v>
      </c>
      <c r="X11" s="49"/>
      <c r="Y11" s="48" t="s">
        <v>187</v>
      </c>
      <c r="Z11" s="49"/>
      <c r="AA11" s="48" t="s">
        <v>174</v>
      </c>
      <c r="AB11" s="49"/>
      <c r="AC11" s="48" t="s">
        <v>175</v>
      </c>
      <c r="AD11" s="49"/>
      <c r="AE11" s="48" t="s">
        <v>176</v>
      </c>
      <c r="AF11" s="49"/>
      <c r="AG11" s="48"/>
      <c r="AH11" s="49"/>
      <c r="AI11" s="48" t="s">
        <v>177</v>
      </c>
      <c r="AJ11" s="49"/>
      <c r="AK11" s="48" t="s">
        <v>178</v>
      </c>
      <c r="AL11" s="49"/>
      <c r="AM11" s="48" t="s">
        <v>179</v>
      </c>
      <c r="AN11" s="49"/>
      <c r="AO11" s="48" t="s">
        <v>180</v>
      </c>
      <c r="AP11" s="49"/>
      <c r="AQ11" s="48"/>
      <c r="AR11" s="49"/>
      <c r="AS11" s="48" t="s">
        <v>181</v>
      </c>
      <c r="AT11" s="60"/>
      <c r="AU11" s="62" t="s">
        <v>188</v>
      </c>
      <c r="AV11" s="63"/>
      <c r="AW11" s="62" t="s">
        <v>183</v>
      </c>
      <c r="AX11" s="63"/>
      <c r="AY11" s="62"/>
      <c r="AZ11" s="63"/>
      <c r="BA11" s="62"/>
      <c r="BB11" s="63"/>
      <c r="BC11" s="62"/>
      <c r="BD11" s="63"/>
    </row>
    <row r="12" spans="1:62" x14ac:dyDescent="0.2">
      <c r="A12" s="28">
        <v>1980</v>
      </c>
      <c r="B12" s="28"/>
      <c r="C12" s="32"/>
      <c r="D12" s="30"/>
      <c r="E12" s="32"/>
      <c r="F12" s="30"/>
      <c r="G12" s="32"/>
      <c r="H12" s="30"/>
      <c r="I12" s="32"/>
      <c r="J12" s="30"/>
      <c r="K12" s="32"/>
      <c r="L12" s="30"/>
      <c r="M12" s="32"/>
      <c r="N12" s="30"/>
      <c r="O12" s="32"/>
      <c r="P12" s="30"/>
      <c r="Q12" s="32"/>
      <c r="R12" s="30"/>
      <c r="S12" s="32"/>
      <c r="T12" s="30"/>
      <c r="U12" s="32"/>
      <c r="V12" s="30"/>
      <c r="W12" s="32"/>
      <c r="X12" s="30"/>
      <c r="Y12" s="32"/>
      <c r="Z12" s="30"/>
      <c r="AA12" s="32"/>
      <c r="AB12" s="30"/>
      <c r="AC12" s="32"/>
      <c r="AD12" s="30"/>
      <c r="AE12" s="32"/>
      <c r="AF12" s="30"/>
      <c r="AG12" s="32"/>
      <c r="AH12" s="30"/>
      <c r="AI12" s="32"/>
      <c r="AJ12" s="30"/>
      <c r="AK12" s="32"/>
      <c r="AL12" s="30"/>
      <c r="AM12" s="32"/>
      <c r="AN12" s="30"/>
      <c r="AO12" s="32"/>
      <c r="AP12" s="30"/>
      <c r="AQ12" s="32"/>
      <c r="AR12" s="30"/>
      <c r="AS12" s="32"/>
      <c r="AT12" s="30"/>
      <c r="AU12" s="32"/>
      <c r="AV12" s="30"/>
      <c r="AW12" s="32"/>
      <c r="AX12" s="30"/>
      <c r="AY12" s="32"/>
      <c r="AZ12" s="30"/>
      <c r="BA12" s="32"/>
      <c r="BB12" s="30"/>
      <c r="BC12" s="32"/>
      <c r="BD12" s="30"/>
      <c r="BE12" s="32"/>
      <c r="BF12" s="30"/>
    </row>
    <row r="13" spans="1:62" x14ac:dyDescent="0.2">
      <c r="A13" s="28">
        <v>1981</v>
      </c>
      <c r="B13" s="28"/>
      <c r="C13" s="32"/>
      <c r="D13" s="30"/>
      <c r="E13" s="32">
        <v>-1.7337176774220701E-2</v>
      </c>
      <c r="F13" s="30"/>
      <c r="G13" s="32">
        <v>7.7158480195461598E-3</v>
      </c>
      <c r="H13" s="30"/>
      <c r="I13" s="32">
        <v>5.5495026907093799E-3</v>
      </c>
      <c r="J13" s="30"/>
      <c r="K13" s="32">
        <v>2.1663453288367799E-3</v>
      </c>
      <c r="L13" s="30"/>
      <c r="M13" s="32">
        <v>-2.5053024793766799E-2</v>
      </c>
      <c r="N13" s="30"/>
      <c r="O13" s="32">
        <v>4.0081956783958204E-3</v>
      </c>
      <c r="P13" s="30"/>
      <c r="Q13" s="32">
        <v>5.2132881156565503E-3</v>
      </c>
      <c r="R13" s="30"/>
      <c r="S13" s="32">
        <v>-1.2050924372607201E-3</v>
      </c>
      <c r="T13" s="30"/>
      <c r="U13" s="32">
        <v>-1.02821227109998E-2</v>
      </c>
      <c r="V13" s="30"/>
      <c r="W13" s="32">
        <v>-1.8779097761162902E-2</v>
      </c>
      <c r="X13" s="30"/>
      <c r="Y13" s="32">
        <v>3.3350535473698401E-2</v>
      </c>
      <c r="Z13" s="30"/>
      <c r="AA13" s="32">
        <v>6.8937305742288096E-2</v>
      </c>
      <c r="AB13" s="30"/>
      <c r="AC13" s="32">
        <v>6.0575826233874003E-2</v>
      </c>
      <c r="AD13" s="30"/>
      <c r="AE13" s="32">
        <v>2.2225781833077801E-2</v>
      </c>
      <c r="AF13" s="30"/>
      <c r="AG13" s="32">
        <v>8.8335351944957095E-3</v>
      </c>
      <c r="AH13" s="30"/>
      <c r="AI13" s="32">
        <v>8.3614795084140398E-3</v>
      </c>
      <c r="AJ13" s="30"/>
      <c r="AK13" s="32">
        <v>-3.5586770268589703E-2</v>
      </c>
      <c r="AL13" s="30"/>
      <c r="AM13" s="32">
        <v>-3.0845205268485901E-2</v>
      </c>
      <c r="AN13" s="30"/>
      <c r="AO13" s="32">
        <v>1.2708277825137001E-3</v>
      </c>
      <c r="AP13" s="30"/>
      <c r="AQ13" s="32">
        <v>1.55636881200713E-3</v>
      </c>
      <c r="AR13" s="30"/>
      <c r="AS13" s="32">
        <v>-4.7415650001037804E-3</v>
      </c>
      <c r="AT13" s="30"/>
      <c r="AU13" s="32">
        <v>2.9480677598574201E-2</v>
      </c>
      <c r="AV13" s="30"/>
      <c r="AW13" s="32">
        <v>1.1724043697941999E-2</v>
      </c>
      <c r="AX13" s="30"/>
      <c r="AY13" s="32">
        <v>1.7756633900632202E-2</v>
      </c>
      <c r="AZ13" s="30"/>
      <c r="BA13" s="32">
        <v>9.3951543922181305E-3</v>
      </c>
      <c r="BB13" s="30"/>
      <c r="BC13" s="32">
        <v>-3.1851961880966402E-3</v>
      </c>
      <c r="BD13" s="30"/>
      <c r="BE13" s="32"/>
      <c r="BF13" s="30"/>
    </row>
    <row r="14" spans="1:62" x14ac:dyDescent="0.2">
      <c r="A14" s="28">
        <v>1982</v>
      </c>
      <c r="B14" s="28"/>
      <c r="C14" s="32"/>
      <c r="D14" s="30"/>
      <c r="E14" s="32">
        <v>6.7428514325644099E-3</v>
      </c>
      <c r="F14" s="30"/>
      <c r="G14" s="32">
        <v>2.06129287180562E-3</v>
      </c>
      <c r="H14" s="30"/>
      <c r="I14" s="32">
        <v>1.4478074718998501E-3</v>
      </c>
      <c r="J14" s="30"/>
      <c r="K14" s="32">
        <v>6.1348539990577601E-4</v>
      </c>
      <c r="L14" s="30"/>
      <c r="M14" s="32">
        <v>4.6815585607587898E-3</v>
      </c>
      <c r="N14" s="30"/>
      <c r="O14" s="32">
        <v>-1.27451214157725E-2</v>
      </c>
      <c r="P14" s="30"/>
      <c r="Q14" s="32">
        <v>-4.3031452637700097E-3</v>
      </c>
      <c r="R14" s="30"/>
      <c r="S14" s="32">
        <v>-8.4419761520024492E-3</v>
      </c>
      <c r="T14" s="30"/>
      <c r="U14" s="32">
        <v>6.77568094756307E-4</v>
      </c>
      <c r="V14" s="30"/>
      <c r="W14" s="32">
        <v>1.67491118817749E-2</v>
      </c>
      <c r="X14" s="30"/>
      <c r="Y14" s="32">
        <v>-1.98370258449755E-2</v>
      </c>
      <c r="Z14" s="30"/>
      <c r="AA14" s="32">
        <v>-9.3699730638742897E-3</v>
      </c>
      <c r="AB14" s="30"/>
      <c r="AC14" s="32">
        <v>-1.1118323952352399E-2</v>
      </c>
      <c r="AD14" s="30"/>
      <c r="AE14" s="32">
        <v>-1.1731215491959299E-3</v>
      </c>
      <c r="AF14" s="30"/>
      <c r="AG14" s="32">
        <v>-7.4796494987449799E-3</v>
      </c>
      <c r="AH14" s="30"/>
      <c r="AI14" s="32">
        <v>1.7483508884780601E-3</v>
      </c>
      <c r="AJ14" s="30"/>
      <c r="AK14" s="32">
        <v>-1.04670527811012E-2</v>
      </c>
      <c r="AL14" s="30"/>
      <c r="AM14" s="32">
        <v>-5.2248224557484603E-3</v>
      </c>
      <c r="AN14" s="30"/>
      <c r="AO14" s="32">
        <v>2.5062925517326E-3</v>
      </c>
      <c r="AP14" s="30"/>
      <c r="AQ14" s="32">
        <v>8.6380824175558302E-3</v>
      </c>
      <c r="AR14" s="30"/>
      <c r="AS14" s="32">
        <v>-5.2422303253527799E-3</v>
      </c>
      <c r="AT14" s="30"/>
      <c r="AU14" s="32">
        <v>-1.7167594599370499E-2</v>
      </c>
      <c r="AV14" s="30"/>
      <c r="AW14" s="32">
        <v>-1.06838285439668E-2</v>
      </c>
      <c r="AX14" s="30"/>
      <c r="AY14" s="32">
        <v>-6.4837660554036402E-3</v>
      </c>
      <c r="AZ14" s="30"/>
      <c r="BA14" s="32">
        <v>-8.2321169438816996E-3</v>
      </c>
      <c r="BB14" s="30"/>
      <c r="BC14" s="32">
        <v>3.3958520922030499E-3</v>
      </c>
      <c r="BD14" s="30"/>
      <c r="BE14" s="32"/>
      <c r="BF14" s="30"/>
    </row>
    <row r="15" spans="1:62" x14ac:dyDescent="0.2">
      <c r="A15" s="28">
        <v>1983</v>
      </c>
      <c r="B15" s="28"/>
      <c r="C15" s="32"/>
      <c r="D15" s="30"/>
      <c r="E15" s="32">
        <v>2.3034546302842102E-2</v>
      </c>
      <c r="F15" s="30"/>
      <c r="G15" s="32">
        <v>9.8198852306621807E-3</v>
      </c>
      <c r="H15" s="30"/>
      <c r="I15" s="32">
        <v>7.2353760833442004E-3</v>
      </c>
      <c r="J15" s="30"/>
      <c r="K15" s="32">
        <v>2.5845091473179799E-3</v>
      </c>
      <c r="L15" s="30"/>
      <c r="M15" s="32">
        <v>1.32146610721799E-2</v>
      </c>
      <c r="N15" s="30"/>
      <c r="O15" s="32">
        <v>1.01834705337394E-2</v>
      </c>
      <c r="P15" s="30"/>
      <c r="Q15" s="32">
        <v>6.5993255886676698E-3</v>
      </c>
      <c r="R15" s="30"/>
      <c r="S15" s="32">
        <v>3.5841449450717102E-3</v>
      </c>
      <c r="T15" s="30"/>
      <c r="U15" s="32">
        <v>-7.6329118616812203E-3</v>
      </c>
      <c r="V15" s="30"/>
      <c r="W15" s="32">
        <v>1.06641024001218E-2</v>
      </c>
      <c r="X15" s="30"/>
      <c r="Y15" s="32">
        <v>-1.6643751723831E-2</v>
      </c>
      <c r="Z15" s="30"/>
      <c r="AA15" s="32">
        <v>-1.21278065818488E-2</v>
      </c>
      <c r="AB15" s="30"/>
      <c r="AC15" s="32">
        <v>-1.8060011445980999E-2</v>
      </c>
      <c r="AD15" s="30"/>
      <c r="AE15" s="32">
        <v>2.3904747199880098E-3</v>
      </c>
      <c r="AF15" s="30"/>
      <c r="AG15" s="32">
        <v>2.8341752103265101E-3</v>
      </c>
      <c r="AH15" s="30"/>
      <c r="AI15" s="32">
        <v>5.9322048641321902E-3</v>
      </c>
      <c r="AJ15" s="30"/>
      <c r="AK15" s="32">
        <v>-4.5159451419821304E-3</v>
      </c>
      <c r="AL15" s="30"/>
      <c r="AM15" s="32">
        <v>-1.90009148048215E-3</v>
      </c>
      <c r="AN15" s="30"/>
      <c r="AO15" s="32">
        <v>-1.4950402380538999E-2</v>
      </c>
      <c r="AP15" s="30"/>
      <c r="AQ15" s="32">
        <v>-1.1959728022187199E-2</v>
      </c>
      <c r="AR15" s="30"/>
      <c r="AS15" s="32">
        <v>-2.6158536614999798E-3</v>
      </c>
      <c r="AT15" s="30"/>
      <c r="AU15" s="32">
        <v>2.85992881243795E-2</v>
      </c>
      <c r="AV15" s="30"/>
      <c r="AW15" s="32">
        <v>2.0003355764401601E-2</v>
      </c>
      <c r="AX15" s="30"/>
      <c r="AY15" s="32">
        <v>8.5959323599779803E-3</v>
      </c>
      <c r="AZ15" s="30"/>
      <c r="BA15" s="32">
        <v>2.6637274958457901E-3</v>
      </c>
      <c r="BB15" s="30"/>
      <c r="BC15" s="32">
        <v>-1.45755816836872E-2</v>
      </c>
      <c r="BD15" s="30"/>
      <c r="BE15" s="32"/>
      <c r="BF15" s="30"/>
    </row>
    <row r="16" spans="1:62" x14ac:dyDescent="0.2">
      <c r="A16" s="28">
        <v>1984</v>
      </c>
      <c r="B16" s="28"/>
      <c r="C16" s="32"/>
      <c r="D16" s="30"/>
      <c r="E16" s="32">
        <v>-1.06611350595476E-2</v>
      </c>
      <c r="F16" s="30"/>
      <c r="G16" s="32">
        <v>1.1048785687601601E-2</v>
      </c>
      <c r="H16" s="30"/>
      <c r="I16" s="32">
        <v>9.4503885054291505E-3</v>
      </c>
      <c r="J16" s="30"/>
      <c r="K16" s="32">
        <v>1.5983971821725001E-3</v>
      </c>
      <c r="L16" s="30"/>
      <c r="M16" s="32">
        <v>-2.1709920747149201E-2</v>
      </c>
      <c r="N16" s="30"/>
      <c r="O16" s="32">
        <v>1.27224329585123E-2</v>
      </c>
      <c r="P16" s="30"/>
      <c r="Q16" s="32">
        <v>6.9889246769264104E-3</v>
      </c>
      <c r="R16" s="30"/>
      <c r="S16" s="32">
        <v>5.7335082815859299E-3</v>
      </c>
      <c r="T16" s="30"/>
      <c r="U16" s="32">
        <v>5.3409194312362598E-3</v>
      </c>
      <c r="V16" s="30"/>
      <c r="W16" s="32">
        <v>-3.9773273136897797E-2</v>
      </c>
      <c r="X16" s="30"/>
      <c r="Y16" s="32">
        <v>4.07456991680945E-2</v>
      </c>
      <c r="Z16" s="30"/>
      <c r="AA16" s="32">
        <v>6.64612619094581E-2</v>
      </c>
      <c r="AB16" s="30"/>
      <c r="AC16" s="32">
        <v>5.7201117710137403E-2</v>
      </c>
      <c r="AD16" s="30"/>
      <c r="AE16" s="32">
        <v>1.9301280286970299E-2</v>
      </c>
      <c r="AF16" s="30"/>
      <c r="AG16" s="32">
        <v>1.2712160164446901E-2</v>
      </c>
      <c r="AH16" s="30"/>
      <c r="AI16" s="32">
        <v>9.2601441993207106E-3</v>
      </c>
      <c r="AJ16" s="30"/>
      <c r="AK16" s="32">
        <v>-2.5715562741363499E-2</v>
      </c>
      <c r="AL16" s="30"/>
      <c r="AM16" s="32">
        <v>-2.1957287589017702E-2</v>
      </c>
      <c r="AN16" s="30"/>
      <c r="AO16" s="32">
        <v>-2.61204665512501E-2</v>
      </c>
      <c r="AP16" s="30"/>
      <c r="AQ16" s="32">
        <v>-1.79921510140316E-2</v>
      </c>
      <c r="AR16" s="30"/>
      <c r="AS16" s="32">
        <v>-3.7582751523458401E-3</v>
      </c>
      <c r="AT16" s="30"/>
      <c r="AU16" s="32">
        <v>4.6494070843688201E-2</v>
      </c>
      <c r="AV16" s="30"/>
      <c r="AW16" s="32">
        <v>2.3771218646113999E-2</v>
      </c>
      <c r="AX16" s="30"/>
      <c r="AY16" s="32">
        <v>2.2722852197574198E-2</v>
      </c>
      <c r="AZ16" s="30"/>
      <c r="BA16" s="32">
        <v>1.34627079982535E-2</v>
      </c>
      <c r="BB16" s="30"/>
      <c r="BC16" s="32">
        <v>-2.1750426166377498E-2</v>
      </c>
      <c r="BD16" s="30"/>
      <c r="BE16" s="32"/>
      <c r="BF16" s="30"/>
    </row>
    <row r="17" spans="1:58" x14ac:dyDescent="0.2">
      <c r="A17" s="28">
        <v>1985</v>
      </c>
      <c r="B17" s="28"/>
      <c r="C17" s="32"/>
      <c r="D17" s="30"/>
      <c r="E17" s="32">
        <v>2.64947596734917E-2</v>
      </c>
      <c r="F17" s="30"/>
      <c r="G17" s="32">
        <v>1.73317216050109E-2</v>
      </c>
      <c r="H17" s="30"/>
      <c r="I17" s="32">
        <v>1.2215333230789899E-2</v>
      </c>
      <c r="J17" s="30"/>
      <c r="K17" s="32">
        <v>5.1163883742209697E-3</v>
      </c>
      <c r="L17" s="30"/>
      <c r="M17" s="32">
        <v>9.1630380684808495E-3</v>
      </c>
      <c r="N17" s="30"/>
      <c r="O17" s="32">
        <v>1.06570762683444E-2</v>
      </c>
      <c r="P17" s="30"/>
      <c r="Q17" s="32">
        <v>1.36154877361687E-3</v>
      </c>
      <c r="R17" s="30"/>
      <c r="S17" s="32">
        <v>9.2955274947274895E-3</v>
      </c>
      <c r="T17" s="30"/>
      <c r="U17" s="32">
        <v>-3.2417870929904199E-3</v>
      </c>
      <c r="V17" s="30"/>
      <c r="W17" s="32">
        <v>1.74774889312692E-3</v>
      </c>
      <c r="X17" s="30"/>
      <c r="Y17" s="32">
        <v>1.0241199510511599E-2</v>
      </c>
      <c r="Z17" s="30"/>
      <c r="AA17" s="32">
        <v>3.7001253865854997E-2</v>
      </c>
      <c r="AB17" s="30"/>
      <c r="AC17" s="32">
        <v>2.5974942513099002E-2</v>
      </c>
      <c r="AD17" s="30"/>
      <c r="AE17" s="32">
        <v>1.87767314024266E-2</v>
      </c>
      <c r="AF17" s="30"/>
      <c r="AG17" s="32">
        <v>1.7427537574386E-2</v>
      </c>
      <c r="AH17" s="30"/>
      <c r="AI17" s="32">
        <v>1.1026311352756E-2</v>
      </c>
      <c r="AJ17" s="30"/>
      <c r="AK17" s="32">
        <v>-2.67600543553435E-2</v>
      </c>
      <c r="AL17" s="30"/>
      <c r="AM17" s="32">
        <v>-2.11116997762811E-2</v>
      </c>
      <c r="AN17" s="30"/>
      <c r="AO17" s="32">
        <v>-9.6915877212321901E-3</v>
      </c>
      <c r="AP17" s="30"/>
      <c r="AQ17" s="32">
        <v>-1.16669521978645E-2</v>
      </c>
      <c r="AR17" s="30"/>
      <c r="AS17" s="32">
        <v>-5.6483545790623497E-3</v>
      </c>
      <c r="AT17" s="30"/>
      <c r="AU17" s="32">
        <v>5.7293053053920601E-2</v>
      </c>
      <c r="AV17" s="30"/>
      <c r="AW17" s="32">
        <v>2.7988797873355301E-2</v>
      </c>
      <c r="AX17" s="30"/>
      <c r="AY17" s="32">
        <v>2.93042551805653E-2</v>
      </c>
      <c r="AZ17" s="30"/>
      <c r="BA17" s="32">
        <v>1.8277943827809302E-2</v>
      </c>
      <c r="BB17" s="30"/>
      <c r="BC17" s="32">
        <v>-1.73153067769269E-2</v>
      </c>
      <c r="BD17" s="30"/>
      <c r="BE17" s="32"/>
      <c r="BF17" s="30"/>
    </row>
    <row r="18" spans="1:58" x14ac:dyDescent="0.2">
      <c r="A18" s="28">
        <v>1986</v>
      </c>
      <c r="B18" s="28"/>
      <c r="C18" s="32"/>
      <c r="D18" s="30"/>
      <c r="E18" s="32">
        <v>6.2226235269794802E-2</v>
      </c>
      <c r="F18" s="30"/>
      <c r="G18" s="32">
        <v>1.9089357357994E-2</v>
      </c>
      <c r="H18" s="30"/>
      <c r="I18" s="32">
        <v>1.5846442264653399E-2</v>
      </c>
      <c r="J18" s="30"/>
      <c r="K18" s="32">
        <v>3.2429150933405799E-3</v>
      </c>
      <c r="L18" s="30"/>
      <c r="M18" s="32">
        <v>4.3136877911800799E-2</v>
      </c>
      <c r="N18" s="30"/>
      <c r="O18" s="32">
        <v>2.0877451977317399E-2</v>
      </c>
      <c r="P18" s="30"/>
      <c r="Q18" s="32">
        <v>1.8810267773723499E-3</v>
      </c>
      <c r="R18" s="30"/>
      <c r="S18" s="32">
        <v>1.8996425199944999E-2</v>
      </c>
      <c r="T18" s="30"/>
      <c r="U18" s="32">
        <v>8.4537392096874995E-5</v>
      </c>
      <c r="V18" s="30"/>
      <c r="W18" s="32">
        <v>2.2174888542386601E-2</v>
      </c>
      <c r="X18" s="30"/>
      <c r="Y18" s="32">
        <v>-4.3639907370421102E-2</v>
      </c>
      <c r="Z18" s="30"/>
      <c r="AA18" s="32">
        <v>7.2660325927109103E-3</v>
      </c>
      <c r="AB18" s="30"/>
      <c r="AC18" s="32">
        <v>9.5631101118941395E-3</v>
      </c>
      <c r="AD18" s="30"/>
      <c r="AE18" s="32">
        <v>6.5147932070882802E-3</v>
      </c>
      <c r="AF18" s="30"/>
      <c r="AG18" s="32">
        <v>4.9576131894622996E-3</v>
      </c>
      <c r="AH18" s="30"/>
      <c r="AI18" s="32">
        <v>-2.2970775191832301E-3</v>
      </c>
      <c r="AJ18" s="30"/>
      <c r="AK18" s="32">
        <v>-5.0905939963132002E-2</v>
      </c>
      <c r="AL18" s="30"/>
      <c r="AM18" s="32">
        <v>-4.9316223593802999E-2</v>
      </c>
      <c r="AN18" s="30"/>
      <c r="AO18" s="32">
        <v>-2.5786020750658001E-2</v>
      </c>
      <c r="AP18" s="30"/>
      <c r="AQ18" s="32">
        <v>-2.1548555915536002E-2</v>
      </c>
      <c r="AR18" s="30"/>
      <c r="AS18" s="32">
        <v>-1.5897163693289801E-3</v>
      </c>
      <c r="AT18" s="30"/>
      <c r="AU18" s="32">
        <v>4.1640062792141698E-2</v>
      </c>
      <c r="AV18" s="30"/>
      <c r="AW18" s="32">
        <v>3.9966809335311299E-2</v>
      </c>
      <c r="AX18" s="30"/>
      <c r="AY18" s="32">
        <v>1.6732534568303799E-3</v>
      </c>
      <c r="AZ18" s="30"/>
      <c r="BA18" s="32">
        <v>3.9703309760136104E-3</v>
      </c>
      <c r="BB18" s="30"/>
      <c r="BC18" s="32">
        <v>-2.31382722848649E-2</v>
      </c>
      <c r="BD18" s="30"/>
      <c r="BE18" s="32"/>
      <c r="BF18" s="30"/>
    </row>
    <row r="19" spans="1:58" x14ac:dyDescent="0.2">
      <c r="A19" s="28">
        <v>1987</v>
      </c>
      <c r="B19" s="28"/>
      <c r="C19" s="32"/>
      <c r="D19" s="30"/>
      <c r="E19" s="32">
        <v>2.0490526507255601E-2</v>
      </c>
      <c r="F19" s="30"/>
      <c r="G19" s="32">
        <v>1.91594456098831E-2</v>
      </c>
      <c r="H19" s="30"/>
      <c r="I19" s="32">
        <v>1.6796151258062001E-2</v>
      </c>
      <c r="J19" s="30"/>
      <c r="K19" s="32">
        <v>2.36329435182117E-3</v>
      </c>
      <c r="L19" s="30"/>
      <c r="M19" s="32">
        <v>1.3310808973724601E-3</v>
      </c>
      <c r="N19" s="30"/>
      <c r="O19" s="32">
        <v>1.26100721100853E-2</v>
      </c>
      <c r="P19" s="30"/>
      <c r="Q19" s="32">
        <v>4.3795971907111004E-3</v>
      </c>
      <c r="R19" s="30"/>
      <c r="S19" s="32">
        <v>8.2304749193742206E-3</v>
      </c>
      <c r="T19" s="30"/>
      <c r="U19" s="32">
        <v>-1.6702002415491001E-3</v>
      </c>
      <c r="V19" s="30"/>
      <c r="W19" s="32">
        <v>-9.6087909711637699E-3</v>
      </c>
      <c r="X19" s="30"/>
      <c r="Y19" s="32">
        <v>-4.6357448376691699E-3</v>
      </c>
      <c r="Z19" s="30"/>
      <c r="AA19" s="32">
        <v>-1.0298608474353E-2</v>
      </c>
      <c r="AB19" s="30"/>
      <c r="AC19" s="32">
        <v>-1.35859587466538E-2</v>
      </c>
      <c r="AD19" s="30"/>
      <c r="AE19" s="32">
        <v>2.7894010543866501E-3</v>
      </c>
      <c r="AF19" s="30"/>
      <c r="AG19" s="32">
        <v>-3.3247455123880398E-4</v>
      </c>
      <c r="AH19" s="30"/>
      <c r="AI19" s="32">
        <v>3.28735027230081E-3</v>
      </c>
      <c r="AJ19" s="30"/>
      <c r="AK19" s="32">
        <v>5.6628636366838399E-3</v>
      </c>
      <c r="AL19" s="30"/>
      <c r="AM19" s="32">
        <v>1.03524091694457E-2</v>
      </c>
      <c r="AN19" s="30"/>
      <c r="AO19" s="32">
        <v>-1.56663981023294E-2</v>
      </c>
      <c r="AP19" s="30"/>
      <c r="AQ19" s="32">
        <v>-1.3961634276389599E-2</v>
      </c>
      <c r="AR19" s="30"/>
      <c r="AS19" s="32">
        <v>-4.6895455327618397E-3</v>
      </c>
      <c r="AT19" s="30"/>
      <c r="AU19" s="32">
        <v>3.6176161720286898E-2</v>
      </c>
      <c r="AV19" s="30"/>
      <c r="AW19" s="32">
        <v>3.1769517719968499E-2</v>
      </c>
      <c r="AX19" s="30"/>
      <c r="AY19" s="32">
        <v>4.40664400031848E-3</v>
      </c>
      <c r="AZ19" s="30"/>
      <c r="BA19" s="32">
        <v>1.1192937280176799E-3</v>
      </c>
      <c r="BB19" s="30"/>
      <c r="BC19" s="32">
        <v>-1.8651179809151399E-2</v>
      </c>
      <c r="BD19" s="30"/>
      <c r="BE19" s="32"/>
      <c r="BF19" s="30"/>
    </row>
    <row r="20" spans="1:58" x14ac:dyDescent="0.2">
      <c r="A20" s="28">
        <v>1988</v>
      </c>
      <c r="B20" s="28"/>
      <c r="C20" s="32"/>
      <c r="D20" s="30"/>
      <c r="E20" s="32">
        <v>2.43303459712585E-2</v>
      </c>
      <c r="F20" s="30"/>
      <c r="G20" s="32">
        <v>1.6625909665347199E-2</v>
      </c>
      <c r="H20" s="30"/>
      <c r="I20" s="32">
        <v>1.19716298368181E-2</v>
      </c>
      <c r="J20" s="30"/>
      <c r="K20" s="32">
        <v>4.6542798285291297E-3</v>
      </c>
      <c r="L20" s="30"/>
      <c r="M20" s="32">
        <v>7.7044363059113304E-3</v>
      </c>
      <c r="N20" s="30"/>
      <c r="O20" s="32">
        <v>2.5840923062769399E-2</v>
      </c>
      <c r="P20" s="30"/>
      <c r="Q20" s="32">
        <v>9.2097273254727503E-3</v>
      </c>
      <c r="R20" s="30"/>
      <c r="S20" s="32">
        <v>1.6631195737296701E-2</v>
      </c>
      <c r="T20" s="30"/>
      <c r="U20" s="32">
        <v>-7.3261535491528701E-3</v>
      </c>
      <c r="V20" s="30"/>
      <c r="W20" s="32">
        <v>-1.08103332077052E-2</v>
      </c>
      <c r="X20" s="30"/>
      <c r="Y20" s="32">
        <v>8.4456165528323506E-3</v>
      </c>
      <c r="Z20" s="30"/>
      <c r="AA20" s="32">
        <v>3.0863204493200298E-2</v>
      </c>
      <c r="AB20" s="30"/>
      <c r="AC20" s="32">
        <v>2.9875320411631E-2</v>
      </c>
      <c r="AD20" s="30"/>
      <c r="AE20" s="32">
        <v>1.6787097471626301E-2</v>
      </c>
      <c r="AF20" s="30"/>
      <c r="AG20" s="32">
        <v>1.4864028802749899E-2</v>
      </c>
      <c r="AH20" s="30"/>
      <c r="AI20" s="32">
        <v>9.8788408156930997E-4</v>
      </c>
      <c r="AJ20" s="30"/>
      <c r="AK20" s="32">
        <v>-2.2417587940367901E-2</v>
      </c>
      <c r="AL20" s="30"/>
      <c r="AM20" s="32">
        <v>-1.6269454192935701E-2</v>
      </c>
      <c r="AN20" s="30"/>
      <c r="AO20" s="32">
        <v>-1.12958614622679E-2</v>
      </c>
      <c r="AP20" s="30"/>
      <c r="AQ20" s="32">
        <v>-1.1955773264172E-2</v>
      </c>
      <c r="AR20" s="30"/>
      <c r="AS20" s="32">
        <v>-6.1481337474322204E-3</v>
      </c>
      <c r="AT20" s="30"/>
      <c r="AU20" s="32">
        <v>5.8206023084847999E-2</v>
      </c>
      <c r="AV20" s="30"/>
      <c r="AW20" s="32">
        <v>4.2466832728116598E-2</v>
      </c>
      <c r="AX20" s="30"/>
      <c r="AY20" s="32">
        <v>1.5739190356731301E-2</v>
      </c>
      <c r="AZ20" s="30"/>
      <c r="BA20" s="32">
        <v>1.4751306275162E-2</v>
      </c>
      <c r="BB20" s="30"/>
      <c r="BC20" s="32">
        <v>-1.8103907011604199E-2</v>
      </c>
      <c r="BD20" s="30"/>
      <c r="BE20" s="32"/>
      <c r="BF20" s="30"/>
    </row>
    <row r="21" spans="1:58" x14ac:dyDescent="0.2">
      <c r="A21" s="28">
        <v>1989</v>
      </c>
      <c r="B21" s="28"/>
      <c r="C21" s="32"/>
      <c r="D21" s="30"/>
      <c r="E21" s="32">
        <v>4.8370680666027698E-2</v>
      </c>
      <c r="F21" s="30"/>
      <c r="G21" s="32">
        <v>2.2980635359102899E-2</v>
      </c>
      <c r="H21" s="30"/>
      <c r="I21" s="32">
        <v>1.38794585115232E-2</v>
      </c>
      <c r="J21" s="30"/>
      <c r="K21" s="32">
        <v>9.1011768475796704E-3</v>
      </c>
      <c r="L21" s="30"/>
      <c r="M21" s="32">
        <v>2.5390045306924802E-2</v>
      </c>
      <c r="N21" s="30"/>
      <c r="O21" s="32">
        <v>1.52820613321633E-2</v>
      </c>
      <c r="P21" s="30"/>
      <c r="Q21" s="32">
        <v>9.5622290532650697E-3</v>
      </c>
      <c r="R21" s="30"/>
      <c r="S21" s="32">
        <v>5.7198322788982198E-3</v>
      </c>
      <c r="T21" s="30"/>
      <c r="U21" s="32">
        <v>4.2819568015639601E-3</v>
      </c>
      <c r="V21" s="30"/>
      <c r="W21" s="32">
        <v>5.8260271731975502E-3</v>
      </c>
      <c r="X21" s="30"/>
      <c r="Y21" s="32">
        <v>-5.0627401343993298E-3</v>
      </c>
      <c r="Z21" s="30"/>
      <c r="AA21" s="32">
        <v>2.4034846357516602E-2</v>
      </c>
      <c r="AB21" s="30"/>
      <c r="AC21" s="32">
        <v>1.8217221838265601E-2</v>
      </c>
      <c r="AD21" s="30"/>
      <c r="AE21" s="32">
        <v>1.3460830043664501E-2</v>
      </c>
      <c r="AF21" s="30"/>
      <c r="AG21" s="32">
        <v>9.5215984938880702E-3</v>
      </c>
      <c r="AH21" s="30"/>
      <c r="AI21" s="32">
        <v>5.8176245192509803E-3</v>
      </c>
      <c r="AJ21" s="30"/>
      <c r="AK21" s="32">
        <v>-2.9097586491915899E-2</v>
      </c>
      <c r="AL21" s="30"/>
      <c r="AM21" s="32">
        <v>-2.8038802729355401E-2</v>
      </c>
      <c r="AN21" s="30"/>
      <c r="AO21" s="32">
        <v>-1.6840132389373E-2</v>
      </c>
      <c r="AP21" s="30"/>
      <c r="AQ21" s="32">
        <v>-1.45315542571269E-2</v>
      </c>
      <c r="AR21" s="30"/>
      <c r="AS21" s="32">
        <v>-1.0587837625605299E-3</v>
      </c>
      <c r="AT21" s="30"/>
      <c r="AU21" s="32">
        <v>5.4616321749751798E-2</v>
      </c>
      <c r="AV21" s="30"/>
      <c r="AW21" s="32">
        <v>3.8262696691266203E-2</v>
      </c>
      <c r="AX21" s="30"/>
      <c r="AY21" s="32">
        <v>1.6353625058485598E-2</v>
      </c>
      <c r="AZ21" s="30"/>
      <c r="BA21" s="32">
        <v>1.0536000539234701E-2</v>
      </c>
      <c r="BB21" s="30"/>
      <c r="BC21" s="32">
        <v>-1.55903380196874E-2</v>
      </c>
      <c r="BD21" s="30"/>
      <c r="BE21" s="32"/>
      <c r="BF21" s="30"/>
    </row>
    <row r="22" spans="1:58" x14ac:dyDescent="0.2">
      <c r="A22" s="28">
        <v>1990</v>
      </c>
      <c r="B22" s="28"/>
      <c r="C22" s="32"/>
      <c r="D22" s="30"/>
      <c r="E22" s="32">
        <v>5.3263597885668798E-2</v>
      </c>
      <c r="F22" s="30"/>
      <c r="G22" s="32">
        <v>1.3506059740524099E-2</v>
      </c>
      <c r="H22" s="30"/>
      <c r="I22" s="32">
        <v>8.4839521858236303E-3</v>
      </c>
      <c r="J22" s="30"/>
      <c r="K22" s="32">
        <v>5.0221075547004397E-3</v>
      </c>
      <c r="L22" s="30"/>
      <c r="M22" s="32">
        <v>3.9757538145144801E-2</v>
      </c>
      <c r="N22" s="30"/>
      <c r="O22" s="32">
        <v>1.55990999614379E-2</v>
      </c>
      <c r="P22" s="30"/>
      <c r="Q22" s="32">
        <v>1.74552933128691E-3</v>
      </c>
      <c r="R22" s="30"/>
      <c r="S22" s="32">
        <v>1.3853570630150899E-2</v>
      </c>
      <c r="T22" s="30"/>
      <c r="U22" s="32">
        <v>1.2384231686274901E-2</v>
      </c>
      <c r="V22" s="30"/>
      <c r="W22" s="32">
        <v>1.1774206497432001E-2</v>
      </c>
      <c r="X22" s="30"/>
      <c r="Y22" s="32">
        <v>-1.6517341553300001E-2</v>
      </c>
      <c r="Z22" s="30"/>
      <c r="AA22" s="32">
        <v>8.7769489309919898E-3</v>
      </c>
      <c r="AB22" s="30"/>
      <c r="AC22" s="32">
        <v>1.39930439335094E-2</v>
      </c>
      <c r="AD22" s="30"/>
      <c r="AE22" s="32">
        <v>1.3511850676923801E-2</v>
      </c>
      <c r="AF22" s="30"/>
      <c r="AG22" s="32">
        <v>9.8085431699595008E-3</v>
      </c>
      <c r="AH22" s="30"/>
      <c r="AI22" s="32">
        <v>-5.21609500251736E-3</v>
      </c>
      <c r="AJ22" s="30"/>
      <c r="AK22" s="32">
        <v>-2.5294290484291999E-2</v>
      </c>
      <c r="AL22" s="30"/>
      <c r="AM22" s="32">
        <v>-2.3866769032819399E-2</v>
      </c>
      <c r="AN22" s="30"/>
      <c r="AO22" s="32">
        <v>-1.11249876245329E-2</v>
      </c>
      <c r="AP22" s="30"/>
      <c r="AQ22" s="32">
        <v>-7.9526773142705506E-3</v>
      </c>
      <c r="AR22" s="30"/>
      <c r="AS22" s="32">
        <v>-1.4275214514725501E-3</v>
      </c>
      <c r="AT22" s="30"/>
      <c r="AU22" s="32">
        <v>3.3742223411837101E-2</v>
      </c>
      <c r="AV22" s="30"/>
      <c r="AW22" s="32">
        <v>2.91051597019619E-2</v>
      </c>
      <c r="AX22" s="30"/>
      <c r="AY22" s="32">
        <v>4.6370637098751199E-3</v>
      </c>
      <c r="AZ22" s="30"/>
      <c r="BA22" s="32">
        <v>9.8531587123924895E-3</v>
      </c>
      <c r="BB22" s="30"/>
      <c r="BC22" s="32">
        <v>-9.3801987657431106E-3</v>
      </c>
      <c r="BD22" s="30"/>
      <c r="BE22" s="32"/>
      <c r="BF22" s="30"/>
    </row>
    <row r="23" spans="1:58" x14ac:dyDescent="0.2">
      <c r="A23" s="28">
        <v>1991</v>
      </c>
      <c r="B23" s="28"/>
      <c r="C23" s="32"/>
      <c r="D23" s="30"/>
      <c r="E23" s="32">
        <v>-1.5688406593719301E-2</v>
      </c>
      <c r="F23" s="30"/>
      <c r="G23" s="32">
        <v>1.3058220504744599E-2</v>
      </c>
      <c r="H23" s="30"/>
      <c r="I23" s="32">
        <v>9.6577898759444107E-3</v>
      </c>
      <c r="J23" s="30"/>
      <c r="K23" s="32">
        <v>3.4004306288001399E-3</v>
      </c>
      <c r="L23" s="30"/>
      <c r="M23" s="32">
        <v>-2.8746627098463901E-2</v>
      </c>
      <c r="N23" s="30"/>
      <c r="O23" s="32">
        <v>-6.05966562327732E-3</v>
      </c>
      <c r="P23" s="30"/>
      <c r="Q23" s="32">
        <v>-4.5171030441880202E-3</v>
      </c>
      <c r="R23" s="30"/>
      <c r="S23" s="32">
        <v>-1.5425625790893001E-3</v>
      </c>
      <c r="T23" s="30"/>
      <c r="U23" s="32">
        <v>-2.0595795372870599E-2</v>
      </c>
      <c r="V23" s="30"/>
      <c r="W23" s="32">
        <v>-2.0911661023160001E-3</v>
      </c>
      <c r="X23" s="30"/>
      <c r="Y23" s="32">
        <v>6.5302408805977602E-3</v>
      </c>
      <c r="Z23" s="30"/>
      <c r="AA23" s="32">
        <v>-6.4507769592893399E-3</v>
      </c>
      <c r="AB23" s="30"/>
      <c r="AC23" s="32">
        <v>-9.1451718446171198E-3</v>
      </c>
      <c r="AD23" s="30"/>
      <c r="AE23" s="32">
        <v>-5.8655253471896797E-3</v>
      </c>
      <c r="AF23" s="30"/>
      <c r="AG23" s="32">
        <v>-1.5904782443450899E-3</v>
      </c>
      <c r="AH23" s="30"/>
      <c r="AI23" s="32">
        <v>2.69439488532778E-3</v>
      </c>
      <c r="AJ23" s="30"/>
      <c r="AK23" s="32">
        <v>1.29810178398871E-2</v>
      </c>
      <c r="AL23" s="30"/>
      <c r="AM23" s="32">
        <v>1.2493808209316001E-2</v>
      </c>
      <c r="AN23" s="30"/>
      <c r="AO23" s="32">
        <v>3.7332254384464798E-3</v>
      </c>
      <c r="AP23" s="30"/>
      <c r="AQ23" s="32">
        <v>3.21009808275009E-3</v>
      </c>
      <c r="AR23" s="30"/>
      <c r="AS23" s="32">
        <v>4.8720963057105702E-4</v>
      </c>
      <c r="AT23" s="30"/>
      <c r="AU23" s="32">
        <v>7.7403219464278602E-3</v>
      </c>
      <c r="AV23" s="30"/>
      <c r="AW23" s="32">
        <v>6.9985548814672401E-3</v>
      </c>
      <c r="AX23" s="30"/>
      <c r="AY23" s="32">
        <v>7.41767064960618E-4</v>
      </c>
      <c r="AZ23" s="30"/>
      <c r="BA23" s="32">
        <v>-1.95262782036716E-3</v>
      </c>
      <c r="BB23" s="30"/>
      <c r="BC23" s="32">
        <v>3.6973077133211499E-3</v>
      </c>
      <c r="BD23" s="30"/>
      <c r="BE23" s="32"/>
      <c r="BF23" s="30"/>
    </row>
    <row r="24" spans="1:58" x14ac:dyDescent="0.2">
      <c r="A24" s="28">
        <v>1992</v>
      </c>
      <c r="B24" s="28"/>
      <c r="C24" s="32"/>
      <c r="D24" s="30"/>
      <c r="E24" s="32">
        <v>-1.1013344973307601E-2</v>
      </c>
      <c r="F24" s="30"/>
      <c r="G24" s="32">
        <v>3.0871108801838699E-3</v>
      </c>
      <c r="H24" s="30"/>
      <c r="I24" s="32">
        <v>2.5535121846078498E-3</v>
      </c>
      <c r="J24" s="30"/>
      <c r="K24" s="32">
        <v>5.3359869557601902E-4</v>
      </c>
      <c r="L24" s="30"/>
      <c r="M24" s="32">
        <v>-1.4100455853491499E-2</v>
      </c>
      <c r="N24" s="30"/>
      <c r="O24" s="32">
        <v>-2.5499494193533701E-2</v>
      </c>
      <c r="P24" s="30"/>
      <c r="Q24" s="32">
        <v>-1.08040949561475E-3</v>
      </c>
      <c r="R24" s="30"/>
      <c r="S24" s="32">
        <v>-2.44190846979189E-2</v>
      </c>
      <c r="T24" s="30"/>
      <c r="U24" s="32">
        <v>8.3222485905471207E-3</v>
      </c>
      <c r="V24" s="30"/>
      <c r="W24" s="32">
        <v>3.0767897494950402E-3</v>
      </c>
      <c r="X24" s="30"/>
      <c r="Y24" s="32">
        <v>1.05760150435984E-2</v>
      </c>
      <c r="Z24" s="30"/>
      <c r="AA24" s="32">
        <v>1.5435123652353199E-2</v>
      </c>
      <c r="AB24" s="30"/>
      <c r="AC24" s="32">
        <v>1.26962313821665E-2</v>
      </c>
      <c r="AD24" s="30"/>
      <c r="AE24" s="32">
        <v>8.2631242334094204E-3</v>
      </c>
      <c r="AF24" s="30"/>
      <c r="AG24" s="32">
        <v>9.0817860314333001E-3</v>
      </c>
      <c r="AH24" s="30"/>
      <c r="AI24" s="32">
        <v>2.7388922701867299E-3</v>
      </c>
      <c r="AJ24" s="30"/>
      <c r="AK24" s="32">
        <v>-4.8591086087548E-3</v>
      </c>
      <c r="AL24" s="30"/>
      <c r="AM24" s="32">
        <v>1.8329627944515599E-3</v>
      </c>
      <c r="AN24" s="30"/>
      <c r="AO24" s="32">
        <v>1.1589256772747801E-2</v>
      </c>
      <c r="AP24" s="30"/>
      <c r="AQ24" s="32">
        <v>9.8792495889376605E-3</v>
      </c>
      <c r="AR24" s="30"/>
      <c r="AS24" s="32">
        <v>-6.6920714032063702E-3</v>
      </c>
      <c r="AT24" s="30"/>
      <c r="AU24" s="32">
        <v>-1.19467567059877E-2</v>
      </c>
      <c r="AV24" s="30"/>
      <c r="AW24" s="32">
        <v>-2.2412383313349798E-2</v>
      </c>
      <c r="AX24" s="30"/>
      <c r="AY24" s="32">
        <v>1.04656266073621E-2</v>
      </c>
      <c r="AZ24" s="30"/>
      <c r="BA24" s="32">
        <v>7.7267343371754003E-3</v>
      </c>
      <c r="BB24" s="30"/>
      <c r="BC24" s="32">
        <v>3.1871781857312998E-3</v>
      </c>
      <c r="BD24" s="30"/>
      <c r="BE24" s="32"/>
      <c r="BF24" s="30"/>
    </row>
    <row r="25" spans="1:58" x14ac:dyDescent="0.2">
      <c r="A25" s="28">
        <v>1993</v>
      </c>
      <c r="B25" s="28"/>
      <c r="C25" s="32"/>
      <c r="D25" s="30"/>
      <c r="E25" s="32">
        <v>-3.5240735503678099E-3</v>
      </c>
      <c r="F25" s="30"/>
      <c r="G25" s="32">
        <v>-1.4264110164904299E-3</v>
      </c>
      <c r="H25" s="30"/>
      <c r="I25" s="32">
        <v>-2.0668781520771199E-3</v>
      </c>
      <c r="J25" s="30"/>
      <c r="K25" s="32">
        <v>6.4046713558668601E-4</v>
      </c>
      <c r="L25" s="30"/>
      <c r="M25" s="32">
        <v>-2.0976625338773799E-3</v>
      </c>
      <c r="N25" s="30"/>
      <c r="O25" s="32">
        <v>-9.8734117852499591E-3</v>
      </c>
      <c r="P25" s="30"/>
      <c r="Q25" s="32">
        <v>-1.19132071513095E-3</v>
      </c>
      <c r="R25" s="30"/>
      <c r="S25" s="32">
        <v>-8.6820910701190107E-3</v>
      </c>
      <c r="T25" s="30"/>
      <c r="U25" s="32">
        <v>9.2668302172711596E-3</v>
      </c>
      <c r="V25" s="30"/>
      <c r="W25" s="32">
        <v>-1.49108096589858E-3</v>
      </c>
      <c r="X25" s="30"/>
      <c r="Y25" s="32">
        <v>2.2642380899223101E-3</v>
      </c>
      <c r="Z25" s="30"/>
      <c r="AA25" s="32">
        <v>-2.5177151383660901E-3</v>
      </c>
      <c r="AB25" s="30"/>
      <c r="AC25" s="32">
        <v>-6.17436324232186E-3</v>
      </c>
      <c r="AD25" s="30"/>
      <c r="AE25" s="32">
        <v>1.0995630193445501E-3</v>
      </c>
      <c r="AF25" s="30"/>
      <c r="AG25" s="32">
        <v>4.3121472345129602E-4</v>
      </c>
      <c r="AH25" s="30"/>
      <c r="AI25" s="32">
        <v>3.65664810395577E-3</v>
      </c>
      <c r="AJ25" s="30"/>
      <c r="AK25" s="32">
        <v>4.7819532282883997E-3</v>
      </c>
      <c r="AL25" s="30"/>
      <c r="AM25" s="32">
        <v>9.8798661760970703E-3</v>
      </c>
      <c r="AN25" s="30"/>
      <c r="AO25" s="32">
        <v>1.88683294828106E-3</v>
      </c>
      <c r="AP25" s="30"/>
      <c r="AQ25" s="32">
        <v>2.1428279634013599E-3</v>
      </c>
      <c r="AR25" s="30"/>
      <c r="AS25" s="32">
        <v>-5.0979129478086801E-3</v>
      </c>
      <c r="AT25" s="30"/>
      <c r="AU25" s="32">
        <v>-7.5715806933093401E-3</v>
      </c>
      <c r="AV25" s="30"/>
      <c r="AW25" s="32">
        <v>-1.1299822801740401E-2</v>
      </c>
      <c r="AX25" s="30"/>
      <c r="AY25" s="32">
        <v>3.7282421084310498E-3</v>
      </c>
      <c r="AZ25" s="30"/>
      <c r="BA25" s="32">
        <v>7.1594004475278701E-5</v>
      </c>
      <c r="BB25" s="30"/>
      <c r="BC25" s="32">
        <v>-2.9550849844073202E-3</v>
      </c>
      <c r="BD25" s="30"/>
      <c r="BE25" s="32"/>
      <c r="BF25" s="30"/>
    </row>
    <row r="26" spans="1:58" x14ac:dyDescent="0.2">
      <c r="A26" s="28">
        <v>1994</v>
      </c>
      <c r="B26" s="28"/>
      <c r="C26" s="32"/>
      <c r="D26" s="30"/>
      <c r="E26" s="32">
        <v>2.3796648335796401E-2</v>
      </c>
      <c r="F26" s="30"/>
      <c r="G26" s="32">
        <v>9.5478932172233001E-3</v>
      </c>
      <c r="H26" s="30"/>
      <c r="I26" s="32">
        <v>6.7835087522549499E-3</v>
      </c>
      <c r="J26" s="30"/>
      <c r="K26" s="32">
        <v>2.7643844649683498E-3</v>
      </c>
      <c r="L26" s="30"/>
      <c r="M26" s="32">
        <v>1.4248755118573099E-2</v>
      </c>
      <c r="N26" s="30"/>
      <c r="O26" s="32">
        <v>1.0365047136075001E-2</v>
      </c>
      <c r="P26" s="30"/>
      <c r="Q26" s="32">
        <v>7.9168111100957495E-3</v>
      </c>
      <c r="R26" s="30"/>
      <c r="S26" s="32">
        <v>2.44823602597922E-3</v>
      </c>
      <c r="T26" s="30"/>
      <c r="U26" s="32">
        <v>9.0468683910564906E-3</v>
      </c>
      <c r="V26" s="30"/>
      <c r="W26" s="32">
        <v>-5.16316040855832E-3</v>
      </c>
      <c r="X26" s="30"/>
      <c r="Y26" s="32">
        <v>-1.10990713693852E-2</v>
      </c>
      <c r="Z26" s="30"/>
      <c r="AA26" s="32">
        <v>5.4305760247881701E-3</v>
      </c>
      <c r="AB26" s="30"/>
      <c r="AC26" s="32">
        <v>6.5851950319145902E-3</v>
      </c>
      <c r="AD26" s="30"/>
      <c r="AE26" s="32">
        <v>7.5721637659914498E-3</v>
      </c>
      <c r="AF26" s="30"/>
      <c r="AG26" s="32">
        <v>9.1109825039269194E-3</v>
      </c>
      <c r="AH26" s="30"/>
      <c r="AI26" s="32">
        <v>-1.1546190071264201E-3</v>
      </c>
      <c r="AJ26" s="30"/>
      <c r="AK26" s="32">
        <v>-1.65296473941733E-2</v>
      </c>
      <c r="AL26" s="30"/>
      <c r="AM26" s="32">
        <v>-1.03305944614613E-2</v>
      </c>
      <c r="AN26" s="30"/>
      <c r="AO26" s="32">
        <v>-1.7578872114320399E-2</v>
      </c>
      <c r="AP26" s="30"/>
      <c r="AQ26" s="32">
        <v>-1.8778055085820099E-2</v>
      </c>
      <c r="AR26" s="30"/>
      <c r="AS26" s="32">
        <v>-6.1990529327120101E-3</v>
      </c>
      <c r="AT26" s="30"/>
      <c r="AU26" s="32">
        <v>2.8627816593886898E-2</v>
      </c>
      <c r="AV26" s="30"/>
      <c r="AW26" s="32">
        <v>1.9912940353298301E-2</v>
      </c>
      <c r="AX26" s="30"/>
      <c r="AY26" s="32">
        <v>8.71487624058866E-3</v>
      </c>
      <c r="AZ26" s="30"/>
      <c r="BA26" s="32">
        <v>9.8694952477150696E-3</v>
      </c>
      <c r="BB26" s="30"/>
      <c r="BC26" s="32">
        <v>-2.4977108018532101E-2</v>
      </c>
      <c r="BD26" s="30"/>
      <c r="BE26" s="32"/>
      <c r="BF26" s="30"/>
    </row>
    <row r="27" spans="1:58" x14ac:dyDescent="0.2">
      <c r="A27" s="28">
        <v>1995</v>
      </c>
      <c r="B27" s="28"/>
      <c r="C27" s="32"/>
      <c r="D27" s="30"/>
      <c r="E27" s="32">
        <v>1.4656464276441799E-2</v>
      </c>
      <c r="F27" s="30"/>
      <c r="G27" s="32">
        <v>6.1019693941019503E-3</v>
      </c>
      <c r="H27" s="30"/>
      <c r="I27" s="32">
        <v>4.8430131937828797E-3</v>
      </c>
      <c r="J27" s="30"/>
      <c r="K27" s="32">
        <v>1.25895620031907E-3</v>
      </c>
      <c r="L27" s="30"/>
      <c r="M27" s="32">
        <v>8.5544948823398897E-3</v>
      </c>
      <c r="N27" s="30"/>
      <c r="O27" s="32">
        <v>1.29985745749351E-2</v>
      </c>
      <c r="P27" s="30"/>
      <c r="Q27" s="32">
        <v>-4.22453817140958E-3</v>
      </c>
      <c r="R27" s="30"/>
      <c r="S27" s="32">
        <v>1.72231127463447E-2</v>
      </c>
      <c r="T27" s="30"/>
      <c r="U27" s="32">
        <v>-3.5796495220754699E-3</v>
      </c>
      <c r="V27" s="30"/>
      <c r="W27" s="32">
        <v>-8.6443017051973203E-4</v>
      </c>
      <c r="X27" s="30"/>
      <c r="Y27" s="32">
        <v>-9.8477998347638006E-3</v>
      </c>
      <c r="Z27" s="30"/>
      <c r="AA27" s="32">
        <v>1.1069284875123601E-2</v>
      </c>
      <c r="AB27" s="30"/>
      <c r="AC27" s="32">
        <v>1.46749997015754E-2</v>
      </c>
      <c r="AD27" s="30"/>
      <c r="AE27" s="32">
        <v>5.4348143594916297E-3</v>
      </c>
      <c r="AF27" s="30"/>
      <c r="AG27" s="32">
        <v>6.8528439205286298E-3</v>
      </c>
      <c r="AH27" s="30"/>
      <c r="AI27" s="32">
        <v>-3.6057148264517802E-3</v>
      </c>
      <c r="AJ27" s="30"/>
      <c r="AK27" s="32">
        <v>-2.0917084709887401E-2</v>
      </c>
      <c r="AL27" s="30"/>
      <c r="AM27" s="32">
        <v>-1.7185624976950899E-2</v>
      </c>
      <c r="AN27" s="30"/>
      <c r="AO27" s="32">
        <v>-8.1506370906801896E-3</v>
      </c>
      <c r="AP27" s="30"/>
      <c r="AQ27" s="32">
        <v>-1.09557153342084E-2</v>
      </c>
      <c r="AR27" s="30"/>
      <c r="AS27" s="32">
        <v>-3.73145973293652E-3</v>
      </c>
      <c r="AT27" s="30"/>
      <c r="AU27" s="32">
        <v>2.30754890308985E-2</v>
      </c>
      <c r="AV27" s="30"/>
      <c r="AW27" s="32">
        <v>1.9100543969037001E-2</v>
      </c>
      <c r="AX27" s="30"/>
      <c r="AY27" s="32">
        <v>3.9749450618614297E-3</v>
      </c>
      <c r="AZ27" s="30"/>
      <c r="BA27" s="32">
        <v>7.5806598883132103E-3</v>
      </c>
      <c r="BB27" s="30"/>
      <c r="BC27" s="32">
        <v>-1.4687175067145E-2</v>
      </c>
      <c r="BD27" s="30"/>
      <c r="BE27" s="32"/>
      <c r="BF27" s="30"/>
    </row>
    <row r="28" spans="1:58" x14ac:dyDescent="0.2">
      <c r="A28" s="28">
        <v>1996</v>
      </c>
      <c r="B28" s="28"/>
      <c r="C28" s="32"/>
      <c r="D28" s="30"/>
      <c r="E28" s="32">
        <v>7.1260090874682297E-3</v>
      </c>
      <c r="F28" s="30"/>
      <c r="G28" s="32">
        <v>9.7031177107447398E-3</v>
      </c>
      <c r="H28" s="30"/>
      <c r="I28" s="32">
        <v>8.2962737440990999E-3</v>
      </c>
      <c r="J28" s="30"/>
      <c r="K28" s="32">
        <v>1.4068439666456501E-3</v>
      </c>
      <c r="L28" s="30"/>
      <c r="M28" s="32">
        <v>-2.5771086232765201E-3</v>
      </c>
      <c r="N28" s="30"/>
      <c r="O28" s="32">
        <v>-3.3245731852563302E-3</v>
      </c>
      <c r="P28" s="30"/>
      <c r="Q28" s="32">
        <v>-7.1324237513547602E-3</v>
      </c>
      <c r="R28" s="30"/>
      <c r="S28" s="32">
        <v>3.8078505660984301E-3</v>
      </c>
      <c r="T28" s="30"/>
      <c r="U28" s="32">
        <v>-4.8183131532883597E-3</v>
      </c>
      <c r="V28" s="30"/>
      <c r="W28" s="32">
        <v>5.5657777152681798E-3</v>
      </c>
      <c r="X28" s="30"/>
      <c r="Y28" s="32">
        <v>-1.5243407096831401E-3</v>
      </c>
      <c r="Z28" s="30"/>
      <c r="AA28" s="32">
        <v>1.40163411498053E-2</v>
      </c>
      <c r="AB28" s="30"/>
      <c r="AC28" s="32">
        <v>8.3826378916452698E-3</v>
      </c>
      <c r="AD28" s="30"/>
      <c r="AE28" s="32">
        <v>8.7098159910838999E-3</v>
      </c>
      <c r="AF28" s="30"/>
      <c r="AG28" s="32">
        <v>8.8019404398311605E-3</v>
      </c>
      <c r="AH28" s="30"/>
      <c r="AI28" s="32">
        <v>5.6337032581600197E-3</v>
      </c>
      <c r="AJ28" s="30"/>
      <c r="AK28" s="32">
        <v>-1.5540681859488399E-2</v>
      </c>
      <c r="AL28" s="30"/>
      <c r="AM28" s="32">
        <v>-1.07593214028706E-2</v>
      </c>
      <c r="AN28" s="30"/>
      <c r="AO28" s="32">
        <v>-7.2545511226768796E-3</v>
      </c>
      <c r="AP28" s="30"/>
      <c r="AQ28" s="32">
        <v>-5.5784151216347099E-3</v>
      </c>
      <c r="AR28" s="30"/>
      <c r="AS28" s="32">
        <v>-4.78136045661786E-3</v>
      </c>
      <c r="AT28" s="30"/>
      <c r="AU28" s="32">
        <v>2.0779757109325999E-2</v>
      </c>
      <c r="AV28" s="30"/>
      <c r="AW28" s="32">
        <v>6.3785445254884096E-3</v>
      </c>
      <c r="AX28" s="30"/>
      <c r="AY28" s="32">
        <v>1.44012125838376E-2</v>
      </c>
      <c r="AZ28" s="30"/>
      <c r="BA28" s="32">
        <v>8.7675093256775905E-3</v>
      </c>
      <c r="BB28" s="30"/>
      <c r="BC28" s="32">
        <v>-1.03597755782526E-2</v>
      </c>
      <c r="BD28" s="30"/>
      <c r="BE28" s="32"/>
      <c r="BF28" s="30"/>
    </row>
    <row r="29" spans="1:58" x14ac:dyDescent="0.2">
      <c r="A29" s="28">
        <v>1997</v>
      </c>
      <c r="B29" s="28"/>
      <c r="C29" s="32"/>
      <c r="D29" s="30"/>
      <c r="E29" s="32">
        <v>3.4134034404291001E-3</v>
      </c>
      <c r="F29" s="30"/>
      <c r="G29" s="32">
        <v>1.1676336961522E-2</v>
      </c>
      <c r="H29" s="30"/>
      <c r="I29" s="32">
        <v>1.11887153535533E-2</v>
      </c>
      <c r="J29" s="30"/>
      <c r="K29" s="32">
        <v>4.8762160796870298E-4</v>
      </c>
      <c r="L29" s="30"/>
      <c r="M29" s="32">
        <v>-8.2629335210928495E-3</v>
      </c>
      <c r="N29" s="30"/>
      <c r="O29" s="32">
        <v>1.09839670620212E-2</v>
      </c>
      <c r="P29" s="30"/>
      <c r="Q29" s="32">
        <v>-1.55008837958908E-3</v>
      </c>
      <c r="R29" s="30"/>
      <c r="S29" s="32">
        <v>1.2534055441610299E-2</v>
      </c>
      <c r="T29" s="30"/>
      <c r="U29" s="32">
        <v>-1.42317759612779E-2</v>
      </c>
      <c r="V29" s="30"/>
      <c r="W29" s="32">
        <v>-5.0151246218361001E-3</v>
      </c>
      <c r="X29" s="30"/>
      <c r="Y29" s="32">
        <v>1.7562765057955398E-2</v>
      </c>
      <c r="Z29" s="30"/>
      <c r="AA29" s="32">
        <v>6.1014520766890297E-2</v>
      </c>
      <c r="AB29" s="30"/>
      <c r="AC29" s="32">
        <v>4.7172822683777697E-2</v>
      </c>
      <c r="AD29" s="30"/>
      <c r="AE29" s="32">
        <v>2.8337309170055801E-2</v>
      </c>
      <c r="AF29" s="30"/>
      <c r="AG29" s="32">
        <v>2.584595612352E-2</v>
      </c>
      <c r="AH29" s="30"/>
      <c r="AI29" s="32">
        <v>1.38416980831127E-2</v>
      </c>
      <c r="AJ29" s="30"/>
      <c r="AK29" s="32">
        <v>-4.3451755708935003E-2</v>
      </c>
      <c r="AL29" s="30"/>
      <c r="AM29" s="32">
        <v>-3.9156601925451E-2</v>
      </c>
      <c r="AN29" s="30"/>
      <c r="AO29" s="32">
        <v>-2.70594915859412E-2</v>
      </c>
      <c r="AP29" s="30"/>
      <c r="AQ29" s="32">
        <v>-2.4674691820308101E-2</v>
      </c>
      <c r="AR29" s="30"/>
      <c r="AS29" s="32">
        <v>-4.29515378348393E-3</v>
      </c>
      <c r="AT29" s="30"/>
      <c r="AU29" s="32">
        <v>6.4177790063454407E-2</v>
      </c>
      <c r="AV29" s="30"/>
      <c r="AW29" s="32">
        <v>2.2660304023543101E-2</v>
      </c>
      <c r="AX29" s="30"/>
      <c r="AY29" s="32">
        <v>4.1517486039911303E-2</v>
      </c>
      <c r="AZ29" s="30"/>
      <c r="BA29" s="32">
        <v>2.7675787956798599E-2</v>
      </c>
      <c r="BB29" s="30"/>
      <c r="BC29" s="32">
        <v>-2.8969845603792E-2</v>
      </c>
      <c r="BD29" s="30"/>
      <c r="BE29" s="32"/>
      <c r="BF29" s="30"/>
    </row>
    <row r="30" spans="1:58" x14ac:dyDescent="0.2">
      <c r="A30" s="28">
        <v>1998</v>
      </c>
      <c r="B30" s="28"/>
      <c r="C30" s="32"/>
      <c r="D30" s="30"/>
      <c r="E30" s="32">
        <v>4.1970657460233998E-2</v>
      </c>
      <c r="F30" s="30"/>
      <c r="G30" s="32">
        <v>1.40114786498629E-2</v>
      </c>
      <c r="H30" s="30"/>
      <c r="I30" s="32">
        <v>1.22211022136501E-2</v>
      </c>
      <c r="J30" s="30"/>
      <c r="K30" s="32">
        <v>1.7903764362127701E-3</v>
      </c>
      <c r="L30" s="30"/>
      <c r="M30" s="32">
        <v>2.7959178810371101E-2</v>
      </c>
      <c r="N30" s="30"/>
      <c r="O30" s="32">
        <v>2.11973373056859E-2</v>
      </c>
      <c r="P30" s="30"/>
      <c r="Q30" s="32">
        <v>9.6079403633686001E-4</v>
      </c>
      <c r="R30" s="30"/>
      <c r="S30" s="32">
        <v>2.0236543269349001E-2</v>
      </c>
      <c r="T30" s="30"/>
      <c r="U30" s="32">
        <v>5.8184675580717797E-3</v>
      </c>
      <c r="V30" s="30"/>
      <c r="W30" s="32">
        <v>9.4337394661345305E-4</v>
      </c>
      <c r="X30" s="30"/>
      <c r="Y30" s="32">
        <v>-1.42095197368147E-2</v>
      </c>
      <c r="Z30" s="30"/>
      <c r="AA30" s="32">
        <v>1.0994210293525399E-2</v>
      </c>
      <c r="AB30" s="30"/>
      <c r="AC30" s="32">
        <v>2.4145276462388399E-3</v>
      </c>
      <c r="AD30" s="30"/>
      <c r="AE30" s="32">
        <v>7.1135632564538103E-3</v>
      </c>
      <c r="AF30" s="30"/>
      <c r="AG30" s="32">
        <v>1.1082967104044199E-2</v>
      </c>
      <c r="AH30" s="30"/>
      <c r="AI30" s="32">
        <v>8.5796826472865108E-3</v>
      </c>
      <c r="AJ30" s="30"/>
      <c r="AK30" s="32">
        <v>-2.5203730030340099E-2</v>
      </c>
      <c r="AL30" s="30"/>
      <c r="AM30" s="32">
        <v>-1.52807008401718E-2</v>
      </c>
      <c r="AN30" s="30"/>
      <c r="AO30" s="32">
        <v>-2.1036032633764499E-2</v>
      </c>
      <c r="AP30" s="30"/>
      <c r="AQ30" s="32">
        <v>-2.1111425768689698E-2</v>
      </c>
      <c r="AR30" s="30"/>
      <c r="AS30" s="32">
        <v>-9.9230291901682699E-3</v>
      </c>
      <c r="AT30" s="30"/>
      <c r="AU30" s="32">
        <v>5.29771251242055E-2</v>
      </c>
      <c r="AV30" s="30"/>
      <c r="AW30" s="32">
        <v>3.5208815955548797E-2</v>
      </c>
      <c r="AX30" s="30"/>
      <c r="AY30" s="32">
        <v>1.7768309168656699E-2</v>
      </c>
      <c r="AZ30" s="30"/>
      <c r="BA30" s="32">
        <v>9.1886265213702092E-3</v>
      </c>
      <c r="BB30" s="30"/>
      <c r="BC30" s="32">
        <v>-3.1034454958857999E-2</v>
      </c>
      <c r="BD30" s="30"/>
      <c r="BE30" s="32"/>
      <c r="BF30" s="30"/>
    </row>
    <row r="31" spans="1:58" x14ac:dyDescent="0.2">
      <c r="A31" s="28">
        <v>1999</v>
      </c>
      <c r="B31" s="28"/>
      <c r="C31" s="32"/>
      <c r="D31" s="30"/>
      <c r="E31" s="32">
        <v>1.9545211064156399E-2</v>
      </c>
      <c r="F31" s="30"/>
      <c r="G31" s="32">
        <v>1.5534988692864699E-2</v>
      </c>
      <c r="H31" s="30"/>
      <c r="I31" s="32">
        <v>1.31781811518754E-2</v>
      </c>
      <c r="J31" s="30"/>
      <c r="K31" s="32">
        <v>2.3568075409893599E-3</v>
      </c>
      <c r="L31" s="30"/>
      <c r="M31" s="32">
        <v>4.0102223712916701E-3</v>
      </c>
      <c r="N31" s="30"/>
      <c r="O31" s="32">
        <v>7.0780588921884402E-3</v>
      </c>
      <c r="P31" s="30"/>
      <c r="Q31" s="32">
        <v>-3.38048857199279E-3</v>
      </c>
      <c r="R31" s="30"/>
      <c r="S31" s="32">
        <v>1.0458547464181201E-2</v>
      </c>
      <c r="T31" s="30"/>
      <c r="U31" s="32">
        <v>-1.27709066488986E-3</v>
      </c>
      <c r="V31" s="30"/>
      <c r="W31" s="32">
        <v>-1.7907458560069099E-3</v>
      </c>
      <c r="X31" s="30"/>
      <c r="Y31" s="32">
        <v>-2.7444551535441399E-3</v>
      </c>
      <c r="Z31" s="30"/>
      <c r="AA31" s="32">
        <v>1.67664438943694E-2</v>
      </c>
      <c r="AB31" s="30"/>
      <c r="AC31" s="32">
        <v>6.4541691883687798E-3</v>
      </c>
      <c r="AD31" s="30"/>
      <c r="AE31" s="32">
        <v>1.7851227491766899E-2</v>
      </c>
      <c r="AF31" s="30"/>
      <c r="AG31" s="32">
        <v>1.5146742118267701E-2</v>
      </c>
      <c r="AH31" s="30"/>
      <c r="AI31" s="32">
        <v>1.03122747060006E-2</v>
      </c>
      <c r="AJ31" s="30"/>
      <c r="AK31" s="32">
        <v>-1.9510899047913501E-2</v>
      </c>
      <c r="AL31" s="30"/>
      <c r="AM31" s="32">
        <v>-8.3897640628264394E-3</v>
      </c>
      <c r="AN31" s="30"/>
      <c r="AO31" s="32">
        <v>-1.30267876005509E-2</v>
      </c>
      <c r="AP31" s="30"/>
      <c r="AQ31" s="32">
        <v>-2.0293528863454799E-2</v>
      </c>
      <c r="AR31" s="30"/>
      <c r="AS31" s="32">
        <v>-1.11211349850871E-2</v>
      </c>
      <c r="AT31" s="30"/>
      <c r="AU31" s="32">
        <v>4.9492510424043998E-2</v>
      </c>
      <c r="AV31" s="30"/>
      <c r="AW31" s="32">
        <v>2.2613047585053201E-2</v>
      </c>
      <c r="AX31" s="30"/>
      <c r="AY31" s="32">
        <v>2.68794628389908E-2</v>
      </c>
      <c r="AZ31" s="30"/>
      <c r="BA31" s="32">
        <v>1.6567188132990199E-2</v>
      </c>
      <c r="BB31" s="30"/>
      <c r="BC31" s="32">
        <v>-3.1414663848541899E-2</v>
      </c>
      <c r="BD31" s="30"/>
      <c r="BE31" s="32"/>
      <c r="BF31" s="30"/>
    </row>
    <row r="32" spans="1:58" x14ac:dyDescent="0.2">
      <c r="A32" s="28">
        <v>2000</v>
      </c>
      <c r="B32" s="28"/>
      <c r="C32" s="32"/>
      <c r="D32" s="30"/>
      <c r="E32" s="32">
        <v>1.6241319292467301E-2</v>
      </c>
      <c r="F32" s="30"/>
      <c r="G32" s="32">
        <v>1.6724440757677601E-2</v>
      </c>
      <c r="H32" s="30"/>
      <c r="I32" s="32">
        <v>1.5298930550764299E-2</v>
      </c>
      <c r="J32" s="30"/>
      <c r="K32" s="32">
        <v>1.42551020691335E-3</v>
      </c>
      <c r="L32" s="30"/>
      <c r="M32" s="32">
        <v>-4.8312146521032798E-4</v>
      </c>
      <c r="N32" s="30"/>
      <c r="O32" s="32">
        <v>1.3020040507391801E-2</v>
      </c>
      <c r="P32" s="30"/>
      <c r="Q32" s="32">
        <v>2.5243989624020601E-3</v>
      </c>
      <c r="R32" s="30"/>
      <c r="S32" s="32">
        <v>1.0495641544989699E-2</v>
      </c>
      <c r="T32" s="30"/>
      <c r="U32" s="32">
        <v>-4.3903639451706696E-3</v>
      </c>
      <c r="V32" s="30"/>
      <c r="W32" s="32">
        <v>-9.1127980274314201E-3</v>
      </c>
      <c r="X32" s="30"/>
      <c r="Y32" s="32">
        <v>2.0090849322624001E-2</v>
      </c>
      <c r="Z32" s="30"/>
      <c r="AA32" s="32">
        <v>5.6674175624034498E-2</v>
      </c>
      <c r="AB32" s="30"/>
      <c r="AC32" s="32">
        <v>3.2984885099597003E-2</v>
      </c>
      <c r="AD32" s="30"/>
      <c r="AE32" s="32">
        <v>2.5059309792455398E-2</v>
      </c>
      <c r="AF32" s="30"/>
      <c r="AG32" s="32">
        <v>2.4176976986177899E-2</v>
      </c>
      <c r="AH32" s="30"/>
      <c r="AI32" s="32">
        <v>2.3689290524437499E-2</v>
      </c>
      <c r="AJ32" s="30"/>
      <c r="AK32" s="32">
        <v>-3.65833263014105E-2</v>
      </c>
      <c r="AL32" s="30"/>
      <c r="AM32" s="32">
        <v>-1.9867798256811099E-2</v>
      </c>
      <c r="AN32" s="30"/>
      <c r="AO32" s="32">
        <v>-2.3258582787747801E-2</v>
      </c>
      <c r="AP32" s="30"/>
      <c r="AQ32" s="32">
        <v>-2.0456510442985701E-2</v>
      </c>
      <c r="AR32" s="30"/>
      <c r="AS32" s="32">
        <v>-1.6715528044599502E-2</v>
      </c>
      <c r="AT32" s="30"/>
      <c r="AU32" s="32">
        <v>7.7894571047847097E-2</v>
      </c>
      <c r="AV32" s="30"/>
      <c r="AW32" s="32">
        <v>2.97444812650694E-2</v>
      </c>
      <c r="AX32" s="30"/>
      <c r="AY32" s="32">
        <v>4.8150089782777697E-2</v>
      </c>
      <c r="AZ32" s="30"/>
      <c r="BA32" s="32">
        <v>2.4460799258340198E-2</v>
      </c>
      <c r="BB32" s="30"/>
      <c r="BC32" s="32">
        <v>-3.7172038487585102E-2</v>
      </c>
      <c r="BD32" s="30"/>
      <c r="BE32" s="32"/>
      <c r="BF32" s="30"/>
    </row>
    <row r="33" spans="1:58" x14ac:dyDescent="0.2">
      <c r="A33" s="28">
        <v>2001</v>
      </c>
      <c r="B33" s="28"/>
      <c r="C33" s="32"/>
      <c r="D33" s="30"/>
      <c r="E33" s="32">
        <v>2.3981936110713101E-2</v>
      </c>
      <c r="F33" s="30"/>
      <c r="G33" s="32">
        <v>1.3255539638398E-2</v>
      </c>
      <c r="H33" s="30"/>
      <c r="I33" s="32">
        <v>1.28166499991604E-2</v>
      </c>
      <c r="J33" s="30"/>
      <c r="K33" s="32">
        <v>4.3888963923756097E-4</v>
      </c>
      <c r="L33" s="30"/>
      <c r="M33" s="32">
        <v>1.0726396472315099E-2</v>
      </c>
      <c r="N33" s="30"/>
      <c r="O33" s="32">
        <v>-3.2647587568861202E-3</v>
      </c>
      <c r="P33" s="30"/>
      <c r="Q33" s="32">
        <v>-3.0929269881201202E-3</v>
      </c>
      <c r="R33" s="30"/>
      <c r="S33" s="32">
        <v>-1.7183176876600501E-4</v>
      </c>
      <c r="T33" s="30"/>
      <c r="U33" s="32">
        <v>5.2406536302438099E-3</v>
      </c>
      <c r="V33" s="30"/>
      <c r="W33" s="32">
        <v>8.7505015989573897E-3</v>
      </c>
      <c r="X33" s="30"/>
      <c r="Y33" s="32">
        <v>-8.0599589256179494E-3</v>
      </c>
      <c r="Z33" s="30"/>
      <c r="AA33" s="32">
        <v>-4.1465017503599001E-4</v>
      </c>
      <c r="AB33" s="30"/>
      <c r="AC33" s="32">
        <v>5.3514215839577904E-3</v>
      </c>
      <c r="AD33" s="30"/>
      <c r="AE33" s="32">
        <v>5.9499179869669802E-3</v>
      </c>
      <c r="AF33" s="30"/>
      <c r="AG33" s="32">
        <v>1.4261336176239E-2</v>
      </c>
      <c r="AH33" s="30"/>
      <c r="AI33" s="32">
        <v>-5.7660717589937804E-3</v>
      </c>
      <c r="AJ33" s="30"/>
      <c r="AK33" s="32">
        <v>-7.6453087505819603E-3</v>
      </c>
      <c r="AL33" s="30"/>
      <c r="AM33" s="32">
        <v>-7.2272868509434297E-3</v>
      </c>
      <c r="AN33" s="30"/>
      <c r="AO33" s="32">
        <v>-6.8891129227790096E-3</v>
      </c>
      <c r="AP33" s="30"/>
      <c r="AQ33" s="32">
        <v>-6.5856038195191103E-3</v>
      </c>
      <c r="AR33" s="30"/>
      <c r="AS33" s="32">
        <v>-4.1802189963853199E-4</v>
      </c>
      <c r="AT33" s="30"/>
      <c r="AU33" s="32">
        <v>1.7684949274009001E-2</v>
      </c>
      <c r="AV33" s="30"/>
      <c r="AW33" s="32">
        <v>9.9907808815118907E-3</v>
      </c>
      <c r="AX33" s="30"/>
      <c r="AY33" s="32">
        <v>7.6941683924970803E-3</v>
      </c>
      <c r="AZ33" s="30"/>
      <c r="BA33" s="32">
        <v>1.34602401514909E-2</v>
      </c>
      <c r="BB33" s="30"/>
      <c r="BC33" s="32">
        <v>-7.00362571915764E-3</v>
      </c>
      <c r="BD33" s="30"/>
      <c r="BE33" s="32"/>
      <c r="BF33" s="30"/>
    </row>
    <row r="34" spans="1:58" x14ac:dyDescent="0.2">
      <c r="A34" s="28">
        <v>2002</v>
      </c>
      <c r="B34" s="28"/>
      <c r="C34" s="32"/>
      <c r="D34" s="30"/>
      <c r="E34" s="32">
        <v>3.2141010793975901E-3</v>
      </c>
      <c r="F34" s="30"/>
      <c r="G34" s="32">
        <v>3.07976962952494E-3</v>
      </c>
      <c r="H34" s="30"/>
      <c r="I34" s="32">
        <v>7.0432162071422204E-4</v>
      </c>
      <c r="J34" s="30"/>
      <c r="K34" s="32">
        <v>2.37544800881072E-3</v>
      </c>
      <c r="L34" s="30"/>
      <c r="M34" s="32">
        <v>1.3433144987265E-4</v>
      </c>
      <c r="N34" s="30"/>
      <c r="O34" s="32">
        <v>3.1158104095432102E-3</v>
      </c>
      <c r="P34" s="30"/>
      <c r="Q34" s="32">
        <v>1.8967342362418199E-3</v>
      </c>
      <c r="R34" s="30"/>
      <c r="S34" s="32">
        <v>1.2190761733013901E-3</v>
      </c>
      <c r="T34" s="30"/>
      <c r="U34" s="32">
        <v>-2.07083149762696E-3</v>
      </c>
      <c r="V34" s="30"/>
      <c r="W34" s="32">
        <v>-9.1064746204359804E-4</v>
      </c>
      <c r="X34" s="30"/>
      <c r="Y34" s="32">
        <v>5.9000103299109298E-4</v>
      </c>
      <c r="Z34" s="30"/>
      <c r="AA34" s="32">
        <v>-9.6529054135266606E-3</v>
      </c>
      <c r="AB34" s="30"/>
      <c r="AC34" s="32">
        <v>-3.1659915974439801E-3</v>
      </c>
      <c r="AD34" s="30"/>
      <c r="AE34" s="32">
        <v>5.0338988765171603E-3</v>
      </c>
      <c r="AF34" s="30"/>
      <c r="AG34" s="32">
        <v>2.8057720656892099E-3</v>
      </c>
      <c r="AH34" s="30"/>
      <c r="AI34" s="32">
        <v>-6.4869138160826801E-3</v>
      </c>
      <c r="AJ34" s="30"/>
      <c r="AK34" s="32">
        <v>1.02429064465178E-2</v>
      </c>
      <c r="AL34" s="30"/>
      <c r="AM34" s="32">
        <v>1.0275419742278301E-2</v>
      </c>
      <c r="AN34" s="30"/>
      <c r="AO34" s="32">
        <v>6.7076052793346302E-3</v>
      </c>
      <c r="AP34" s="30"/>
      <c r="AQ34" s="32">
        <v>-2.99485190670565E-4</v>
      </c>
      <c r="AR34" s="30"/>
      <c r="AS34" s="32">
        <v>-3.2513295760544899E-5</v>
      </c>
      <c r="AT34" s="30"/>
      <c r="AU34" s="32">
        <v>6.20693209644675E-3</v>
      </c>
      <c r="AV34" s="30"/>
      <c r="AW34" s="32">
        <v>6.1955800390681498E-3</v>
      </c>
      <c r="AX34" s="30"/>
      <c r="AY34" s="32">
        <v>1.1352057378605199E-5</v>
      </c>
      <c r="AZ34" s="30"/>
      <c r="BA34" s="32">
        <v>6.4982658734612899E-3</v>
      </c>
      <c r="BB34" s="30"/>
      <c r="BC34" s="32">
        <v>-3.31998486431109E-4</v>
      </c>
      <c r="BD34" s="30"/>
      <c r="BE34" s="32"/>
      <c r="BF34" s="30"/>
    </row>
    <row r="35" spans="1:58" x14ac:dyDescent="0.2">
      <c r="A35" s="28">
        <v>2003</v>
      </c>
      <c r="B35" s="28"/>
      <c r="C35" s="32"/>
      <c r="D35" s="30"/>
      <c r="E35" s="32">
        <v>5.5263490342512796E-3</v>
      </c>
      <c r="F35" s="30"/>
      <c r="G35" s="32">
        <v>4.5809619492101303E-3</v>
      </c>
      <c r="H35" s="30"/>
      <c r="I35" s="32">
        <v>2.4451700948733401E-3</v>
      </c>
      <c r="J35" s="30"/>
      <c r="K35" s="32">
        <v>2.1357918543367898E-3</v>
      </c>
      <c r="L35" s="30"/>
      <c r="M35" s="32">
        <v>9.4538708504114904E-4</v>
      </c>
      <c r="N35" s="30"/>
      <c r="O35" s="32">
        <v>-1.8579289895023501E-3</v>
      </c>
      <c r="P35" s="30"/>
      <c r="Q35" s="32">
        <v>1.64228174581089E-3</v>
      </c>
      <c r="R35" s="30"/>
      <c r="S35" s="32">
        <v>-3.5002107353132501E-3</v>
      </c>
      <c r="T35" s="30"/>
      <c r="U35" s="32">
        <v>2.5737664283647498E-3</v>
      </c>
      <c r="V35" s="30"/>
      <c r="W35" s="32">
        <v>2.29549646178751E-4</v>
      </c>
      <c r="X35" s="30"/>
      <c r="Y35" s="32">
        <v>-8.3685735801270703E-3</v>
      </c>
      <c r="Z35" s="30"/>
      <c r="AA35" s="32">
        <v>-6.96690248812334E-3</v>
      </c>
      <c r="AB35" s="30"/>
      <c r="AC35" s="32">
        <v>-7.9107514026920199E-4</v>
      </c>
      <c r="AD35" s="30"/>
      <c r="AE35" s="32">
        <v>3.6678210039617001E-4</v>
      </c>
      <c r="AF35" s="30"/>
      <c r="AG35" s="32">
        <v>6.73441998407357E-4</v>
      </c>
      <c r="AH35" s="30"/>
      <c r="AI35" s="32">
        <v>-6.1758273478541396E-3</v>
      </c>
      <c r="AJ35" s="30"/>
      <c r="AK35" s="32">
        <v>-1.4016710920037301E-3</v>
      </c>
      <c r="AL35" s="30"/>
      <c r="AM35" s="32">
        <v>-4.0193980062408E-3</v>
      </c>
      <c r="AN35" s="30"/>
      <c r="AO35" s="32">
        <v>-5.5154200401660103E-3</v>
      </c>
      <c r="AP35" s="30"/>
      <c r="AQ35" s="32">
        <v>-6.7673539331486203E-3</v>
      </c>
      <c r="AR35" s="30"/>
      <c r="AS35" s="32">
        <v>2.61772691423708E-3</v>
      </c>
      <c r="AT35" s="30"/>
      <c r="AU35" s="32">
        <v>-1.2663639553290101E-3</v>
      </c>
      <c r="AV35" s="30"/>
      <c r="AW35" s="32">
        <v>2.7230329597077701E-3</v>
      </c>
      <c r="AX35" s="30"/>
      <c r="AY35" s="32">
        <v>-3.9893969150367799E-3</v>
      </c>
      <c r="AZ35" s="30"/>
      <c r="BA35" s="32">
        <v>2.1864304328173601E-3</v>
      </c>
      <c r="BB35" s="30"/>
      <c r="BC35" s="32">
        <v>-4.1496270189115402E-3</v>
      </c>
      <c r="BD35" s="30"/>
      <c r="BE35" s="32"/>
      <c r="BF35" s="30"/>
    </row>
    <row r="36" spans="1:58" x14ac:dyDescent="0.2">
      <c r="A36" s="28">
        <v>2004</v>
      </c>
      <c r="B36" s="28"/>
      <c r="C36" s="32"/>
      <c r="D36" s="30"/>
      <c r="E36" s="32">
        <v>9.3382554918609796E-4</v>
      </c>
      <c r="F36" s="30"/>
      <c r="G36" s="32">
        <v>1.2483915293369599E-2</v>
      </c>
      <c r="H36" s="30"/>
      <c r="I36" s="32">
        <v>1.10040138319297E-2</v>
      </c>
      <c r="J36" s="30"/>
      <c r="K36" s="32">
        <v>1.47990146143992E-3</v>
      </c>
      <c r="L36" s="30"/>
      <c r="M36" s="32">
        <v>-1.1550089744183501E-2</v>
      </c>
      <c r="N36" s="30"/>
      <c r="O36" s="32">
        <v>1.4878591516037499E-2</v>
      </c>
      <c r="P36" s="30"/>
      <c r="Q36" s="32">
        <v>3.56113176882848E-3</v>
      </c>
      <c r="R36" s="30"/>
      <c r="S36" s="32">
        <v>1.1317459747209E-2</v>
      </c>
      <c r="T36" s="30"/>
      <c r="U36" s="32">
        <v>-1.00524629870025E-2</v>
      </c>
      <c r="V36" s="30"/>
      <c r="W36" s="32">
        <v>-1.6376218273218501E-2</v>
      </c>
      <c r="X36" s="30"/>
      <c r="Y36" s="32">
        <v>2.4935463946131099E-2</v>
      </c>
      <c r="Z36" s="30"/>
      <c r="AA36" s="32">
        <v>4.6008192210552301E-2</v>
      </c>
      <c r="AB36" s="30"/>
      <c r="AC36" s="32">
        <v>3.4869640658539501E-2</v>
      </c>
      <c r="AD36" s="30"/>
      <c r="AE36" s="32">
        <v>2.69228227155941E-2</v>
      </c>
      <c r="AF36" s="30"/>
      <c r="AG36" s="32">
        <v>1.8764306917107201E-2</v>
      </c>
      <c r="AH36" s="30"/>
      <c r="AI36" s="32">
        <v>1.1138551552012699E-2</v>
      </c>
      <c r="AJ36" s="30"/>
      <c r="AK36" s="32">
        <v>-2.1072728264421199E-2</v>
      </c>
      <c r="AL36" s="30"/>
      <c r="AM36" s="32">
        <v>-7.63915609589231E-3</v>
      </c>
      <c r="AN36" s="30"/>
      <c r="AO36" s="32">
        <v>-1.6028206185852201E-2</v>
      </c>
      <c r="AP36" s="30"/>
      <c r="AQ36" s="32">
        <v>-1.52318312316759E-2</v>
      </c>
      <c r="AR36" s="30"/>
      <c r="AS36" s="32">
        <v>-1.34335721685289E-2</v>
      </c>
      <c r="AT36" s="30"/>
      <c r="AU36" s="32">
        <v>6.4587155882524505E-2</v>
      </c>
      <c r="AV36" s="30"/>
      <c r="AW36" s="32">
        <v>2.7362506809407099E-2</v>
      </c>
      <c r="AX36" s="30"/>
      <c r="AY36" s="32">
        <v>3.72246490731174E-2</v>
      </c>
      <c r="AZ36" s="30"/>
      <c r="BA36" s="32">
        <v>2.60860975211046E-2</v>
      </c>
      <c r="BB36" s="30"/>
      <c r="BC36" s="32">
        <v>-2.8665403400204799E-2</v>
      </c>
      <c r="BD36" s="30"/>
      <c r="BE36" s="32"/>
      <c r="BF36" s="30"/>
    </row>
    <row r="37" spans="1:58" x14ac:dyDescent="0.2">
      <c r="A37" s="28">
        <v>2005</v>
      </c>
      <c r="B37" s="28"/>
      <c r="C37" s="32"/>
      <c r="D37" s="30"/>
      <c r="E37" s="32">
        <v>4.1889585408611998E-2</v>
      </c>
      <c r="F37" s="30"/>
      <c r="G37" s="32">
        <v>1.15015556158531E-2</v>
      </c>
      <c r="H37" s="30"/>
      <c r="I37" s="32">
        <v>1.04838311440638E-2</v>
      </c>
      <c r="J37" s="30"/>
      <c r="K37" s="32">
        <v>1.01772447178936E-3</v>
      </c>
      <c r="L37" s="30"/>
      <c r="M37" s="32">
        <v>3.0388029792758901E-2</v>
      </c>
      <c r="N37" s="30"/>
      <c r="O37" s="32">
        <v>9.0859926544653597E-3</v>
      </c>
      <c r="P37" s="30"/>
      <c r="Q37" s="32">
        <v>3.2316270441723602E-3</v>
      </c>
      <c r="R37" s="30"/>
      <c r="S37" s="32">
        <v>5.8543656102930004E-3</v>
      </c>
      <c r="T37" s="30"/>
      <c r="U37" s="32">
        <v>-7.0803430217115004E-4</v>
      </c>
      <c r="V37" s="30"/>
      <c r="W37" s="32">
        <v>2.2010071440464699E-2</v>
      </c>
      <c r="X37" s="30"/>
      <c r="Y37" s="32">
        <v>-1.2368736467786801E-2</v>
      </c>
      <c r="Z37" s="30"/>
      <c r="AA37" s="32">
        <v>3.1769427889771697E-2</v>
      </c>
      <c r="AB37" s="30"/>
      <c r="AC37" s="32">
        <v>1.4731969299726101E-2</v>
      </c>
      <c r="AD37" s="30"/>
      <c r="AE37" s="32">
        <v>1.6442933960807399E-2</v>
      </c>
      <c r="AF37" s="30"/>
      <c r="AG37" s="32">
        <v>1.5893041683106401E-2</v>
      </c>
      <c r="AH37" s="30"/>
      <c r="AI37" s="32">
        <v>1.7037458590045601E-2</v>
      </c>
      <c r="AJ37" s="30"/>
      <c r="AK37" s="32">
        <v>-4.4138164357558497E-2</v>
      </c>
      <c r="AL37" s="30"/>
      <c r="AM37" s="32">
        <v>-3.4018912680914198E-2</v>
      </c>
      <c r="AN37" s="30"/>
      <c r="AO37" s="32">
        <v>-1.66066613589765E-2</v>
      </c>
      <c r="AP37" s="30"/>
      <c r="AQ37" s="32">
        <v>-1.4451966884694601E-2</v>
      </c>
      <c r="AR37" s="30"/>
      <c r="AS37" s="32">
        <v>-1.0119251676644301E-2</v>
      </c>
      <c r="AT37" s="30"/>
      <c r="AU37" s="32">
        <v>5.48001018043352E-2</v>
      </c>
      <c r="AV37" s="30"/>
      <c r="AW37" s="32">
        <v>2.0587548270318501E-2</v>
      </c>
      <c r="AX37" s="30"/>
      <c r="AY37" s="32">
        <v>3.4212553534016803E-2</v>
      </c>
      <c r="AZ37" s="30"/>
      <c r="BA37" s="32">
        <v>1.7175094943971202E-2</v>
      </c>
      <c r="BB37" s="30"/>
      <c r="BC37" s="32">
        <v>-2.4571218561338901E-2</v>
      </c>
      <c r="BD37" s="30"/>
      <c r="BE37" s="32"/>
      <c r="BF37" s="30"/>
    </row>
    <row r="38" spans="1:58" x14ac:dyDescent="0.2">
      <c r="A38" s="28">
        <v>2006</v>
      </c>
      <c r="B38" s="28"/>
      <c r="C38" s="32"/>
      <c r="D38" s="30"/>
      <c r="E38" s="32">
        <v>2.05473190906558E-2</v>
      </c>
      <c r="F38" s="30"/>
      <c r="G38" s="32">
        <v>8.9267777639452806E-3</v>
      </c>
      <c r="H38" s="30"/>
      <c r="I38" s="32">
        <v>9.1567810261572406E-3</v>
      </c>
      <c r="J38" s="30"/>
      <c r="K38" s="32">
        <v>-2.3000326221196801E-4</v>
      </c>
      <c r="L38" s="30"/>
      <c r="M38" s="32">
        <v>1.1620541326710501E-2</v>
      </c>
      <c r="N38" s="30"/>
      <c r="O38" s="32">
        <v>1.2743500620560099E-2</v>
      </c>
      <c r="P38" s="30"/>
      <c r="Q38" s="32">
        <v>-1.3239153545470601E-3</v>
      </c>
      <c r="R38" s="30"/>
      <c r="S38" s="32">
        <v>1.40674159751072E-2</v>
      </c>
      <c r="T38" s="30"/>
      <c r="U38" s="32">
        <v>-6.1152941917634197E-3</v>
      </c>
      <c r="V38" s="30"/>
      <c r="W38" s="32">
        <v>4.9923348979138797E-3</v>
      </c>
      <c r="X38" s="30"/>
      <c r="Y38" s="32">
        <v>2.0795906842979699E-2</v>
      </c>
      <c r="Z38" s="30"/>
      <c r="AA38" s="32">
        <v>3.61707605150699E-2</v>
      </c>
      <c r="AB38" s="30"/>
      <c r="AC38" s="32">
        <v>2.76188520332292E-2</v>
      </c>
      <c r="AD38" s="30"/>
      <c r="AE38" s="32">
        <v>4.1544766864807799E-2</v>
      </c>
      <c r="AF38" s="30"/>
      <c r="AG38" s="32">
        <v>3.3001578001523098E-2</v>
      </c>
      <c r="AH38" s="30"/>
      <c r="AI38" s="32">
        <v>8.5519084818406303E-3</v>
      </c>
      <c r="AJ38" s="30"/>
      <c r="AK38" s="32">
        <v>-1.53748536720902E-2</v>
      </c>
      <c r="AL38" s="30"/>
      <c r="AM38" s="32">
        <v>-1.2302051004416399E-2</v>
      </c>
      <c r="AN38" s="30"/>
      <c r="AO38" s="32">
        <v>-2.3497119019943499E-2</v>
      </c>
      <c r="AP38" s="30"/>
      <c r="AQ38" s="32">
        <v>-1.9681444888858601E-2</v>
      </c>
      <c r="AR38" s="30"/>
      <c r="AS38" s="32">
        <v>-3.0728026676737599E-3</v>
      </c>
      <c r="AT38" s="30"/>
      <c r="AU38" s="32">
        <v>7.0212767681931298E-2</v>
      </c>
      <c r="AV38" s="30"/>
      <c r="AW38" s="32">
        <v>2.1670278384505401E-2</v>
      </c>
      <c r="AX38" s="30"/>
      <c r="AY38" s="32">
        <v>4.8542489297425898E-2</v>
      </c>
      <c r="AZ38" s="30"/>
      <c r="BA38" s="32">
        <v>3.9990580815585201E-2</v>
      </c>
      <c r="BB38" s="30"/>
      <c r="BC38" s="32">
        <v>-2.2754247556532301E-2</v>
      </c>
      <c r="BD38" s="30"/>
      <c r="BE38" s="32"/>
      <c r="BF38" s="30"/>
    </row>
    <row r="39" spans="1:58" x14ac:dyDescent="0.2">
      <c r="A39" s="28">
        <v>2007</v>
      </c>
      <c r="B39" s="28"/>
      <c r="C39" s="32"/>
      <c r="D39" s="30"/>
      <c r="E39" s="32">
        <v>4.6348703807117704E-3</v>
      </c>
      <c r="F39" s="30"/>
      <c r="G39" s="32">
        <v>1.17294687035428E-2</v>
      </c>
      <c r="H39" s="30"/>
      <c r="I39" s="32">
        <v>1.0802525829918501E-2</v>
      </c>
      <c r="J39" s="30"/>
      <c r="K39" s="32">
        <v>9.2694287362433405E-4</v>
      </c>
      <c r="L39" s="30"/>
      <c r="M39" s="32">
        <v>-7.0945983228310203E-3</v>
      </c>
      <c r="N39" s="30"/>
      <c r="O39" s="32">
        <v>1.41995557536471E-2</v>
      </c>
      <c r="P39" s="30"/>
      <c r="Q39" s="32">
        <v>-2.0219067417708999E-3</v>
      </c>
      <c r="R39" s="30"/>
      <c r="S39" s="32">
        <v>1.6221462495418001E-2</v>
      </c>
      <c r="T39" s="30"/>
      <c r="U39" s="32">
        <v>-9.7522135734498302E-3</v>
      </c>
      <c r="V39" s="30"/>
      <c r="W39" s="32">
        <v>-1.15419405030283E-2</v>
      </c>
      <c r="X39" s="30"/>
      <c r="Y39" s="32">
        <v>3.5197066984835802E-2</v>
      </c>
      <c r="Z39" s="30"/>
      <c r="AA39" s="32">
        <v>6.3904929566957203E-2</v>
      </c>
      <c r="AB39" s="30"/>
      <c r="AC39" s="32">
        <v>4.2545626395939402E-2</v>
      </c>
      <c r="AD39" s="30"/>
      <c r="AE39" s="32">
        <v>3.07004533482567E-2</v>
      </c>
      <c r="AF39" s="30"/>
      <c r="AG39" s="32">
        <v>2.5419118116527799E-2</v>
      </c>
      <c r="AH39" s="30"/>
      <c r="AI39" s="32">
        <v>2.13593031710178E-2</v>
      </c>
      <c r="AJ39" s="30"/>
      <c r="AK39" s="32">
        <v>-2.87078625821214E-2</v>
      </c>
      <c r="AL39" s="30"/>
      <c r="AM39" s="32">
        <v>-2.0313337335744801E-2</v>
      </c>
      <c r="AN39" s="30"/>
      <c r="AO39" s="32">
        <v>-1.47916495963934E-2</v>
      </c>
      <c r="AP39" s="30"/>
      <c r="AQ39" s="32">
        <v>-1.9355129341217699E-2</v>
      </c>
      <c r="AR39" s="30"/>
      <c r="AS39" s="32">
        <v>-8.3945252463766395E-3</v>
      </c>
      <c r="AT39" s="30"/>
      <c r="AU39" s="32">
        <v>7.7333805526591706E-2</v>
      </c>
      <c r="AV39" s="30"/>
      <c r="AW39" s="32">
        <v>2.5929024457189899E-2</v>
      </c>
      <c r="AX39" s="30"/>
      <c r="AY39" s="32">
        <v>5.14047810694018E-2</v>
      </c>
      <c r="AZ39" s="30"/>
      <c r="BA39" s="32">
        <v>3.0045477898384E-2</v>
      </c>
      <c r="BB39" s="30"/>
      <c r="BC39" s="32">
        <v>-2.7749654587594302E-2</v>
      </c>
      <c r="BD39" s="30"/>
      <c r="BE39" s="32"/>
      <c r="BF39" s="30"/>
    </row>
    <row r="40" spans="1:58" x14ac:dyDescent="0.2">
      <c r="A40" s="28">
        <v>2008</v>
      </c>
      <c r="B40" s="28"/>
      <c r="C40" s="32"/>
      <c r="D40" s="30"/>
      <c r="E40" s="32">
        <v>2.1291190207258701E-2</v>
      </c>
      <c r="F40" s="30"/>
      <c r="G40" s="32">
        <v>8.7149120418520201E-3</v>
      </c>
      <c r="H40" s="30"/>
      <c r="I40" s="32">
        <v>8.1320292102789599E-3</v>
      </c>
      <c r="J40" s="30"/>
      <c r="K40" s="32">
        <v>5.8288283157305896E-4</v>
      </c>
      <c r="L40" s="30"/>
      <c r="M40" s="32">
        <v>1.25762781654067E-2</v>
      </c>
      <c r="N40" s="30"/>
      <c r="O40" s="32">
        <v>1.6001577891769101E-3</v>
      </c>
      <c r="P40" s="30"/>
      <c r="Q40" s="32">
        <v>3.66123449524994E-5</v>
      </c>
      <c r="R40" s="30"/>
      <c r="S40" s="32">
        <v>1.56354544422441E-3</v>
      </c>
      <c r="T40" s="30"/>
      <c r="U40" s="32">
        <v>-2.8469888084453401E-3</v>
      </c>
      <c r="V40" s="30"/>
      <c r="W40" s="32">
        <v>1.38231091846751E-2</v>
      </c>
      <c r="X40" s="30"/>
      <c r="Y40" s="32">
        <v>4.0247726884772902E-3</v>
      </c>
      <c r="Z40" s="30"/>
      <c r="AA40" s="32">
        <v>2.6315681522854201E-2</v>
      </c>
      <c r="AB40" s="30"/>
      <c r="AC40" s="32">
        <v>2.4934572680729902E-2</v>
      </c>
      <c r="AD40" s="30"/>
      <c r="AE40" s="32">
        <v>1.6018420766144001E-2</v>
      </c>
      <c r="AF40" s="30"/>
      <c r="AG40" s="32">
        <v>6.3245677410820201E-3</v>
      </c>
      <c r="AH40" s="30"/>
      <c r="AI40" s="32">
        <v>1.38110884212429E-3</v>
      </c>
      <c r="AJ40" s="30"/>
      <c r="AK40" s="32">
        <v>-2.2290908834376899E-2</v>
      </c>
      <c r="AL40" s="30"/>
      <c r="AM40" s="32">
        <v>-2.28378081478408E-2</v>
      </c>
      <c r="AN40" s="30"/>
      <c r="AO40" s="32">
        <v>1.06408603701032E-4</v>
      </c>
      <c r="AP40" s="30"/>
      <c r="AQ40" s="32">
        <v>1.6047497793715399E-3</v>
      </c>
      <c r="AR40" s="30"/>
      <c r="AS40" s="32">
        <v>5.4689931346389297E-4</v>
      </c>
      <c r="AT40" s="30"/>
      <c r="AU40" s="32">
        <v>2.6011302611345901E-2</v>
      </c>
      <c r="AV40" s="30"/>
      <c r="AW40" s="32">
        <v>1.03150698310289E-2</v>
      </c>
      <c r="AX40" s="30"/>
      <c r="AY40" s="32">
        <v>1.5696232780316999E-2</v>
      </c>
      <c r="AZ40" s="30"/>
      <c r="BA40" s="32">
        <v>1.43151239381927E-2</v>
      </c>
      <c r="BB40" s="30"/>
      <c r="BC40" s="32">
        <v>2.1516490928354302E-3</v>
      </c>
      <c r="BD40" s="30"/>
      <c r="BE40" s="32"/>
      <c r="BF40" s="30"/>
    </row>
    <row r="41" spans="1:58" x14ac:dyDescent="0.2">
      <c r="A41" s="28">
        <v>2009</v>
      </c>
      <c r="B41" s="28"/>
      <c r="C41" s="32"/>
      <c r="D41" s="30"/>
      <c r="E41" s="32">
        <v>1.87231168562744E-2</v>
      </c>
      <c r="F41" s="30"/>
      <c r="G41" s="32">
        <v>9.9979168063312508E-3</v>
      </c>
      <c r="H41" s="30"/>
      <c r="I41" s="32">
        <v>7.4613783597568496E-3</v>
      </c>
      <c r="J41" s="30"/>
      <c r="K41" s="32">
        <v>2.5365384465744099E-3</v>
      </c>
      <c r="L41" s="30"/>
      <c r="M41" s="32">
        <v>8.7252000499431596E-3</v>
      </c>
      <c r="N41" s="30"/>
      <c r="O41" s="32">
        <v>-1.8019534106968601E-2</v>
      </c>
      <c r="P41" s="30"/>
      <c r="Q41" s="32">
        <v>2.53997327347813E-3</v>
      </c>
      <c r="R41" s="30"/>
      <c r="S41" s="32">
        <v>-2.05595073804467E-2</v>
      </c>
      <c r="T41" s="30"/>
      <c r="U41" s="32">
        <v>3.6137728507710798E-3</v>
      </c>
      <c r="V41" s="30"/>
      <c r="W41" s="32">
        <v>2.3130961306140702E-2</v>
      </c>
      <c r="X41" s="30"/>
      <c r="Y41" s="32">
        <v>-3.80722118051414E-2</v>
      </c>
      <c r="Z41" s="30"/>
      <c r="AA41" s="32">
        <v>-5.1974817476401002E-2</v>
      </c>
      <c r="AB41" s="30"/>
      <c r="AC41" s="32">
        <v>-4.7023791162200998E-2</v>
      </c>
      <c r="AD41" s="30"/>
      <c r="AE41" s="32">
        <v>-2.73416046069863E-2</v>
      </c>
      <c r="AF41" s="30"/>
      <c r="AG41" s="32">
        <v>-3.5697733869045102E-2</v>
      </c>
      <c r="AH41" s="30"/>
      <c r="AI41" s="32">
        <v>-4.9510263141999897E-3</v>
      </c>
      <c r="AJ41" s="30"/>
      <c r="AK41" s="32">
        <v>1.39026056712596E-2</v>
      </c>
      <c r="AL41" s="30"/>
      <c r="AM41" s="32">
        <v>2.2006427256515901E-2</v>
      </c>
      <c r="AN41" s="30"/>
      <c r="AO41" s="32">
        <v>2.3209028061131998E-2</v>
      </c>
      <c r="AP41" s="30"/>
      <c r="AQ41" s="32">
        <v>2.21954903377958E-2</v>
      </c>
      <c r="AR41" s="30"/>
      <c r="AS41" s="32">
        <v>-8.1038215852563093E-3</v>
      </c>
      <c r="AT41" s="30"/>
      <c r="AU41" s="32">
        <v>-3.7054536552177497E-2</v>
      </c>
      <c r="AV41" s="30"/>
      <c r="AW41" s="32">
        <v>-8.0216173006373206E-3</v>
      </c>
      <c r="AX41" s="30"/>
      <c r="AY41" s="32">
        <v>-2.9032919251540199E-2</v>
      </c>
      <c r="AZ41" s="30"/>
      <c r="BA41" s="32">
        <v>-2.4081892937340199E-2</v>
      </c>
      <c r="BB41" s="30"/>
      <c r="BC41" s="32">
        <v>1.4091668752539499E-2</v>
      </c>
      <c r="BD41" s="30"/>
      <c r="BE41" s="32"/>
      <c r="BF41" s="30"/>
    </row>
    <row r="42" spans="1:58" x14ac:dyDescent="0.2">
      <c r="A42" s="28">
        <v>2010</v>
      </c>
      <c r="B42" s="28"/>
      <c r="C42" s="32"/>
      <c r="D42" s="30"/>
      <c r="E42" s="32">
        <v>1.38435318360568E-3</v>
      </c>
      <c r="F42" s="30"/>
      <c r="G42" s="32">
        <v>1.0667193226986799E-2</v>
      </c>
      <c r="H42" s="30"/>
      <c r="I42" s="32">
        <v>1.09019189061041E-2</v>
      </c>
      <c r="J42" s="30"/>
      <c r="K42" s="32">
        <v>-2.3472567911730501E-4</v>
      </c>
      <c r="L42" s="30"/>
      <c r="M42" s="32">
        <v>-9.2828400433810805E-3</v>
      </c>
      <c r="N42" s="30"/>
      <c r="O42" s="32">
        <v>9.7834045294260593E-3</v>
      </c>
      <c r="P42" s="30"/>
      <c r="Q42" s="32">
        <v>3.1122443025780201E-3</v>
      </c>
      <c r="R42" s="30"/>
      <c r="S42" s="32">
        <v>6.6711602268480401E-3</v>
      </c>
      <c r="T42" s="30"/>
      <c r="U42" s="32">
        <v>9.9197096516449503E-3</v>
      </c>
      <c r="V42" s="30"/>
      <c r="W42" s="32">
        <v>-2.8985954224452101E-2</v>
      </c>
      <c r="X42" s="30"/>
      <c r="Y42" s="32">
        <v>3.1221954780213799E-2</v>
      </c>
      <c r="Z42" s="30"/>
      <c r="AA42" s="32">
        <v>7.2283589914175994E-2</v>
      </c>
      <c r="AB42" s="30"/>
      <c r="AC42" s="32">
        <v>6.9939355488791502E-2</v>
      </c>
      <c r="AD42" s="30"/>
      <c r="AE42" s="32">
        <v>3.9680975698814701E-2</v>
      </c>
      <c r="AF42" s="30"/>
      <c r="AG42" s="32">
        <v>2.68562919786644E-2</v>
      </c>
      <c r="AH42" s="30"/>
      <c r="AI42" s="32">
        <v>2.3442344253844899E-3</v>
      </c>
      <c r="AJ42" s="30"/>
      <c r="AK42" s="32">
        <v>-4.1061635133962202E-2</v>
      </c>
      <c r="AL42" s="30"/>
      <c r="AM42" s="32">
        <v>-3.0423437926510699E-2</v>
      </c>
      <c r="AN42" s="30"/>
      <c r="AO42" s="32">
        <v>-2.6120881056598801E-2</v>
      </c>
      <c r="AP42" s="30"/>
      <c r="AQ42" s="32">
        <v>-2.6054995889361599E-2</v>
      </c>
      <c r="AR42" s="30"/>
      <c r="AS42" s="32">
        <v>-1.0638197207451501E-2</v>
      </c>
      <c r="AT42" s="30"/>
      <c r="AU42" s="32">
        <v>5.9379791408987699E-2</v>
      </c>
      <c r="AV42" s="30"/>
      <c r="AW42" s="32">
        <v>2.0450597756412801E-2</v>
      </c>
      <c r="AX42" s="30"/>
      <c r="AY42" s="32">
        <v>3.8929193652574801E-2</v>
      </c>
      <c r="AZ42" s="30"/>
      <c r="BA42" s="32">
        <v>3.6584959227190399E-2</v>
      </c>
      <c r="BB42" s="30"/>
      <c r="BC42" s="32">
        <v>-3.6693193096813098E-2</v>
      </c>
      <c r="BD42" s="30"/>
      <c r="BE42" s="32"/>
      <c r="BF42" s="30"/>
    </row>
    <row r="43" spans="1:58" x14ac:dyDescent="0.2">
      <c r="A43" s="28">
        <v>2011</v>
      </c>
      <c r="B43" s="28"/>
      <c r="C43" s="32"/>
      <c r="D43" s="30"/>
      <c r="E43" s="32">
        <v>3.9152884150621403E-2</v>
      </c>
      <c r="F43" s="30"/>
      <c r="G43" s="32">
        <v>8.7467829106064095E-3</v>
      </c>
      <c r="H43" s="30"/>
      <c r="I43" s="32">
        <v>7.9659002408643403E-3</v>
      </c>
      <c r="J43" s="30"/>
      <c r="K43" s="32">
        <v>7.8088266974206996E-4</v>
      </c>
      <c r="L43" s="30"/>
      <c r="M43" s="32">
        <v>3.0406101240014999E-2</v>
      </c>
      <c r="N43" s="30"/>
      <c r="O43" s="32">
        <v>5.5576666299737704E-3</v>
      </c>
      <c r="P43" s="30"/>
      <c r="Q43" s="32">
        <v>2.2593343455608798E-3</v>
      </c>
      <c r="R43" s="30"/>
      <c r="S43" s="32">
        <v>3.2983322844129001E-3</v>
      </c>
      <c r="T43" s="30"/>
      <c r="U43" s="32">
        <v>8.7891881808612408E-3</v>
      </c>
      <c r="V43" s="30"/>
      <c r="W43" s="32">
        <v>1.605924642918E-2</v>
      </c>
      <c r="X43" s="30"/>
      <c r="Y43" s="32">
        <v>-2.50762780162881E-2</v>
      </c>
      <c r="Z43" s="30"/>
      <c r="AA43" s="32">
        <v>2.6516204133886501E-2</v>
      </c>
      <c r="AB43" s="30"/>
      <c r="AC43" s="32">
        <v>2.89081249116316E-2</v>
      </c>
      <c r="AD43" s="30"/>
      <c r="AE43" s="32">
        <v>1.6716866258055602E-2</v>
      </c>
      <c r="AF43" s="30"/>
      <c r="AG43" s="32">
        <v>1.97284747036892E-2</v>
      </c>
      <c r="AH43" s="30"/>
      <c r="AI43" s="32">
        <v>-2.3919207777450199E-3</v>
      </c>
      <c r="AJ43" s="30"/>
      <c r="AK43" s="32">
        <v>-5.1592482150174597E-2</v>
      </c>
      <c r="AL43" s="30"/>
      <c r="AM43" s="32">
        <v>-3.89293315438905E-2</v>
      </c>
      <c r="AN43" s="30"/>
      <c r="AO43" s="32">
        <v>-1.20397386558361E-2</v>
      </c>
      <c r="AP43" s="30"/>
      <c r="AQ43" s="32">
        <v>-1.0284735549400801E-2</v>
      </c>
      <c r="AR43" s="30"/>
      <c r="AS43" s="32">
        <v>-1.2663150606284101E-2</v>
      </c>
      <c r="AT43" s="30"/>
      <c r="AU43" s="32">
        <v>2.8235304109156999E-2</v>
      </c>
      <c r="AV43" s="30"/>
      <c r="AW43" s="32">
        <v>1.4304449540580201E-2</v>
      </c>
      <c r="AX43" s="30"/>
      <c r="AY43" s="32">
        <v>1.39308545685769E-2</v>
      </c>
      <c r="AZ43" s="30"/>
      <c r="BA43" s="32">
        <v>1.6322775346321899E-2</v>
      </c>
      <c r="BB43" s="30"/>
      <c r="BC43" s="32">
        <v>-2.29478861556849E-2</v>
      </c>
      <c r="BD43" s="30"/>
      <c r="BE43" s="32"/>
      <c r="BF43" s="30"/>
    </row>
    <row r="44" spans="1:58" x14ac:dyDescent="0.2">
      <c r="A44" s="28">
        <v>2012</v>
      </c>
      <c r="B44" s="28"/>
      <c r="C44" s="32"/>
      <c r="D44" s="30"/>
      <c r="E44" s="32">
        <v>-4.1053247011911802E-3</v>
      </c>
      <c r="F44" s="30"/>
      <c r="G44" s="32">
        <v>1.24377478187733E-2</v>
      </c>
      <c r="H44" s="30"/>
      <c r="I44" s="32">
        <v>1.22783433647879E-2</v>
      </c>
      <c r="J44" s="30"/>
      <c r="K44" s="32">
        <v>1.5940445398543099E-4</v>
      </c>
      <c r="L44" s="30"/>
      <c r="M44" s="32">
        <v>-1.6543072519964501E-2</v>
      </c>
      <c r="N44" s="30"/>
      <c r="O44" s="32">
        <v>1.0238199925163E-2</v>
      </c>
      <c r="P44" s="30"/>
      <c r="Q44" s="32">
        <v>2.6682583944046402E-3</v>
      </c>
      <c r="R44" s="30"/>
      <c r="S44" s="32">
        <v>7.5699415307583402E-3</v>
      </c>
      <c r="T44" s="30"/>
      <c r="U44" s="32">
        <v>-4.4979040172088399E-3</v>
      </c>
      <c r="V44" s="30"/>
      <c r="W44" s="32">
        <v>-2.2283368427918601E-2</v>
      </c>
      <c r="X44" s="30"/>
      <c r="Y44" s="32">
        <v>1.5346683607695699E-2</v>
      </c>
      <c r="Z44" s="30"/>
      <c r="AA44" s="32">
        <v>2.5067872667180798E-3</v>
      </c>
      <c r="AB44" s="30"/>
      <c r="AC44" s="32">
        <v>-1.3973747437553301E-2</v>
      </c>
      <c r="AD44" s="30"/>
      <c r="AE44" s="32">
        <v>-4.2520174183272802E-3</v>
      </c>
      <c r="AF44" s="30"/>
      <c r="AG44" s="32">
        <v>3.9760809868642701E-4</v>
      </c>
      <c r="AH44" s="30"/>
      <c r="AI44" s="32">
        <v>1.6480534704271299E-2</v>
      </c>
      <c r="AJ44" s="30"/>
      <c r="AK44" s="32">
        <v>1.2839896340977699E-2</v>
      </c>
      <c r="AL44" s="30"/>
      <c r="AM44" s="32">
        <v>2.5958119842977401E-2</v>
      </c>
      <c r="AN44" s="30"/>
      <c r="AO44" s="32">
        <v>-2.3270625355457002E-3</v>
      </c>
      <c r="AP44" s="30"/>
      <c r="AQ44" s="32">
        <v>-5.1211293763344396E-3</v>
      </c>
      <c r="AR44" s="30"/>
      <c r="AS44" s="32">
        <v>-1.3118223501999701E-2</v>
      </c>
      <c r="AT44" s="30"/>
      <c r="AU44" s="32">
        <v>3.3978615802047599E-2</v>
      </c>
      <c r="AV44" s="30"/>
      <c r="AW44" s="32">
        <v>2.26759477439363E-2</v>
      </c>
      <c r="AX44" s="30"/>
      <c r="AY44" s="32">
        <v>1.1302668058111301E-2</v>
      </c>
      <c r="AZ44" s="30"/>
      <c r="BA44" s="32">
        <v>-5.1778666461600696E-3</v>
      </c>
      <c r="BB44" s="30"/>
      <c r="BC44" s="32">
        <v>-1.8239352878334201E-2</v>
      </c>
      <c r="BD44" s="30"/>
      <c r="BE44" s="32"/>
      <c r="BF44" s="30"/>
    </row>
    <row r="45" spans="1:58" x14ac:dyDescent="0.2">
      <c r="A45" s="28">
        <v>2013</v>
      </c>
      <c r="B45" s="28"/>
      <c r="C45" s="32"/>
      <c r="D45" s="30"/>
      <c r="E45" s="32">
        <v>-5.9885015774351702E-3</v>
      </c>
      <c r="F45" s="30"/>
      <c r="G45" s="32">
        <v>1.4457220378575299E-2</v>
      </c>
      <c r="H45" s="30"/>
      <c r="I45" s="32">
        <v>1.2503255558836E-2</v>
      </c>
      <c r="J45" s="30"/>
      <c r="K45" s="32">
        <v>1.9539648197393401E-3</v>
      </c>
      <c r="L45" s="30"/>
      <c r="M45" s="32">
        <v>-2.04457219560105E-2</v>
      </c>
      <c r="N45" s="30"/>
      <c r="O45" s="32">
        <v>3.5320895149841699E-3</v>
      </c>
      <c r="P45" s="30"/>
      <c r="Q45" s="32">
        <v>2.8824800945355701E-3</v>
      </c>
      <c r="R45" s="30"/>
      <c r="S45" s="32">
        <v>6.49609420448599E-4</v>
      </c>
      <c r="T45" s="30"/>
      <c r="U45" s="32">
        <v>7.2227988664092697E-3</v>
      </c>
      <c r="V45" s="30"/>
      <c r="W45" s="32">
        <v>-3.12006103374039E-2</v>
      </c>
      <c r="X45" s="30"/>
      <c r="Y45" s="32">
        <v>2.4349740641851698E-2</v>
      </c>
      <c r="Z45" s="30"/>
      <c r="AA45" s="32">
        <v>9.3545561231496904E-2</v>
      </c>
      <c r="AB45" s="30"/>
      <c r="AC45" s="32">
        <v>9.1960661937311602E-2</v>
      </c>
      <c r="AD45" s="30"/>
      <c r="AE45" s="32">
        <v>-6.0098512549053504E-3</v>
      </c>
      <c r="AF45" s="30"/>
      <c r="AG45" s="32">
        <v>-1.44861788278172E-3</v>
      </c>
      <c r="AH45" s="30"/>
      <c r="AI45" s="32">
        <v>1.5848992941852899E-3</v>
      </c>
      <c r="AJ45" s="30"/>
      <c r="AK45" s="32">
        <v>-6.9195820589645199E-2</v>
      </c>
      <c r="AL45" s="30"/>
      <c r="AM45" s="32">
        <v>-6.7599224442015896E-2</v>
      </c>
      <c r="AN45" s="30"/>
      <c r="AO45" s="32">
        <v>-4.4932253807524402E-4</v>
      </c>
      <c r="AP45" s="30"/>
      <c r="AQ45" s="32">
        <v>-3.2551402986617101E-4</v>
      </c>
      <c r="AR45" s="30"/>
      <c r="AS45" s="32">
        <v>-1.59659614762927E-3</v>
      </c>
      <c r="AT45" s="30"/>
      <c r="AU45" s="32">
        <v>1.3060550375502701E-2</v>
      </c>
      <c r="AV45" s="30"/>
      <c r="AW45" s="32">
        <v>1.7989309893559499E-2</v>
      </c>
      <c r="AX45" s="30"/>
      <c r="AY45" s="32">
        <v>-4.9287595180567897E-3</v>
      </c>
      <c r="AZ45" s="30"/>
      <c r="BA45" s="32">
        <v>-6.5136588122420803E-3</v>
      </c>
      <c r="BB45" s="30"/>
      <c r="BC45" s="32">
        <v>-1.9221101774954401E-3</v>
      </c>
      <c r="BD45" s="30"/>
      <c r="BE45" s="32"/>
      <c r="BF45" s="30"/>
    </row>
    <row r="46" spans="1:58" x14ac:dyDescent="0.2">
      <c r="A46" s="28">
        <v>2014</v>
      </c>
      <c r="B46" s="28"/>
      <c r="C46" s="32"/>
      <c r="D46" s="30"/>
      <c r="E46" s="32">
        <v>1.8656285624954701E-2</v>
      </c>
      <c r="F46" s="30"/>
      <c r="G46" s="32">
        <v>7.1778566341282497E-3</v>
      </c>
      <c r="H46" s="30"/>
      <c r="I46" s="32">
        <v>4.7356103939235599E-3</v>
      </c>
      <c r="J46" s="30"/>
      <c r="K46" s="32">
        <v>2.4422462402046898E-3</v>
      </c>
      <c r="L46" s="30"/>
      <c r="M46" s="32">
        <v>1.1478428990826401E-2</v>
      </c>
      <c r="N46" s="30"/>
      <c r="O46" s="32">
        <v>6.85342995738093E-3</v>
      </c>
      <c r="P46" s="30"/>
      <c r="Q46" s="32">
        <v>3.0334978168649902E-3</v>
      </c>
      <c r="R46" s="30"/>
      <c r="S46" s="32">
        <v>3.8199321405159299E-3</v>
      </c>
      <c r="T46" s="30"/>
      <c r="U46" s="32">
        <v>-5.3196584809522603E-3</v>
      </c>
      <c r="V46" s="30"/>
      <c r="W46" s="32">
        <v>9.9446575143977492E-3</v>
      </c>
      <c r="X46" s="30"/>
      <c r="Y46" s="32">
        <v>6.7779491775356304E-3</v>
      </c>
      <c r="Z46" s="30"/>
      <c r="AA46" s="32">
        <v>-3.3767529661002701E-2</v>
      </c>
      <c r="AB46" s="30"/>
      <c r="AC46" s="32">
        <v>-4.2816393520949202E-2</v>
      </c>
      <c r="AD46" s="30"/>
      <c r="AE46" s="32">
        <v>2.4873119502250102E-2</v>
      </c>
      <c r="AF46" s="30"/>
      <c r="AG46" s="32">
        <v>1.2587939130871801E-2</v>
      </c>
      <c r="AH46" s="30"/>
      <c r="AI46" s="32">
        <v>9.0488638599465505E-3</v>
      </c>
      <c r="AJ46" s="30"/>
      <c r="AK46" s="32">
        <v>4.0545478838538297E-2</v>
      </c>
      <c r="AL46" s="30"/>
      <c r="AM46" s="32">
        <v>5.1871615602404303E-2</v>
      </c>
      <c r="AN46" s="30"/>
      <c r="AO46" s="32">
        <v>-4.7845275635959097E-3</v>
      </c>
      <c r="AP46" s="30"/>
      <c r="AQ46" s="32">
        <v>-6.1165768850913902E-3</v>
      </c>
      <c r="AR46" s="30"/>
      <c r="AS46" s="32">
        <v>-1.1326136763866001E-2</v>
      </c>
      <c r="AT46" s="30"/>
      <c r="AU46" s="32">
        <v>4.8196606932399903E-2</v>
      </c>
      <c r="AV46" s="30"/>
      <c r="AW46" s="32">
        <v>1.40312865915092E-2</v>
      </c>
      <c r="AX46" s="30"/>
      <c r="AY46" s="32">
        <v>3.4165320340890801E-2</v>
      </c>
      <c r="AZ46" s="30"/>
      <c r="BA46" s="32">
        <v>2.51164564809442E-2</v>
      </c>
      <c r="BB46" s="30"/>
      <c r="BC46" s="32">
        <v>-1.74427136489574E-2</v>
      </c>
      <c r="BD46" s="30"/>
      <c r="BE46" s="32"/>
      <c r="BF46" s="30"/>
    </row>
    <row r="47" spans="1:58" x14ac:dyDescent="0.2">
      <c r="A47" s="28">
        <v>2015</v>
      </c>
      <c r="B47" s="28"/>
      <c r="C47" s="32"/>
      <c r="D47" s="30"/>
      <c r="E47" s="32">
        <v>1.5531159281849E-2</v>
      </c>
      <c r="F47" s="30"/>
      <c r="G47" s="32">
        <v>1.34694386944634E-2</v>
      </c>
      <c r="H47" s="30"/>
      <c r="I47" s="32">
        <v>1.2300071579428799E-2</v>
      </c>
      <c r="J47" s="30"/>
      <c r="K47" s="32">
        <v>1.16936711503462E-3</v>
      </c>
      <c r="L47" s="30"/>
      <c r="M47" s="32">
        <v>2.0617205873856201E-3</v>
      </c>
      <c r="N47" s="30"/>
      <c r="O47" s="32">
        <v>6.54249016891082E-3</v>
      </c>
      <c r="P47" s="30"/>
      <c r="Q47" s="32">
        <v>1.5569066347674999E-3</v>
      </c>
      <c r="R47" s="30"/>
      <c r="S47" s="32">
        <v>4.9855835341433303E-3</v>
      </c>
      <c r="T47" s="30"/>
      <c r="U47" s="32">
        <v>-1.20157079664539E-2</v>
      </c>
      <c r="V47" s="30"/>
      <c r="W47" s="32">
        <v>7.5349383849287301E-3</v>
      </c>
      <c r="X47" s="30"/>
      <c r="Y47" s="32">
        <v>-9.8612679126345096E-4</v>
      </c>
      <c r="Z47" s="30"/>
      <c r="AA47" s="32">
        <v>2.4947983638478902E-2</v>
      </c>
      <c r="AB47" s="30"/>
      <c r="AC47" s="32">
        <v>1.9089258689631201E-2</v>
      </c>
      <c r="AD47" s="30"/>
      <c r="AE47" s="32">
        <v>1.3873420296922999E-2</v>
      </c>
      <c r="AF47" s="30"/>
      <c r="AG47" s="32">
        <v>3.3442403619250299E-3</v>
      </c>
      <c r="AH47" s="30"/>
      <c r="AI47" s="32">
        <v>5.85872494884774E-3</v>
      </c>
      <c r="AJ47" s="30"/>
      <c r="AK47" s="32">
        <v>-2.5934110429742401E-2</v>
      </c>
      <c r="AL47" s="30"/>
      <c r="AM47" s="32">
        <v>-9.6879152646607101E-3</v>
      </c>
      <c r="AN47" s="30"/>
      <c r="AO47" s="32">
        <v>2.3944353978367702E-5</v>
      </c>
      <c r="AP47" s="30"/>
      <c r="AQ47" s="32">
        <v>6.2303953152181596E-4</v>
      </c>
      <c r="AR47" s="30"/>
      <c r="AS47" s="32">
        <v>-1.62461951650817E-2</v>
      </c>
      <c r="AT47" s="30"/>
      <c r="AU47" s="32">
        <v>4.2183896090599401E-2</v>
      </c>
      <c r="AV47" s="30"/>
      <c r="AW47" s="32">
        <v>2.00119288633742E-2</v>
      </c>
      <c r="AX47" s="30"/>
      <c r="AY47" s="32">
        <v>2.2171967227225101E-2</v>
      </c>
      <c r="AZ47" s="30"/>
      <c r="BA47" s="32">
        <v>1.63132422783774E-2</v>
      </c>
      <c r="BB47" s="30"/>
      <c r="BC47" s="32">
        <v>-1.56231556335599E-2</v>
      </c>
      <c r="BD47" s="30"/>
      <c r="BE47" s="32"/>
      <c r="BF47" s="30"/>
    </row>
    <row r="48" spans="1:58" x14ac:dyDescent="0.2">
      <c r="A48" s="28">
        <v>2016</v>
      </c>
      <c r="B48" s="28"/>
      <c r="C48" s="32"/>
      <c r="D48" s="30"/>
      <c r="E48" s="32">
        <v>9.8109749395318205E-3</v>
      </c>
      <c r="F48" s="30"/>
      <c r="G48" s="32">
        <v>7.7394944976907796E-3</v>
      </c>
      <c r="H48" s="30"/>
      <c r="I48" s="32">
        <v>6.8762690377129803E-3</v>
      </c>
      <c r="J48" s="30"/>
      <c r="K48" s="32">
        <v>8.6322545997780901E-4</v>
      </c>
      <c r="L48" s="30"/>
      <c r="M48" s="32">
        <v>2.07148044184104E-3</v>
      </c>
      <c r="N48" s="30"/>
      <c r="O48" s="32">
        <v>8.0327728397911399E-3</v>
      </c>
      <c r="P48" s="30"/>
      <c r="Q48" s="32">
        <v>-1.5617085131756E-4</v>
      </c>
      <c r="R48" s="30"/>
      <c r="S48" s="32">
        <v>8.1889436911087004E-3</v>
      </c>
      <c r="T48" s="30"/>
      <c r="U48" s="32">
        <v>-1.1175338790461601E-2</v>
      </c>
      <c r="V48" s="30"/>
      <c r="W48" s="32">
        <v>5.2140463925114998E-3</v>
      </c>
      <c r="X48" s="30"/>
      <c r="Y48" s="32">
        <v>9.3049356870567503E-3</v>
      </c>
      <c r="Z48" s="30"/>
      <c r="AA48" s="32">
        <v>3.7100011921939E-2</v>
      </c>
      <c r="AB48" s="30"/>
      <c r="AC48" s="32">
        <v>2.94995861713368E-2</v>
      </c>
      <c r="AD48" s="30"/>
      <c r="AE48" s="32">
        <v>2.35200049864124E-2</v>
      </c>
      <c r="AF48" s="30"/>
      <c r="AG48" s="32">
        <v>1.7007434756278899E-2</v>
      </c>
      <c r="AH48" s="30"/>
      <c r="AI48" s="32">
        <v>7.6004257506022297E-3</v>
      </c>
      <c r="AJ48" s="30"/>
      <c r="AK48" s="32">
        <v>-2.77950762348823E-2</v>
      </c>
      <c r="AL48" s="30"/>
      <c r="AM48" s="32">
        <v>-1.9550599488091399E-2</v>
      </c>
      <c r="AN48" s="30"/>
      <c r="AO48" s="32">
        <v>-1.11039209260202E-2</v>
      </c>
      <c r="AP48" s="30"/>
      <c r="AQ48" s="32">
        <v>-8.9606326570447602E-3</v>
      </c>
      <c r="AR48" s="30"/>
      <c r="AS48" s="32">
        <v>-8.2444767467908693E-3</v>
      </c>
      <c r="AT48" s="30"/>
      <c r="AU48" s="32">
        <v>4.7496358820885799E-2</v>
      </c>
      <c r="AV48" s="30"/>
      <c r="AW48" s="32">
        <v>1.57722673374819E-2</v>
      </c>
      <c r="AX48" s="30"/>
      <c r="AY48" s="32">
        <v>3.1724091483403903E-2</v>
      </c>
      <c r="AZ48" s="30"/>
      <c r="BA48" s="32">
        <v>2.41236657328017E-2</v>
      </c>
      <c r="BB48" s="30"/>
      <c r="BC48" s="32">
        <v>-1.72051094038356E-2</v>
      </c>
      <c r="BD48" s="30"/>
      <c r="BE48" s="32"/>
      <c r="BF48" s="30"/>
    </row>
    <row r="49" spans="1:58" x14ac:dyDescent="0.2">
      <c r="A49" s="28">
        <v>2017</v>
      </c>
      <c r="B49" s="28"/>
      <c r="C49" s="32"/>
      <c r="D49" s="30"/>
      <c r="E49" s="32">
        <v>1.64906158831328E-2</v>
      </c>
      <c r="F49" s="30"/>
      <c r="G49" s="32">
        <v>9.2299630848355404E-3</v>
      </c>
      <c r="H49" s="30"/>
      <c r="I49" s="32">
        <v>7.5899744348579901E-3</v>
      </c>
      <c r="J49" s="30"/>
      <c r="K49" s="32">
        <v>1.6399886499775501E-3</v>
      </c>
      <c r="L49" s="30"/>
      <c r="M49" s="32">
        <v>7.2606527982973E-3</v>
      </c>
      <c r="N49" s="30"/>
      <c r="O49" s="32">
        <v>1.0989405568823E-2</v>
      </c>
      <c r="P49" s="30"/>
      <c r="Q49" s="32">
        <v>1.40540838413507E-3</v>
      </c>
      <c r="R49" s="30"/>
      <c r="S49" s="32">
        <v>9.5839971846879406E-3</v>
      </c>
      <c r="T49" s="30"/>
      <c r="U49" s="32">
        <v>-3.6088446326973701E-3</v>
      </c>
      <c r="V49" s="30"/>
      <c r="W49" s="32">
        <v>-1.19908137828346E-4</v>
      </c>
      <c r="X49" s="30"/>
      <c r="Y49" s="32">
        <v>-2.2871546173453099E-3</v>
      </c>
      <c r="Z49" s="30"/>
      <c r="AA49" s="32">
        <v>-5.3554967300023602E-3</v>
      </c>
      <c r="AB49" s="30"/>
      <c r="AC49" s="32">
        <v>-3.20979072709835E-3</v>
      </c>
      <c r="AD49" s="30"/>
      <c r="AE49" s="32">
        <v>2.11990056026773E-2</v>
      </c>
      <c r="AF49" s="30"/>
      <c r="AG49" s="32">
        <v>1.60085712502251E-2</v>
      </c>
      <c r="AH49" s="30"/>
      <c r="AI49" s="32">
        <v>-2.1457060029040102E-3</v>
      </c>
      <c r="AJ49" s="30"/>
      <c r="AK49" s="32">
        <v>3.0683421126570598E-3</v>
      </c>
      <c r="AL49" s="30"/>
      <c r="AM49" s="32">
        <v>1.13742653502072E-2</v>
      </c>
      <c r="AN49" s="30"/>
      <c r="AO49" s="32">
        <v>-8.7673272321134796E-3</v>
      </c>
      <c r="AP49" s="30"/>
      <c r="AQ49" s="32">
        <v>-8.7219707594412606E-3</v>
      </c>
      <c r="AR49" s="30"/>
      <c r="AS49" s="32">
        <v>-8.3059232375500992E-3</v>
      </c>
      <c r="AT49" s="30"/>
      <c r="AU49" s="32">
        <v>3.48401998954763E-2</v>
      </c>
      <c r="AV49" s="30"/>
      <c r="AW49" s="32">
        <v>2.0219368653658601E-2</v>
      </c>
      <c r="AX49" s="30"/>
      <c r="AY49" s="32">
        <v>1.46208312418177E-2</v>
      </c>
      <c r="AZ49" s="30"/>
      <c r="BA49" s="32">
        <v>1.6766537244721699E-2</v>
      </c>
      <c r="BB49" s="30"/>
      <c r="BC49" s="32">
        <v>-1.7027893996991401E-2</v>
      </c>
      <c r="BD49" s="30"/>
      <c r="BE49" s="32"/>
      <c r="BF49" s="30"/>
    </row>
    <row r="50" spans="1:58" x14ac:dyDescent="0.2">
      <c r="A50" s="28">
        <v>2018</v>
      </c>
      <c r="B50" s="28"/>
      <c r="C50" s="32"/>
      <c r="D50" s="30"/>
      <c r="E50" s="32">
        <v>1.1884056344224601E-2</v>
      </c>
      <c r="F50" s="30"/>
      <c r="G50" s="32">
        <v>1.37573859035798E-3</v>
      </c>
      <c r="H50" s="30"/>
      <c r="I50" s="32">
        <v>4.3312450292548301E-4</v>
      </c>
      <c r="J50" s="30"/>
      <c r="K50" s="32">
        <v>9.4261408743249704E-4</v>
      </c>
      <c r="L50" s="30"/>
      <c r="M50" s="32">
        <v>1.0508317753866601E-2</v>
      </c>
      <c r="N50" s="30"/>
      <c r="O50" s="32">
        <v>3.7840265673267301E-3</v>
      </c>
      <c r="P50" s="30"/>
      <c r="Q50" s="32">
        <v>2.2480197182649699E-5</v>
      </c>
      <c r="R50" s="30"/>
      <c r="S50" s="32">
        <v>3.76154637014408E-3</v>
      </c>
      <c r="T50" s="30"/>
      <c r="U50" s="32">
        <v>1.3914636214192E-2</v>
      </c>
      <c r="V50" s="30"/>
      <c r="W50" s="32">
        <v>-7.1903450276521001E-3</v>
      </c>
      <c r="X50" s="30"/>
      <c r="Y50" s="32">
        <v>2.1390268738984398E-2</v>
      </c>
      <c r="Z50" s="30"/>
      <c r="AA50" s="32">
        <v>2.4558985439761601E-2</v>
      </c>
      <c r="AB50" s="30"/>
      <c r="AC50" s="32">
        <v>1.2394339109308899E-2</v>
      </c>
      <c r="AD50" s="30"/>
      <c r="AE50" s="32">
        <v>2.2514330363504201E-2</v>
      </c>
      <c r="AF50" s="30"/>
      <c r="AG50" s="32">
        <v>1.3581592057150999E-2</v>
      </c>
      <c r="AH50" s="30"/>
      <c r="AI50" s="32">
        <v>1.2164646330452699E-2</v>
      </c>
      <c r="AJ50" s="30"/>
      <c r="AK50" s="32">
        <v>-3.1687167007771401E-3</v>
      </c>
      <c r="AL50" s="30"/>
      <c r="AM50" s="32">
        <v>-3.4639023292764599E-3</v>
      </c>
      <c r="AN50" s="30"/>
      <c r="AO50" s="32">
        <v>-1.4852931886293301E-2</v>
      </c>
      <c r="AP50" s="30"/>
      <c r="AQ50" s="32">
        <v>-1.54025640025323E-2</v>
      </c>
      <c r="AR50" s="30"/>
      <c r="AS50" s="32">
        <v>2.9518562849932301E-4</v>
      </c>
      <c r="AT50" s="30"/>
      <c r="AU50" s="32">
        <v>3.4467067243050001E-2</v>
      </c>
      <c r="AV50" s="30"/>
      <c r="AW50" s="32">
        <v>5.1597651576847101E-3</v>
      </c>
      <c r="AX50" s="30"/>
      <c r="AY50" s="32">
        <v>2.9307302085365299E-2</v>
      </c>
      <c r="AZ50" s="30"/>
      <c r="BA50" s="32">
        <v>1.7142655754912601E-2</v>
      </c>
      <c r="BB50" s="30"/>
      <c r="BC50" s="32">
        <v>-1.5107378374033E-2</v>
      </c>
      <c r="BD50" s="30"/>
      <c r="BE50" s="32"/>
      <c r="BF50" s="30"/>
    </row>
    <row r="51" spans="1:58" x14ac:dyDescent="0.2">
      <c r="A51" s="28">
        <v>2019</v>
      </c>
      <c r="B51" s="28"/>
      <c r="C51" s="32"/>
      <c r="D51" s="30"/>
      <c r="E51" s="32">
        <v>1.6668765898894301E-2</v>
      </c>
      <c r="F51" s="30"/>
      <c r="G51" s="32">
        <v>8.5201667389702695E-3</v>
      </c>
      <c r="H51" s="30"/>
      <c r="I51" s="32">
        <v>7.2617154158247203E-3</v>
      </c>
      <c r="J51" s="30"/>
      <c r="K51" s="32">
        <v>1.2584513231455501E-3</v>
      </c>
      <c r="L51" s="30"/>
      <c r="M51" s="32">
        <v>8.1485991599240595E-3</v>
      </c>
      <c r="N51" s="30"/>
      <c r="O51" s="32">
        <v>2.1709957825014202E-3</v>
      </c>
      <c r="P51" s="30"/>
      <c r="Q51" s="32">
        <v>-7.9145084111241601E-4</v>
      </c>
      <c r="R51" s="30"/>
      <c r="S51" s="32">
        <v>2.9624466236138299E-3</v>
      </c>
      <c r="T51" s="30"/>
      <c r="U51" s="32">
        <v>4.4061974799844096E-3</v>
      </c>
      <c r="V51" s="30"/>
      <c r="W51" s="32">
        <v>1.57140589743823E-3</v>
      </c>
      <c r="X51" s="30"/>
      <c r="Y51" s="32">
        <v>-5.5155469085747004E-3</v>
      </c>
      <c r="Z51" s="30"/>
      <c r="AA51" s="32">
        <v>-3.55363923899311E-3</v>
      </c>
      <c r="AB51" s="30"/>
      <c r="AC51" s="32">
        <v>1.1311698355174001E-3</v>
      </c>
      <c r="AD51" s="30"/>
      <c r="AE51" s="32">
        <v>1.18462138382886E-2</v>
      </c>
      <c r="AF51" s="30"/>
      <c r="AG51" s="32">
        <v>1.54095745958446E-2</v>
      </c>
      <c r="AH51" s="30"/>
      <c r="AI51" s="32">
        <v>-4.6848090745105096E-3</v>
      </c>
      <c r="AJ51" s="30"/>
      <c r="AK51" s="32">
        <v>-1.96190766958159E-3</v>
      </c>
      <c r="AL51" s="30"/>
      <c r="AM51" s="32">
        <v>2.20079921411013E-3</v>
      </c>
      <c r="AN51" s="30"/>
      <c r="AO51" s="32">
        <v>-8.4457017756247501E-3</v>
      </c>
      <c r="AP51" s="30"/>
      <c r="AQ51" s="32">
        <v>-8.3873712922136294E-3</v>
      </c>
      <c r="AR51" s="30"/>
      <c r="AS51" s="32">
        <v>-4.1627068836917304E-3</v>
      </c>
      <c r="AT51" s="30"/>
      <c r="AU51" s="32">
        <v>1.9297099686240601E-2</v>
      </c>
      <c r="AV51" s="30"/>
      <c r="AW51" s="32">
        <v>1.06911625214717E-2</v>
      </c>
      <c r="AX51" s="30"/>
      <c r="AY51" s="32">
        <v>8.6059371647688801E-3</v>
      </c>
      <c r="AZ51" s="30"/>
      <c r="BA51" s="32">
        <v>1.3290746239279399E-2</v>
      </c>
      <c r="BB51" s="30"/>
      <c r="BC51" s="32">
        <v>-1.2550078175905401E-2</v>
      </c>
      <c r="BD51" s="30"/>
      <c r="BE51" s="32"/>
      <c r="BF51" s="30"/>
    </row>
    <row r="52" spans="1:58" x14ac:dyDescent="0.2">
      <c r="A52" s="28">
        <v>2020</v>
      </c>
      <c r="B52" s="28"/>
      <c r="C52" s="32"/>
      <c r="D52" s="30"/>
      <c r="E52" s="32">
        <v>-4.4337974063462203E-3</v>
      </c>
      <c r="F52" s="30"/>
      <c r="G52" s="32">
        <v>-1.5059753566346999E-2</v>
      </c>
      <c r="H52" s="30"/>
      <c r="I52" s="32">
        <v>-1.9271226847362599E-2</v>
      </c>
      <c r="J52" s="30"/>
      <c r="K52" s="32">
        <v>4.2114732810155896E-3</v>
      </c>
      <c r="L52" s="30"/>
      <c r="M52" s="32">
        <v>1.06259561600008E-2</v>
      </c>
      <c r="N52" s="30"/>
      <c r="O52" s="32">
        <v>-1.6060090612655001E-3</v>
      </c>
      <c r="P52" s="30"/>
      <c r="Q52" s="32">
        <v>-9.3520227996233705E-4</v>
      </c>
      <c r="R52" s="30"/>
      <c r="S52" s="32">
        <v>-6.7080678130315903E-4</v>
      </c>
      <c r="T52" s="30"/>
      <c r="U52" s="32">
        <v>-7.6228737695920902E-3</v>
      </c>
      <c r="V52" s="30"/>
      <c r="W52" s="32">
        <v>1.9854838990858398E-2</v>
      </c>
      <c r="X52" s="30"/>
      <c r="Y52" s="32">
        <v>-1.8118782460664999E-2</v>
      </c>
      <c r="Z52" s="30"/>
      <c r="AA52" s="32">
        <v>-3.38601831370293E-2</v>
      </c>
      <c r="AB52" s="30"/>
      <c r="AC52" s="32">
        <v>-1.00286306852781E-2</v>
      </c>
      <c r="AD52" s="30"/>
      <c r="AE52" s="32">
        <v>-9.3040293355344892E-3</v>
      </c>
      <c r="AF52" s="30"/>
      <c r="AG52" s="32">
        <v>-8.4867480357896496E-3</v>
      </c>
      <c r="AH52" s="30"/>
      <c r="AI52" s="32">
        <v>-2.3831552451751201E-2</v>
      </c>
      <c r="AJ52" s="30"/>
      <c r="AK52" s="32">
        <v>1.5741400676364301E-2</v>
      </c>
      <c r="AL52" s="30"/>
      <c r="AM52" s="32">
        <v>8.1194960956772998E-3</v>
      </c>
      <c r="AN52" s="30"/>
      <c r="AO52" s="32">
        <v>2.17091216409304E-2</v>
      </c>
      <c r="AP52" s="30"/>
      <c r="AQ52" s="32">
        <v>1.96134035144627E-2</v>
      </c>
      <c r="AR52" s="30"/>
      <c r="AS52" s="32">
        <v>7.6219045806870502E-3</v>
      </c>
      <c r="AT52" s="30"/>
      <c r="AU52" s="32">
        <v>-4.2165014192568899E-2</v>
      </c>
      <c r="AV52" s="30"/>
      <c r="AW52" s="32">
        <v>-1.6665762627612501E-2</v>
      </c>
      <c r="AX52" s="30"/>
      <c r="AY52" s="32">
        <v>-2.5499251564956402E-2</v>
      </c>
      <c r="AZ52" s="30"/>
      <c r="BA52" s="32">
        <v>-1.66769911320515E-3</v>
      </c>
      <c r="BB52" s="30"/>
      <c r="BC52" s="32">
        <v>2.7235308095149801E-2</v>
      </c>
      <c r="BD52" s="30"/>
      <c r="BE52" s="32"/>
      <c r="BF52" s="30"/>
    </row>
    <row r="53" spans="1:58" x14ac:dyDescent="0.2">
      <c r="A53" s="28">
        <v>2021</v>
      </c>
      <c r="B53" s="28"/>
      <c r="C53" s="32"/>
      <c r="D53" s="30"/>
      <c r="E53" s="32">
        <v>4.6970459864683701E-3</v>
      </c>
      <c r="F53" s="30"/>
      <c r="G53" s="32">
        <v>1.46159159283761E-2</v>
      </c>
      <c r="H53" s="30"/>
      <c r="I53" s="32">
        <v>1.10127339379496E-2</v>
      </c>
      <c r="J53" s="30"/>
      <c r="K53" s="32">
        <v>3.6031819904265099E-3</v>
      </c>
      <c r="L53" s="30"/>
      <c r="M53" s="32">
        <v>-9.9188699419076997E-3</v>
      </c>
      <c r="N53" s="30"/>
      <c r="O53" s="32">
        <v>9.8406646866160703E-3</v>
      </c>
      <c r="P53" s="30"/>
      <c r="Q53" s="32">
        <v>-2.8444905691035502E-3</v>
      </c>
      <c r="R53" s="30"/>
      <c r="S53" s="32">
        <v>1.26851552557196E-2</v>
      </c>
      <c r="T53" s="30"/>
      <c r="U53" s="32">
        <v>-4.75556717654758E-3</v>
      </c>
      <c r="V53" s="30"/>
      <c r="W53" s="32">
        <v>-1.50039674519762E-2</v>
      </c>
      <c r="X53" s="30"/>
      <c r="Y53" s="32">
        <v>5.7065237869829998E-2</v>
      </c>
      <c r="Z53" s="30"/>
      <c r="AA53" s="32">
        <v>8.6643884603918905E-2</v>
      </c>
      <c r="AB53" s="30"/>
      <c r="AC53" s="32">
        <v>6.5324145594216301E-2</v>
      </c>
      <c r="AD53" s="30"/>
      <c r="AE53" s="32">
        <v>4.9275692551213397E-2</v>
      </c>
      <c r="AF53" s="30"/>
      <c r="AG53" s="32">
        <v>4.0145427972715197E-2</v>
      </c>
      <c r="AH53" s="30"/>
      <c r="AI53" s="32">
        <v>2.13197390097025E-2</v>
      </c>
      <c r="AJ53" s="30"/>
      <c r="AK53" s="32">
        <v>-2.9578646734088901E-2</v>
      </c>
      <c r="AL53" s="30"/>
      <c r="AM53" s="32">
        <v>-1.7215855398515601E-2</v>
      </c>
      <c r="AN53" s="30"/>
      <c r="AO53" s="32">
        <v>-1.24953591627005E-2</v>
      </c>
      <c r="AP53" s="30"/>
      <c r="AQ53" s="32">
        <v>-1.158179539211E-2</v>
      </c>
      <c r="AR53" s="30"/>
      <c r="AS53" s="32">
        <v>-1.23627913355733E-2</v>
      </c>
      <c r="AT53" s="30"/>
      <c r="AU53" s="32">
        <v>9.0462437760529202E-2</v>
      </c>
      <c r="AV53" s="30"/>
      <c r="AW53" s="32">
        <v>2.4456580614992202E-2</v>
      </c>
      <c r="AX53" s="30"/>
      <c r="AY53" s="32">
        <v>6.6005857145537097E-2</v>
      </c>
      <c r="AZ53" s="30"/>
      <c r="BA53" s="32">
        <v>4.46861181358345E-2</v>
      </c>
      <c r="BB53" s="30"/>
      <c r="BC53" s="32">
        <v>-2.3944586727683299E-2</v>
      </c>
      <c r="BD53" s="30"/>
      <c r="BE53" s="32"/>
      <c r="BF53" s="30"/>
    </row>
    <row r="54" spans="1:58" x14ac:dyDescent="0.2">
      <c r="A54" s="28">
        <v>2022</v>
      </c>
      <c r="B54" s="28"/>
      <c r="C54" s="32"/>
      <c r="D54" s="30"/>
      <c r="E54" s="32">
        <v>2.2092373917258198E-2</v>
      </c>
      <c r="F54" s="30"/>
      <c r="G54" s="32">
        <v>2.2670844298562101E-2</v>
      </c>
      <c r="H54" s="30"/>
      <c r="I54" s="32">
        <v>2.3350677874143199E-2</v>
      </c>
      <c r="J54" s="30"/>
      <c r="K54" s="32">
        <v>-6.7983357558107805E-4</v>
      </c>
      <c r="L54" s="30"/>
      <c r="M54" s="32">
        <v>-5.7847038130391898E-4</v>
      </c>
      <c r="N54" s="30"/>
      <c r="O54" s="32">
        <v>2.6646105814488999E-3</v>
      </c>
      <c r="P54" s="30"/>
      <c r="Q54" s="32">
        <v>-5.84728546636459E-3</v>
      </c>
      <c r="R54" s="30"/>
      <c r="S54" s="32">
        <v>8.5118960478134803E-3</v>
      </c>
      <c r="T54" s="30"/>
      <c r="U54" s="32">
        <v>5.9809885480707602E-3</v>
      </c>
      <c r="V54" s="30"/>
      <c r="W54" s="32">
        <v>-9.2240695108235706E-3</v>
      </c>
      <c r="X54" s="30"/>
      <c r="Y54" s="32">
        <v>1.3250655229539301E-2</v>
      </c>
      <c r="Z54" s="30"/>
      <c r="AA54" s="32">
        <v>4.9201362735511303E-2</v>
      </c>
      <c r="AB54" s="30"/>
      <c r="AC54" s="32">
        <v>3.3775594925139901E-2</v>
      </c>
      <c r="AD54" s="30"/>
      <c r="AE54" s="32">
        <v>2.0087132012466501E-2</v>
      </c>
      <c r="AF54" s="30"/>
      <c r="AG54" s="32">
        <v>1.5755456056799101E-2</v>
      </c>
      <c r="AH54" s="30"/>
      <c r="AI54" s="32">
        <v>1.54257678103714E-2</v>
      </c>
      <c r="AJ54" s="30"/>
      <c r="AK54" s="32">
        <v>-3.5950707505971999E-2</v>
      </c>
      <c r="AL54" s="30"/>
      <c r="AM54" s="32">
        <v>-2.8581244129234198E-2</v>
      </c>
      <c r="AN54" s="30"/>
      <c r="AO54" s="32">
        <v>-2.23966685781492E-2</v>
      </c>
      <c r="AP54" s="30"/>
      <c r="AQ54" s="32">
        <v>-2.1361550072951999E-2</v>
      </c>
      <c r="AR54" s="30"/>
      <c r="AS54" s="32">
        <v>-7.3694633767377397E-3</v>
      </c>
      <c r="AT54" s="30"/>
      <c r="AU54" s="32">
        <v>5.8093054048416498E-2</v>
      </c>
      <c r="AV54" s="30"/>
      <c r="AW54" s="32">
        <v>2.5335454880010998E-2</v>
      </c>
      <c r="AX54" s="30"/>
      <c r="AY54" s="32">
        <v>3.2757599168405503E-2</v>
      </c>
      <c r="AZ54" s="30"/>
      <c r="BA54" s="32">
        <v>1.7331831358034101E-2</v>
      </c>
      <c r="BB54" s="30"/>
      <c r="BC54" s="32">
        <v>-2.8731013449689799E-2</v>
      </c>
      <c r="BD54" s="30"/>
      <c r="BE54" s="32"/>
      <c r="BF54" s="30"/>
    </row>
    <row r="55" spans="1:58" x14ac:dyDescent="0.2">
      <c r="A55" s="28">
        <v>2023</v>
      </c>
      <c r="B55" s="28"/>
      <c r="C55" s="32"/>
      <c r="D55" s="30"/>
      <c r="E55" s="32">
        <v>2.8353339891006E-2</v>
      </c>
      <c r="F55" s="30"/>
      <c r="G55" s="32">
        <v>8.3995148449442295E-3</v>
      </c>
      <c r="H55" s="30"/>
      <c r="I55" s="32">
        <v>6.78402208496043E-3</v>
      </c>
      <c r="J55" s="30"/>
      <c r="K55" s="32">
        <v>1.6154927599837999E-3</v>
      </c>
      <c r="L55" s="30"/>
      <c r="M55" s="32">
        <v>1.9953825046061802E-2</v>
      </c>
      <c r="N55" s="30"/>
      <c r="O55" s="32">
        <v>5.8201108266637096E-3</v>
      </c>
      <c r="P55" s="30"/>
      <c r="Q55" s="32">
        <v>-1.16308869141081E-3</v>
      </c>
      <c r="R55" s="30"/>
      <c r="S55" s="32">
        <v>6.9831995180745102E-3</v>
      </c>
      <c r="T55" s="30"/>
      <c r="U55" s="32">
        <v>1.4826339873845301E-2</v>
      </c>
      <c r="V55" s="30"/>
      <c r="W55" s="32">
        <v>-6.9262565444722101E-4</v>
      </c>
      <c r="X55" s="30"/>
      <c r="Y55" s="32">
        <v>-2.00977311627667E-2</v>
      </c>
      <c r="Z55" s="30"/>
      <c r="AA55" s="32">
        <v>-1.9871382114088499E-2</v>
      </c>
      <c r="AB55" s="30"/>
      <c r="AC55" s="32">
        <v>-1.80516068132998E-2</v>
      </c>
      <c r="AD55" s="30"/>
      <c r="AE55" s="32">
        <v>-1.75848925131891E-2</v>
      </c>
      <c r="AF55" s="30"/>
      <c r="AG55" s="32">
        <v>4.0334261299935902E-3</v>
      </c>
      <c r="AH55" s="30"/>
      <c r="AI55" s="32">
        <v>-1.81977530078862E-3</v>
      </c>
      <c r="AJ55" s="30"/>
      <c r="AK55" s="32">
        <v>-2.2634904867828499E-4</v>
      </c>
      <c r="AL55" s="30"/>
      <c r="AM55" s="32">
        <v>2.0785156172362998E-3</v>
      </c>
      <c r="AN55" s="30"/>
      <c r="AO55" s="32">
        <v>-3.56701092888329E-3</v>
      </c>
      <c r="AP55" s="30"/>
      <c r="AQ55" s="32">
        <v>-2.2988877793780099E-3</v>
      </c>
      <c r="AR55" s="30"/>
      <c r="AS55" s="32">
        <v>-2.3048646659145902E-3</v>
      </c>
      <c r="AT55" s="30"/>
      <c r="AU55" s="32">
        <v>-1.96697870031342E-3</v>
      </c>
      <c r="AV55" s="30"/>
      <c r="AW55" s="32">
        <v>1.4219625671607901E-2</v>
      </c>
      <c r="AX55" s="30"/>
      <c r="AY55" s="32">
        <v>-1.61866043719214E-2</v>
      </c>
      <c r="AZ55" s="30"/>
      <c r="BA55" s="32">
        <v>-1.43668290711327E-2</v>
      </c>
      <c r="BB55" s="30"/>
      <c r="BC55" s="32">
        <v>-4.6037524452925997E-3</v>
      </c>
      <c r="BD55" s="30"/>
      <c r="BE55" s="32"/>
      <c r="BF55" s="30"/>
    </row>
    <row r="56" spans="1:58" x14ac:dyDescent="0.2">
      <c r="A56" s="28">
        <v>2024</v>
      </c>
      <c r="B56" s="28"/>
      <c r="C56" s="32"/>
      <c r="D56" s="30"/>
      <c r="E56" s="32">
        <v>5.4502473319565396E-3</v>
      </c>
      <c r="F56" s="30"/>
      <c r="G56" s="32">
        <v>1.3172426788183001E-2</v>
      </c>
      <c r="H56" s="30"/>
      <c r="I56" s="32">
        <v>1.16443541255909E-2</v>
      </c>
      <c r="J56" s="30"/>
      <c r="K56" s="32">
        <v>1.5280726625920499E-3</v>
      </c>
      <c r="L56" s="30"/>
      <c r="M56" s="32">
        <v>-7.7221794562264299E-3</v>
      </c>
      <c r="N56" s="30"/>
      <c r="O56" s="32">
        <v>1.2479056198868999E-3</v>
      </c>
      <c r="P56" s="30"/>
      <c r="Q56" s="32">
        <v>-1.11433347986931E-3</v>
      </c>
      <c r="R56" s="30"/>
      <c r="S56" s="32">
        <v>2.3622390997562102E-3</v>
      </c>
      <c r="T56" s="30"/>
      <c r="U56" s="32">
        <v>-5.97533055276588E-3</v>
      </c>
      <c r="V56" s="30"/>
      <c r="W56" s="32">
        <v>-2.9947545233474501E-3</v>
      </c>
      <c r="X56" s="30"/>
      <c r="Y56" s="32">
        <v>8.4530891869939399E-3</v>
      </c>
      <c r="Z56" s="30"/>
      <c r="AA56" s="32">
        <v>1.1992424170683099E-2</v>
      </c>
      <c r="AB56" s="30"/>
      <c r="AC56" s="32">
        <v>-9.6567936456127396E-4</v>
      </c>
      <c r="AD56" s="30"/>
      <c r="AE56" s="32">
        <v>1.10846191549657E-2</v>
      </c>
      <c r="AF56" s="30"/>
      <c r="AG56" s="32">
        <v>1.9118438361218199E-2</v>
      </c>
      <c r="AH56" s="30"/>
      <c r="AI56" s="32">
        <v>1.2958103535244399E-2</v>
      </c>
      <c r="AJ56" s="30"/>
      <c r="AK56" s="32">
        <v>-3.53933498368914E-3</v>
      </c>
      <c r="AL56" s="30"/>
      <c r="AM56" s="32">
        <v>4.47692180389812E-3</v>
      </c>
      <c r="AN56" s="30"/>
      <c r="AO56" s="32">
        <v>-1.18946682197461E-2</v>
      </c>
      <c r="AP56" s="30"/>
      <c r="AQ56" s="32">
        <v>-1.1702996639391601E-2</v>
      </c>
      <c r="AR56" s="30"/>
      <c r="AS56" s="32">
        <v>-8.0162567875872604E-3</v>
      </c>
      <c r="AT56" s="30"/>
      <c r="AU56" s="32">
        <v>3.9597920498695198E-2</v>
      </c>
      <c r="AV56" s="30"/>
      <c r="AW56" s="32">
        <v>1.44203324080699E-2</v>
      </c>
      <c r="AX56" s="30"/>
      <c r="AY56" s="32">
        <v>2.51775880906254E-2</v>
      </c>
      <c r="AZ56" s="30"/>
      <c r="BA56" s="32">
        <v>1.2219484555381001E-2</v>
      </c>
      <c r="BB56" s="30"/>
      <c r="BC56" s="32">
        <v>-1.9719253426978899E-2</v>
      </c>
      <c r="BD56" s="30"/>
      <c r="BE56" s="32"/>
      <c r="BF56" s="30"/>
    </row>
    <row r="57" spans="1:58" x14ac:dyDescent="0.2">
      <c r="A57" s="28">
        <v>2025</v>
      </c>
      <c r="B57" s="28"/>
      <c r="C57" s="32"/>
      <c r="D57" s="30"/>
      <c r="E57" s="32">
        <v>3.6160638780701797E-2</v>
      </c>
      <c r="F57" s="30"/>
      <c r="G57" s="32">
        <v>8.7511721360532604E-3</v>
      </c>
      <c r="H57" s="30"/>
      <c r="I57" s="32">
        <v>7.6172294471261604E-3</v>
      </c>
      <c r="J57" s="30"/>
      <c r="K57" s="32">
        <v>1.1339426889271E-3</v>
      </c>
      <c r="L57" s="30"/>
      <c r="M57" s="32">
        <v>2.7409466644648599E-2</v>
      </c>
      <c r="N57" s="30"/>
      <c r="O57" s="32">
        <v>-1.41702675310809E-3</v>
      </c>
      <c r="P57" s="30"/>
      <c r="Q57" s="32">
        <v>-3.6000013000973998E-4</v>
      </c>
      <c r="R57" s="30"/>
      <c r="S57" s="32">
        <v>-1.05702662309835E-3</v>
      </c>
      <c r="T57" s="30"/>
      <c r="U57" s="32">
        <v>1.51338325563522E-2</v>
      </c>
      <c r="V57" s="30"/>
      <c r="W57" s="32">
        <v>1.36926608414045E-2</v>
      </c>
      <c r="X57" s="30"/>
      <c r="Y57" s="32">
        <v>-2.3159859706016101E-2</v>
      </c>
      <c r="Z57" s="30"/>
      <c r="AA57" s="32">
        <v>3.42211520092729E-2</v>
      </c>
      <c r="AB57" s="30"/>
      <c r="AC57" s="32">
        <v>3.6587948613460597E-2</v>
      </c>
      <c r="AD57" s="30"/>
      <c r="AE57" s="32">
        <v>1.8468052030823599E-2</v>
      </c>
      <c r="AF57" s="30"/>
      <c r="AG57" s="32">
        <v>6.4811281280063903E-3</v>
      </c>
      <c r="AH57" s="30"/>
      <c r="AI57" s="32">
        <v>-2.36679660418764E-3</v>
      </c>
      <c r="AJ57" s="30"/>
      <c r="AK57" s="32">
        <v>-5.7381011715288997E-2</v>
      </c>
      <c r="AL57" s="30"/>
      <c r="AM57" s="32">
        <v>-6.3837309634950004E-2</v>
      </c>
      <c r="AN57" s="30"/>
      <c r="AO57" s="32">
        <v>-2.5130681610400701E-2</v>
      </c>
      <c r="AP57" s="30"/>
      <c r="AQ57" s="32">
        <v>-2.21612741062923E-2</v>
      </c>
      <c r="AR57" s="30"/>
      <c r="AS57" s="32">
        <v>6.4562979196610103E-3</v>
      </c>
      <c r="AT57" s="30"/>
      <c r="AU57" s="32">
        <v>1.3571922704964901E-2</v>
      </c>
      <c r="AV57" s="30"/>
      <c r="AW57" s="32">
        <v>7.3341453829451602E-3</v>
      </c>
      <c r="AX57" s="30"/>
      <c r="AY57" s="32">
        <v>6.2377773220197198E-3</v>
      </c>
      <c r="AZ57" s="30"/>
      <c r="BA57" s="32">
        <v>8.6045739262073703E-3</v>
      </c>
      <c r="BB57" s="30"/>
      <c r="BC57" s="32">
        <v>-1.57049761866313E-2</v>
      </c>
      <c r="BD57" s="30"/>
      <c r="BE57" s="32"/>
      <c r="BF57" s="30"/>
    </row>
    <row r="58" spans="1:58" x14ac:dyDescent="0.2">
      <c r="A58" s="28"/>
      <c r="B58" s="28"/>
      <c r="C58" s="32"/>
      <c r="D58" s="30"/>
      <c r="E58" s="32"/>
      <c r="F58" s="30"/>
      <c r="G58" s="32"/>
      <c r="H58" s="30"/>
      <c r="I58" s="32"/>
      <c r="J58" s="30"/>
      <c r="K58" s="32"/>
      <c r="L58" s="30"/>
      <c r="M58" s="32"/>
      <c r="N58" s="30"/>
      <c r="O58" s="32"/>
      <c r="P58" s="30"/>
      <c r="Q58" s="32"/>
      <c r="R58" s="30"/>
      <c r="S58" s="32"/>
      <c r="T58" s="30"/>
      <c r="U58" s="32"/>
      <c r="V58" s="30"/>
      <c r="W58" s="32"/>
      <c r="X58" s="30"/>
      <c r="Y58" s="32"/>
      <c r="Z58" s="30"/>
      <c r="AA58" s="32"/>
      <c r="AB58" s="30"/>
      <c r="AC58" s="32"/>
      <c r="AD58" s="30"/>
      <c r="AE58" s="32"/>
      <c r="AF58" s="30"/>
      <c r="AG58" s="32"/>
      <c r="AH58" s="30"/>
      <c r="AI58" s="32"/>
      <c r="AJ58" s="30"/>
      <c r="AK58" s="32"/>
      <c r="AL58" s="30"/>
      <c r="AM58" s="32"/>
      <c r="AN58" s="30"/>
      <c r="AO58" s="32"/>
      <c r="AP58" s="30"/>
      <c r="AQ58" s="32"/>
      <c r="AR58" s="30"/>
      <c r="AS58" s="32"/>
      <c r="AT58" s="30"/>
      <c r="AU58" s="32"/>
      <c r="AV58" s="30"/>
      <c r="AW58" s="32"/>
      <c r="AX58" s="30"/>
      <c r="AY58" s="32"/>
      <c r="AZ58" s="30"/>
      <c r="BA58" s="32"/>
      <c r="BB58" s="30"/>
      <c r="BC58" s="32"/>
      <c r="BD58" s="30"/>
      <c r="BE58" s="32"/>
      <c r="BF58" s="30"/>
    </row>
  </sheetData>
  <sheetProtection password="DD0B" sheet="1"/>
  <mergeCells count="65">
    <mergeCell ref="BC6:BD10"/>
    <mergeCell ref="BA7:BB10"/>
    <mergeCell ref="AU6:AV10"/>
    <mergeCell ref="AS11:AT11"/>
    <mergeCell ref="AS7:AT10"/>
    <mergeCell ref="AU11:AV11"/>
    <mergeCell ref="AW11:AX11"/>
    <mergeCell ref="AY11:AZ11"/>
    <mergeCell ref="BA11:BB11"/>
    <mergeCell ref="BC11:BD11"/>
    <mergeCell ref="AM11:AN11"/>
    <mergeCell ref="AO11:AP11"/>
    <mergeCell ref="AM8:AN10"/>
    <mergeCell ref="AO8:AP10"/>
    <mergeCell ref="AQ8:AR10"/>
    <mergeCell ref="O11:P11"/>
    <mergeCell ref="Q11:R11"/>
    <mergeCell ref="S11:T11"/>
    <mergeCell ref="AU5:BB5"/>
    <mergeCell ref="AW6:AX10"/>
    <mergeCell ref="AY6:AZ10"/>
    <mergeCell ref="AQ11:AR11"/>
    <mergeCell ref="U11:V11"/>
    <mergeCell ref="W11:X11"/>
    <mergeCell ref="Y11:Z11"/>
    <mergeCell ref="AA11:AB11"/>
    <mergeCell ref="AC11:AD11"/>
    <mergeCell ref="AE11:AF11"/>
    <mergeCell ref="AG11:AH11"/>
    <mergeCell ref="AI11:AJ11"/>
    <mergeCell ref="AK11:AL11"/>
    <mergeCell ref="C11:D11"/>
    <mergeCell ref="E11:F11"/>
    <mergeCell ref="G11:H11"/>
    <mergeCell ref="I11:J11"/>
    <mergeCell ref="K11:L11"/>
    <mergeCell ref="M11:N11"/>
    <mergeCell ref="G7:H10"/>
    <mergeCell ref="I7:J10"/>
    <mergeCell ref="K7:L10"/>
    <mergeCell ref="M7:N10"/>
    <mergeCell ref="C4:AT4"/>
    <mergeCell ref="C5:D10"/>
    <mergeCell ref="E5:X5"/>
    <mergeCell ref="Y5:AT5"/>
    <mergeCell ref="E6:F10"/>
    <mergeCell ref="G6:L6"/>
    <mergeCell ref="AC7:AH7"/>
    <mergeCell ref="AI7:AJ10"/>
    <mergeCell ref="AK7:AL10"/>
    <mergeCell ref="AM7:AR7"/>
    <mergeCell ref="M6:X6"/>
    <mergeCell ref="Y6:Z10"/>
    <mergeCell ref="AA6:AJ6"/>
    <mergeCell ref="AK6:AT6"/>
    <mergeCell ref="U7:V10"/>
    <mergeCell ref="O8:P10"/>
    <mergeCell ref="Q8:R10"/>
    <mergeCell ref="S8:T10"/>
    <mergeCell ref="AC8:AD10"/>
    <mergeCell ref="AG8:AH10"/>
    <mergeCell ref="O7:T7"/>
    <mergeCell ref="AE8:AF10"/>
    <mergeCell ref="W7:X10"/>
    <mergeCell ref="AA7:AB10"/>
  </mergeCell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le01"/>
  <dimension ref="A1:BG57"/>
  <sheetViews>
    <sheetView topLeftCell="AO1" workbookViewId="0">
      <pane ySplit="4" topLeftCell="A5" activePane="bottomLeft" state="frozen"/>
      <selection pane="bottomLeft" activeCell="BC18" sqref="BC18"/>
    </sheetView>
  </sheetViews>
  <sheetFormatPr baseColWidth="10" defaultRowHeight="10" x14ac:dyDescent="0.2"/>
  <cols>
    <col min="1" max="256" width="10.33203125" customWidth="1"/>
  </cols>
  <sheetData>
    <row r="1" spans="1:59" ht="11.25" customHeight="1" x14ac:dyDescent="0.2">
      <c r="A1" s="26" t="s">
        <v>21</v>
      </c>
      <c r="C1" s="24">
        <v>4</v>
      </c>
    </row>
    <row r="2" spans="1:59" ht="11.25" customHeight="1" x14ac:dyDescent="0.2">
      <c r="A2" s="26" t="s">
        <v>22</v>
      </c>
    </row>
    <row r="3" spans="1:59" ht="11.25" customHeight="1" x14ac:dyDescent="0.2">
      <c r="A3" s="26" t="s">
        <v>23</v>
      </c>
    </row>
    <row r="4" spans="1:59" ht="11.25" customHeight="1" x14ac:dyDescent="0.2">
      <c r="A4" s="26" t="s">
        <v>24</v>
      </c>
    </row>
    <row r="11" spans="1:59" ht="11.25" customHeight="1" x14ac:dyDescent="0.25">
      <c r="A11" s="25" t="s">
        <v>21</v>
      </c>
    </row>
    <row r="12" spans="1:59" ht="11.25" customHeight="1" x14ac:dyDescent="0.2">
      <c r="A12" s="26" t="s">
        <v>74</v>
      </c>
      <c r="B12" s="26" t="s">
        <v>75</v>
      </c>
    </row>
    <row r="13" spans="1:59" ht="11.25" customHeight="1" x14ac:dyDescent="0.2">
      <c r="A13" s="26" t="s">
        <v>105</v>
      </c>
      <c r="B13" s="26" t="s">
        <v>106</v>
      </c>
    </row>
    <row r="14" spans="1:59" ht="11.25" customHeight="1" x14ac:dyDescent="0.2">
      <c r="A14" s="26" t="s">
        <v>156</v>
      </c>
      <c r="B14" s="26" t="s">
        <v>157</v>
      </c>
    </row>
    <row r="15" spans="1:59" ht="11.25" customHeight="1" x14ac:dyDescent="0.2">
      <c r="A15" s="26" t="s">
        <v>103</v>
      </c>
      <c r="B15" s="26" t="s">
        <v>104</v>
      </c>
    </row>
    <row r="16" spans="1:59" ht="11.25" customHeight="1" x14ac:dyDescent="0.2">
      <c r="C16" s="26" t="s">
        <v>11</v>
      </c>
      <c r="BC16" s="24" t="s">
        <v>10</v>
      </c>
      <c r="BE16" s="26" t="s">
        <v>10</v>
      </c>
      <c r="BG16" s="26" t="s">
        <v>10</v>
      </c>
    </row>
    <row r="17" spans="1:55" ht="11.25" customHeight="1" x14ac:dyDescent="0.2">
      <c r="A17" s="26" t="s">
        <v>98</v>
      </c>
      <c r="B17" s="26" t="s">
        <v>98</v>
      </c>
      <c r="E17" s="26" t="s">
        <v>14</v>
      </c>
      <c r="Y17" s="24" t="s">
        <v>113</v>
      </c>
      <c r="AU17" s="24" t="s">
        <v>137</v>
      </c>
    </row>
    <row r="18" spans="1:55" ht="11.25" customHeight="1" x14ac:dyDescent="0.2">
      <c r="G18" s="26" t="s">
        <v>82</v>
      </c>
      <c r="M18" s="26" t="s">
        <v>12</v>
      </c>
      <c r="AA18" s="24" t="s">
        <v>83</v>
      </c>
      <c r="AK18" s="24" t="s">
        <v>84</v>
      </c>
      <c r="AW18" s="24" t="s">
        <v>13</v>
      </c>
      <c r="AY18" s="24" t="s">
        <v>165</v>
      </c>
      <c r="BC18" s="24" t="s">
        <v>166</v>
      </c>
    </row>
    <row r="19" spans="1:55" ht="11.25" customHeight="1" x14ac:dyDescent="0.2">
      <c r="I19" s="26" t="s">
        <v>85</v>
      </c>
      <c r="K19" s="26" t="s">
        <v>86</v>
      </c>
      <c r="O19" s="26" t="s">
        <v>15</v>
      </c>
      <c r="U19" s="24" t="s">
        <v>162</v>
      </c>
      <c r="W19" s="24" t="s">
        <v>114</v>
      </c>
      <c r="AA19" s="24" t="s">
        <v>49</v>
      </c>
      <c r="AC19" s="24" t="s">
        <v>87</v>
      </c>
      <c r="AI19" s="24" t="s">
        <v>163</v>
      </c>
      <c r="AM19" s="24" t="s">
        <v>88</v>
      </c>
      <c r="AS19" s="24" t="s">
        <v>164</v>
      </c>
      <c r="BA19" s="24" t="s">
        <v>147</v>
      </c>
    </row>
    <row r="20" spans="1:55" ht="11.25" customHeight="1" x14ac:dyDescent="0.2">
      <c r="Q20" s="26" t="s">
        <v>89</v>
      </c>
      <c r="S20" s="24" t="s">
        <v>90</v>
      </c>
      <c r="W20" s="24" t="s">
        <v>10</v>
      </c>
      <c r="AE20" s="24" t="s">
        <v>118</v>
      </c>
      <c r="AG20" s="24" t="s">
        <v>122</v>
      </c>
      <c r="AK20" s="24" t="s">
        <v>49</v>
      </c>
      <c r="AO20" s="24" t="s">
        <v>129</v>
      </c>
      <c r="AQ20" s="24" t="s">
        <v>133</v>
      </c>
    </row>
    <row r="21" spans="1:55" ht="11.25" customHeight="1" x14ac:dyDescent="0.2">
      <c r="A21" s="26" t="s">
        <v>25</v>
      </c>
      <c r="B21" s="26" t="s">
        <v>26</v>
      </c>
    </row>
    <row r="23" spans="1:55" ht="11.25" customHeight="1" x14ac:dyDescent="0.25">
      <c r="A23" s="25" t="s">
        <v>22</v>
      </c>
    </row>
    <row r="24" spans="1:55" ht="11.25" customHeight="1" x14ac:dyDescent="0.2">
      <c r="A24" s="26" t="s">
        <v>77</v>
      </c>
      <c r="B24" s="26" t="s">
        <v>76</v>
      </c>
    </row>
    <row r="25" spans="1:55" ht="11.25" customHeight="1" x14ac:dyDescent="0.2">
      <c r="A25" s="26" t="s">
        <v>101</v>
      </c>
      <c r="B25" s="26" t="s">
        <v>102</v>
      </c>
    </row>
    <row r="26" spans="1:55" ht="11.25" customHeight="1" x14ac:dyDescent="0.2">
      <c r="A26" s="26" t="s">
        <v>158</v>
      </c>
      <c r="B26" s="26" t="s">
        <v>159</v>
      </c>
    </row>
    <row r="27" spans="1:55" ht="11.25" customHeight="1" x14ac:dyDescent="0.2">
      <c r="A27" s="26" t="s">
        <v>73</v>
      </c>
      <c r="B27" s="26" t="s">
        <v>45</v>
      </c>
    </row>
    <row r="28" spans="1:55" ht="11.25" customHeight="1" x14ac:dyDescent="0.2">
      <c r="A28" s="24" t="s">
        <v>10</v>
      </c>
      <c r="B28" s="24" t="s">
        <v>10</v>
      </c>
      <c r="C28" s="24" t="s">
        <v>7</v>
      </c>
      <c r="E28" s="24" t="s">
        <v>10</v>
      </c>
      <c r="S28" s="24" t="s">
        <v>10</v>
      </c>
      <c r="Y28" s="24" t="s">
        <v>10</v>
      </c>
      <c r="AA28" s="24" t="s">
        <v>10</v>
      </c>
      <c r="AC28" s="24" t="s">
        <v>10</v>
      </c>
      <c r="AE28" s="24" t="s">
        <v>10</v>
      </c>
      <c r="AG28" s="24" t="s">
        <v>10</v>
      </c>
      <c r="AI28" s="24" t="s">
        <v>10</v>
      </c>
      <c r="AS28" s="24" t="s">
        <v>10</v>
      </c>
    </row>
    <row r="29" spans="1:55" ht="11.25" customHeight="1" x14ac:dyDescent="0.2">
      <c r="A29" s="24" t="s">
        <v>47</v>
      </c>
      <c r="B29" s="24" t="s">
        <v>47</v>
      </c>
      <c r="E29" s="24" t="s">
        <v>9</v>
      </c>
      <c r="Y29" s="24" t="s">
        <v>107</v>
      </c>
      <c r="AA29" s="24" t="s">
        <v>10</v>
      </c>
      <c r="AE29" s="24" t="s">
        <v>10</v>
      </c>
      <c r="AG29" s="24" t="s">
        <v>10</v>
      </c>
      <c r="AI29" s="24" t="s">
        <v>10</v>
      </c>
      <c r="AK29" s="24" t="s">
        <v>10</v>
      </c>
      <c r="AM29" s="24" t="s">
        <v>10</v>
      </c>
      <c r="AO29" s="24" t="s">
        <v>10</v>
      </c>
      <c r="AQ29" s="24" t="s">
        <v>10</v>
      </c>
      <c r="AS29" s="24" t="s">
        <v>10</v>
      </c>
      <c r="AU29" s="24" t="s">
        <v>138</v>
      </c>
    </row>
    <row r="30" spans="1:55" ht="11.25" customHeight="1" x14ac:dyDescent="0.2">
      <c r="G30" s="24" t="s">
        <v>50</v>
      </c>
      <c r="M30" s="24" t="s">
        <v>2</v>
      </c>
      <c r="O30" s="24" t="s">
        <v>10</v>
      </c>
      <c r="Q30" s="24" t="s">
        <v>10</v>
      </c>
      <c r="AA30" s="24" t="s">
        <v>91</v>
      </c>
      <c r="AE30" s="24" t="s">
        <v>10</v>
      </c>
      <c r="AI30" s="24" t="s">
        <v>10</v>
      </c>
      <c r="AK30" s="24" t="s">
        <v>92</v>
      </c>
      <c r="AO30" s="24" t="s">
        <v>10</v>
      </c>
      <c r="AQ30" s="24" t="s">
        <v>10</v>
      </c>
      <c r="AS30" s="24" t="s">
        <v>10</v>
      </c>
      <c r="AW30" s="24" t="s">
        <v>8</v>
      </c>
      <c r="AY30" s="24" t="s">
        <v>141</v>
      </c>
      <c r="BC30" s="24" t="s">
        <v>144</v>
      </c>
    </row>
    <row r="31" spans="1:55" ht="11.25" customHeight="1" x14ac:dyDescent="0.2">
      <c r="I31" s="24" t="s">
        <v>0</v>
      </c>
      <c r="K31" s="24" t="s">
        <v>1</v>
      </c>
      <c r="O31" s="24" t="s">
        <v>3</v>
      </c>
      <c r="U31" s="24" t="s">
        <v>72</v>
      </c>
      <c r="W31" s="24" t="s">
        <v>110</v>
      </c>
      <c r="AA31" s="24" t="s">
        <v>49</v>
      </c>
      <c r="AC31" s="24" t="s">
        <v>115</v>
      </c>
      <c r="AE31" s="24" t="s">
        <v>10</v>
      </c>
      <c r="AI31" s="24" t="s">
        <v>20</v>
      </c>
      <c r="AM31" s="24" t="s">
        <v>126</v>
      </c>
      <c r="AS31" s="24" t="s">
        <v>6</v>
      </c>
      <c r="BA31" s="24" t="s">
        <v>148</v>
      </c>
    </row>
    <row r="32" spans="1:55" ht="11.25" customHeight="1" x14ac:dyDescent="0.2">
      <c r="Q32" s="24" t="s">
        <v>5</v>
      </c>
      <c r="S32" s="24" t="s">
        <v>4</v>
      </c>
      <c r="AE32" s="24" t="s">
        <v>119</v>
      </c>
      <c r="AG32" s="24" t="s">
        <v>123</v>
      </c>
      <c r="AK32" s="24" t="s">
        <v>49</v>
      </c>
      <c r="AO32" s="24" t="s">
        <v>130</v>
      </c>
      <c r="AQ32" s="24" t="s">
        <v>134</v>
      </c>
    </row>
    <row r="33" spans="1:55" ht="11.25" customHeight="1" x14ac:dyDescent="0.2">
      <c r="A33" s="26" t="s">
        <v>27</v>
      </c>
      <c r="B33" s="26" t="s">
        <v>28</v>
      </c>
    </row>
    <row r="35" spans="1:55" ht="11.25" customHeight="1" x14ac:dyDescent="0.25">
      <c r="A35" s="25" t="s">
        <v>23</v>
      </c>
    </row>
    <row r="36" spans="1:55" ht="11.25" customHeight="1" x14ac:dyDescent="0.2">
      <c r="A36" s="26" t="s">
        <v>79</v>
      </c>
      <c r="B36" s="26" t="s">
        <v>78</v>
      </c>
    </row>
    <row r="37" spans="1:55" ht="11.25" customHeight="1" x14ac:dyDescent="0.2">
      <c r="A37" s="26" t="s">
        <v>99</v>
      </c>
      <c r="B37" s="26" t="s">
        <v>99</v>
      </c>
    </row>
    <row r="38" spans="1:55" ht="11.25" customHeight="1" x14ac:dyDescent="0.2">
      <c r="A38" s="26" t="s">
        <v>160</v>
      </c>
      <c r="B38" s="26" t="s">
        <v>160</v>
      </c>
    </row>
    <row r="39" spans="1:55" ht="11.25" customHeight="1" x14ac:dyDescent="0.2">
      <c r="A39" s="26" t="s">
        <v>100</v>
      </c>
      <c r="B39" s="26" t="s">
        <v>100</v>
      </c>
    </row>
    <row r="40" spans="1:55" ht="11.25" customHeight="1" x14ac:dyDescent="0.2">
      <c r="C40" s="24" t="s">
        <v>29</v>
      </c>
      <c r="E40" s="24" t="s">
        <v>10</v>
      </c>
      <c r="S40" s="24" t="s">
        <v>10</v>
      </c>
      <c r="Y40" s="24" t="s">
        <v>10</v>
      </c>
      <c r="AA40" s="24" t="s">
        <v>10</v>
      </c>
      <c r="AC40" s="24" t="s">
        <v>10</v>
      </c>
      <c r="AE40" s="24" t="s">
        <v>10</v>
      </c>
      <c r="AG40" s="24" t="s">
        <v>10</v>
      </c>
      <c r="AI40" s="24" t="s">
        <v>10</v>
      </c>
      <c r="AS40" s="24" t="s">
        <v>10</v>
      </c>
    </row>
    <row r="41" spans="1:55" ht="11.25" customHeight="1" x14ac:dyDescent="0.2">
      <c r="A41" s="24" t="s">
        <v>48</v>
      </c>
      <c r="B41" s="24" t="s">
        <v>48</v>
      </c>
      <c r="E41" s="24" t="s">
        <v>44</v>
      </c>
      <c r="Y41" s="24" t="s">
        <v>108</v>
      </c>
      <c r="AA41" s="24" t="s">
        <v>10</v>
      </c>
      <c r="AE41" s="24" t="s">
        <v>10</v>
      </c>
      <c r="AG41" s="24" t="s">
        <v>10</v>
      </c>
      <c r="AI41" s="24" t="s">
        <v>10</v>
      </c>
      <c r="AK41" s="24" t="s">
        <v>10</v>
      </c>
      <c r="AM41" s="24" t="s">
        <v>10</v>
      </c>
      <c r="AO41" s="24" t="s">
        <v>10</v>
      </c>
      <c r="AQ41" s="24" t="s">
        <v>10</v>
      </c>
      <c r="AS41" s="24" t="s">
        <v>10</v>
      </c>
      <c r="AU41" s="24" t="s">
        <v>139</v>
      </c>
    </row>
    <row r="42" spans="1:55" ht="11.25" customHeight="1" x14ac:dyDescent="0.2">
      <c r="G42" s="24" t="s">
        <v>34</v>
      </c>
      <c r="M42" s="24" t="s">
        <v>36</v>
      </c>
      <c r="O42" s="24" t="s">
        <v>10</v>
      </c>
      <c r="Q42" s="24" t="s">
        <v>10</v>
      </c>
      <c r="AA42" s="24" t="s">
        <v>37</v>
      </c>
      <c r="AE42" s="24" t="s">
        <v>10</v>
      </c>
      <c r="AI42" s="24" t="s">
        <v>10</v>
      </c>
      <c r="AK42" s="24" t="s">
        <v>52</v>
      </c>
      <c r="AM42" s="24" t="s">
        <v>10</v>
      </c>
      <c r="AO42" s="24" t="s">
        <v>10</v>
      </c>
      <c r="AQ42" s="24" t="s">
        <v>10</v>
      </c>
      <c r="AS42" s="24" t="s">
        <v>10</v>
      </c>
      <c r="AW42" s="24" t="s">
        <v>43</v>
      </c>
      <c r="AY42" s="27" t="s">
        <v>142</v>
      </c>
      <c r="BC42" s="27" t="s">
        <v>145</v>
      </c>
    </row>
    <row r="43" spans="1:55" ht="11.25" customHeight="1" x14ac:dyDescent="0.2">
      <c r="I43" s="24" t="s">
        <v>51</v>
      </c>
      <c r="K43" s="24" t="s">
        <v>35</v>
      </c>
      <c r="O43" s="24" t="s">
        <v>38</v>
      </c>
      <c r="U43" s="24" t="s">
        <v>53</v>
      </c>
      <c r="W43" s="24" t="s">
        <v>111</v>
      </c>
      <c r="AA43" s="24" t="s">
        <v>49</v>
      </c>
      <c r="AC43" s="24" t="s">
        <v>116</v>
      </c>
      <c r="AE43" s="24" t="s">
        <v>10</v>
      </c>
      <c r="AI43" s="24" t="s">
        <v>39</v>
      </c>
      <c r="AM43" s="24" t="s">
        <v>127</v>
      </c>
      <c r="AS43" s="24" t="s">
        <v>40</v>
      </c>
      <c r="BA43" s="24" t="s">
        <v>149</v>
      </c>
    </row>
    <row r="44" spans="1:55" ht="11.25" customHeight="1" x14ac:dyDescent="0.2">
      <c r="Q44" s="24" t="s">
        <v>42</v>
      </c>
      <c r="S44" s="24" t="s">
        <v>41</v>
      </c>
      <c r="AE44" s="24" t="s">
        <v>120</v>
      </c>
      <c r="AG44" s="24" t="s">
        <v>124</v>
      </c>
      <c r="AK44" s="24" t="s">
        <v>49</v>
      </c>
      <c r="AO44" s="24" t="s">
        <v>131</v>
      </c>
      <c r="AQ44" s="24" t="s">
        <v>135</v>
      </c>
    </row>
    <row r="45" spans="1:55" ht="11.25" customHeight="1" x14ac:dyDescent="0.2">
      <c r="A45" s="26" t="s">
        <v>30</v>
      </c>
      <c r="B45" s="26" t="s">
        <v>28</v>
      </c>
    </row>
    <row r="47" spans="1:55" ht="11.25" customHeight="1" x14ac:dyDescent="0.25">
      <c r="A47" s="25" t="s">
        <v>24</v>
      </c>
    </row>
    <row r="48" spans="1:55" ht="11.25" customHeight="1" x14ac:dyDescent="0.2">
      <c r="A48" s="26" t="s">
        <v>80</v>
      </c>
      <c r="B48" s="26" t="s">
        <v>81</v>
      </c>
    </row>
    <row r="49" spans="1:55" ht="11.25" customHeight="1" x14ac:dyDescent="0.2">
      <c r="A49" s="26" t="s">
        <v>31</v>
      </c>
      <c r="B49" s="26" t="s">
        <v>31</v>
      </c>
    </row>
    <row r="50" spans="1:55" ht="11.25" customHeight="1" x14ac:dyDescent="0.2">
      <c r="A50" s="26" t="s">
        <v>161</v>
      </c>
      <c r="B50" s="26" t="s">
        <v>161</v>
      </c>
    </row>
    <row r="51" spans="1:55" ht="11.25" customHeight="1" x14ac:dyDescent="0.2">
      <c r="A51" s="26" t="s">
        <v>19</v>
      </c>
      <c r="B51" s="26" t="s">
        <v>19</v>
      </c>
    </row>
    <row r="52" spans="1:55" ht="11.25" customHeight="1" x14ac:dyDescent="0.2">
      <c r="C52" s="24" t="s">
        <v>54</v>
      </c>
      <c r="E52" s="24" t="s">
        <v>10</v>
      </c>
      <c r="S52" s="24" t="s">
        <v>10</v>
      </c>
      <c r="Y52" s="24" t="s">
        <v>10</v>
      </c>
      <c r="AA52" s="24" t="s">
        <v>10</v>
      </c>
      <c r="AC52" s="24" t="s">
        <v>10</v>
      </c>
      <c r="AE52" s="24" t="s">
        <v>10</v>
      </c>
      <c r="AG52" s="24" t="s">
        <v>10</v>
      </c>
      <c r="AI52" s="24" t="s">
        <v>10</v>
      </c>
      <c r="AS52" s="24" t="s">
        <v>10</v>
      </c>
    </row>
    <row r="53" spans="1:55" ht="11.25" customHeight="1" x14ac:dyDescent="0.2">
      <c r="A53" s="24" t="s">
        <v>46</v>
      </c>
      <c r="B53" s="24" t="s">
        <v>46</v>
      </c>
      <c r="E53" s="24" t="s">
        <v>55</v>
      </c>
      <c r="Y53" s="24" t="s">
        <v>109</v>
      </c>
      <c r="AA53" s="24" t="s">
        <v>10</v>
      </c>
      <c r="AE53" s="24" t="s">
        <v>10</v>
      </c>
      <c r="AG53" s="24" t="s">
        <v>10</v>
      </c>
      <c r="AI53" s="24" t="s">
        <v>10</v>
      </c>
      <c r="AK53" s="24" t="s">
        <v>10</v>
      </c>
      <c r="AM53" s="24" t="s">
        <v>10</v>
      </c>
      <c r="AO53" s="24" t="s">
        <v>10</v>
      </c>
      <c r="AQ53" s="24" t="s">
        <v>10</v>
      </c>
      <c r="AS53" s="24" t="s">
        <v>10</v>
      </c>
      <c r="AU53" s="24" t="s">
        <v>140</v>
      </c>
    </row>
    <row r="54" spans="1:55" ht="11.25" customHeight="1" x14ac:dyDescent="0.2">
      <c r="G54" s="24" t="s">
        <v>93</v>
      </c>
      <c r="M54" s="24" t="s">
        <v>56</v>
      </c>
      <c r="O54" s="24" t="s">
        <v>10</v>
      </c>
      <c r="Q54" s="24" t="s">
        <v>10</v>
      </c>
      <c r="AA54" s="24" t="s">
        <v>58</v>
      </c>
      <c r="AE54" s="24" t="s">
        <v>10</v>
      </c>
      <c r="AI54" s="24" t="s">
        <v>10</v>
      </c>
      <c r="AK54" s="24" t="s">
        <v>59</v>
      </c>
      <c r="AM54" s="24" t="s">
        <v>10</v>
      </c>
      <c r="AO54" s="24" t="s">
        <v>10</v>
      </c>
      <c r="AQ54" s="24" t="s">
        <v>10</v>
      </c>
      <c r="AS54" s="24" t="s">
        <v>10</v>
      </c>
      <c r="AW54" s="24" t="s">
        <v>16</v>
      </c>
      <c r="AY54" s="27" t="s">
        <v>143</v>
      </c>
      <c r="BC54" s="27" t="s">
        <v>146</v>
      </c>
    </row>
    <row r="55" spans="1:55" ht="11.25" customHeight="1" x14ac:dyDescent="0.2">
      <c r="I55" s="24" t="s">
        <v>94</v>
      </c>
      <c r="K55" s="24" t="s">
        <v>95</v>
      </c>
      <c r="O55" s="24" t="s">
        <v>96</v>
      </c>
      <c r="U55" s="24" t="s">
        <v>57</v>
      </c>
      <c r="W55" s="24" t="s">
        <v>112</v>
      </c>
      <c r="AA55" s="24" t="s">
        <v>49</v>
      </c>
      <c r="AC55" s="24" t="s">
        <v>117</v>
      </c>
      <c r="AE55" s="24" t="s">
        <v>10</v>
      </c>
      <c r="AI55" s="24" t="s">
        <v>17</v>
      </c>
      <c r="AM55" s="24" t="s">
        <v>128</v>
      </c>
      <c r="AS55" s="24" t="s">
        <v>18</v>
      </c>
      <c r="BA55" s="27" t="s">
        <v>150</v>
      </c>
    </row>
    <row r="56" spans="1:55" ht="11.25" customHeight="1" x14ac:dyDescent="0.2">
      <c r="Q56" s="24" t="s">
        <v>5</v>
      </c>
      <c r="S56" s="24" t="s">
        <v>97</v>
      </c>
      <c r="AE56" s="24" t="s">
        <v>121</v>
      </c>
      <c r="AG56" s="24" t="s">
        <v>125</v>
      </c>
      <c r="AK56" s="24" t="s">
        <v>49</v>
      </c>
      <c r="AO56" s="24" t="s">
        <v>132</v>
      </c>
      <c r="AQ56" s="24" t="s">
        <v>136</v>
      </c>
    </row>
    <row r="57" spans="1:55" ht="11.25" customHeight="1" x14ac:dyDescent="0.2">
      <c r="A57" s="26" t="s">
        <v>32</v>
      </c>
      <c r="B57" s="26" t="s">
        <v>33</v>
      </c>
    </row>
  </sheetData>
  <sheetProtection formatCells="0" formatColumns="0" formatRows="0" insertColumns="0" insertRows="0" deleteRows="0"/>
  <pageMargins left="0.78740157499999996" right="0.78740157499999996" top="0.984251969" bottom="0.984251969" header="0.4921259845" footer="0.492125984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swiss_qna</vt:lpstr>
      <vt:lpstr>nom_q</vt:lpstr>
      <vt:lpstr>real_q</vt:lpstr>
      <vt:lpstr>defl_q</vt:lpstr>
      <vt:lpstr>gc_q</vt:lpstr>
      <vt:lpstr>nom_y</vt:lpstr>
      <vt:lpstr>tableauR</vt:lpstr>
      <vt:lpstr>exercice</vt:lpstr>
      <vt:lpstr>real_y</vt:lpstr>
      <vt:lpstr>defl_y</vt:lpstr>
      <vt:lpstr>gc_y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dc:title>
  <dc:subject>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dc:subject>
  <dc:creator>SECO</dc:creator>
  <cp:keywords>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cp:keywords>
  <cp:lastModifiedBy>Celal Güney</cp:lastModifiedBy>
  <cp:lastPrinted>2006-09-05T08:16:16Z</cp:lastPrinted>
  <dcterms:created xsi:type="dcterms:W3CDTF">1998-09-01T12:26:41Z</dcterms:created>
  <dcterms:modified xsi:type="dcterms:W3CDTF">2026-03-17T16:01:30Z</dcterms:modified>
  <cp:category>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cp:category>
</cp:coreProperties>
</file>
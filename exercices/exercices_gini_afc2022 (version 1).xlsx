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exercices\"/>
    </mc:Choice>
  </mc:AlternateContent>
  <xr:revisionPtr revIDLastSave="0" documentId="13_ncr:1_{28BA26D5-3FD1-4D28-B0AC-8E78E8D42688}" xr6:coauthVersionLast="47" xr6:coauthVersionMax="47" xr10:uidLastSave="{00000000-0000-0000-0000-000000000000}"/>
  <bookViews>
    <workbookView xWindow="28680" yWindow="-120" windowWidth="25440" windowHeight="15270" activeTab="2" xr2:uid="{0A857FEE-5B62-478B-B26F-1439DD0DBBE3}"/>
  </bookViews>
  <sheets>
    <sheet name="source" sheetId="2" r:id="rId1"/>
    <sheet name="CH" sheetId="1" r:id="rId2"/>
    <sheet name="GE" sheetId="3" r:id="rId3"/>
    <sheet name="alpha coef GE" sheetId="6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C56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7" i="3"/>
  <c r="C58" i="3"/>
  <c r="C59" i="3"/>
  <c r="C60" i="3"/>
  <c r="C61" i="3"/>
  <c r="C62" i="3"/>
  <c r="C63" i="3"/>
  <c r="C64" i="3"/>
  <c r="C65" i="3"/>
  <c r="C42" i="3"/>
  <c r="E52" i="3"/>
  <c r="F52" i="3" s="1"/>
  <c r="G52" i="3" s="1"/>
  <c r="H52" i="3" s="1"/>
  <c r="I52" i="3" s="1"/>
  <c r="J52" i="3" s="1"/>
  <c r="J53" i="3" s="1"/>
  <c r="A41" i="3"/>
  <c r="J35" i="1"/>
  <c r="K5" i="1"/>
  <c r="K8" i="1"/>
  <c r="K7" i="1"/>
  <c r="N7" i="3"/>
  <c r="L4" i="3"/>
  <c r="C95" i="3"/>
  <c r="B95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E4" i="3"/>
  <c r="D32" i="3" l="1"/>
  <c r="F26" i="3" s="1"/>
  <c r="C32" i="3"/>
  <c r="G23" i="3" s="1"/>
  <c r="E30" i="3"/>
  <c r="N29" i="3"/>
  <c r="L29" i="3"/>
  <c r="E29" i="3"/>
  <c r="N28" i="3"/>
  <c r="L28" i="3"/>
  <c r="E28" i="3"/>
  <c r="A65" i="3" s="1"/>
  <c r="N27" i="3"/>
  <c r="L27" i="3"/>
  <c r="E27" i="3"/>
  <c r="A64" i="3" s="1"/>
  <c r="N26" i="3"/>
  <c r="L26" i="3"/>
  <c r="E26" i="3"/>
  <c r="A63" i="3" s="1"/>
  <c r="N25" i="3"/>
  <c r="L25" i="3"/>
  <c r="E25" i="3"/>
  <c r="A62" i="3" s="1"/>
  <c r="N24" i="3"/>
  <c r="L24" i="3"/>
  <c r="E24" i="3"/>
  <c r="A61" i="3" s="1"/>
  <c r="N23" i="3"/>
  <c r="L23" i="3"/>
  <c r="M23" i="3" s="1"/>
  <c r="F23" i="3"/>
  <c r="E23" i="3"/>
  <c r="A60" i="3" s="1"/>
  <c r="N22" i="3"/>
  <c r="L22" i="3"/>
  <c r="E22" i="3"/>
  <c r="A59" i="3" s="1"/>
  <c r="N21" i="3"/>
  <c r="L21" i="3"/>
  <c r="M21" i="3" s="1"/>
  <c r="E21" i="3"/>
  <c r="A58" i="3" s="1"/>
  <c r="N20" i="3"/>
  <c r="O20" i="3" s="1"/>
  <c r="L20" i="3"/>
  <c r="M20" i="3" s="1"/>
  <c r="E20" i="3"/>
  <c r="A57" i="3" s="1"/>
  <c r="N19" i="3"/>
  <c r="L19" i="3"/>
  <c r="E19" i="3"/>
  <c r="A56" i="3" s="1"/>
  <c r="N18" i="3"/>
  <c r="O18" i="3" s="1"/>
  <c r="L18" i="3"/>
  <c r="E18" i="3"/>
  <c r="A55" i="3" s="1"/>
  <c r="N17" i="3"/>
  <c r="L17" i="3"/>
  <c r="E17" i="3"/>
  <c r="A54" i="3" s="1"/>
  <c r="N16" i="3"/>
  <c r="L16" i="3"/>
  <c r="M16" i="3" s="1"/>
  <c r="G16" i="3"/>
  <c r="E16" i="3"/>
  <c r="A53" i="3" s="1"/>
  <c r="N15" i="3"/>
  <c r="L15" i="3"/>
  <c r="E15" i="3"/>
  <c r="A52" i="3" s="1"/>
  <c r="N14" i="3"/>
  <c r="L14" i="3"/>
  <c r="G14" i="3"/>
  <c r="E14" i="3"/>
  <c r="A51" i="3" s="1"/>
  <c r="N13" i="3"/>
  <c r="L13" i="3"/>
  <c r="M13" i="3" s="1"/>
  <c r="F13" i="3"/>
  <c r="E13" i="3"/>
  <c r="A50" i="3" s="1"/>
  <c r="N12" i="3"/>
  <c r="L12" i="3"/>
  <c r="G12" i="3"/>
  <c r="F12" i="3"/>
  <c r="E12" i="3"/>
  <c r="A49" i="3" s="1"/>
  <c r="N11" i="3"/>
  <c r="L11" i="3"/>
  <c r="E11" i="3"/>
  <c r="A48" i="3" s="1"/>
  <c r="N10" i="3"/>
  <c r="L10" i="3"/>
  <c r="M10" i="3" s="1"/>
  <c r="G10" i="3"/>
  <c r="E10" i="3"/>
  <c r="A47" i="3" s="1"/>
  <c r="N9" i="3"/>
  <c r="O9" i="3" s="1"/>
  <c r="L9" i="3"/>
  <c r="M9" i="3" s="1"/>
  <c r="E9" i="3"/>
  <c r="A46" i="3" s="1"/>
  <c r="N8" i="3"/>
  <c r="O8" i="3" s="1"/>
  <c r="L8" i="3"/>
  <c r="E8" i="3"/>
  <c r="A45" i="3" s="1"/>
  <c r="O7" i="3"/>
  <c r="L7" i="3"/>
  <c r="M7" i="3" s="1"/>
  <c r="E7" i="3"/>
  <c r="A44" i="3" s="1"/>
  <c r="N6" i="3"/>
  <c r="L6" i="3"/>
  <c r="M6" i="3" s="1"/>
  <c r="G6" i="3"/>
  <c r="E6" i="3"/>
  <c r="A43" i="3" s="1"/>
  <c r="N5" i="3"/>
  <c r="L5" i="3"/>
  <c r="M5" i="3" s="1"/>
  <c r="E5" i="3"/>
  <c r="A42" i="3" s="1"/>
  <c r="N4" i="3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O31" i="1"/>
  <c r="O9" i="1"/>
  <c r="O17" i="1"/>
  <c r="O25" i="1"/>
  <c r="N10" i="1"/>
  <c r="O10" i="1" s="1"/>
  <c r="N8" i="1"/>
  <c r="N7" i="1"/>
  <c r="N6" i="1"/>
  <c r="N29" i="1"/>
  <c r="N9" i="1"/>
  <c r="N11" i="1"/>
  <c r="N12" i="1"/>
  <c r="O12" i="1" s="1"/>
  <c r="N13" i="1"/>
  <c r="N14" i="1"/>
  <c r="O14" i="1" s="1"/>
  <c r="N15" i="1"/>
  <c r="N16" i="1"/>
  <c r="O16" i="1" s="1"/>
  <c r="N17" i="1"/>
  <c r="N18" i="1"/>
  <c r="N19" i="1"/>
  <c r="N20" i="1"/>
  <c r="N21" i="1"/>
  <c r="N22" i="1"/>
  <c r="N23" i="1"/>
  <c r="N24" i="1"/>
  <c r="N25" i="1"/>
  <c r="N26" i="1"/>
  <c r="N27" i="1"/>
  <c r="N28" i="1"/>
  <c r="O28" i="1" s="1"/>
  <c r="N5" i="1"/>
  <c r="N4" i="1"/>
  <c r="O4" i="1" s="1"/>
  <c r="M6" i="1"/>
  <c r="M7" i="1"/>
  <c r="M16" i="1"/>
  <c r="M18" i="1"/>
  <c r="M20" i="1"/>
  <c r="M21" i="1"/>
  <c r="M4" i="1"/>
  <c r="L29" i="1"/>
  <c r="M29" i="1" s="1"/>
  <c r="L7" i="1"/>
  <c r="L8" i="1"/>
  <c r="M8" i="1" s="1"/>
  <c r="L9" i="1"/>
  <c r="M9" i="1" s="1"/>
  <c r="L10" i="1"/>
  <c r="M10" i="1" s="1"/>
  <c r="L11" i="1"/>
  <c r="L12" i="1"/>
  <c r="M12" i="1" s="1"/>
  <c r="L13" i="1"/>
  <c r="L14" i="1"/>
  <c r="L15" i="1"/>
  <c r="M15" i="1" s="1"/>
  <c r="L16" i="1"/>
  <c r="L17" i="1"/>
  <c r="M17" i="1" s="1"/>
  <c r="L18" i="1"/>
  <c r="L19" i="1"/>
  <c r="M19" i="1" s="1"/>
  <c r="L20" i="1"/>
  <c r="L21" i="1"/>
  <c r="L22" i="1"/>
  <c r="M22" i="1" s="1"/>
  <c r="L23" i="1"/>
  <c r="M23" i="1" s="1"/>
  <c r="L24" i="1"/>
  <c r="M24" i="1" s="1"/>
  <c r="L25" i="1"/>
  <c r="L26" i="1"/>
  <c r="M26" i="1" s="1"/>
  <c r="L27" i="1"/>
  <c r="L28" i="1"/>
  <c r="L6" i="1"/>
  <c r="L5" i="1"/>
  <c r="L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G12" i="1"/>
  <c r="G13" i="1"/>
  <c r="G14" i="1"/>
  <c r="G22" i="1"/>
  <c r="C32" i="1"/>
  <c r="O11" i="1" s="1"/>
  <c r="E9" i="1"/>
  <c r="E4" i="1"/>
  <c r="E30" i="1"/>
  <c r="D32" i="1"/>
  <c r="M25" i="1" s="1"/>
  <c r="E6" i="1"/>
  <c r="E5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8" i="1"/>
  <c r="E7" i="1"/>
  <c r="G23" i="1" l="1"/>
  <c r="O20" i="1"/>
  <c r="O8" i="1"/>
  <c r="M5" i="1"/>
  <c r="O24" i="1"/>
  <c r="G11" i="1"/>
  <c r="O5" i="1"/>
  <c r="O15" i="1"/>
  <c r="O13" i="1"/>
  <c r="M27" i="1"/>
  <c r="M13" i="1"/>
  <c r="M11" i="1"/>
  <c r="O29" i="1"/>
  <c r="M28" i="1"/>
  <c r="O23" i="1"/>
  <c r="G28" i="1"/>
  <c r="O22" i="1"/>
  <c r="O6" i="1"/>
  <c r="M14" i="1"/>
  <c r="G27" i="1"/>
  <c r="O21" i="1"/>
  <c r="O7" i="1"/>
  <c r="B60" i="3"/>
  <c r="C89" i="3"/>
  <c r="B49" i="3"/>
  <c r="C78" i="3"/>
  <c r="B50" i="3"/>
  <c r="C79" i="3"/>
  <c r="B63" i="3"/>
  <c r="C92" i="3"/>
  <c r="G26" i="3"/>
  <c r="O16" i="3"/>
  <c r="F19" i="3"/>
  <c r="O10" i="3"/>
  <c r="M14" i="3"/>
  <c r="M4" i="3"/>
  <c r="O6" i="3"/>
  <c r="F9" i="3"/>
  <c r="O12" i="3"/>
  <c r="O14" i="3"/>
  <c r="O4" i="3"/>
  <c r="G9" i="3"/>
  <c r="G11" i="3"/>
  <c r="M17" i="3"/>
  <c r="O21" i="3"/>
  <c r="M26" i="3"/>
  <c r="O17" i="3"/>
  <c r="O19" i="3"/>
  <c r="M24" i="3"/>
  <c r="O26" i="3"/>
  <c r="O32" i="3" s="1"/>
  <c r="F29" i="3"/>
  <c r="M29" i="3"/>
  <c r="O5" i="3"/>
  <c r="G18" i="3"/>
  <c r="F20" i="3"/>
  <c r="O22" i="3"/>
  <c r="M27" i="3"/>
  <c r="O28" i="3"/>
  <c r="O24" i="3"/>
  <c r="O29" i="3"/>
  <c r="G28" i="3"/>
  <c r="G20" i="3"/>
  <c r="G25" i="3"/>
  <c r="G22" i="3"/>
  <c r="O23" i="3"/>
  <c r="O33" i="3" s="1"/>
  <c r="G5" i="3"/>
  <c r="G8" i="3"/>
  <c r="O11" i="3"/>
  <c r="G17" i="3"/>
  <c r="O13" i="3"/>
  <c r="O15" i="3"/>
  <c r="G19" i="3"/>
  <c r="G24" i="3"/>
  <c r="O25" i="3"/>
  <c r="O27" i="3"/>
  <c r="O26" i="1"/>
  <c r="O18" i="1"/>
  <c r="G4" i="1"/>
  <c r="G20" i="1"/>
  <c r="G6" i="1"/>
  <c r="G21" i="1"/>
  <c r="G5" i="1"/>
  <c r="G19" i="1"/>
  <c r="G7" i="1"/>
  <c r="G29" i="1"/>
  <c r="G15" i="1"/>
  <c r="O27" i="1"/>
  <c r="O19" i="1"/>
  <c r="F27" i="3"/>
  <c r="C93" i="3" s="1"/>
  <c r="K13" i="3"/>
  <c r="F15" i="3"/>
  <c r="F25" i="3"/>
  <c r="F28" i="3"/>
  <c r="M8" i="3"/>
  <c r="F11" i="3"/>
  <c r="C77" i="3" s="1"/>
  <c r="M12" i="3"/>
  <c r="F14" i="3"/>
  <c r="M19" i="3"/>
  <c r="M22" i="3"/>
  <c r="F6" i="3"/>
  <c r="F7" i="3"/>
  <c r="M15" i="3"/>
  <c r="M25" i="3"/>
  <c r="F4" i="3"/>
  <c r="B41" i="3" s="1"/>
  <c r="F5" i="3"/>
  <c r="M11" i="3"/>
  <c r="F17" i="3"/>
  <c r="M18" i="3"/>
  <c r="F21" i="3"/>
  <c r="C87" i="3" s="1"/>
  <c r="F8" i="3"/>
  <c r="G13" i="3"/>
  <c r="J13" i="3" s="1"/>
  <c r="F16" i="3"/>
  <c r="G21" i="3"/>
  <c r="F24" i="3"/>
  <c r="G29" i="3"/>
  <c r="F22" i="3"/>
  <c r="G27" i="3"/>
  <c r="M28" i="3"/>
  <c r="G4" i="3"/>
  <c r="G7" i="3"/>
  <c r="F10" i="3"/>
  <c r="G15" i="3"/>
  <c r="F18" i="3"/>
  <c r="C84" i="3" s="1"/>
  <c r="F28" i="1"/>
  <c r="F20" i="1"/>
  <c r="F12" i="1"/>
  <c r="F19" i="1"/>
  <c r="F26" i="1"/>
  <c r="F18" i="1"/>
  <c r="F10" i="1"/>
  <c r="F25" i="1"/>
  <c r="F17" i="1"/>
  <c r="F9" i="1"/>
  <c r="F11" i="1"/>
  <c r="F23" i="1"/>
  <c r="F15" i="1"/>
  <c r="F7" i="1"/>
  <c r="G26" i="1"/>
  <c r="G18" i="1"/>
  <c r="G10" i="1"/>
  <c r="F27" i="1"/>
  <c r="F16" i="1"/>
  <c r="F4" i="1"/>
  <c r="F22" i="1"/>
  <c r="F14" i="1"/>
  <c r="F6" i="1"/>
  <c r="G25" i="1"/>
  <c r="G17" i="1"/>
  <c r="G9" i="1"/>
  <c r="F24" i="1"/>
  <c r="F8" i="1"/>
  <c r="F29" i="1"/>
  <c r="F21" i="1"/>
  <c r="F13" i="1"/>
  <c r="F5" i="1"/>
  <c r="G24" i="1"/>
  <c r="G16" i="1"/>
  <c r="G8" i="1"/>
  <c r="J4" i="1" l="1"/>
  <c r="O32" i="1"/>
  <c r="B46" i="3"/>
  <c r="C75" i="3"/>
  <c r="B65" i="3"/>
  <c r="C94" i="3"/>
  <c r="B59" i="3"/>
  <c r="C88" i="3"/>
  <c r="B43" i="3"/>
  <c r="C72" i="3"/>
  <c r="B56" i="3"/>
  <c r="C85" i="3"/>
  <c r="B44" i="3"/>
  <c r="C73" i="3"/>
  <c r="B52" i="3"/>
  <c r="C81" i="3"/>
  <c r="B61" i="3"/>
  <c r="C90" i="3"/>
  <c r="B47" i="3"/>
  <c r="C76" i="3"/>
  <c r="B42" i="3"/>
  <c r="C71" i="3"/>
  <c r="B51" i="3"/>
  <c r="C80" i="3"/>
  <c r="B53" i="3"/>
  <c r="C82" i="3"/>
  <c r="B45" i="3"/>
  <c r="C74" i="3"/>
  <c r="B62" i="3"/>
  <c r="C91" i="3"/>
  <c r="B54" i="3"/>
  <c r="C83" i="3"/>
  <c r="B57" i="3"/>
  <c r="C86" i="3"/>
  <c r="J20" i="3"/>
  <c r="K19" i="3"/>
  <c r="B55" i="3"/>
  <c r="K20" i="3"/>
  <c r="K27" i="3"/>
  <c r="B64" i="3"/>
  <c r="J12" i="3"/>
  <c r="B48" i="3"/>
  <c r="K21" i="3"/>
  <c r="B58" i="3"/>
  <c r="K23" i="3"/>
  <c r="K7" i="3"/>
  <c r="J19" i="3"/>
  <c r="K29" i="3"/>
  <c r="K12" i="3"/>
  <c r="K11" i="3"/>
  <c r="J4" i="3"/>
  <c r="J11" i="3"/>
  <c r="K15" i="3"/>
  <c r="J6" i="3"/>
  <c r="J28" i="3"/>
  <c r="K6" i="3"/>
  <c r="K25" i="3"/>
  <c r="J7" i="3"/>
  <c r="J26" i="3"/>
  <c r="K5" i="3"/>
  <c r="J29" i="3"/>
  <c r="K26" i="3"/>
  <c r="J15" i="3"/>
  <c r="J21" i="3"/>
  <c r="K16" i="3"/>
  <c r="J16" i="3"/>
  <c r="J17" i="3"/>
  <c r="J27" i="3"/>
  <c r="K8" i="3"/>
  <c r="J8" i="3"/>
  <c r="J9" i="3"/>
  <c r="K18" i="3"/>
  <c r="J18" i="3"/>
  <c r="K14" i="3"/>
  <c r="K28" i="3"/>
  <c r="J14" i="3"/>
  <c r="K17" i="3"/>
  <c r="J22" i="3"/>
  <c r="J23" i="3"/>
  <c r="K22" i="3"/>
  <c r="K10" i="3"/>
  <c r="J10" i="3"/>
  <c r="K24" i="3"/>
  <c r="J24" i="3"/>
  <c r="J25" i="3"/>
  <c r="J5" i="3"/>
  <c r="K9" i="3"/>
  <c r="K19" i="1"/>
  <c r="J19" i="1"/>
  <c r="J29" i="1"/>
  <c r="K29" i="1"/>
  <c r="K23" i="1"/>
  <c r="J23" i="1"/>
  <c r="J9" i="1"/>
  <c r="K9" i="1"/>
  <c r="J6" i="1"/>
  <c r="K6" i="1"/>
  <c r="K22" i="1"/>
  <c r="J22" i="1"/>
  <c r="J11" i="1"/>
  <c r="K11" i="1"/>
  <c r="J17" i="1"/>
  <c r="K17" i="1"/>
  <c r="J5" i="1"/>
  <c r="J24" i="1"/>
  <c r="K24" i="1"/>
  <c r="J25" i="1"/>
  <c r="K25" i="1"/>
  <c r="K10" i="1"/>
  <c r="J10" i="1"/>
  <c r="K12" i="1"/>
  <c r="J12" i="1"/>
  <c r="K15" i="1"/>
  <c r="J15" i="1"/>
  <c r="K20" i="1"/>
  <c r="J20" i="1"/>
  <c r="J7" i="1"/>
  <c r="K14" i="1"/>
  <c r="J14" i="1"/>
  <c r="J8" i="1"/>
  <c r="J16" i="1"/>
  <c r="K16" i="1"/>
  <c r="K13" i="1"/>
  <c r="J13" i="1"/>
  <c r="K27" i="1"/>
  <c r="J27" i="1"/>
  <c r="K18" i="1"/>
  <c r="J18" i="1"/>
  <c r="K21" i="1"/>
  <c r="J21" i="1"/>
  <c r="K26" i="1"/>
  <c r="J26" i="1"/>
  <c r="J28" i="1"/>
  <c r="K28" i="1"/>
  <c r="J33" i="1" l="1"/>
  <c r="J33" i="3"/>
  <c r="J32" i="3"/>
  <c r="J32" i="1"/>
  <c r="J34" i="1" s="1"/>
  <c r="J34" i="3" l="1"/>
  <c r="J35" i="3" s="1"/>
</calcChain>
</file>

<file path=xl/sharedStrings.xml><?xml version="1.0" encoding="utf-8"?>
<sst xmlns="http://schemas.openxmlformats.org/spreadsheetml/2006/main" count="107" uniqueCount="74">
  <si>
    <t>seuil inférieur du groupe</t>
  </si>
  <si>
    <t>seuil supérieur du groupe</t>
  </si>
  <si>
    <t>nombre de contribuables du groupe</t>
  </si>
  <si>
    <t>Revenu moyen du groupe</t>
  </si>
  <si>
    <t>Proportion cumulée des contribuables (Proportion des contribuables en-dessous du seuil de revenu supérieur du groupe)</t>
  </si>
  <si>
    <t>Proportion cumulée du revenu (Proportion de revenu total possédé par les contribuables sous le seuil supérieur de revenu du groupe)</t>
  </si>
  <si>
    <t>ligne égalité parfaite x</t>
  </si>
  <si>
    <t>ligne égalité parfaite y</t>
  </si>
  <si>
    <t>Aire des triangles sous la courbe</t>
  </si>
  <si>
    <t>Aire des rectangles sous la courbe</t>
  </si>
  <si>
    <t>Nombre de contribuables ayant un revenu supérieur au seuil inférieur du groupe</t>
  </si>
  <si>
    <t>Proportion de contribuables ayant un revenu supérieur au seuil inférieur du groupe</t>
  </si>
  <si>
    <t>Revenu total gagné par les contribuables ayant un revenu supérieur au seuil inférieure du groupe</t>
  </si>
  <si>
    <t>Proportion du revenu total possédé par les contribuables ayant un revenu supérieur au seuil inférieur du groupe</t>
  </si>
  <si>
    <t>TOTAL</t>
  </si>
  <si>
    <t>Somme aires triangles</t>
  </si>
  <si>
    <t>Somme aires rectangles</t>
  </si>
  <si>
    <t>Part du 1%</t>
  </si>
  <si>
    <t>Somme totale</t>
  </si>
  <si>
    <t>Coefficient de Gini</t>
  </si>
  <si>
    <t>Courbe de Lorenz</t>
  </si>
  <si>
    <t>Calcul des déciles et centiles</t>
  </si>
  <si>
    <t>u.m./et plus</t>
  </si>
  <si>
    <t>Total / Totale</t>
  </si>
  <si>
    <t>revenu total du groupe</t>
  </si>
  <si>
    <t>Part du 0.1%</t>
  </si>
  <si>
    <t>source: administration fédérale des contributions, période fiscale 2022, contribuables avec et sans versement d'un impot fédéral direct</t>
  </si>
  <si>
    <t>https://www.estv.admin.ch/fr/statistiques-personnes-physiques-cantons-1983-a-aujourdhui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</si>
  <si>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</si>
  <si>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</si>
  <si>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</si>
  <si>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</si>
  <si>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</si>
  <si>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</si>
  <si>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</si>
  <si>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</si>
  <si>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</si>
  <si>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</si>
  <si>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</si>
  <si>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</si>
  <si>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</si>
  <si>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</si>
  <si>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</si>
  <si>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</si>
  <si>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</si>
  <si>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</si>
  <si>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</si>
  <si>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</si>
  <si>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</si>
  <si>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</si>
  <si>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</si>
  <si>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Variable X 1</t>
  </si>
  <si>
    <t>Distribution empirique de Parto</t>
  </si>
  <si>
    <t>Log de l'inverse de la distribution relative cumulée des personnes</t>
  </si>
  <si>
    <t>Log du revenu moyen</t>
  </si>
  <si>
    <t>ANALYSE DES RÉSIDUS</t>
  </si>
  <si>
    <t>Observation</t>
  </si>
  <si>
    <t>Prévisions pour Y</t>
  </si>
  <si>
    <t>b = y_bar / s</t>
  </si>
  <si>
    <t>a = b/(b-1)</t>
  </si>
  <si>
    <t>total I top group</t>
  </si>
  <si>
    <t>T</t>
  </si>
  <si>
    <t>Part du 1%: interpolation de Pareto</t>
  </si>
  <si>
    <t>Part du 10%</t>
  </si>
  <si>
    <t>parametre b</t>
  </si>
  <si>
    <t>coefficient de pareto</t>
  </si>
  <si>
    <t>revenu moyen au dessus de p</t>
  </si>
  <si>
    <t>seuil de revenu pour appartenir au percentile p</t>
  </si>
  <si>
    <t>parametre k</t>
  </si>
  <si>
    <t>Revenu moyen au dessus du seuil</t>
  </si>
  <si>
    <t>k=s*p^(1/a)
p = share of units with income larger than s</t>
  </si>
  <si>
    <t>Courbe de Pareto généralisée</t>
  </si>
  <si>
    <t>y_bar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</si>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</sst>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 applyAlignment="1">
      <alignment horizontal="left" vertical="top" wrapText="1"/>
    </xf>
    <xf numFmtId="3" fontId="0" fillId="0" borderId="0" xfId="0" applyNumberFormat="1"/>
    <xf numFmtId="1" fontId="0" fillId="0" borderId="0" xfId="0" applyNumberFormat="1"/>
    <xf numFmtId="0" fontId="0" fillId="2" borderId="0" xfId="0" applyFill="1"/>
    <xf numFmtId="3" fontId="0" fillId="2" borderId="0" xfId="0" applyNumberFormat="1" applyFill="1"/>
    <xf numFmtId="164" fontId="0" fillId="2" borderId="0" xfId="0" applyNumberFormat="1" applyFill="1"/>
    <xf numFmtId="3" fontId="2" fillId="0" borderId="0" xfId="0" applyNumberFormat="1" applyFont="1" applyAlignment="1">
      <alignment wrapText="1"/>
    </xf>
    <xf numFmtId="0" fontId="2" fillId="2" borderId="0" xfId="0" applyFont="1" applyFill="1"/>
    <xf numFmtId="0" fontId="0" fillId="6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2" borderId="1" xfId="0" applyFill="1" applyBorder="1"/>
    <xf numFmtId="165" fontId="0" fillId="2" borderId="0" xfId="0" applyNumberFormat="1" applyFill="1"/>
    <xf numFmtId="9" fontId="0" fillId="2" borderId="0" xfId="1" applyFont="1" applyFill="1" applyBorder="1"/>
    <xf numFmtId="3" fontId="0" fillId="2" borderId="1" xfId="0" applyNumberFormat="1" applyFill="1" applyBorder="1"/>
    <xf numFmtId="0" fontId="3" fillId="0" borderId="0" xfId="2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0" fontId="0" fillId="7" borderId="0" xfId="0" applyFill="1"/>
    <xf numFmtId="3" fontId="0" fillId="7" borderId="0" xfId="0" applyNumberFormat="1" applyFill="1"/>
    <xf numFmtId="1" fontId="0" fillId="7" borderId="0" xfId="0" applyNumberFormat="1" applyFill="1"/>
    <xf numFmtId="0" fontId="0" fillId="7" borderId="0" xfId="0" applyFill="1" applyAlignment="1">
      <alignment wrapText="1"/>
    </xf>
    <xf numFmtId="3" fontId="0" fillId="7" borderId="1" xfId="0" applyNumberFormat="1" applyFill="1" applyBorder="1"/>
    <xf numFmtId="165" fontId="0" fillId="7" borderId="0" xfId="0" applyNumberFormat="1" applyFill="1"/>
    <xf numFmtId="9" fontId="0" fillId="7" borderId="0" xfId="1" applyFont="1" applyFill="1" applyBorder="1"/>
    <xf numFmtId="9" fontId="0" fillId="0" borderId="0" xfId="0" applyNumberFormat="1"/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GE!$G$1:$G$2</c:f>
              <c:strCache>
                <c:ptCount val="2"/>
                <c:pt idx="0">
                  <c:v>Courbe de Lorenz</c:v>
                </c:pt>
                <c:pt idx="1">
                  <c:v>Proportion cumulée du revenu (Proportion de revenu total possédé par les contribuables sous le seuil supérieur de revenu du groupe)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GE!$F$3:$F$29</c:f>
              <c:numCache>
                <c:formatCode>General</c:formatCode>
                <c:ptCount val="27"/>
                <c:pt idx="0">
                  <c:v>0</c:v>
                </c:pt>
                <c:pt idx="1">
                  <c:v>0.28135613513459579</c:v>
                </c:pt>
                <c:pt idx="2">
                  <c:v>0.32169696485941773</c:v>
                </c:pt>
                <c:pt idx="3">
                  <c:v>0.36583720791012314</c:v>
                </c:pt>
                <c:pt idx="4">
                  <c:v>0.40344820705206236</c:v>
                </c:pt>
                <c:pt idx="5">
                  <c:v>0.44271546305349907</c:v>
                </c:pt>
                <c:pt idx="6">
                  <c:v>0.4832438688563846</c:v>
                </c:pt>
                <c:pt idx="7">
                  <c:v>0.52409155309001654</c:v>
                </c:pt>
                <c:pt idx="8">
                  <c:v>0.56367808752219983</c:v>
                </c:pt>
                <c:pt idx="9">
                  <c:v>0.60437810548161153</c:v>
                </c:pt>
                <c:pt idx="10">
                  <c:v>0.64127072815437114</c:v>
                </c:pt>
                <c:pt idx="11">
                  <c:v>0.67546145710693828</c:v>
                </c:pt>
                <c:pt idx="12">
                  <c:v>0.70728553469159694</c:v>
                </c:pt>
                <c:pt idx="13">
                  <c:v>0.73549777502843572</c:v>
                </c:pt>
                <c:pt idx="14">
                  <c:v>0.76094027497854844</c:v>
                </c:pt>
                <c:pt idx="15">
                  <c:v>0.78386845728653243</c:v>
                </c:pt>
                <c:pt idx="16">
                  <c:v>0.80416658352124204</c:v>
                </c:pt>
                <c:pt idx="17">
                  <c:v>0.82217787799572961</c:v>
                </c:pt>
                <c:pt idx="18">
                  <c:v>0.87717757867220081</c:v>
                </c:pt>
                <c:pt idx="19">
                  <c:v>0.924470696226528</c:v>
                </c:pt>
                <c:pt idx="20">
                  <c:v>0.96210963223115753</c:v>
                </c:pt>
                <c:pt idx="21">
                  <c:v>0.98584000159639218</c:v>
                </c:pt>
                <c:pt idx="22">
                  <c:v>0.99288807295512138</c:v>
                </c:pt>
                <c:pt idx="23">
                  <c:v>0.995833416478758</c:v>
                </c:pt>
                <c:pt idx="24">
                  <c:v>0.99911001137429412</c:v>
                </c:pt>
                <c:pt idx="25">
                  <c:v>0.99975655019655574</c:v>
                </c:pt>
                <c:pt idx="26">
                  <c:v>1</c:v>
                </c:pt>
              </c:numCache>
            </c:numRef>
          </c:xVal>
          <c:yVal>
            <c:numRef>
              <c:f>GE!$G$3:$G$29</c:f>
              <c:numCache>
                <c:formatCode>General</c:formatCode>
                <c:ptCount val="27"/>
                <c:pt idx="0">
                  <c:v>0</c:v>
                </c:pt>
                <c:pt idx="1">
                  <c:v>2.5897284949558209E-2</c:v>
                </c:pt>
                <c:pt idx="2">
                  <c:v>4.0123222561722724E-2</c:v>
                </c:pt>
                <c:pt idx="3">
                  <c:v>5.9077249526311083E-2</c:v>
                </c:pt>
                <c:pt idx="4">
                  <c:v>7.8145537102890031E-2</c:v>
                </c:pt>
                <c:pt idx="5">
                  <c:v>0.10111685180608677</c:v>
                </c:pt>
                <c:pt idx="6">
                  <c:v>0.1279567556215622</c:v>
                </c:pt>
                <c:pt idx="7">
                  <c:v>0.15819889885863866</c:v>
                </c:pt>
                <c:pt idx="8">
                  <c:v>0.19055207066140237</c:v>
                </c:pt>
                <c:pt idx="9">
                  <c:v>0.22698588736703129</c:v>
                </c:pt>
                <c:pt idx="10">
                  <c:v>0.26286716796907017</c:v>
                </c:pt>
                <c:pt idx="11">
                  <c:v>0.2987640192849676</c:v>
                </c:pt>
                <c:pt idx="12">
                  <c:v>0.33464536845858972</c:v>
                </c:pt>
                <c:pt idx="13">
                  <c:v>0.36865560992837443</c:v>
                </c:pt>
                <c:pt idx="14">
                  <c:v>0.40129947919880654</c:v>
                </c:pt>
                <c:pt idx="15">
                  <c:v>0.43250922766973687</c:v>
                </c:pt>
                <c:pt idx="16">
                  <c:v>0.46170018237387023</c:v>
                </c:pt>
                <c:pt idx="17">
                  <c:v>0.48901638800589997</c:v>
                </c:pt>
                <c:pt idx="18">
                  <c:v>0.58253640571268872</c:v>
                </c:pt>
                <c:pt idx="19">
                  <c:v>0.68065722591720934</c:v>
                </c:pt>
                <c:pt idx="20">
                  <c:v>0.78088873455995289</c:v>
                </c:pt>
                <c:pt idx="21">
                  <c:v>0.86888446225071081</c:v>
                </c:pt>
                <c:pt idx="22">
                  <c:v>0.90632792856170452</c:v>
                </c:pt>
                <c:pt idx="23">
                  <c:v>0.92665698251440032</c:v>
                </c:pt>
                <c:pt idx="24">
                  <c:v>0.96067168523277524</c:v>
                </c:pt>
                <c:pt idx="25">
                  <c:v>0.97412622442991403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6-486E-B420-CA3892D97306}"/>
            </c:ext>
          </c:extLst>
        </c:ser>
        <c:ser>
          <c:idx val="1"/>
          <c:order val="1"/>
          <c:tx>
            <c:strRef>
              <c:f>GE!$I$1:$I$2</c:f>
              <c:strCache>
                <c:ptCount val="2"/>
                <c:pt idx="0">
                  <c:v>Courbe de Lorenz</c:v>
                </c:pt>
                <c:pt idx="1">
                  <c:v>ligne égalité parfaite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GE!$H$3:$H$29</c:f>
              <c:numCache>
                <c:formatCode>General</c:formatCode>
                <c:ptCount val="27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</c:numCache>
            </c:numRef>
          </c:xVal>
          <c:yVal>
            <c:numRef>
              <c:f>GE!$I$3:$I$29</c:f>
              <c:numCache>
                <c:formatCode>General</c:formatCode>
                <c:ptCount val="27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6-486E-B420-CA3892D97306}"/>
            </c:ext>
          </c:extLst>
        </c:ser>
        <c:ser>
          <c:idx val="2"/>
          <c:order val="2"/>
          <c:tx>
            <c:strRef>
              <c:f>CH!$I$2</c:f>
              <c:strCache>
                <c:ptCount val="1"/>
                <c:pt idx="0">
                  <c:v>ligne égalité parfaite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CH!$F$3:$F$29</c:f>
              <c:numCache>
                <c:formatCode>General</c:formatCode>
                <c:ptCount val="27"/>
                <c:pt idx="0">
                  <c:v>0</c:v>
                </c:pt>
                <c:pt idx="1">
                  <c:v>0.17295308935382017</c:v>
                </c:pt>
                <c:pt idx="2">
                  <c:v>0.21124514245499026</c:v>
                </c:pt>
                <c:pt idx="3">
                  <c:v>0.25126795809408137</c:v>
                </c:pt>
                <c:pt idx="4">
                  <c:v>0.2903156698301102</c:v>
                </c:pt>
                <c:pt idx="5">
                  <c:v>0.33461714719900937</c:v>
                </c:pt>
                <c:pt idx="6">
                  <c:v>0.38602235757574871</c:v>
                </c:pt>
                <c:pt idx="7">
                  <c:v>0.44145114800301682</c:v>
                </c:pt>
                <c:pt idx="8">
                  <c:v>0.49648251950676708</c:v>
                </c:pt>
                <c:pt idx="9">
                  <c:v>0.54822387918798166</c:v>
                </c:pt>
                <c:pt idx="10">
                  <c:v>0.59499406372415498</c:v>
                </c:pt>
                <c:pt idx="11">
                  <c:v>0.63690644275052244</c:v>
                </c:pt>
                <c:pt idx="12">
                  <c:v>0.67411523231501425</c:v>
                </c:pt>
                <c:pt idx="13">
                  <c:v>0.70737900865339587</c:v>
                </c:pt>
                <c:pt idx="14">
                  <c:v>0.73721147792532737</c:v>
                </c:pt>
                <c:pt idx="15">
                  <c:v>0.76402673105950802</c:v>
                </c:pt>
                <c:pt idx="16">
                  <c:v>0.7884214174413765</c:v>
                </c:pt>
                <c:pt idx="17">
                  <c:v>0.81043304908259162</c:v>
                </c:pt>
                <c:pt idx="18">
                  <c:v>0.87757246434952196</c:v>
                </c:pt>
                <c:pt idx="19">
                  <c:v>0.93209909089639742</c:v>
                </c:pt>
                <c:pt idx="20">
                  <c:v>0.96891942274015663</c:v>
                </c:pt>
                <c:pt idx="21">
                  <c:v>0.98876306850756168</c:v>
                </c:pt>
                <c:pt idx="22">
                  <c:v>0.99430859423111106</c:v>
                </c:pt>
                <c:pt idx="23">
                  <c:v>0.99657161053445653</c:v>
                </c:pt>
                <c:pt idx="24">
                  <c:v>0.99918390534635781</c:v>
                </c:pt>
                <c:pt idx="25">
                  <c:v>0.99976680032752152</c:v>
                </c:pt>
                <c:pt idx="26">
                  <c:v>1</c:v>
                </c:pt>
              </c:numCache>
            </c:numRef>
          </c:xVal>
          <c:yVal>
            <c:numRef>
              <c:f>CH!$G$3:$G$29</c:f>
              <c:numCache>
                <c:formatCode>General</c:formatCode>
                <c:ptCount val="27"/>
                <c:pt idx="0">
                  <c:v>0</c:v>
                </c:pt>
                <c:pt idx="1">
                  <c:v>1.9104146904600303E-2</c:v>
                </c:pt>
                <c:pt idx="2">
                  <c:v>3.1595535818481547E-2</c:v>
                </c:pt>
                <c:pt idx="3">
                  <c:v>4.7517082050698198E-2</c:v>
                </c:pt>
                <c:pt idx="4">
                  <c:v>6.5893633465686122E-2</c:v>
                </c:pt>
                <c:pt idx="5">
                  <c:v>8.9950156470453402E-2</c:v>
                </c:pt>
                <c:pt idx="6">
                  <c:v>0.12155531081640955</c:v>
                </c:pt>
                <c:pt idx="7">
                  <c:v>0.15962232760093983</c:v>
                </c:pt>
                <c:pt idx="8">
                  <c:v>0.20135202536355054</c:v>
                </c:pt>
                <c:pt idx="9">
                  <c:v>0.24431910148053615</c:v>
                </c:pt>
                <c:pt idx="10">
                  <c:v>0.28651935245988597</c:v>
                </c:pt>
                <c:pt idx="11">
                  <c:v>0.32735834099172234</c:v>
                </c:pt>
                <c:pt idx="12">
                  <c:v>0.36630096348030072</c:v>
                </c:pt>
                <c:pt idx="13">
                  <c:v>0.40351633340483267</c:v>
                </c:pt>
                <c:pt idx="14">
                  <c:v>0.43904494627960178</c:v>
                </c:pt>
                <c:pt idx="15">
                  <c:v>0.47291786350586495</c:v>
                </c:pt>
                <c:pt idx="16">
                  <c:v>0.50549146950752899</c:v>
                </c:pt>
                <c:pt idx="17">
                  <c:v>0.5364731111832084</c:v>
                </c:pt>
                <c:pt idx="18">
                  <c:v>0.64237119451178382</c:v>
                </c:pt>
                <c:pt idx="19">
                  <c:v>0.74720654108725182</c:v>
                </c:pt>
                <c:pt idx="20">
                  <c:v>0.83784527626943728</c:v>
                </c:pt>
                <c:pt idx="21">
                  <c:v>0.90594312610148842</c:v>
                </c:pt>
                <c:pt idx="22">
                  <c:v>0.93329231700701554</c:v>
                </c:pt>
                <c:pt idx="23">
                  <c:v>0.9477800576417319</c:v>
                </c:pt>
                <c:pt idx="24">
                  <c:v>0.97266559248409601</c:v>
                </c:pt>
                <c:pt idx="25">
                  <c:v>0.98392661455642405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06-486E-B420-CA3892D97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344928"/>
        <c:axId val="218336768"/>
      </c:scatterChart>
      <c:valAx>
        <c:axId val="21834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8336768"/>
        <c:crosses val="autoZero"/>
        <c:crossBetween val="midCat"/>
      </c:valAx>
      <c:valAx>
        <c:axId val="2183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834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780231269106453"/>
          <c:y val="3.5148675508628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GE!$B$39:$B$40</c:f>
              <c:strCache>
                <c:ptCount val="2"/>
                <c:pt idx="0">
                  <c:v>Distribution empirique de Parto</c:v>
                </c:pt>
                <c:pt idx="1">
                  <c:v>Log de l'inverse de la distribution relative cumulée des personnes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GE!$A$41:$A$65</c:f>
              <c:numCache>
                <c:formatCode>General</c:formatCode>
                <c:ptCount val="25"/>
                <c:pt idx="0">
                  <c:v>3.7722955399279523</c:v>
                </c:pt>
                <c:pt idx="1">
                  <c:v>4.3556337674688406</c:v>
                </c:pt>
                <c:pt idx="2">
                  <c:v>4.4411644681101272</c:v>
                </c:pt>
                <c:pt idx="3">
                  <c:v>4.5132945165813325</c:v>
                </c:pt>
                <c:pt idx="4">
                  <c:v>4.5754529919949274</c:v>
                </c:pt>
                <c:pt idx="5">
                  <c:v>4.6293191283530346</c:v>
                </c:pt>
                <c:pt idx="6">
                  <c:v>4.6777428199808533</c:v>
                </c:pt>
                <c:pt idx="7">
                  <c:v>4.7206670746380448</c:v>
                </c:pt>
                <c:pt idx="8">
                  <c:v>4.7602077624282391</c:v>
                </c:pt>
                <c:pt idx="9">
                  <c:v>4.7962260987499015</c:v>
                </c:pt>
                <c:pt idx="10">
                  <c:v>4.8294456902556702</c:v>
                </c:pt>
                <c:pt idx="11">
                  <c:v>4.8604106341962865</c:v>
                </c:pt>
                <c:pt idx="12">
                  <c:v>4.8894698346845153</c:v>
                </c:pt>
                <c:pt idx="13">
                  <c:v>4.9165395418021651</c:v>
                </c:pt>
                <c:pt idx="14">
                  <c:v>4.9422183364895664</c:v>
                </c:pt>
                <c:pt idx="15">
                  <c:v>4.9660900441380562</c:v>
                </c:pt>
                <c:pt idx="16">
                  <c:v>4.9891731407867042</c:v>
                </c:pt>
                <c:pt idx="17">
                  <c:v>5.0388419486119664</c:v>
                </c:pt>
                <c:pt idx="18">
                  <c:v>5.1252609204754087</c:v>
                </c:pt>
                <c:pt idx="19">
                  <c:v>5.2336646233210313</c:v>
                </c:pt>
                <c:pt idx="20">
                  <c:v>5.3774547831689601</c:v>
                </c:pt>
                <c:pt idx="21">
                  <c:v>5.5336034482383756</c:v>
                </c:pt>
                <c:pt idx="22">
                  <c:v>5.6472789075972889</c:v>
                </c:pt>
                <c:pt idx="23">
                  <c:v>5.8245416234964953</c:v>
                </c:pt>
                <c:pt idx="24">
                  <c:v>6.1265719146621898</c:v>
                </c:pt>
              </c:numCache>
            </c:numRef>
          </c:xVal>
          <c:yVal>
            <c:numRef>
              <c:f>GE!$B$41:$B$65</c:f>
              <c:numCache>
                <c:formatCode>General</c:formatCode>
                <c:ptCount val="25"/>
                <c:pt idx="0">
                  <c:v>-0.14348627768580327</c:v>
                </c:pt>
                <c:pt idx="1">
                  <c:v>-0.16857623963281418</c:v>
                </c:pt>
                <c:pt idx="2">
                  <c:v>-0.19779924270011631</c:v>
                </c:pt>
                <c:pt idx="3">
                  <c:v>-0.22435184467592204</c:v>
                </c:pt>
                <c:pt idx="4">
                  <c:v>-0.25392300720752736</c:v>
                </c:pt>
                <c:pt idx="5">
                  <c:v>-0.28671436190716915</c:v>
                </c:pt>
                <c:pt idx="6">
                  <c:v>-0.32247658683007402</c:v>
                </c:pt>
                <c:pt idx="7">
                  <c:v>-0.36019297580706788</c:v>
                </c:pt>
                <c:pt idx="8">
                  <c:v>-0.40271968167192423</c:v>
                </c:pt>
                <c:pt idx="9">
                  <c:v>-0.44523318400886275</c:v>
                </c:pt>
                <c:pt idx="10">
                  <c:v>-0.48873371805696725</c:v>
                </c:pt>
                <c:pt idx="11">
                  <c:v>-0.53355581515285122</c:v>
                </c:pt>
                <c:pt idx="12">
                  <c:v>-0.5775706703629786</c:v>
                </c:pt>
                <c:pt idx="13">
                  <c:v>-0.6214935843787982</c:v>
                </c:pt>
                <c:pt idx="14">
                  <c:v>-0.66528184659785017</c:v>
                </c:pt>
                <c:pt idx="15">
                  <c:v>-0.70811319938648543</c:v>
                </c:pt>
                <c:pt idx="16">
                  <c:v>-0.75001421149432579</c:v>
                </c:pt>
                <c:pt idx="17">
                  <c:v>-0.9107223451647557</c:v>
                </c:pt>
                <c:pt idx="18">
                  <c:v>-1.1218845185959989</c:v>
                </c:pt>
                <c:pt idx="19">
                  <c:v>-1.4214711793857677</c:v>
                </c:pt>
                <c:pt idx="20">
                  <c:v>-1.8489367956084217</c:v>
                </c:pt>
                <c:pt idx="21">
                  <c:v>-2.148012707067251</c:v>
                </c:pt>
                <c:pt idx="22">
                  <c:v>-2.380219908101866</c:v>
                </c:pt>
                <c:pt idx="23">
                  <c:v>-3.0506155437199589</c:v>
                </c:pt>
                <c:pt idx="24">
                  <c:v>-3.6135905717572601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2-4D88-8778-FEC6A4ECE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047199"/>
        <c:axId val="1717036159"/>
      </c:scatterChart>
      <c:valAx>
        <c:axId val="1717047199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17036159"/>
        <c:crosses val="autoZero"/>
        <c:crossBetween val="midCat"/>
      </c:valAx>
      <c:valAx>
        <c:axId val="171703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1704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GE!$C$42:$C$65</c:f>
              <c:numCache>
                <c:formatCode>General</c:formatCode>
                <c:ptCount val="24"/>
                <c:pt idx="0">
                  <c:v>4.3584996540295551</c:v>
                </c:pt>
                <c:pt idx="1">
                  <c:v>3.6402569399845226</c:v>
                </c:pt>
                <c:pt idx="2">
                  <c:v>3.1806448261092006</c:v>
                </c:pt>
                <c:pt idx="3">
                  <c:v>2.8394318453491825</c:v>
                </c:pt>
                <c:pt idx="4">
                  <c:v>2.5933019786596772</c:v>
                </c:pt>
                <c:pt idx="5">
                  <c:v>2.411725711510337</c:v>
                </c:pt>
                <c:pt idx="6">
                  <c:v>2.2751240450091625</c:v>
                </c:pt>
                <c:pt idx="7">
                  <c:v>2.1692469761251427</c:v>
                </c:pt>
                <c:pt idx="8">
                  <c:v>2.0943357688112751</c:v>
                </c:pt>
                <c:pt idx="9">
                  <c:v>2.0330899583158133</c:v>
                </c:pt>
                <c:pt idx="10">
                  <c:v>1.9851410034509811</c:v>
                </c:pt>
                <c:pt idx="11">
                  <c:v>1.9491247659237145</c:v>
                </c:pt>
                <c:pt idx="12">
                  <c:v>1.9188422602280655</c:v>
                </c:pt>
                <c:pt idx="13">
                  <c:v>1.8948589154376834</c:v>
                </c:pt>
                <c:pt idx="14">
                  <c:v>1.8762513164086541</c:v>
                </c:pt>
                <c:pt idx="15">
                  <c:v>1.8608310728673341</c:v>
                </c:pt>
                <c:pt idx="16">
                  <c:v>1.8480534787972884</c:v>
                </c:pt>
                <c:pt idx="17">
                  <c:v>1.8216032069215562</c:v>
                </c:pt>
                <c:pt idx="18">
                  <c:v>1.8127802128170754</c:v>
                </c:pt>
                <c:pt idx="19">
                  <c:v>1.8595223966159504</c:v>
                </c:pt>
                <c:pt idx="20">
                  <c:v>1.9850248498044278</c:v>
                </c:pt>
                <c:pt idx="21">
                  <c:v>2.1176756766301126</c:v>
                </c:pt>
                <c:pt idx="22">
                  <c:v>2.2641516038807001</c:v>
                </c:pt>
                <c:pt idx="23">
                  <c:v>2.8419611759760439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F-4BD6-BC91-F3700C5C9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926736"/>
        <c:axId val="1908925296"/>
      </c:lineChart>
      <c:catAx>
        <c:axId val="190892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8925296"/>
        <c:crosses val="autoZero"/>
        <c:auto val="1"/>
        <c:lblAlgn val="ctr"/>
        <c:lblOffset val="100"/>
        <c:noMultiLvlLbl val="0"/>
      </c:catAx>
      <c:valAx>
        <c:axId val="19089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89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H"/>
              <a:t>Variable X 1 Courbe de régression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cat>
            <c:numRef>
              <c:f>GE!$A$41:$A$65</c:f>
              <c:numCache>
                <c:formatCode>General</c:formatCode>
                <c:ptCount val="25"/>
                <c:pt idx="0">
                  <c:v>3.7722955399279523</c:v>
                </c:pt>
                <c:pt idx="1">
                  <c:v>4.3556337674688406</c:v>
                </c:pt>
                <c:pt idx="2">
                  <c:v>4.4411644681101272</c:v>
                </c:pt>
                <c:pt idx="3">
                  <c:v>4.5132945165813325</c:v>
                </c:pt>
                <c:pt idx="4">
                  <c:v>4.5754529919949274</c:v>
                </c:pt>
                <c:pt idx="5">
                  <c:v>4.6293191283530346</c:v>
                </c:pt>
                <c:pt idx="6">
                  <c:v>4.6777428199808533</c:v>
                </c:pt>
                <c:pt idx="7">
                  <c:v>4.7206670746380448</c:v>
                </c:pt>
                <c:pt idx="8">
                  <c:v>4.7602077624282391</c:v>
                </c:pt>
                <c:pt idx="9">
                  <c:v>4.7962260987499015</c:v>
                </c:pt>
                <c:pt idx="10">
                  <c:v>4.8294456902556702</c:v>
                </c:pt>
                <c:pt idx="11">
                  <c:v>4.8604106341962865</c:v>
                </c:pt>
                <c:pt idx="12">
                  <c:v>4.8894698346845153</c:v>
                </c:pt>
                <c:pt idx="13">
                  <c:v>4.9165395418021651</c:v>
                </c:pt>
                <c:pt idx="14">
                  <c:v>4.9422183364895664</c:v>
                </c:pt>
                <c:pt idx="15">
                  <c:v>4.9660900441380562</c:v>
                </c:pt>
                <c:pt idx="16">
                  <c:v>4.9891731407867042</c:v>
                </c:pt>
                <c:pt idx="17">
                  <c:v>5.0388419486119664</c:v>
                </c:pt>
                <c:pt idx="18">
                  <c:v>5.1252609204754087</c:v>
                </c:pt>
                <c:pt idx="19">
                  <c:v>5.2336646233210313</c:v>
                </c:pt>
                <c:pt idx="20">
                  <c:v>5.3774547831689601</c:v>
                </c:pt>
                <c:pt idx="21">
                  <c:v>5.5336034482383756</c:v>
                </c:pt>
                <c:pt idx="22">
                  <c:v>5.6472789075972889</c:v>
                </c:pt>
                <c:pt idx="23">
                  <c:v>5.8245416234964953</c:v>
                </c:pt>
                <c:pt idx="24">
                  <c:v>6.1265719146621898</c:v>
                </c:pt>
              </c:numCache>
            </c:numRef>
          </c:cat>
          <c:val>
            <c:numRef>
              <c:f>GE!$B$41:$B$65</c:f>
              <c:numCache>
                <c:formatCode>General</c:formatCode>
                <c:ptCount val="25"/>
                <c:pt idx="0">
                  <c:v>-0.14348627768580327</c:v>
                </c:pt>
                <c:pt idx="1">
                  <c:v>-0.16857623963281418</c:v>
                </c:pt>
                <c:pt idx="2">
                  <c:v>-0.19779924270011631</c:v>
                </c:pt>
                <c:pt idx="3">
                  <c:v>-0.22435184467592204</c:v>
                </c:pt>
                <c:pt idx="4">
                  <c:v>-0.25392300720752736</c:v>
                </c:pt>
                <c:pt idx="5">
                  <c:v>-0.28671436190716915</c:v>
                </c:pt>
                <c:pt idx="6">
                  <c:v>-0.32247658683007402</c:v>
                </c:pt>
                <c:pt idx="7">
                  <c:v>-0.36019297580706788</c:v>
                </c:pt>
                <c:pt idx="8">
                  <c:v>-0.40271968167192423</c:v>
                </c:pt>
                <c:pt idx="9">
                  <c:v>-0.44523318400886275</c:v>
                </c:pt>
                <c:pt idx="10">
                  <c:v>-0.48873371805696725</c:v>
                </c:pt>
                <c:pt idx="11">
                  <c:v>-0.53355581515285122</c:v>
                </c:pt>
                <c:pt idx="12">
                  <c:v>-0.5775706703629786</c:v>
                </c:pt>
                <c:pt idx="13">
                  <c:v>-0.6214935843787982</c:v>
                </c:pt>
                <c:pt idx="14">
                  <c:v>-0.66528184659785017</c:v>
                </c:pt>
                <c:pt idx="15">
                  <c:v>-0.70811319938648543</c:v>
                </c:pt>
                <c:pt idx="16">
                  <c:v>-0.75001421149432579</c:v>
                </c:pt>
                <c:pt idx="17">
                  <c:v>-0.9107223451647557</c:v>
                </c:pt>
                <c:pt idx="18">
                  <c:v>-1.1218845185959989</c:v>
                </c:pt>
                <c:pt idx="19">
                  <c:v>-1.4214711793857677</c:v>
                </c:pt>
                <c:pt idx="20">
                  <c:v>-1.8489367956084217</c:v>
                </c:pt>
                <c:pt idx="21">
                  <c:v>-2.148012707067251</c:v>
                </c:pt>
                <c:pt idx="22">
                  <c:v>-2.380219908101866</c:v>
                </c:pt>
                <c:pt idx="23">
                  <c:v>-3.0506155437199589</c:v>
                </c:pt>
                <c:pt idx="24">
                  <c:v>-3.6135905717572601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1-4565-A490-D1D3594E58FD}"/>
            </c:ext>
          </c:extLst>
        </c:ser>
        <c:ser>
          <c:idx val="1"/>
          <c:order val="1"/>
          <c:tx>
            <c:v>Prévisions pour Y</c:v>
          </c:tx>
          <c:cat>
            <c:numRef>
              <c:f>GE!$A$41:$A$65</c:f>
              <c:numCache>
                <c:formatCode>General</c:formatCode>
                <c:ptCount val="25"/>
                <c:pt idx="0">
                  <c:v>3.7722955399279523</c:v>
                </c:pt>
                <c:pt idx="1">
                  <c:v>4.3556337674688406</c:v>
                </c:pt>
                <c:pt idx="2">
                  <c:v>4.4411644681101272</c:v>
                </c:pt>
                <c:pt idx="3">
                  <c:v>4.5132945165813325</c:v>
                </c:pt>
                <c:pt idx="4">
                  <c:v>4.5754529919949274</c:v>
                </c:pt>
                <c:pt idx="5">
                  <c:v>4.6293191283530346</c:v>
                </c:pt>
                <c:pt idx="6">
                  <c:v>4.6777428199808533</c:v>
                </c:pt>
                <c:pt idx="7">
                  <c:v>4.7206670746380448</c:v>
                </c:pt>
                <c:pt idx="8">
                  <c:v>4.7602077624282391</c:v>
                </c:pt>
                <c:pt idx="9">
                  <c:v>4.7962260987499015</c:v>
                </c:pt>
                <c:pt idx="10">
                  <c:v>4.8294456902556702</c:v>
                </c:pt>
                <c:pt idx="11">
                  <c:v>4.8604106341962865</c:v>
                </c:pt>
                <c:pt idx="12">
                  <c:v>4.8894698346845153</c:v>
                </c:pt>
                <c:pt idx="13">
                  <c:v>4.9165395418021651</c:v>
                </c:pt>
                <c:pt idx="14">
                  <c:v>4.9422183364895664</c:v>
                </c:pt>
                <c:pt idx="15">
                  <c:v>4.9660900441380562</c:v>
                </c:pt>
                <c:pt idx="16">
                  <c:v>4.9891731407867042</c:v>
                </c:pt>
                <c:pt idx="17">
                  <c:v>5.0388419486119664</c:v>
                </c:pt>
                <c:pt idx="18">
                  <c:v>5.1252609204754087</c:v>
                </c:pt>
                <c:pt idx="19">
                  <c:v>5.2336646233210313</c:v>
                </c:pt>
                <c:pt idx="20">
                  <c:v>5.3774547831689601</c:v>
                </c:pt>
                <c:pt idx="21">
                  <c:v>5.5336034482383756</c:v>
                </c:pt>
                <c:pt idx="22">
                  <c:v>5.6472789075972889</c:v>
                </c:pt>
                <c:pt idx="23">
                  <c:v>5.8245416234964953</c:v>
                </c:pt>
                <c:pt idx="24">
                  <c:v>6.1265719146621898</c:v>
                </c:pt>
              </c:numCache>
            </c:numRef>
          </c:cat>
          <c:val>
            <c:numRef>
              <c:f>'alpha coef GE'!$B$25:$B$49</c:f>
              <c:numCache>
                <c:formatCode>General</c:formatCode>
                <c:ptCount val="25"/>
                <c:pt idx="0">
                  <c:v>1.1075466481673946</c:v>
                </c:pt>
                <c:pt idx="1">
                  <c:v>8.3257032634299399E-2</c:v>
                </c:pt>
                <c:pt idx="2">
                  <c:v>-6.6927207554209112E-2</c:v>
                </c:pt>
                <c:pt idx="3">
                  <c:v>-0.19358110426248842</c:v>
                </c:pt>
                <c:pt idx="4">
                  <c:v>-0.30272581290247125</c:v>
                </c:pt>
                <c:pt idx="5">
                  <c:v>-0.39730991779319957</c:v>
                </c:pt>
                <c:pt idx="6">
                  <c:v>-0.48233757779971853</c:v>
                </c:pt>
                <c:pt idx="7">
                  <c:v>-0.55770871965888524</c:v>
                </c:pt>
                <c:pt idx="8">
                  <c:v>-0.62713862152776834</c:v>
                </c:pt>
                <c:pt idx="9">
                  <c:v>-0.69038359009186223</c:v>
                </c:pt>
                <c:pt idx="10">
                  <c:v>-0.74871421374231595</c:v>
                </c:pt>
                <c:pt idx="11">
                  <c:v>-0.8030858784584165</c:v>
                </c:pt>
                <c:pt idx="12">
                  <c:v>-0.85411122857350108</c:v>
                </c:pt>
                <c:pt idx="13">
                  <c:v>-0.90164320674166909</c:v>
                </c:pt>
                <c:pt idx="14">
                  <c:v>-0.94673286741518936</c:v>
                </c:pt>
                <c:pt idx="15">
                  <c:v>-0.98864944530254562</c:v>
                </c:pt>
                <c:pt idx="16">
                  <c:v>-1.0291812929944584</c:v>
                </c:pt>
                <c:pt idx="17">
                  <c:v>-1.1163952653853872</c:v>
                </c:pt>
                <c:pt idx="18">
                  <c:v>-1.2681392301824932</c:v>
                </c:pt>
                <c:pt idx="19">
                  <c:v>-1.4584864110593436</c:v>
                </c:pt>
                <c:pt idx="20">
                  <c:v>-1.710969037080547</c:v>
                </c:pt>
                <c:pt idx="21">
                  <c:v>-1.9851520899968698</c:v>
                </c:pt>
                <c:pt idx="22">
                  <c:v>-2.1847560025556909</c:v>
                </c:pt>
                <c:pt idx="23">
                  <c:v>-2.4960134352841568</c:v>
                </c:pt>
                <c:pt idx="24">
                  <c:v>-3.0263515413973447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1-4565-A490-D1D3594E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571519"/>
        <c:axId val="239578239"/>
      </c:lineChart>
      <c:catAx>
        <c:axId val="23957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CH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239578239"/>
        <c:crosses val="autoZero"/>
        <c:auto val="1"/>
        <c:lblAlgn val="ctr"/>
        <c:lblOffset val="100"/>
        <c:tickMarkSkip val="1"/>
        <c:noMultiLvlLbl val="0"/>
      </c:catAx>
      <c:valAx>
        <c:axId val="239578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CH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95715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616741</xdr:colOff>
      <xdr:row>1</xdr:row>
      <xdr:rowOff>534988</xdr:rowOff>
    </xdr:from>
    <xdr:to>
      <xdr:col>25</xdr:col>
      <xdr:colOff>619123</xdr:colOff>
      <xdr:row>13</xdr:row>
      <xdr:rowOff>139701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F4ED8B6-39B5-A24D-04D3-28586D713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487362</xdr:colOff>
      <xdr:row>40</xdr:row>
      <xdr:rowOff>66675</xdr:rowOff>
    </xdr:from>
    <xdr:to>
      <xdr:col>1</xdr:col>
      <xdr:colOff>2676523</xdr:colOff>
      <xdr:row>53</xdr:row>
      <xdr:rowOff>57148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F14139A-4790-4DA2-5077-D533C124D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377825</xdr:colOff>
      <xdr:row>54</xdr:row>
      <xdr:rowOff>163512</xdr:rowOff>
    </xdr:from>
    <xdr:to>
      <xdr:col>1</xdr:col>
      <xdr:colOff>3724275</xdr:colOff>
      <xdr:row>70</xdr:row>
      <xdr:rowOff>7937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7AA844B-A7D5-E531-1693-992E712BA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3</xdr:row>
      <xdr:rowOff>109537</xdr:rowOff>
    </xdr:from>
    <xdr:to>
      <xdr:col>18</xdr:col>
      <xdr:colOff>600075</xdr:colOff>
      <xdr:row>36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5652EF-6576-48D0-EA9B-A5AA55603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tv.admin.ch/fr/statistiques-personnes-physiques-cantons-1983-a-aujourdhu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9D6E-E496-4D38-B54C-DA7BD6147D63}">
  <dimension ref="A1:A2"/>
  <sheetViews>
    <sheetView workbookViewId="0">
      <selection activeCell="A2" activeCellId="2" sqref="A3 C2 A2"/>
    </sheetView>
  </sheetViews>
  <sheetFormatPr baseColWidth="10" defaultRowHeight="14.5" x14ac:dyDescent="0.35"/>
  <sheetData>
    <row r="1" spans="1:1" x14ac:dyDescent="0.35">
      <c r="A1" t="s">
        <v>26</v>
      </c>
    </row>
    <row r="2" spans="1:1" x14ac:dyDescent="0.35">
      <c r="A2" s="19" t="s">
        <v>27</v>
      </c>
    </row>
  </sheetData>
  <hyperlinks>
    <hyperlink ref="A2" r:id="rId1" xr:uid="{D629CB66-0AF2-40C2-A5DF-566C4192B5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56E1-B0FC-48AE-8D60-3C9A253EE1A6}">
  <dimension ref="A1:Q35"/>
  <sheetViews>
    <sheetView topLeftCell="A2" zoomScale="85" zoomScaleNormal="85" workbookViewId="0">
      <selection activeCell="J36" sqref="J36"/>
    </sheetView>
  </sheetViews>
  <sheetFormatPr baseColWidth="10" defaultRowHeight="14.5" x14ac:dyDescent="0.35"/>
  <cols>
    <col min="3" max="3" width="25.36328125" customWidth="1"/>
    <col min="5" max="5" width="11.1796875" bestFit="1" customWidth="1"/>
    <col min="6" max="6" width="29.6328125" customWidth="1"/>
    <col min="7" max="7" width="39.36328125" customWidth="1"/>
    <col min="8" max="8" width="11.1796875" bestFit="1" customWidth="1"/>
    <col min="9" max="9" width="22.6328125" customWidth="1"/>
    <col min="10" max="10" width="20.26953125" customWidth="1"/>
    <col min="12" max="12" width="67.36328125" bestFit="1" customWidth="1"/>
    <col min="13" max="13" width="10.36328125" bestFit="1" customWidth="1"/>
    <col min="14" max="14" width="27.26953125" customWidth="1"/>
  </cols>
  <sheetData>
    <row r="1" spans="1:17" x14ac:dyDescent="0.35">
      <c r="F1" s="33" t="s">
        <v>20</v>
      </c>
      <c r="G1" s="33"/>
      <c r="H1" s="33"/>
      <c r="I1" s="33"/>
      <c r="J1" s="34" t="s">
        <v>19</v>
      </c>
      <c r="K1" s="35"/>
      <c r="L1" s="36" t="s">
        <v>21</v>
      </c>
      <c r="M1" s="37"/>
      <c r="N1" s="37"/>
      <c r="O1" s="37"/>
      <c r="P1" s="37"/>
      <c r="Q1" s="37"/>
    </row>
    <row r="2" spans="1:17" ht="174" x14ac:dyDescent="0.35">
      <c r="A2" s="1" t="s">
        <v>0</v>
      </c>
      <c r="B2" s="1" t="s">
        <v>1</v>
      </c>
      <c r="C2" s="1" t="s">
        <v>24</v>
      </c>
      <c r="D2" s="1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2" t="s">
        <v>9</v>
      </c>
      <c r="L2" s="4" t="s">
        <v>10</v>
      </c>
      <c r="M2" s="2" t="s">
        <v>11</v>
      </c>
      <c r="N2" s="5" t="s">
        <v>12</v>
      </c>
      <c r="O2" s="2" t="s">
        <v>13</v>
      </c>
    </row>
    <row r="3" spans="1:17" x14ac:dyDescent="0.35">
      <c r="A3" s="1"/>
      <c r="B3" s="1"/>
      <c r="C3" s="1"/>
      <c r="D3" s="1"/>
      <c r="E3" s="1"/>
      <c r="F3" s="2">
        <v>0</v>
      </c>
      <c r="G3" s="2">
        <v>0</v>
      </c>
      <c r="H3" s="2">
        <v>0</v>
      </c>
      <c r="I3" s="2">
        <v>0</v>
      </c>
      <c r="J3" s="2"/>
      <c r="K3" s="2"/>
      <c r="L3" s="12"/>
      <c r="M3" s="2"/>
      <c r="N3" s="5"/>
      <c r="O3" s="2"/>
    </row>
    <row r="4" spans="1:17" x14ac:dyDescent="0.35">
      <c r="A4" s="1">
        <v>0</v>
      </c>
      <c r="B4" s="1">
        <v>20000</v>
      </c>
      <c r="C4" s="11">
        <v>6349766510</v>
      </c>
      <c r="D4" s="1">
        <v>829909</v>
      </c>
      <c r="E4" s="1">
        <f>C4/D4</f>
        <v>7651.1599585014746</v>
      </c>
      <c r="F4" s="8">
        <f>SUM($D$4:D4)/$D$32</f>
        <v>0.17295308935382017</v>
      </c>
      <c r="G4" s="8">
        <f>SUM($C$4:C4)/$C$32</f>
        <v>1.9104146904600303E-2</v>
      </c>
      <c r="H4" s="13">
        <f>H3+1/26</f>
        <v>3.8461538461538464E-2</v>
      </c>
      <c r="I4" s="13">
        <f>I3+1/26</f>
        <v>3.8461538461538464E-2</v>
      </c>
      <c r="J4" s="13">
        <f>F4*G4/2</f>
        <v>1.6520606133099216E-3</v>
      </c>
      <c r="K4" s="14"/>
      <c r="L4" s="15">
        <f>SUM(D4:$D$29)</f>
        <v>4798463</v>
      </c>
      <c r="M4" s="16">
        <f>L4/$D$32</f>
        <v>1</v>
      </c>
      <c r="N4" s="9">
        <f>SUM(C4:$C$29)</f>
        <v>332376344346</v>
      </c>
      <c r="O4" s="17">
        <f>N4/C$32</f>
        <v>1</v>
      </c>
    </row>
    <row r="5" spans="1:17" x14ac:dyDescent="0.35">
      <c r="A5">
        <v>20001</v>
      </c>
      <c r="B5">
        <v>25000</v>
      </c>
      <c r="C5" s="6">
        <v>4151842183</v>
      </c>
      <c r="D5" s="6">
        <v>183743</v>
      </c>
      <c r="E5" s="7">
        <f>C5/D5</f>
        <v>22595.920296283395</v>
      </c>
      <c r="F5" s="8">
        <f>SUM($D$4:D5)/$D$32</f>
        <v>0.21124514245499026</v>
      </c>
      <c r="G5" s="8">
        <f>SUM($C$4:C5)/$C$32</f>
        <v>3.1595535818481547E-2</v>
      </c>
      <c r="H5" s="13">
        <f t="shared" ref="H5:H29" si="0">H4+1/26</f>
        <v>7.6923076923076927E-2</v>
      </c>
      <c r="I5" s="13">
        <f t="shared" ref="I5:I29" si="1">I4+1/26</f>
        <v>7.6923076923076927E-2</v>
      </c>
      <c r="J5" s="8">
        <f>((F5-F4)*(G5-G4))/2</f>
        <v>2.3916046379885401E-4</v>
      </c>
      <c r="K5" s="8">
        <f>(F5-F4)*G4</f>
        <v>7.315370077235091E-4</v>
      </c>
      <c r="L5" s="18">
        <f>SUM(D5:$D$29)</f>
        <v>3968554</v>
      </c>
      <c r="M5" s="16">
        <f t="shared" ref="M5:M29" si="2">L5/$D$32</f>
        <v>0.82704691064617986</v>
      </c>
      <c r="N5" s="9">
        <f>SUM(C5:$C$29)</f>
        <v>326026577836</v>
      </c>
      <c r="O5" s="17">
        <f t="shared" ref="O5:O29" si="3">N5/C$32</f>
        <v>0.98089585309539973</v>
      </c>
    </row>
    <row r="6" spans="1:17" x14ac:dyDescent="0.35">
      <c r="A6">
        <v>25001</v>
      </c>
      <c r="B6">
        <v>30000</v>
      </c>
      <c r="C6" s="6">
        <v>5291945333</v>
      </c>
      <c r="D6" s="6">
        <v>192048</v>
      </c>
      <c r="E6" s="7">
        <f>C6/D6</f>
        <v>27555.326444430561</v>
      </c>
      <c r="F6" s="8">
        <f>SUM($D$4:D6)/$D$32</f>
        <v>0.25126795809408137</v>
      </c>
      <c r="G6" s="8">
        <f>SUM($C$4:C6)/$C$32</f>
        <v>4.7517082050698198E-2</v>
      </c>
      <c r="H6" s="13">
        <f t="shared" si="0"/>
        <v>0.11538461538461539</v>
      </c>
      <c r="I6" s="13">
        <f t="shared" si="1"/>
        <v>0.11538461538461539</v>
      </c>
      <c r="J6" s="8">
        <f t="shared" ref="J6:J28" si="4">((F6-F5)*(G6-G5))/2</f>
        <v>3.1861255477063629E-4</v>
      </c>
      <c r="K6" s="8">
        <f t="shared" ref="K6:K29" si="5">(F6-F5)*G5</f>
        <v>1.2645423050813864E-3</v>
      </c>
      <c r="L6" s="18">
        <f>SUM(D6:$D$29)</f>
        <v>3784811</v>
      </c>
      <c r="M6" s="16">
        <f t="shared" si="2"/>
        <v>0.78875485754500974</v>
      </c>
      <c r="N6" s="9">
        <f>SUM(C6:$C$29)</f>
        <v>321874735653</v>
      </c>
      <c r="O6" s="17">
        <f t="shared" si="3"/>
        <v>0.96840446418151849</v>
      </c>
    </row>
    <row r="7" spans="1:17" x14ac:dyDescent="0.35">
      <c r="A7">
        <v>30001</v>
      </c>
      <c r="B7">
        <v>35000</v>
      </c>
      <c r="C7" s="6">
        <v>6107930981</v>
      </c>
      <c r="D7" s="6">
        <v>187369</v>
      </c>
      <c r="E7" s="7">
        <f t="shared" ref="E7:E29" si="6">C7/D7</f>
        <v>32598.407319247046</v>
      </c>
      <c r="F7" s="8">
        <f>SUM($D$4:D7)/$D$32</f>
        <v>0.2903156698301102</v>
      </c>
      <c r="G7" s="8">
        <f>SUM($C$4:C7)/$C$32</f>
        <v>6.5893633465686122E-2</v>
      </c>
      <c r="H7" s="13">
        <f t="shared" si="0"/>
        <v>0.15384615384615385</v>
      </c>
      <c r="I7" s="13">
        <f t="shared" si="1"/>
        <v>0.15384615384615385</v>
      </c>
      <c r="J7" s="8">
        <f t="shared" si="4"/>
        <v>3.5878114117738062E-4</v>
      </c>
      <c r="K7" s="8">
        <f>(F7-F6)*G6</f>
        <v>1.855433322452893E-3</v>
      </c>
      <c r="L7" s="18">
        <f>SUM(D7:$D$29)</f>
        <v>3592763</v>
      </c>
      <c r="M7" s="16">
        <f t="shared" si="2"/>
        <v>0.74873204190591858</v>
      </c>
      <c r="N7" s="9">
        <f>SUM(C7:$C$29)</f>
        <v>316582790320</v>
      </c>
      <c r="O7" s="17">
        <f t="shared" si="3"/>
        <v>0.95248291794930184</v>
      </c>
    </row>
    <row r="8" spans="1:17" x14ac:dyDescent="0.35">
      <c r="A8">
        <v>35001</v>
      </c>
      <c r="B8">
        <v>40000</v>
      </c>
      <c r="C8" s="6">
        <v>7995819174</v>
      </c>
      <c r="D8" s="6">
        <v>212579</v>
      </c>
      <c r="E8" s="7">
        <f t="shared" si="6"/>
        <v>37613.401013270362</v>
      </c>
      <c r="F8" s="8">
        <f>SUM($D$4:D8)/$D$32</f>
        <v>0.33461714719900937</v>
      </c>
      <c r="G8" s="8">
        <f>SUM($C$4:C8)/$C$32</f>
        <v>8.9950156470453402E-2</v>
      </c>
      <c r="H8" s="13">
        <f t="shared" si="0"/>
        <v>0.19230769230769232</v>
      </c>
      <c r="I8" s="13">
        <f t="shared" si="1"/>
        <v>0.19230769230769232</v>
      </c>
      <c r="J8" s="8">
        <f t="shared" si="4"/>
        <v>5.328697547350499E-4</v>
      </c>
      <c r="K8" s="8">
        <f>(F8-F7)*G7</f>
        <v>2.9191853117346307E-3</v>
      </c>
      <c r="L8" s="18">
        <f>SUM(D8:$D$29)</f>
        <v>3405394</v>
      </c>
      <c r="M8" s="16">
        <f t="shared" si="2"/>
        <v>0.70968433016988985</v>
      </c>
      <c r="N8" s="9">
        <f>SUM(C8:$C$29)</f>
        <v>310474859339</v>
      </c>
      <c r="O8" s="17">
        <f t="shared" si="3"/>
        <v>0.93410636653431389</v>
      </c>
    </row>
    <row r="9" spans="1:17" x14ac:dyDescent="0.35">
      <c r="A9">
        <v>40001</v>
      </c>
      <c r="B9">
        <v>45000</v>
      </c>
      <c r="C9" s="6">
        <v>10504805664</v>
      </c>
      <c r="D9" s="6">
        <v>246666</v>
      </c>
      <c r="E9" s="7">
        <f>C9/D9</f>
        <v>42587.165089635375</v>
      </c>
      <c r="F9" s="8">
        <f>SUM($D$4:D9)/$D$32</f>
        <v>0.38602235757574871</v>
      </c>
      <c r="G9" s="8">
        <f>SUM($C$4:C9)/$C$32</f>
        <v>0.12155531081640955</v>
      </c>
      <c r="H9" s="13">
        <f t="shared" si="0"/>
        <v>0.23076923076923078</v>
      </c>
      <c r="I9" s="13">
        <f t="shared" si="1"/>
        <v>0.23076923076923078</v>
      </c>
      <c r="J9" s="8">
        <f t="shared" si="4"/>
        <v>8.123348040715968E-4</v>
      </c>
      <c r="K9" s="8">
        <f t="shared" si="5"/>
        <v>4.6239067167842783E-3</v>
      </c>
      <c r="L9" s="18">
        <f>SUM(D9:$D$29)</f>
        <v>3192815</v>
      </c>
      <c r="M9" s="16">
        <f t="shared" si="2"/>
        <v>0.66538285280099063</v>
      </c>
      <c r="N9" s="9">
        <f>SUM(C9:$C$29)</f>
        <v>302479040165</v>
      </c>
      <c r="O9" s="17">
        <f t="shared" si="3"/>
        <v>0.91004984352954654</v>
      </c>
    </row>
    <row r="10" spans="1:17" x14ac:dyDescent="0.35">
      <c r="A10">
        <v>45001</v>
      </c>
      <c r="B10">
        <v>50000</v>
      </c>
      <c r="C10" s="6">
        <v>12652575879</v>
      </c>
      <c r="D10" s="6">
        <v>265973</v>
      </c>
      <c r="E10" s="7">
        <f t="shared" si="6"/>
        <v>47570.903358611591</v>
      </c>
      <c r="F10" s="8">
        <f>SUM($D$4:D10)/$D$32</f>
        <v>0.44145114800301682</v>
      </c>
      <c r="G10" s="8">
        <f>SUM($C$4:C10)/$C$32</f>
        <v>0.15962232760093983</v>
      </c>
      <c r="H10" s="13">
        <f t="shared" si="0"/>
        <v>0.26923076923076927</v>
      </c>
      <c r="I10" s="13">
        <f t="shared" si="1"/>
        <v>0.26923076923076927</v>
      </c>
      <c r="J10" s="8">
        <f t="shared" si="4"/>
        <v>1.0550043477705134E-3</v>
      </c>
      <c r="K10" s="8">
        <f t="shared" si="5"/>
        <v>6.7376638485642021E-3</v>
      </c>
      <c r="L10" s="18">
        <f>SUM(D10:$D$29)</f>
        <v>2946149</v>
      </c>
      <c r="M10" s="16">
        <f t="shared" si="2"/>
        <v>0.61397764242425124</v>
      </c>
      <c r="N10" s="9">
        <f>SUM(C10:$C$29)</f>
        <v>291974234501</v>
      </c>
      <c r="O10" s="17">
        <f t="shared" si="3"/>
        <v>0.87844468918359042</v>
      </c>
    </row>
    <row r="11" spans="1:17" x14ac:dyDescent="0.35">
      <c r="A11">
        <v>50001</v>
      </c>
      <c r="B11">
        <v>55000</v>
      </c>
      <c r="C11" s="6">
        <v>13869964393</v>
      </c>
      <c r="D11" s="6">
        <v>264066</v>
      </c>
      <c r="E11" s="7">
        <f t="shared" si="6"/>
        <v>52524.612759688869</v>
      </c>
      <c r="F11" s="8">
        <f>SUM($D$4:D11)/$D$32</f>
        <v>0.49648251950676708</v>
      </c>
      <c r="G11" s="8">
        <f>SUM($C$4:C11)/$C$32</f>
        <v>0.20135202536355054</v>
      </c>
      <c r="H11" s="13">
        <f t="shared" si="0"/>
        <v>0.30769230769230771</v>
      </c>
      <c r="I11" s="13">
        <f t="shared" si="1"/>
        <v>0.30769230769230771</v>
      </c>
      <c r="J11" s="8">
        <f t="shared" si="4"/>
        <v>1.1482212501567229E-3</v>
      </c>
      <c r="K11" s="8">
        <f t="shared" si="5"/>
        <v>8.7842356105006496E-3</v>
      </c>
      <c r="L11" s="18">
        <f>SUM(D11:$D$29)</f>
        <v>2680176</v>
      </c>
      <c r="M11" s="16">
        <f t="shared" si="2"/>
        <v>0.55854885199698323</v>
      </c>
      <c r="N11" s="9">
        <f>SUM(C11:$C$29)</f>
        <v>279321658622</v>
      </c>
      <c r="O11" s="17">
        <f t="shared" si="3"/>
        <v>0.84037767239906014</v>
      </c>
    </row>
    <row r="12" spans="1:17" x14ac:dyDescent="0.35">
      <c r="A12">
        <v>55001</v>
      </c>
      <c r="B12">
        <v>60000</v>
      </c>
      <c r="C12" s="6">
        <v>14281239687</v>
      </c>
      <c r="D12" s="6">
        <v>248279</v>
      </c>
      <c r="E12" s="7">
        <f t="shared" si="6"/>
        <v>57520.93284973759</v>
      </c>
      <c r="F12" s="8">
        <f>SUM($D$4:D12)/$D$32</f>
        <v>0.54822387918798166</v>
      </c>
      <c r="G12" s="8">
        <f>SUM($C$4:C12)/$C$32</f>
        <v>0.24431910148053615</v>
      </c>
      <c r="H12" s="13">
        <f t="shared" si="0"/>
        <v>0.34615384615384615</v>
      </c>
      <c r="I12" s="13">
        <f t="shared" si="1"/>
        <v>0.34615384615384615</v>
      </c>
      <c r="J12" s="8">
        <f t="shared" si="4"/>
        <v>1.1115874699095384E-3</v>
      </c>
      <c r="K12" s="8">
        <f t="shared" si="5"/>
        <v>1.0418227566876508E-2</v>
      </c>
      <c r="L12" s="18">
        <f>SUM(D12:$D$29)</f>
        <v>2416110</v>
      </c>
      <c r="M12" s="16">
        <f t="shared" si="2"/>
        <v>0.50351748049323297</v>
      </c>
      <c r="N12" s="9">
        <f>SUM(C12:$C$29)</f>
        <v>265451694229</v>
      </c>
      <c r="O12" s="17">
        <f t="shared" si="3"/>
        <v>0.79864797463644943</v>
      </c>
    </row>
    <row r="13" spans="1:17" x14ac:dyDescent="0.35">
      <c r="A13">
        <v>60001</v>
      </c>
      <c r="B13">
        <v>65000</v>
      </c>
      <c r="C13" s="6">
        <v>14026365151</v>
      </c>
      <c r="D13" s="6">
        <v>224425</v>
      </c>
      <c r="E13" s="7">
        <f t="shared" si="6"/>
        <v>62499.12064609558</v>
      </c>
      <c r="F13" s="8">
        <f>SUM($D$4:D13)/$D$32</f>
        <v>0.59499406372415498</v>
      </c>
      <c r="G13" s="8">
        <f>SUM($C$4:C13)/$C$32</f>
        <v>0.28651935245988597</v>
      </c>
      <c r="H13" s="13">
        <f t="shared" si="0"/>
        <v>0.38461538461538458</v>
      </c>
      <c r="I13" s="13">
        <f t="shared" si="1"/>
        <v>0.38461538461538458</v>
      </c>
      <c r="J13" s="8">
        <f t="shared" si="4"/>
        <v>9.8685676288850989E-4</v>
      </c>
      <c r="K13" s="8">
        <f t="shared" si="5"/>
        <v>1.1426849461956733E-2</v>
      </c>
      <c r="L13" s="18">
        <f>SUM(D13:$D$29)</f>
        <v>2167831</v>
      </c>
      <c r="M13" s="16">
        <f t="shared" si="2"/>
        <v>0.45177612081201834</v>
      </c>
      <c r="N13" s="9">
        <f>SUM(C13:$C$29)</f>
        <v>251170454542</v>
      </c>
      <c r="O13" s="17">
        <f t="shared" si="3"/>
        <v>0.75568089851946385</v>
      </c>
    </row>
    <row r="14" spans="1:17" x14ac:dyDescent="0.35">
      <c r="A14">
        <v>65001</v>
      </c>
      <c r="B14">
        <v>70000</v>
      </c>
      <c r="C14" s="6">
        <v>13573913715</v>
      </c>
      <c r="D14" s="6">
        <v>201115</v>
      </c>
      <c r="E14" s="7">
        <f t="shared" si="6"/>
        <v>67493.293463938549</v>
      </c>
      <c r="F14" s="8">
        <f>SUM($D$4:D14)/$D$32</f>
        <v>0.63690644275052244</v>
      </c>
      <c r="G14" s="8">
        <f>SUM($C$4:C14)/$C$32</f>
        <v>0.32735834099172234</v>
      </c>
      <c r="H14" s="13">
        <f t="shared" si="0"/>
        <v>0.42307692307692302</v>
      </c>
      <c r="I14" s="13">
        <f t="shared" si="1"/>
        <v>0.42307692307692302</v>
      </c>
      <c r="J14" s="8">
        <f t="shared" si="4"/>
        <v>8.5582958319990006E-4</v>
      </c>
      <c r="K14" s="8">
        <f t="shared" si="5"/>
        <v>1.2008707698688111E-2</v>
      </c>
      <c r="L14" s="18">
        <f>SUM(D14:$D$29)</f>
        <v>1943406</v>
      </c>
      <c r="M14" s="16">
        <f t="shared" si="2"/>
        <v>0.40500593627584497</v>
      </c>
      <c r="N14" s="9">
        <f>SUM(C14:$C$29)</f>
        <v>237144089391</v>
      </c>
      <c r="O14" s="17">
        <f t="shared" si="3"/>
        <v>0.71348064754011409</v>
      </c>
    </row>
    <row r="15" spans="1:17" x14ac:dyDescent="0.35">
      <c r="A15">
        <v>70001</v>
      </c>
      <c r="B15">
        <v>75000</v>
      </c>
      <c r="C15" s="6">
        <v>12943606502</v>
      </c>
      <c r="D15" s="6">
        <v>178545</v>
      </c>
      <c r="E15" s="7">
        <f t="shared" si="6"/>
        <v>72494.92566019771</v>
      </c>
      <c r="F15" s="8">
        <f>SUM($D$4:D15)/$D$32</f>
        <v>0.67411523231501425</v>
      </c>
      <c r="G15" s="8">
        <f>SUM($C$4:C15)/$C$32</f>
        <v>0.36630096348030072</v>
      </c>
      <c r="H15" s="13">
        <f t="shared" si="0"/>
        <v>0.46153846153846145</v>
      </c>
      <c r="I15" s="13">
        <f t="shared" si="1"/>
        <v>0.46153846153846145</v>
      </c>
      <c r="J15" s="8">
        <f t="shared" si="4"/>
        <v>7.2450392263347964E-4</v>
      </c>
      <c r="K15" s="8">
        <f t="shared" si="5"/>
        <v>1.2180607622142148E-2</v>
      </c>
      <c r="L15" s="18">
        <f>SUM(D15:$D$29)</f>
        <v>1742291</v>
      </c>
      <c r="M15" s="16">
        <f t="shared" si="2"/>
        <v>0.36309355724947762</v>
      </c>
      <c r="N15" s="9">
        <f>SUM(C15:$C$29)</f>
        <v>223570175676</v>
      </c>
      <c r="O15" s="17">
        <f t="shared" si="3"/>
        <v>0.67264165900827766</v>
      </c>
    </row>
    <row r="16" spans="1:17" x14ac:dyDescent="0.35">
      <c r="A16">
        <v>75001</v>
      </c>
      <c r="B16">
        <v>80000</v>
      </c>
      <c r="C16" s="6">
        <v>12369508609</v>
      </c>
      <c r="D16" s="6">
        <v>159615</v>
      </c>
      <c r="E16" s="7">
        <f t="shared" si="6"/>
        <v>77495.903323622464</v>
      </c>
      <c r="F16" s="8">
        <f>SUM($D$4:D16)/$D$32</f>
        <v>0.70737900865339587</v>
      </c>
      <c r="G16" s="8">
        <f>SUM($C$4:C16)/$C$32</f>
        <v>0.40351633340483267</v>
      </c>
      <c r="H16" s="13">
        <f t="shared" si="0"/>
        <v>0.49999999999999989</v>
      </c>
      <c r="I16" s="13">
        <f t="shared" si="1"/>
        <v>0.49999999999999989</v>
      </c>
      <c r="J16" s="8">
        <f t="shared" si="4"/>
        <v>6.189618707598825E-4</v>
      </c>
      <c r="K16" s="8">
        <f t="shared" si="5"/>
        <v>1.2184553321742418E-2</v>
      </c>
      <c r="L16" s="18">
        <f>SUM(D16:$D$29)</f>
        <v>1563746</v>
      </c>
      <c r="M16" s="16">
        <f t="shared" si="2"/>
        <v>0.32588476768498581</v>
      </c>
      <c r="N16" s="9">
        <f>SUM(C16:$C$29)</f>
        <v>210626569174</v>
      </c>
      <c r="O16" s="17">
        <f t="shared" si="3"/>
        <v>0.63369903651969928</v>
      </c>
    </row>
    <row r="17" spans="1:15" x14ac:dyDescent="0.35">
      <c r="A17">
        <v>80001</v>
      </c>
      <c r="B17">
        <v>85000</v>
      </c>
      <c r="C17" s="6">
        <v>11808870467</v>
      </c>
      <c r="D17" s="6">
        <v>143150</v>
      </c>
      <c r="E17" s="7">
        <f t="shared" si="6"/>
        <v>82492.98265455816</v>
      </c>
      <c r="F17" s="8">
        <f>SUM($D$4:D17)/$D$32</f>
        <v>0.73721147792532737</v>
      </c>
      <c r="G17" s="8">
        <f>SUM($C$4:C17)/$C$32</f>
        <v>0.43904494627960178</v>
      </c>
      <c r="H17" s="13">
        <f t="shared" si="0"/>
        <v>0.53846153846153832</v>
      </c>
      <c r="I17" s="13">
        <f t="shared" si="1"/>
        <v>0.53846153846153832</v>
      </c>
      <c r="J17" s="8">
        <f t="shared" si="4"/>
        <v>5.2995312593044966E-4</v>
      </c>
      <c r="K17" s="8">
        <f t="shared" si="5"/>
        <v>1.2037888617022138E-2</v>
      </c>
      <c r="L17" s="18">
        <f>SUM(D17:$D$29)</f>
        <v>1404131</v>
      </c>
      <c r="M17" s="16">
        <f t="shared" si="2"/>
        <v>0.29262099134660413</v>
      </c>
      <c r="N17" s="9">
        <f>SUM(C17:$C$29)</f>
        <v>198257060565</v>
      </c>
      <c r="O17" s="17">
        <f t="shared" si="3"/>
        <v>0.59648366659516738</v>
      </c>
    </row>
    <row r="18" spans="1:15" x14ac:dyDescent="0.35">
      <c r="A18">
        <v>85001</v>
      </c>
      <c r="B18">
        <v>90000</v>
      </c>
      <c r="C18" s="6">
        <v>11258556400</v>
      </c>
      <c r="D18" s="6">
        <v>128672</v>
      </c>
      <c r="E18" s="7">
        <f t="shared" si="6"/>
        <v>87498.106814225321</v>
      </c>
      <c r="F18" s="8">
        <f>SUM($D$4:D18)/$D$32</f>
        <v>0.76402673105950802</v>
      </c>
      <c r="G18" s="8">
        <f>SUM($C$4:C18)/$C$32</f>
        <v>0.47291786350586495</v>
      </c>
      <c r="H18" s="13">
        <f t="shared" si="0"/>
        <v>0.57692307692307676</v>
      </c>
      <c r="I18" s="13">
        <f t="shared" si="1"/>
        <v>0.57692307692307676</v>
      </c>
      <c r="J18" s="8">
        <f t="shared" si="4"/>
        <v>4.5415542490769771E-4</v>
      </c>
      <c r="K18" s="8">
        <f t="shared" si="5"/>
        <v>1.1773101371770267E-2</v>
      </c>
      <c r="L18" s="18">
        <f>SUM(D18:$D$29)</f>
        <v>1260981</v>
      </c>
      <c r="M18" s="16">
        <f t="shared" si="2"/>
        <v>0.26278852207467268</v>
      </c>
      <c r="N18" s="9">
        <f>SUM(C18:$C$29)</f>
        <v>186448190098</v>
      </c>
      <c r="O18" s="17">
        <f t="shared" si="3"/>
        <v>0.56095505372039822</v>
      </c>
    </row>
    <row r="19" spans="1:15" x14ac:dyDescent="0.35">
      <c r="A19">
        <v>90001</v>
      </c>
      <c r="B19">
        <v>95000</v>
      </c>
      <c r="C19" s="6">
        <v>10826696085</v>
      </c>
      <c r="D19" s="6">
        <v>117057</v>
      </c>
      <c r="E19" s="7">
        <f t="shared" si="6"/>
        <v>92490.804351726081</v>
      </c>
      <c r="F19" s="8">
        <f>SUM($D$4:D19)/$D$32</f>
        <v>0.7884214174413765</v>
      </c>
      <c r="G19" s="8">
        <f>SUM($C$4:C19)/$C$32</f>
        <v>0.50549146950752899</v>
      </c>
      <c r="H19" s="13">
        <f t="shared" si="0"/>
        <v>0.6153846153846152</v>
      </c>
      <c r="I19" s="13">
        <f t="shared" si="1"/>
        <v>0.6153846153846152</v>
      </c>
      <c r="J19" s="8">
        <f t="shared" si="4"/>
        <v>3.973114513685715E-4</v>
      </c>
      <c r="K19" s="8">
        <f t="shared" si="5"/>
        <v>1.1536682964608861E-2</v>
      </c>
      <c r="L19" s="18">
        <f>SUM(D19:$D$29)</f>
        <v>1132309</v>
      </c>
      <c r="M19" s="16">
        <f t="shared" si="2"/>
        <v>0.23597326894049198</v>
      </c>
      <c r="N19" s="9">
        <f>SUM(C19:$C$29)</f>
        <v>175189633698</v>
      </c>
      <c r="O19" s="17">
        <f t="shared" si="3"/>
        <v>0.52708213649413505</v>
      </c>
    </row>
    <row r="20" spans="1:15" x14ac:dyDescent="0.35">
      <c r="A20">
        <v>95001</v>
      </c>
      <c r="B20">
        <v>100000</v>
      </c>
      <c r="C20" s="6">
        <v>10297564802</v>
      </c>
      <c r="D20" s="6">
        <v>105622</v>
      </c>
      <c r="E20" s="7">
        <f t="shared" si="6"/>
        <v>97494.50684516484</v>
      </c>
      <c r="F20" s="8">
        <f>SUM($D$4:D20)/$D$32</f>
        <v>0.81043304908259162</v>
      </c>
      <c r="G20" s="8">
        <f>SUM($C$4:C20)/$C$32</f>
        <v>0.5364731111832084</v>
      </c>
      <c r="H20" s="13">
        <f t="shared" si="0"/>
        <v>0.65384615384615363</v>
      </c>
      <c r="I20" s="13">
        <f t="shared" si="1"/>
        <v>0.65384615384615363</v>
      </c>
      <c r="J20" s="8">
        <f t="shared" si="4"/>
        <v>3.4097824210258681E-4</v>
      </c>
      <c r="K20" s="8">
        <f t="shared" si="5"/>
        <v>1.112669202457625E-2</v>
      </c>
      <c r="L20" s="18">
        <f>SUM(D20:$D$29)</f>
        <v>1015252</v>
      </c>
      <c r="M20" s="16">
        <f t="shared" si="2"/>
        <v>0.21157858255862347</v>
      </c>
      <c r="N20" s="9">
        <f>SUM(C20:$C$29)</f>
        <v>164362937613</v>
      </c>
      <c r="O20" s="17">
        <f t="shared" si="3"/>
        <v>0.49450853049247107</v>
      </c>
    </row>
    <row r="21" spans="1:15" x14ac:dyDescent="0.35">
      <c r="A21">
        <v>100001</v>
      </c>
      <c r="B21">
        <v>120000</v>
      </c>
      <c r="C21" s="6">
        <v>35198017810</v>
      </c>
      <c r="D21" s="6">
        <v>322166</v>
      </c>
      <c r="E21" s="7">
        <f t="shared" si="6"/>
        <v>109254.29067623524</v>
      </c>
      <c r="F21" s="8">
        <f>SUM($D$4:D21)/$D$32</f>
        <v>0.87757246434952196</v>
      </c>
      <c r="G21" s="8">
        <f>SUM($C$4:C21)/$C$32</f>
        <v>0.64237119451178382</v>
      </c>
      <c r="H21" s="13">
        <f t="shared" si="0"/>
        <v>0.69230769230769207</v>
      </c>
      <c r="I21" s="13">
        <f t="shared" si="1"/>
        <v>0.69230769230769207</v>
      </c>
      <c r="J21" s="8">
        <f t="shared" si="4"/>
        <v>3.5549676962846094E-3</v>
      </c>
      <c r="K21" s="8">
        <f t="shared" si="5"/>
        <v>3.6018490991271523E-2</v>
      </c>
      <c r="L21" s="18">
        <f>SUM(D21:$D$29)</f>
        <v>909630</v>
      </c>
      <c r="M21" s="16">
        <f t="shared" si="2"/>
        <v>0.18956695091740836</v>
      </c>
      <c r="N21" s="9">
        <f>SUM(C21:$C$29)</f>
        <v>154065372811</v>
      </c>
      <c r="O21" s="17">
        <f t="shared" si="3"/>
        <v>0.46352688881679166</v>
      </c>
    </row>
    <row r="22" spans="1:15" x14ac:dyDescent="0.35">
      <c r="A22">
        <v>120001</v>
      </c>
      <c r="B22">
        <v>150000</v>
      </c>
      <c r="C22" s="6">
        <v>34844789253</v>
      </c>
      <c r="D22" s="6">
        <v>261644</v>
      </c>
      <c r="E22" s="7">
        <f t="shared" si="6"/>
        <v>133176.33598706638</v>
      </c>
      <c r="F22" s="8">
        <f>SUM($D$4:D22)/$D$32</f>
        <v>0.93209909089639742</v>
      </c>
      <c r="G22" s="8">
        <f>SUM($C$4:C22)/$C$32</f>
        <v>0.74720654108725182</v>
      </c>
      <c r="H22" s="13">
        <f t="shared" si="0"/>
        <v>0.7307692307692305</v>
      </c>
      <c r="I22" s="13">
        <f t="shared" si="1"/>
        <v>0.7307692307692305</v>
      </c>
      <c r="J22" s="8">
        <f t="shared" si="4"/>
        <v>2.8581588958164011E-3</v>
      </c>
      <c r="K22" s="8">
        <f t="shared" si="5"/>
        <v>3.5026334227614329E-2</v>
      </c>
      <c r="L22" s="18">
        <f>SUM(D22:$D$29)</f>
        <v>587464</v>
      </c>
      <c r="M22" s="16">
        <f t="shared" si="2"/>
        <v>0.12242753565047808</v>
      </c>
      <c r="N22" s="9">
        <f>SUM(C22:$C$29)</f>
        <v>118867355001</v>
      </c>
      <c r="O22" s="17">
        <f t="shared" si="3"/>
        <v>0.35762880548821618</v>
      </c>
    </row>
    <row r="23" spans="1:15" x14ac:dyDescent="0.35">
      <c r="A23">
        <v>150001</v>
      </c>
      <c r="B23">
        <v>200000</v>
      </c>
      <c r="C23" s="6">
        <v>30126171456</v>
      </c>
      <c r="D23" s="6">
        <v>176681</v>
      </c>
      <c r="E23" s="7">
        <f t="shared" si="6"/>
        <v>170511.66484228638</v>
      </c>
      <c r="F23" s="8">
        <f>SUM($D$4:D23)/$D$32</f>
        <v>0.96891942274015663</v>
      </c>
      <c r="G23" s="8">
        <f>SUM($C$4:C23)/$C$32</f>
        <v>0.83784527626943728</v>
      </c>
      <c r="H23" s="13">
        <f t="shared" si="0"/>
        <v>0.76923076923076894</v>
      </c>
      <c r="I23" s="13">
        <f t="shared" si="1"/>
        <v>0.76923076923076894</v>
      </c>
      <c r="J23" s="8">
        <f t="shared" si="4"/>
        <v>1.6686741536533409E-3</v>
      </c>
      <c r="K23" s="8">
        <f t="shared" si="5"/>
        <v>2.7512392798660114E-2</v>
      </c>
      <c r="L23" s="18">
        <f>SUM(D23:$D$29)</f>
        <v>325820</v>
      </c>
      <c r="M23" s="16">
        <f t="shared" si="2"/>
        <v>6.7900909103602552E-2</v>
      </c>
      <c r="N23" s="9">
        <f>SUM(C23:$C$29)</f>
        <v>84022565748</v>
      </c>
      <c r="O23" s="17">
        <f t="shared" si="3"/>
        <v>0.25279345891274818</v>
      </c>
    </row>
    <row r="24" spans="1:15" x14ac:dyDescent="0.35">
      <c r="A24">
        <v>200001</v>
      </c>
      <c r="B24">
        <v>300000</v>
      </c>
      <c r="C24" s="6">
        <v>22634114385</v>
      </c>
      <c r="D24" s="6">
        <v>95219</v>
      </c>
      <c r="E24" s="7">
        <f t="shared" si="6"/>
        <v>237705.86106764406</v>
      </c>
      <c r="F24" s="8">
        <f>SUM($D$4:D24)/$D$32</f>
        <v>0.98876306850756168</v>
      </c>
      <c r="G24" s="8">
        <f>SUM($C$4:C24)/$C$32</f>
        <v>0.90594312610148842</v>
      </c>
      <c r="H24" s="13">
        <f t="shared" si="0"/>
        <v>0.80769230769230738</v>
      </c>
      <c r="I24" s="13">
        <f t="shared" si="1"/>
        <v>0.80769230769230738</v>
      </c>
      <c r="J24" s="8">
        <f t="shared" si="4"/>
        <v>6.7565480479458311E-4</v>
      </c>
      <c r="K24" s="8">
        <f t="shared" si="5"/>
        <v>1.6625904870184335E-2</v>
      </c>
      <c r="L24" s="18">
        <f>SUM(D24:$D$29)</f>
        <v>149139</v>
      </c>
      <c r="M24" s="16">
        <f t="shared" si="2"/>
        <v>3.1080577259843412E-2</v>
      </c>
      <c r="N24" s="9">
        <f>SUM(C24:$C$29)</f>
        <v>53896394292</v>
      </c>
      <c r="O24" s="17">
        <f t="shared" si="3"/>
        <v>0.16215472373056269</v>
      </c>
    </row>
    <row r="25" spans="1:15" x14ac:dyDescent="0.35">
      <c r="A25">
        <v>300001</v>
      </c>
      <c r="B25">
        <v>400000</v>
      </c>
      <c r="C25" s="6">
        <v>9090224094</v>
      </c>
      <c r="D25" s="6">
        <v>26610</v>
      </c>
      <c r="E25" s="7">
        <f t="shared" si="6"/>
        <v>341609.32333709131</v>
      </c>
      <c r="F25" s="8">
        <f>SUM($D$4:D25)/$D$32</f>
        <v>0.99430859423111106</v>
      </c>
      <c r="G25" s="8">
        <f>SUM($C$4:C25)/$C$32</f>
        <v>0.93329231700701554</v>
      </c>
      <c r="H25" s="13">
        <f t="shared" si="0"/>
        <v>0.84615384615384581</v>
      </c>
      <c r="I25" s="13">
        <f t="shared" si="1"/>
        <v>0.84615384615384581</v>
      </c>
      <c r="J25" s="8">
        <f t="shared" si="4"/>
        <v>7.5832820842431747E-5</v>
      </c>
      <c r="K25" s="8">
        <f t="shared" si="5"/>
        <v>5.0239309098685462E-3</v>
      </c>
      <c r="L25" s="18">
        <f>SUM(D25:$D$29)</f>
        <v>53920</v>
      </c>
      <c r="M25" s="16">
        <f t="shared" si="2"/>
        <v>1.1236931492438307E-2</v>
      </c>
      <c r="N25" s="9">
        <f>SUM(C25:$C$29)</f>
        <v>31262279907</v>
      </c>
      <c r="O25" s="17">
        <f t="shared" si="3"/>
        <v>9.4056873898511625E-2</v>
      </c>
    </row>
    <row r="26" spans="1:15" x14ac:dyDescent="0.35">
      <c r="A26">
        <v>400001</v>
      </c>
      <c r="B26">
        <v>500000</v>
      </c>
      <c r="C26" s="6">
        <v>4815382270</v>
      </c>
      <c r="D26" s="6">
        <v>10859</v>
      </c>
      <c r="E26" s="7">
        <f t="shared" si="6"/>
        <v>443446.19854498573</v>
      </c>
      <c r="F26" s="8">
        <f>SUM($D$4:D26)/$D$32</f>
        <v>0.99657161053445653</v>
      </c>
      <c r="G26" s="8">
        <f>SUM($C$4:C26)/$C$32</f>
        <v>0.9477800576417319</v>
      </c>
      <c r="H26" s="13">
        <f t="shared" si="0"/>
        <v>0.88461538461538425</v>
      </c>
      <c r="I26" s="13">
        <f t="shared" si="1"/>
        <v>0.88461538461538425</v>
      </c>
      <c r="J26" s="8">
        <f>((F26-F25)*(G26-G25))/2</f>
        <v>1.6392996627501861E-5</v>
      </c>
      <c r="K26" s="8">
        <f t="shared" si="5"/>
        <v>2.1120557291739415E-3</v>
      </c>
      <c r="L26" s="18">
        <f>SUM(D26:$D$29)</f>
        <v>27310</v>
      </c>
      <c r="M26" s="16">
        <f t="shared" si="2"/>
        <v>5.6914057688889127E-3</v>
      </c>
      <c r="N26" s="9">
        <f>SUM(C26:$C$29)</f>
        <v>22172055813</v>
      </c>
      <c r="O26" s="17">
        <f t="shared" si="3"/>
        <v>6.6707682992984421E-2</v>
      </c>
    </row>
    <row r="27" spans="1:15" x14ac:dyDescent="0.35">
      <c r="A27">
        <v>500001</v>
      </c>
      <c r="B27">
        <v>1000000</v>
      </c>
      <c r="C27" s="6">
        <v>8271363098</v>
      </c>
      <c r="D27" s="6">
        <v>12535</v>
      </c>
      <c r="E27" s="7">
        <f t="shared" si="6"/>
        <v>659861.43581970478</v>
      </c>
      <c r="F27" s="8">
        <f>SUM($D$4:D27)/$D$32</f>
        <v>0.99918390534635781</v>
      </c>
      <c r="G27" s="8">
        <f>SUM($C$4:C27)/$C$32</f>
        <v>0.97266559248409601</v>
      </c>
      <c r="H27" s="13">
        <f t="shared" si="0"/>
        <v>0.92307692307692268</v>
      </c>
      <c r="I27" s="13">
        <f t="shared" si="1"/>
        <v>0.92307692307692268</v>
      </c>
      <c r="J27" s="8">
        <f t="shared" si="4"/>
        <v>3.2504176780048193E-5</v>
      </c>
      <c r="K27" s="8">
        <f t="shared" si="5"/>
        <v>2.4758809274009956E-3</v>
      </c>
      <c r="L27" s="18">
        <f>SUM(D27:$D$29)</f>
        <v>16451</v>
      </c>
      <c r="M27" s="16">
        <f t="shared" si="2"/>
        <v>3.4283894655434458E-3</v>
      </c>
      <c r="N27" s="9">
        <f>SUM(C27:$C$29)</f>
        <v>17356673543</v>
      </c>
      <c r="O27" s="17">
        <f t="shared" si="3"/>
        <v>5.2219942358268129E-2</v>
      </c>
    </row>
    <row r="28" spans="1:15" x14ac:dyDescent="0.35">
      <c r="A28">
        <v>1000001</v>
      </c>
      <c r="B28">
        <v>2000000</v>
      </c>
      <c r="C28" s="6">
        <v>3742897350</v>
      </c>
      <c r="D28" s="6">
        <v>2797</v>
      </c>
      <c r="E28" s="7">
        <f t="shared" si="6"/>
        <v>1338182.8208795139</v>
      </c>
      <c r="F28" s="8">
        <f>SUM($D$4:D28)/$D$32</f>
        <v>0.99976680032752152</v>
      </c>
      <c r="G28" s="8">
        <f>SUM($C$4:C28)/$C$32</f>
        <v>0.98392661455642405</v>
      </c>
      <c r="H28" s="13">
        <f t="shared" si="0"/>
        <v>0.96153846153846112</v>
      </c>
      <c r="I28" s="13">
        <f t="shared" si="1"/>
        <v>0.96153846153846112</v>
      </c>
      <c r="J28" s="8">
        <f t="shared" si="4"/>
        <v>3.2819966243668675E-6</v>
      </c>
      <c r="K28" s="8">
        <f t="shared" si="5"/>
        <v>5.6696189220960236E-4</v>
      </c>
      <c r="L28" s="18">
        <f>SUM(D28:$D$29)</f>
        <v>3916</v>
      </c>
      <c r="M28" s="16">
        <f t="shared" si="2"/>
        <v>8.1609465364221832E-4</v>
      </c>
      <c r="N28" s="9">
        <f>SUM(C28:$C$29)</f>
        <v>9085310445</v>
      </c>
      <c r="O28" s="17">
        <f t="shared" si="3"/>
        <v>2.7334407515904005E-2</v>
      </c>
    </row>
    <row r="29" spans="1:15" x14ac:dyDescent="0.35">
      <c r="A29">
        <v>2000001</v>
      </c>
      <c r="B29" t="s">
        <v>22</v>
      </c>
      <c r="C29" s="6">
        <v>5342413095</v>
      </c>
      <c r="D29" s="6">
        <v>1119</v>
      </c>
      <c r="E29" s="7">
        <f t="shared" si="6"/>
        <v>4774274.4369973186</v>
      </c>
      <c r="F29" s="8">
        <f>SUM($D$4:D29)/$D$32</f>
        <v>1</v>
      </c>
      <c r="G29" s="8">
        <f>SUM($C$4:C29)/$C$32</f>
        <v>1</v>
      </c>
      <c r="H29" s="13">
        <f t="shared" si="0"/>
        <v>0.99999999999999956</v>
      </c>
      <c r="I29" s="13">
        <f t="shared" si="1"/>
        <v>0.99999999999999956</v>
      </c>
      <c r="J29" s="8">
        <f>((F29-F28)*(G29-G28))/2</f>
        <v>1.8741541105311322E-6</v>
      </c>
      <c r="K29" s="8">
        <f t="shared" si="5"/>
        <v>2.294513642574168E-4</v>
      </c>
      <c r="L29" s="18">
        <f>SUM(D29:$D$29)</f>
        <v>1119</v>
      </c>
      <c r="M29" s="16">
        <f t="shared" si="2"/>
        <v>2.3319967247845821E-4</v>
      </c>
      <c r="N29" s="9">
        <f>SUM(C29:$C$29)</f>
        <v>5342413095</v>
      </c>
      <c r="O29" s="17">
        <f t="shared" si="3"/>
        <v>1.6073385443575998E-2</v>
      </c>
    </row>
    <row r="30" spans="1:15" x14ac:dyDescent="0.35">
      <c r="B30" t="s">
        <v>23</v>
      </c>
      <c r="C30" s="6">
        <v>332376344346</v>
      </c>
      <c r="D30" s="6">
        <v>4798463</v>
      </c>
      <c r="E30" s="7">
        <f>C30/D30</f>
        <v>69267.251689968223</v>
      </c>
      <c r="F30" s="8"/>
      <c r="G30" s="8"/>
      <c r="H30" s="13"/>
      <c r="I30" s="13"/>
      <c r="J30" s="8"/>
      <c r="K30" s="8"/>
    </row>
    <row r="31" spans="1:15" x14ac:dyDescent="0.35">
      <c r="N31" t="s">
        <v>25</v>
      </c>
      <c r="O31" s="10" t="e">
        <f>#REF!+((#REF!-#REF!)*(0.001-#REF!)/(#REF!-#REF!))</f>
        <v>#REF!</v>
      </c>
    </row>
    <row r="32" spans="1:15" x14ac:dyDescent="0.35">
      <c r="B32" t="s">
        <v>14</v>
      </c>
      <c r="C32" s="9">
        <f>SUM(C4:C29)</f>
        <v>332376344346</v>
      </c>
      <c r="D32" s="9">
        <f>SUM(D4:D29)</f>
        <v>4798463</v>
      </c>
      <c r="I32" t="s">
        <v>15</v>
      </c>
      <c r="J32" s="8">
        <f>SUM(J5:J30)</f>
        <v>1.9372463865715183E-2</v>
      </c>
      <c r="N32" t="s">
        <v>17</v>
      </c>
      <c r="O32" s="10">
        <f>O27+((O26-O27)*(0.01-M27)/(M26-M27))</f>
        <v>9.4291132404414987E-2</v>
      </c>
    </row>
    <row r="33" spans="9:10" x14ac:dyDescent="0.35">
      <c r="I33" t="s">
        <v>16</v>
      </c>
      <c r="J33" s="8">
        <f>SUM(K5:K30)</f>
        <v>0.25720121848286576</v>
      </c>
    </row>
    <row r="34" spans="9:10" x14ac:dyDescent="0.35">
      <c r="I34" t="s">
        <v>18</v>
      </c>
      <c r="J34" s="8">
        <f>J32+J33</f>
        <v>0.27657368234858093</v>
      </c>
    </row>
    <row r="35" spans="9:10" x14ac:dyDescent="0.35">
      <c r="I35" t="s">
        <v>19</v>
      </c>
      <c r="J35" s="8">
        <f>1-(2*J34)</f>
        <v>0.44685263530283814</v>
      </c>
    </row>
  </sheetData>
  <mergeCells count="3">
    <mergeCell ref="F1:I1"/>
    <mergeCell ref="J1:K1"/>
    <mergeCell ref="L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34C0-BA93-4AA9-AB60-815506C21888}">
  <dimension ref="A1:Q95"/>
  <sheetViews>
    <sheetView tabSelected="1" topLeftCell="A31" workbookViewId="0">
      <selection activeCell="D42" sqref="D42"/>
    </sheetView>
  </sheetViews>
  <sheetFormatPr baseColWidth="10" defaultRowHeight="14.5" x14ac:dyDescent="0.35"/>
  <cols>
    <col min="1" max="1" width="17.6328125" bestFit="1" customWidth="1"/>
    <col min="2" max="2" width="58.6328125" bestFit="1" customWidth="1"/>
    <col min="3" max="3" width="19.36328125" customWidth="1"/>
    <col min="5" max="5" width="28.90625" bestFit="1" customWidth="1"/>
    <col min="6" max="6" width="11.81640625" bestFit="1" customWidth="1"/>
    <col min="7" max="7" width="18.81640625" bestFit="1" customWidth="1"/>
    <col min="8" max="8" width="27.6328125" bestFit="1" customWidth="1"/>
    <col min="9" max="9" width="41.54296875" bestFit="1" customWidth="1"/>
    <col min="10" max="10" width="26.26953125" bestFit="1" customWidth="1"/>
    <col min="12" max="12" width="70.6328125" bestFit="1" customWidth="1"/>
    <col min="14" max="14" width="13.08984375" bestFit="1" customWidth="1"/>
  </cols>
  <sheetData>
    <row r="1" spans="1:17" x14ac:dyDescent="0.35">
      <c r="F1" s="33" t="s">
        <v>20</v>
      </c>
      <c r="G1" s="33"/>
      <c r="H1" s="33"/>
      <c r="I1" s="33"/>
      <c r="J1" s="34" t="s">
        <v>19</v>
      </c>
      <c r="K1" s="35"/>
      <c r="L1" s="36" t="s">
        <v>21</v>
      </c>
      <c r="M1" s="37"/>
      <c r="N1" s="37"/>
      <c r="O1" s="37"/>
      <c r="P1" s="37"/>
      <c r="Q1" s="37"/>
    </row>
    <row r="2" spans="1:17" ht="174" x14ac:dyDescent="0.35">
      <c r="A2" s="1" t="s">
        <v>0</v>
      </c>
      <c r="B2" s="1" t="s">
        <v>1</v>
      </c>
      <c r="C2" s="1" t="s">
        <v>24</v>
      </c>
      <c r="D2" s="1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2" t="s">
        <v>9</v>
      </c>
      <c r="L2" s="4" t="s">
        <v>10</v>
      </c>
      <c r="M2" s="2" t="s">
        <v>11</v>
      </c>
      <c r="N2" s="5" t="s">
        <v>12</v>
      </c>
      <c r="O2" s="2" t="s">
        <v>13</v>
      </c>
    </row>
    <row r="3" spans="1:17" x14ac:dyDescent="0.35">
      <c r="A3" s="1"/>
      <c r="B3" s="1"/>
      <c r="C3" s="1"/>
      <c r="D3" s="1"/>
      <c r="E3" s="1"/>
      <c r="F3" s="2">
        <v>0</v>
      </c>
      <c r="G3" s="2">
        <v>0</v>
      </c>
      <c r="H3" s="2">
        <v>0</v>
      </c>
      <c r="I3" s="2">
        <v>0</v>
      </c>
      <c r="J3" s="2"/>
      <c r="K3" s="2"/>
      <c r="L3" s="12"/>
      <c r="M3" s="2"/>
      <c r="N3" s="5"/>
      <c r="O3" s="2"/>
    </row>
    <row r="4" spans="1:17" x14ac:dyDescent="0.35">
      <c r="A4" s="20">
        <v>0</v>
      </c>
      <c r="B4" s="20">
        <v>20000</v>
      </c>
      <c r="C4" s="21">
        <v>417323015</v>
      </c>
      <c r="D4" s="20">
        <v>70498</v>
      </c>
      <c r="E4" s="20">
        <f>C4/D4</f>
        <v>5919.6433232148429</v>
      </c>
      <c r="F4" s="8">
        <f>SUM($D$4:D4)/$D$32</f>
        <v>0.28135613513459579</v>
      </c>
      <c r="G4" s="8">
        <f>SUM($C$4:C4)/$C$32</f>
        <v>2.5897284949558209E-2</v>
      </c>
      <c r="H4" s="13">
        <f>H3+1/26</f>
        <v>3.8461538461538464E-2</v>
      </c>
      <c r="I4" s="13">
        <f>I3+1/26</f>
        <v>3.8461538461538464E-2</v>
      </c>
      <c r="J4" s="13">
        <f>F4*G4/2</f>
        <v>3.6431800019435167E-3</v>
      </c>
      <c r="K4" s="14"/>
      <c r="L4" s="15">
        <f>SUM(D4:$D$29)</f>
        <v>250565</v>
      </c>
      <c r="M4" s="16">
        <f>L4/$D$32</f>
        <v>1</v>
      </c>
      <c r="N4" s="9">
        <f>SUM(C4:$C$29)</f>
        <v>16114546981</v>
      </c>
      <c r="O4" s="17">
        <f>N4/C$32</f>
        <v>1</v>
      </c>
    </row>
    <row r="5" spans="1:17" x14ac:dyDescent="0.35">
      <c r="A5">
        <v>20001</v>
      </c>
      <c r="B5">
        <v>25000</v>
      </c>
      <c r="C5" s="6">
        <v>229244540</v>
      </c>
      <c r="D5" s="6">
        <v>10108</v>
      </c>
      <c r="E5" s="7">
        <f>C5/D5</f>
        <v>22679.515235457064</v>
      </c>
      <c r="F5" s="8">
        <f>SUM($D$4:D5)/$D$32</f>
        <v>0.32169696485941773</v>
      </c>
      <c r="G5" s="8">
        <f>SUM($C$4:C5)/$C$32</f>
        <v>4.0123222561722724E-2</v>
      </c>
      <c r="H5" s="13">
        <f t="shared" ref="H5:I29" si="0">H4+1/26</f>
        <v>7.6923076923076927E-2</v>
      </c>
      <c r="I5" s="13">
        <f t="shared" si="0"/>
        <v>7.6923076923076927E-2</v>
      </c>
      <c r="J5" s="8">
        <f>((F5-F4)*(G5-G4))/2</f>
        <v>2.8694306344413439E-4</v>
      </c>
      <c r="K5" s="8">
        <f>(F5-F4)*G4</f>
        <v>1.0447179624853218E-3</v>
      </c>
      <c r="L5" s="18">
        <f>SUM(D5:$D$29)</f>
        <v>180067</v>
      </c>
      <c r="M5" s="16">
        <f t="shared" ref="M5:M29" si="1">L5/$D$32</f>
        <v>0.71864386486540421</v>
      </c>
      <c r="N5" s="9">
        <f>SUM(C5:$C$29)</f>
        <v>15697223966</v>
      </c>
      <c r="O5" s="17">
        <f t="shared" ref="O5:O29" si="2">N5/C$32</f>
        <v>0.97410271505044177</v>
      </c>
    </row>
    <row r="6" spans="1:17" x14ac:dyDescent="0.35">
      <c r="A6">
        <v>25001</v>
      </c>
      <c r="B6">
        <v>30000</v>
      </c>
      <c r="C6" s="6">
        <v>305435558</v>
      </c>
      <c r="D6" s="6">
        <v>11060</v>
      </c>
      <c r="E6" s="7">
        <f>C6/D6</f>
        <v>27616.234900542495</v>
      </c>
      <c r="F6" s="8">
        <f>SUM($D$4:D6)/$D$32</f>
        <v>0.36583720791012314</v>
      </c>
      <c r="G6" s="8">
        <f>SUM($C$4:C6)/$C$32</f>
        <v>5.9077249526311083E-2</v>
      </c>
      <c r="H6" s="13">
        <f t="shared" si="0"/>
        <v>0.11538461538461539</v>
      </c>
      <c r="I6" s="13">
        <f t="shared" si="0"/>
        <v>0.11538461538461539</v>
      </c>
      <c r="J6" s="8">
        <f t="shared" ref="J6:J28" si="3">((F6-F5)*(G6-G5))/2</f>
        <v>4.1831767850327714E-4</v>
      </c>
      <c r="K6" s="8">
        <f t="shared" ref="K6:K29" si="4">(F6-F5)*G5</f>
        <v>1.7710487958519879E-3</v>
      </c>
      <c r="L6" s="18">
        <f>SUM(D6:$D$29)</f>
        <v>169959</v>
      </c>
      <c r="M6" s="16">
        <f t="shared" si="1"/>
        <v>0.67830303514058232</v>
      </c>
      <c r="N6" s="9">
        <f>SUM(C6:$C$29)</f>
        <v>15467979426</v>
      </c>
      <c r="O6" s="17">
        <f t="shared" si="2"/>
        <v>0.95987677743827726</v>
      </c>
    </row>
    <row r="7" spans="1:17" x14ac:dyDescent="0.35">
      <c r="A7">
        <v>30001</v>
      </c>
      <c r="B7">
        <v>35000</v>
      </c>
      <c r="C7" s="6">
        <v>307276816</v>
      </c>
      <c r="D7" s="6">
        <v>9424</v>
      </c>
      <c r="E7" s="7">
        <f t="shared" ref="E7:E29" si="5">C7/D7</f>
        <v>32605.774193548386</v>
      </c>
      <c r="F7" s="8">
        <f>SUM($D$4:D7)/$D$32</f>
        <v>0.40344820705206236</v>
      </c>
      <c r="G7" s="8">
        <f>SUM($C$4:C7)/$C$32</f>
        <v>7.8145537102890031E-2</v>
      </c>
      <c r="H7" s="13">
        <f t="shared" si="0"/>
        <v>0.15384615384615385</v>
      </c>
      <c r="I7" s="13">
        <f t="shared" si="0"/>
        <v>0.15384615384615385</v>
      </c>
      <c r="J7" s="8">
        <f t="shared" si="3"/>
        <v>3.585886738404805E-4</v>
      </c>
      <c r="K7" s="8">
        <f t="shared" si="4"/>
        <v>2.2219543812422153E-3</v>
      </c>
      <c r="L7" s="18">
        <f>SUM(D7:$D$29)</f>
        <v>158899</v>
      </c>
      <c r="M7" s="16">
        <f t="shared" si="1"/>
        <v>0.63416279208987691</v>
      </c>
      <c r="N7" s="9">
        <f>SUM(C7:$C$29)</f>
        <v>15162543868</v>
      </c>
      <c r="O7" s="17">
        <f t="shared" si="2"/>
        <v>0.9409227504736889</v>
      </c>
    </row>
    <row r="8" spans="1:17" x14ac:dyDescent="0.35">
      <c r="A8">
        <v>35001</v>
      </c>
      <c r="B8">
        <v>40000</v>
      </c>
      <c r="C8" s="6">
        <v>370172330</v>
      </c>
      <c r="D8" s="6">
        <v>9839</v>
      </c>
      <c r="E8" s="7">
        <f t="shared" si="5"/>
        <v>37622.962699461328</v>
      </c>
      <c r="F8" s="8">
        <f>SUM($D$4:D8)/$D$32</f>
        <v>0.44271546305349907</v>
      </c>
      <c r="G8" s="8">
        <f>SUM($C$4:C8)/$C$32</f>
        <v>0.10111685180608677</v>
      </c>
      <c r="H8" s="13">
        <f t="shared" si="0"/>
        <v>0.19230769230769232</v>
      </c>
      <c r="I8" s="13">
        <f t="shared" si="0"/>
        <v>0.19230769230769232</v>
      </c>
      <c r="J8" s="8">
        <f t="shared" si="3"/>
        <v>4.5101024756999684E-4</v>
      </c>
      <c r="K8" s="8">
        <f t="shared" si="4"/>
        <v>3.0685608107889539E-3</v>
      </c>
      <c r="L8" s="18">
        <f>SUM(D8:$D$29)</f>
        <v>149475</v>
      </c>
      <c r="M8" s="16">
        <f t="shared" si="1"/>
        <v>0.5965517929479377</v>
      </c>
      <c r="N8" s="9">
        <f>SUM(C8:$C$29)</f>
        <v>14855267052</v>
      </c>
      <c r="O8" s="17">
        <f t="shared" si="2"/>
        <v>0.92185446289710993</v>
      </c>
    </row>
    <row r="9" spans="1:17" x14ac:dyDescent="0.35">
      <c r="A9">
        <v>40001</v>
      </c>
      <c r="B9">
        <v>45000</v>
      </c>
      <c r="C9" s="6">
        <v>432512891</v>
      </c>
      <c r="D9" s="6">
        <v>10155</v>
      </c>
      <c r="E9" s="7">
        <f>C9/D9</f>
        <v>42591.126637124566</v>
      </c>
      <c r="F9" s="8">
        <f>SUM($D$4:D9)/$D$32</f>
        <v>0.4832438688563846</v>
      </c>
      <c r="G9" s="8">
        <f>SUM($C$4:C9)/$C$32</f>
        <v>0.1279567556215622</v>
      </c>
      <c r="H9" s="13">
        <f t="shared" si="0"/>
        <v>0.23076923076923078</v>
      </c>
      <c r="I9" s="13">
        <f t="shared" si="0"/>
        <v>0.23076923076923078</v>
      </c>
      <c r="J9" s="8">
        <f t="shared" si="3"/>
        <v>5.4388925677200176E-4</v>
      </c>
      <c r="K9" s="8">
        <f t="shared" si="4"/>
        <v>4.0981048035073232E-3</v>
      </c>
      <c r="L9" s="18">
        <f>SUM(D9:$D$29)</f>
        <v>139636</v>
      </c>
      <c r="M9" s="16">
        <f t="shared" si="1"/>
        <v>0.55728453694650093</v>
      </c>
      <c r="N9" s="9">
        <f>SUM(C9:$C$29)</f>
        <v>14485094722</v>
      </c>
      <c r="O9" s="17">
        <f t="shared" si="2"/>
        <v>0.89888314819391324</v>
      </c>
    </row>
    <row r="10" spans="1:17" x14ac:dyDescent="0.35">
      <c r="A10">
        <v>45001</v>
      </c>
      <c r="B10">
        <v>50000</v>
      </c>
      <c r="C10" s="6">
        <v>487338438</v>
      </c>
      <c r="D10" s="6">
        <v>10235</v>
      </c>
      <c r="E10" s="7">
        <f t="shared" si="5"/>
        <v>47614.893795798729</v>
      </c>
      <c r="F10" s="8">
        <f>SUM($D$4:D10)/$D$32</f>
        <v>0.52409155309001654</v>
      </c>
      <c r="G10" s="8">
        <f>SUM($C$4:C10)/$C$32</f>
        <v>0.15819889885863866</v>
      </c>
      <c r="H10" s="13">
        <f t="shared" si="0"/>
        <v>0.26923076923076927</v>
      </c>
      <c r="I10" s="13">
        <f t="shared" si="0"/>
        <v>0.26923076923076927</v>
      </c>
      <c r="J10" s="8">
        <f t="shared" si="3"/>
        <v>6.1766075874818366E-4</v>
      </c>
      <c r="K10" s="8">
        <f t="shared" si="4"/>
        <v>5.2267371491895812E-3</v>
      </c>
      <c r="L10" s="18">
        <f>SUM(D10:$D$29)</f>
        <v>129481</v>
      </c>
      <c r="M10" s="16">
        <f t="shared" si="1"/>
        <v>0.5167561311436154</v>
      </c>
      <c r="N10" s="9">
        <f>SUM(C10:$C$29)</f>
        <v>14052581831</v>
      </c>
      <c r="O10" s="17">
        <f t="shared" si="2"/>
        <v>0.87204324437843783</v>
      </c>
    </row>
    <row r="11" spans="1:17" x14ac:dyDescent="0.35">
      <c r="A11">
        <v>50001</v>
      </c>
      <c r="B11">
        <v>55000</v>
      </c>
      <c r="C11" s="6">
        <v>521356707</v>
      </c>
      <c r="D11" s="6">
        <v>9919</v>
      </c>
      <c r="E11" s="7">
        <f t="shared" si="5"/>
        <v>52561.418187317271</v>
      </c>
      <c r="F11" s="8">
        <f>SUM($D$4:D11)/$D$32</f>
        <v>0.56367808752219983</v>
      </c>
      <c r="G11" s="8">
        <f>SUM($C$4:C11)/$C$32</f>
        <v>0.19055207066140237</v>
      </c>
      <c r="H11" s="13">
        <f t="shared" si="0"/>
        <v>0.30769230769230771</v>
      </c>
      <c r="I11" s="13">
        <f t="shared" si="0"/>
        <v>0.30769230769230771</v>
      </c>
      <c r="J11" s="8">
        <f t="shared" si="3"/>
        <v>6.4037497478022353E-4</v>
      </c>
      <c r="K11" s="8">
        <f t="shared" si="4"/>
        <v>6.2625461568009818E-3</v>
      </c>
      <c r="L11" s="18">
        <f>SUM(D11:$D$29)</f>
        <v>119246</v>
      </c>
      <c r="M11" s="16">
        <f t="shared" si="1"/>
        <v>0.47590844690998346</v>
      </c>
      <c r="N11" s="9">
        <f>SUM(C11:$C$29)</f>
        <v>13565243393</v>
      </c>
      <c r="O11" s="17">
        <f t="shared" si="2"/>
        <v>0.84180110114136131</v>
      </c>
    </row>
    <row r="12" spans="1:17" x14ac:dyDescent="0.35">
      <c r="A12">
        <v>55001</v>
      </c>
      <c r="B12">
        <v>60000</v>
      </c>
      <c r="C12" s="6">
        <v>587114451</v>
      </c>
      <c r="D12" s="6">
        <v>10198</v>
      </c>
      <c r="E12" s="7">
        <f t="shared" si="5"/>
        <v>57571.528829182193</v>
      </c>
      <c r="F12" s="8">
        <f>SUM($D$4:D12)/$D$32</f>
        <v>0.60437810548161153</v>
      </c>
      <c r="G12" s="8">
        <f>SUM($C$4:C12)/$C$32</f>
        <v>0.22698588736703129</v>
      </c>
      <c r="H12" s="13">
        <f t="shared" si="0"/>
        <v>0.34615384615384615</v>
      </c>
      <c r="I12" s="13">
        <f t="shared" si="0"/>
        <v>0.34615384615384615</v>
      </c>
      <c r="J12" s="8">
        <f t="shared" si="3"/>
        <v>7.4142849712450555E-4</v>
      </c>
      <c r="K12" s="8">
        <f t="shared" si="4"/>
        <v>7.7554726981221627E-3</v>
      </c>
      <c r="L12" s="18">
        <f>SUM(D12:$D$29)</f>
        <v>109327</v>
      </c>
      <c r="M12" s="16">
        <f t="shared" si="1"/>
        <v>0.43632191247780017</v>
      </c>
      <c r="N12" s="9">
        <f>SUM(C12:$C$29)</f>
        <v>13043886686</v>
      </c>
      <c r="O12" s="17">
        <f t="shared" si="2"/>
        <v>0.80944792933859766</v>
      </c>
    </row>
    <row r="13" spans="1:17" x14ac:dyDescent="0.35">
      <c r="A13">
        <v>60001</v>
      </c>
      <c r="B13">
        <v>65000</v>
      </c>
      <c r="C13" s="6">
        <v>578210582</v>
      </c>
      <c r="D13" s="6">
        <v>9244</v>
      </c>
      <c r="E13" s="7">
        <f t="shared" si="5"/>
        <v>62549.824967546519</v>
      </c>
      <c r="F13" s="8">
        <f>SUM($D$4:D13)/$D$32</f>
        <v>0.64127072815437114</v>
      </c>
      <c r="G13" s="8">
        <f>SUM($C$4:C13)/$C$32</f>
        <v>0.26286716796907017</v>
      </c>
      <c r="H13" s="13">
        <f t="shared" si="0"/>
        <v>0.38461538461538458</v>
      </c>
      <c r="I13" s="13">
        <f t="shared" si="0"/>
        <v>0.38461538461538458</v>
      </c>
      <c r="J13" s="8">
        <f t="shared" si="3"/>
        <v>6.6187727313321456E-4</v>
      </c>
      <c r="K13" s="8">
        <f t="shared" si="4"/>
        <v>8.3741046946733989E-3</v>
      </c>
      <c r="L13" s="18">
        <f>SUM(D13:$D$29)</f>
        <v>99129</v>
      </c>
      <c r="M13" s="16">
        <f t="shared" si="1"/>
        <v>0.39562189451838842</v>
      </c>
      <c r="N13" s="9">
        <f>SUM(C13:$C$29)</f>
        <v>12456772235</v>
      </c>
      <c r="O13" s="17">
        <f t="shared" si="2"/>
        <v>0.77301411263296871</v>
      </c>
    </row>
    <row r="14" spans="1:17" x14ac:dyDescent="0.35">
      <c r="A14">
        <v>65001</v>
      </c>
      <c r="B14">
        <v>70000</v>
      </c>
      <c r="C14" s="6">
        <v>578461497</v>
      </c>
      <c r="D14" s="6">
        <v>8567</v>
      </c>
      <c r="E14" s="7">
        <f t="shared" si="5"/>
        <v>67522.061048208241</v>
      </c>
      <c r="F14" s="8">
        <f>SUM($D$4:D14)/$D$32</f>
        <v>0.67546145710693828</v>
      </c>
      <c r="G14" s="8">
        <f>SUM($C$4:C14)/$C$32</f>
        <v>0.2987640192849676</v>
      </c>
      <c r="H14" s="13">
        <f t="shared" si="0"/>
        <v>0.42307692307692302</v>
      </c>
      <c r="I14" s="13">
        <f t="shared" si="0"/>
        <v>0.42307692307692302</v>
      </c>
      <c r="J14" s="8">
        <f t="shared" si="3"/>
        <v>6.1366975679622601E-4</v>
      </c>
      <c r="K14" s="8">
        <f t="shared" si="4"/>
        <v>8.9876200905594176E-3</v>
      </c>
      <c r="L14" s="18">
        <f>SUM(D14:$D$29)</f>
        <v>89885</v>
      </c>
      <c r="M14" s="16">
        <f t="shared" si="1"/>
        <v>0.35872927184562886</v>
      </c>
      <c r="N14" s="9">
        <f>SUM(C14:$C$29)</f>
        <v>11878561653</v>
      </c>
      <c r="O14" s="17">
        <f t="shared" si="2"/>
        <v>0.73713283203092983</v>
      </c>
    </row>
    <row r="15" spans="1:17" x14ac:dyDescent="0.35">
      <c r="A15">
        <v>70001</v>
      </c>
      <c r="B15">
        <v>75000</v>
      </c>
      <c r="C15" s="6">
        <v>578211687</v>
      </c>
      <c r="D15" s="6">
        <v>7974</v>
      </c>
      <c r="E15" s="7">
        <f t="shared" si="5"/>
        <v>72512.12528216705</v>
      </c>
      <c r="F15" s="8">
        <f>SUM($D$4:D15)/$D$32</f>
        <v>0.70728553469159694</v>
      </c>
      <c r="G15" s="8">
        <f>SUM($C$4:C15)/$C$32</f>
        <v>0.33464536845858972</v>
      </c>
      <c r="H15" s="13">
        <f t="shared" si="0"/>
        <v>0.46153846153846145</v>
      </c>
      <c r="I15" s="13">
        <f t="shared" si="0"/>
        <v>0.46153846153846145</v>
      </c>
      <c r="J15" s="8">
        <f t="shared" si="3"/>
        <v>5.7094541997178923E-4</v>
      </c>
      <c r="K15" s="8">
        <f t="shared" si="4"/>
        <v>9.5078893292292656E-3</v>
      </c>
      <c r="L15" s="18">
        <f>SUM(D15:$D$29)</f>
        <v>81318</v>
      </c>
      <c r="M15" s="16">
        <f t="shared" si="1"/>
        <v>0.32453854289306167</v>
      </c>
      <c r="N15" s="9">
        <f>SUM(C15:$C$29)</f>
        <v>11300100156</v>
      </c>
      <c r="O15" s="17">
        <f t="shared" si="2"/>
        <v>0.70123598071503246</v>
      </c>
    </row>
    <row r="16" spans="1:17" x14ac:dyDescent="0.35">
      <c r="A16">
        <v>75001</v>
      </c>
      <c r="B16">
        <v>80000</v>
      </c>
      <c r="C16" s="6">
        <v>548059634</v>
      </c>
      <c r="D16" s="6">
        <v>7069</v>
      </c>
      <c r="E16" s="7">
        <f t="shared" si="5"/>
        <v>77530.009053614369</v>
      </c>
      <c r="F16" s="8">
        <f>SUM($D$4:D16)/$D$32</f>
        <v>0.73549777502843572</v>
      </c>
      <c r="G16" s="8">
        <f>SUM($C$4:C16)/$C$32</f>
        <v>0.36865560992837443</v>
      </c>
      <c r="H16" s="13">
        <f t="shared" si="0"/>
        <v>0.49999999999999989</v>
      </c>
      <c r="I16" s="13">
        <f t="shared" si="0"/>
        <v>0.49999999999999989</v>
      </c>
      <c r="J16" s="8">
        <f t="shared" si="3"/>
        <v>4.7975255312974357E-4</v>
      </c>
      <c r="K16" s="8">
        <f t="shared" si="4"/>
        <v>9.4410955625637005E-3</v>
      </c>
      <c r="L16" s="18">
        <f>SUM(D16:$D$29)</f>
        <v>73344</v>
      </c>
      <c r="M16" s="16">
        <f t="shared" si="1"/>
        <v>0.292714465308403</v>
      </c>
      <c r="N16" s="9">
        <f>SUM(C16:$C$29)</f>
        <v>10721888469</v>
      </c>
      <c r="O16" s="17">
        <f t="shared" si="2"/>
        <v>0.66535463154141028</v>
      </c>
    </row>
    <row r="17" spans="1:15" x14ac:dyDescent="0.35">
      <c r="A17">
        <v>80001</v>
      </c>
      <c r="B17">
        <v>85000</v>
      </c>
      <c r="C17" s="6">
        <v>526041165</v>
      </c>
      <c r="D17" s="6">
        <v>6375</v>
      </c>
      <c r="E17" s="7">
        <f t="shared" si="5"/>
        <v>82516.261176470594</v>
      </c>
      <c r="F17" s="8">
        <f>SUM($D$4:D17)/$D$32</f>
        <v>0.76094027497854844</v>
      </c>
      <c r="G17" s="8">
        <f>SUM($C$4:C17)/$C$32</f>
        <v>0.40129947919880654</v>
      </c>
      <c r="H17" s="13">
        <f t="shared" si="0"/>
        <v>0.53846153846153832</v>
      </c>
      <c r="I17" s="13">
        <f t="shared" si="0"/>
        <v>0.53846153846153832</v>
      </c>
      <c r="J17" s="8">
        <f t="shared" si="3"/>
        <v>4.1527082114222754E-4</v>
      </c>
      <c r="K17" s="8">
        <f t="shared" si="4"/>
        <v>9.3795203372114399E-3</v>
      </c>
      <c r="L17" s="18">
        <f>SUM(D17:$D$29)</f>
        <v>66275</v>
      </c>
      <c r="M17" s="16">
        <f t="shared" si="1"/>
        <v>0.26450222497156428</v>
      </c>
      <c r="N17" s="9">
        <f>SUM(C17:$C$29)</f>
        <v>10173828835</v>
      </c>
      <c r="O17" s="17">
        <f t="shared" si="2"/>
        <v>0.63134439007162557</v>
      </c>
    </row>
    <row r="18" spans="1:15" x14ac:dyDescent="0.35">
      <c r="A18">
        <v>85001</v>
      </c>
      <c r="B18">
        <v>90000</v>
      </c>
      <c r="C18" s="6">
        <v>502930958</v>
      </c>
      <c r="D18" s="6">
        <v>5745</v>
      </c>
      <c r="E18" s="7">
        <f t="shared" si="5"/>
        <v>87542.377371627503</v>
      </c>
      <c r="F18" s="8">
        <f>SUM($D$4:D18)/$D$32</f>
        <v>0.78386845728653243</v>
      </c>
      <c r="G18" s="8">
        <f>SUM($C$4:C18)/$C$32</f>
        <v>0.43250922766973687</v>
      </c>
      <c r="H18" s="13">
        <f t="shared" si="0"/>
        <v>0.57692307692307676</v>
      </c>
      <c r="I18" s="13">
        <f t="shared" si="0"/>
        <v>0.57692307692307676</v>
      </c>
      <c r="J18" s="8">
        <f t="shared" si="3"/>
        <v>3.5779140136390765E-4</v>
      </c>
      <c r="K18" s="8">
        <f t="shared" si="4"/>
        <v>9.2010676191692665E-3</v>
      </c>
      <c r="L18" s="18">
        <f>SUM(D18:$D$29)</f>
        <v>59900</v>
      </c>
      <c r="M18" s="16">
        <f t="shared" si="1"/>
        <v>0.23905972502145151</v>
      </c>
      <c r="N18" s="9">
        <f>SUM(C18:$C$29)</f>
        <v>9647787670</v>
      </c>
      <c r="O18" s="17">
        <f t="shared" si="2"/>
        <v>0.59870052080119351</v>
      </c>
    </row>
    <row r="19" spans="1:15" x14ac:dyDescent="0.35">
      <c r="A19">
        <v>90001</v>
      </c>
      <c r="B19">
        <v>95000</v>
      </c>
      <c r="C19" s="6">
        <v>470399011</v>
      </c>
      <c r="D19" s="6">
        <v>5086</v>
      </c>
      <c r="E19" s="7">
        <f t="shared" si="5"/>
        <v>92488.991545418801</v>
      </c>
      <c r="F19" s="8">
        <f>SUM($D$4:D19)/$D$32</f>
        <v>0.80416658352124204</v>
      </c>
      <c r="G19" s="8">
        <f>SUM($C$4:C19)/$C$32</f>
        <v>0.46170018237387023</v>
      </c>
      <c r="H19" s="13">
        <f t="shared" si="0"/>
        <v>0.6153846153846152</v>
      </c>
      <c r="I19" s="13">
        <f t="shared" si="0"/>
        <v>0.6153846153846152</v>
      </c>
      <c r="J19" s="8">
        <f t="shared" si="3"/>
        <v>2.9626084174809458E-4</v>
      </c>
      <c r="K19" s="8">
        <f t="shared" si="4"/>
        <v>8.7791269009170787E-3</v>
      </c>
      <c r="L19" s="18">
        <f>SUM(D19:$D$29)</f>
        <v>54155</v>
      </c>
      <c r="M19" s="16">
        <f t="shared" si="1"/>
        <v>0.21613154271346757</v>
      </c>
      <c r="N19" s="9">
        <f>SUM(C19:$C$29)</f>
        <v>9144856712</v>
      </c>
      <c r="O19" s="17">
        <f t="shared" si="2"/>
        <v>0.56749077233026313</v>
      </c>
    </row>
    <row r="20" spans="1:15" x14ac:dyDescent="0.35">
      <c r="A20">
        <v>95001</v>
      </c>
      <c r="B20">
        <v>100000</v>
      </c>
      <c r="C20" s="6">
        <v>440188279</v>
      </c>
      <c r="D20" s="6">
        <v>4513</v>
      </c>
      <c r="E20" s="7">
        <f t="shared" si="5"/>
        <v>97537.841568801246</v>
      </c>
      <c r="F20" s="8">
        <f>SUM($D$4:D20)/$D$32</f>
        <v>0.82217787799572961</v>
      </c>
      <c r="G20" s="8">
        <f>SUM($C$4:C20)/$C$32</f>
        <v>0.48901638800589997</v>
      </c>
      <c r="H20" s="13">
        <f t="shared" si="0"/>
        <v>0.65384615384615363</v>
      </c>
      <c r="I20" s="13">
        <f t="shared" si="0"/>
        <v>0.65384615384615363</v>
      </c>
      <c r="J20" s="8">
        <f t="shared" si="3"/>
        <v>2.4600011178207179E-4</v>
      </c>
      <c r="K20" s="8">
        <f t="shared" si="4"/>
        <v>8.3158179436603925E-3</v>
      </c>
      <c r="L20" s="18">
        <f>SUM(D20:$D$29)</f>
        <v>49069</v>
      </c>
      <c r="M20" s="16">
        <f t="shared" si="1"/>
        <v>0.19583341647875802</v>
      </c>
      <c r="N20" s="9">
        <f>SUM(C20:$C$29)</f>
        <v>8674457701</v>
      </c>
      <c r="O20" s="17">
        <f t="shared" si="2"/>
        <v>0.53829981762612977</v>
      </c>
    </row>
    <row r="21" spans="1:15" x14ac:dyDescent="0.35">
      <c r="A21">
        <v>100001</v>
      </c>
      <c r="B21">
        <v>120000</v>
      </c>
      <c r="C21" s="6">
        <v>1507032719</v>
      </c>
      <c r="D21" s="6">
        <v>13781</v>
      </c>
      <c r="E21" s="7">
        <f t="shared" si="5"/>
        <v>109355.8318699659</v>
      </c>
      <c r="F21" s="8">
        <f>SUM($D$4:D21)/$D$32</f>
        <v>0.87717757867220081</v>
      </c>
      <c r="G21" s="8">
        <f>SUM($C$4:C21)/$C$32</f>
        <v>0.58253640571268872</v>
      </c>
      <c r="H21" s="13">
        <f t="shared" si="0"/>
        <v>0.69230769230769207</v>
      </c>
      <c r="I21" s="13">
        <f t="shared" si="0"/>
        <v>0.69230769230769207</v>
      </c>
      <c r="J21" s="8">
        <f t="shared" si="3"/>
        <v>2.5717864905658336E-3</v>
      </c>
      <c r="K21" s="8">
        <f t="shared" si="4"/>
        <v>2.68957549662136E-2</v>
      </c>
      <c r="L21" s="18">
        <f>SUM(D21:$D$29)</f>
        <v>44556</v>
      </c>
      <c r="M21" s="16">
        <f t="shared" si="1"/>
        <v>0.17782212200427036</v>
      </c>
      <c r="N21" s="9">
        <f>SUM(C21:$C$29)</f>
        <v>8234269422</v>
      </c>
      <c r="O21" s="17">
        <f t="shared" si="2"/>
        <v>0.51098361199410003</v>
      </c>
    </row>
    <row r="22" spans="1:15" s="25" customFormat="1" x14ac:dyDescent="0.35">
      <c r="A22" s="25">
        <v>120001</v>
      </c>
      <c r="B22" s="25">
        <v>150000</v>
      </c>
      <c r="C22" s="26">
        <v>1581172567</v>
      </c>
      <c r="D22" s="26">
        <v>11850</v>
      </c>
      <c r="E22" s="27">
        <f t="shared" si="5"/>
        <v>133432.28413502109</v>
      </c>
      <c r="F22" s="25">
        <f>SUM($D$4:D22)/$D$32</f>
        <v>0.924470696226528</v>
      </c>
      <c r="G22" s="25">
        <f>SUM($C$4:C22)/$C$32</f>
        <v>0.68065722591720934</v>
      </c>
      <c r="H22" s="28">
        <f t="shared" si="0"/>
        <v>0.7307692307692305</v>
      </c>
      <c r="I22" s="28">
        <f t="shared" si="0"/>
        <v>0.7307692307692305</v>
      </c>
      <c r="J22" s="25">
        <f t="shared" si="3"/>
        <v>2.3202197422296979E-3</v>
      </c>
      <c r="K22" s="25">
        <f t="shared" si="4"/>
        <v>2.7549962715045426E-2</v>
      </c>
      <c r="L22" s="29">
        <f>SUM(D22:$D$29)</f>
        <v>30775</v>
      </c>
      <c r="M22" s="30">
        <f t="shared" si="1"/>
        <v>0.12282242132779918</v>
      </c>
      <c r="N22" s="26">
        <f>SUM(C22:$C$29)</f>
        <v>6727236703</v>
      </c>
      <c r="O22" s="31">
        <f t="shared" si="2"/>
        <v>0.41746359428731122</v>
      </c>
    </row>
    <row r="23" spans="1:15" x14ac:dyDescent="0.35">
      <c r="A23">
        <v>150001</v>
      </c>
      <c r="B23">
        <v>200000</v>
      </c>
      <c r="C23" s="6">
        <v>1615185355</v>
      </c>
      <c r="D23" s="6">
        <v>9431</v>
      </c>
      <c r="E23" s="7">
        <f t="shared" si="5"/>
        <v>171263.42434524442</v>
      </c>
      <c r="F23" s="8">
        <f>SUM($D$4:D23)/$D$32</f>
        <v>0.96210963223115753</v>
      </c>
      <c r="G23" s="8">
        <f>SUM($C$4:C23)/$C$32</f>
        <v>0.78088873455995289</v>
      </c>
      <c r="H23" s="13">
        <f t="shared" si="0"/>
        <v>0.76923076923076894</v>
      </c>
      <c r="I23" s="13">
        <f t="shared" si="0"/>
        <v>0.76923076923076894</v>
      </c>
      <c r="J23" s="8">
        <f t="shared" si="3"/>
        <v>1.8863036697258481E-3</v>
      </c>
      <c r="K23" s="8">
        <f t="shared" si="4"/>
        <v>2.5619213767386507E-2</v>
      </c>
      <c r="L23" s="18">
        <f>SUM(D23:$D$29)</f>
        <v>18925</v>
      </c>
      <c r="M23" s="16">
        <f t="shared" si="1"/>
        <v>7.5529303773471959E-2</v>
      </c>
      <c r="N23" s="9">
        <f>SUM(C23:$C$29)</f>
        <v>5146064136</v>
      </c>
      <c r="O23" s="17">
        <f t="shared" si="2"/>
        <v>0.31934277408279071</v>
      </c>
    </row>
    <row r="24" spans="1:15" x14ac:dyDescent="0.35">
      <c r="A24">
        <v>200001</v>
      </c>
      <c r="B24">
        <v>300000</v>
      </c>
      <c r="C24" s="6">
        <v>1418011288</v>
      </c>
      <c r="D24" s="6">
        <v>5946</v>
      </c>
      <c r="E24" s="7">
        <f t="shared" si="5"/>
        <v>238481.54860410359</v>
      </c>
      <c r="F24" s="8">
        <f>SUM($D$4:D24)/$D$32</f>
        <v>0.98584000159639218</v>
      </c>
      <c r="G24" s="8">
        <f>SUM($C$4:C24)/$C$32</f>
        <v>0.86888446225071081</v>
      </c>
      <c r="H24" s="13">
        <f t="shared" si="0"/>
        <v>0.80769230769230738</v>
      </c>
      <c r="I24" s="13">
        <f t="shared" si="0"/>
        <v>0.80769230769230738</v>
      </c>
      <c r="J24" s="8">
        <f t="shared" si="3"/>
        <v>1.0440855603321461E-3</v>
      </c>
      <c r="K24" s="8">
        <f t="shared" si="4"/>
        <v>1.8530778104258357E-2</v>
      </c>
      <c r="L24" s="18">
        <f>SUM(D24:$D$29)</f>
        <v>9494</v>
      </c>
      <c r="M24" s="16">
        <f t="shared" si="1"/>
        <v>3.7890367768842415E-2</v>
      </c>
      <c r="N24" s="9">
        <f>SUM(C24:$C$29)</f>
        <v>3530878781</v>
      </c>
      <c r="O24" s="17">
        <f t="shared" si="2"/>
        <v>0.21911126544004705</v>
      </c>
    </row>
    <row r="25" spans="1:15" s="25" customFormat="1" x14ac:dyDescent="0.35">
      <c r="A25" s="25">
        <v>300001</v>
      </c>
      <c r="B25" s="25">
        <v>400000</v>
      </c>
      <c r="C25" s="26">
        <v>603384497</v>
      </c>
      <c r="D25" s="26">
        <v>1766</v>
      </c>
      <c r="E25" s="27">
        <f t="shared" si="5"/>
        <v>341667.32559456397</v>
      </c>
      <c r="F25" s="25">
        <f>SUM($D$4:D25)/$D$32</f>
        <v>0.99288807295512138</v>
      </c>
      <c r="G25" s="25">
        <f>SUM($C$4:C25)/$C$32</f>
        <v>0.90632792856170452</v>
      </c>
      <c r="H25" s="28">
        <f t="shared" si="0"/>
        <v>0.84615384615384581</v>
      </c>
      <c r="I25" s="28">
        <f t="shared" si="0"/>
        <v>0.84615384615384581</v>
      </c>
      <c r="J25" s="25">
        <f t="shared" si="3"/>
        <v>1.3195211123902828E-4</v>
      </c>
      <c r="K25" s="25">
        <f t="shared" si="4"/>
        <v>6.1239596924340597E-3</v>
      </c>
      <c r="L25" s="29">
        <f>SUM(D25:$D$29)</f>
        <v>3548</v>
      </c>
      <c r="M25" s="30">
        <f t="shared" si="1"/>
        <v>1.4159998403607847E-2</v>
      </c>
      <c r="N25" s="26">
        <f>SUM(C25:$C$29)</f>
        <v>2112867493</v>
      </c>
      <c r="O25" s="31">
        <f t="shared" si="2"/>
        <v>0.13111553774928922</v>
      </c>
    </row>
    <row r="26" spans="1:15" x14ac:dyDescent="0.35">
      <c r="A26">
        <v>400001</v>
      </c>
      <c r="B26">
        <v>500000</v>
      </c>
      <c r="C26" s="6">
        <v>327593495</v>
      </c>
      <c r="D26" s="6">
        <v>738</v>
      </c>
      <c r="E26" s="7">
        <f t="shared" si="5"/>
        <v>443893.62466124661</v>
      </c>
      <c r="F26" s="8">
        <f>SUM($D$4:D26)/$D$32</f>
        <v>0.995833416478758</v>
      </c>
      <c r="G26" s="8">
        <f>SUM($C$4:C26)/$C$32</f>
        <v>0.92665698251440032</v>
      </c>
      <c r="H26" s="13">
        <f t="shared" si="0"/>
        <v>0.88461538461538425</v>
      </c>
      <c r="I26" s="13">
        <f t="shared" si="0"/>
        <v>0.88461538461538425</v>
      </c>
      <c r="J26" s="8">
        <f>((F26-F25)*(G26-G25))/2</f>
        <v>2.9938023700616031E-5</v>
      </c>
      <c r="K26" s="8">
        <f t="shared" si="4"/>
        <v>2.6694470946802126E-3</v>
      </c>
      <c r="L26" s="18">
        <f>SUM(D26:$D$29)</f>
        <v>1782</v>
      </c>
      <c r="M26" s="16">
        <f t="shared" si="1"/>
        <v>7.1119270448785745E-3</v>
      </c>
      <c r="N26" s="9">
        <f>SUM(C26:$C$29)</f>
        <v>1509482996</v>
      </c>
      <c r="O26" s="17">
        <f t="shared" si="2"/>
        <v>9.3672071438295437E-2</v>
      </c>
    </row>
    <row r="27" spans="1:15" x14ac:dyDescent="0.35">
      <c r="A27">
        <v>500001</v>
      </c>
      <c r="B27">
        <v>1000000</v>
      </c>
      <c r="C27" s="6">
        <v>548131525</v>
      </c>
      <c r="D27" s="6">
        <v>821</v>
      </c>
      <c r="E27" s="7">
        <f t="shared" si="5"/>
        <v>667638.88550548116</v>
      </c>
      <c r="F27" s="8">
        <f>SUM($D$4:D27)/$D$32</f>
        <v>0.99911001137429412</v>
      </c>
      <c r="G27" s="8">
        <f>SUM($C$4:C27)/$C$32</f>
        <v>0.96067168523277524</v>
      </c>
      <c r="H27" s="13">
        <f t="shared" si="0"/>
        <v>0.92307692307692268</v>
      </c>
      <c r="I27" s="13">
        <f t="shared" si="0"/>
        <v>0.92307692307692268</v>
      </c>
      <c r="J27" s="8">
        <f t="shared" si="3"/>
        <v>5.5726200650102783E-5</v>
      </c>
      <c r="K27" s="8">
        <f t="shared" si="4"/>
        <v>3.0362795388195795E-3</v>
      </c>
      <c r="L27" s="18">
        <f>SUM(D27:$D$29)</f>
        <v>1044</v>
      </c>
      <c r="M27" s="16">
        <f t="shared" si="1"/>
        <v>4.1665835212419929E-3</v>
      </c>
      <c r="N27" s="9">
        <f>SUM(C27:$C$29)</f>
        <v>1181889501</v>
      </c>
      <c r="O27" s="17">
        <f t="shared" si="2"/>
        <v>7.334301748559964E-2</v>
      </c>
    </row>
    <row r="28" spans="1:15" x14ac:dyDescent="0.35">
      <c r="A28">
        <v>1000001</v>
      </c>
      <c r="B28">
        <v>2000000</v>
      </c>
      <c r="C28" s="6">
        <v>216813804</v>
      </c>
      <c r="D28" s="6">
        <v>162</v>
      </c>
      <c r="E28" s="7">
        <f t="shared" si="5"/>
        <v>1338356.8148148148</v>
      </c>
      <c r="F28" s="8">
        <f>SUM($D$4:D28)/$D$32</f>
        <v>0.99975655019655574</v>
      </c>
      <c r="G28" s="8">
        <f>SUM($C$4:C28)/$C$32</f>
        <v>0.97412622442991403</v>
      </c>
      <c r="H28" s="13">
        <f t="shared" si="0"/>
        <v>0.96153846153846112</v>
      </c>
      <c r="I28" s="13">
        <f t="shared" si="0"/>
        <v>0.96153846153846112</v>
      </c>
      <c r="J28" s="8">
        <f t="shared" si="3"/>
        <v>4.3494409632954721E-6</v>
      </c>
      <c r="K28" s="8">
        <f t="shared" si="4"/>
        <v>6.2111153995048616E-4</v>
      </c>
      <c r="L28" s="18">
        <f>SUM(D28:$D$29)</f>
        <v>223</v>
      </c>
      <c r="M28" s="16">
        <f t="shared" si="1"/>
        <v>8.8998862570590471E-4</v>
      </c>
      <c r="N28" s="9">
        <f>SUM(C28:$C$29)</f>
        <v>633757976</v>
      </c>
      <c r="O28" s="17">
        <f t="shared" si="2"/>
        <v>3.9328314767224794E-2</v>
      </c>
    </row>
    <row r="29" spans="1:15" x14ac:dyDescent="0.35">
      <c r="A29">
        <v>2000001</v>
      </c>
      <c r="B29" t="s">
        <v>22</v>
      </c>
      <c r="C29" s="6">
        <v>416944172</v>
      </c>
      <c r="D29" s="6">
        <v>61</v>
      </c>
      <c r="E29" s="7">
        <f t="shared" si="5"/>
        <v>6835150.360655738</v>
      </c>
      <c r="F29" s="8">
        <f>SUM($D$4:D29)/$D$32</f>
        <v>1</v>
      </c>
      <c r="G29" s="8">
        <f>SUM($C$4:C29)/$C$32</f>
        <v>1</v>
      </c>
      <c r="H29" s="13">
        <f t="shared" si="0"/>
        <v>0.99999999999999956</v>
      </c>
      <c r="I29" s="13">
        <f t="shared" si="0"/>
        <v>0.99999999999999956</v>
      </c>
      <c r="J29" s="8">
        <f>((F29-F28)*(G29-G28))/2</f>
        <v>3.1494827884491916E-6</v>
      </c>
      <c r="K29" s="8">
        <f t="shared" si="4"/>
        <v>2.3715083786736389E-4</v>
      </c>
      <c r="L29" s="18">
        <f>SUM(D29:$D$29)</f>
        <v>61</v>
      </c>
      <c r="M29" s="16">
        <f t="shared" si="1"/>
        <v>2.4344980344421607E-4</v>
      </c>
      <c r="N29" s="9">
        <f>SUM(C29:$C$29)</f>
        <v>416944172</v>
      </c>
      <c r="O29" s="17">
        <f t="shared" si="2"/>
        <v>2.5873775570085945E-2</v>
      </c>
    </row>
    <row r="30" spans="1:15" x14ac:dyDescent="0.35">
      <c r="B30" t="s">
        <v>23</v>
      </c>
      <c r="C30" s="6">
        <v>16114546981</v>
      </c>
      <c r="D30" s="6">
        <v>250565</v>
      </c>
      <c r="E30" s="7">
        <f>C30/D30</f>
        <v>64312.840903557961</v>
      </c>
      <c r="F30" s="8"/>
      <c r="G30" s="8"/>
      <c r="H30" s="13"/>
      <c r="I30" s="13"/>
      <c r="J30" s="8"/>
      <c r="K30" s="8"/>
    </row>
    <row r="31" spans="1:15" x14ac:dyDescent="0.35">
      <c r="O31" s="10"/>
    </row>
    <row r="32" spans="1:15" x14ac:dyDescent="0.35">
      <c r="B32" t="s">
        <v>14</v>
      </c>
      <c r="C32" s="9">
        <f>SUM(C4:C29)</f>
        <v>16114546981</v>
      </c>
      <c r="D32" s="9">
        <f>SUM(D4:D29)</f>
        <v>250565</v>
      </c>
      <c r="I32" t="s">
        <v>15</v>
      </c>
      <c r="J32" s="8">
        <f>SUM(J5:J30)</f>
        <v>1.5747292052045093E-2</v>
      </c>
      <c r="N32" t="s">
        <v>17</v>
      </c>
      <c r="O32" s="10">
        <f>O26+((O25-O26)*(0.01-M26)/(M25-M26))</f>
        <v>0.10901519963532298</v>
      </c>
    </row>
    <row r="33" spans="1:15" x14ac:dyDescent="0.35">
      <c r="I33" t="s">
        <v>16</v>
      </c>
      <c r="J33" s="8">
        <f>SUM(K5:K30)</f>
        <v>0.21471904349262805</v>
      </c>
      <c r="N33" t="s">
        <v>63</v>
      </c>
      <c r="O33" s="32">
        <f>O23+((O22-O23)*(0.1-M23))/(M22-M23)</f>
        <v>0.37011305333038713</v>
      </c>
    </row>
    <row r="34" spans="1:15" x14ac:dyDescent="0.35">
      <c r="I34" t="s">
        <v>18</v>
      </c>
      <c r="J34" s="8">
        <f>J32+J33</f>
        <v>0.23046633554467313</v>
      </c>
    </row>
    <row r="35" spans="1:15" x14ac:dyDescent="0.35">
      <c r="I35" t="s">
        <v>19</v>
      </c>
      <c r="J35" s="8">
        <f>1-(2*J34)</f>
        <v>0.53906732891065379</v>
      </c>
    </row>
    <row r="39" spans="1:15" x14ac:dyDescent="0.35">
      <c r="A39" s="38" t="s">
        <v>52</v>
      </c>
      <c r="B39" s="38"/>
      <c r="C39" t="s">
        <v>71</v>
      </c>
    </row>
    <row r="40" spans="1:15" x14ac:dyDescent="0.35">
      <c r="A40" t="s">
        <v>54</v>
      </c>
      <c r="B40" t="s">
        <v>53</v>
      </c>
    </row>
    <row r="41" spans="1:15" x14ac:dyDescent="0.35">
      <c r="A41">
        <f>LOG(E4)</f>
        <v>3.7722955399279523</v>
      </c>
      <c r="B41">
        <f xml:space="preserve"> LOG(1-F4)</f>
        <v>-0.14348627768580327</v>
      </c>
      <c r="C41" s="6"/>
    </row>
    <row r="42" spans="1:15" x14ac:dyDescent="0.35">
      <c r="A42">
        <f t="shared" ref="A42:A65" si="6">LOG(E5)</f>
        <v>4.3556337674688406</v>
      </c>
      <c r="B42">
        <f t="shared" ref="B42:B65" si="7" xml:space="preserve"> LOG(1-F5)</f>
        <v>-0.16857623963281418</v>
      </c>
      <c r="C42">
        <f>(SUM(C5:$C$29)/SUM(D5:$D$29))/A5</f>
        <v>4.3584996540295551</v>
      </c>
      <c r="D42" t="s">
        <v>73</v>
      </c>
    </row>
    <row r="43" spans="1:15" x14ac:dyDescent="0.35">
      <c r="A43">
        <f t="shared" si="6"/>
        <v>4.4411644681101272</v>
      </c>
      <c r="B43">
        <f t="shared" si="7"/>
        <v>-0.19779924270011631</v>
      </c>
      <c r="C43">
        <f>(SUM(C6:$C$29)/SUM(D6:$D$29))/A6</f>
        <v>3.6402569399845226</v>
      </c>
      <c r="D43">
        <f t="shared" ref="D43:D65" si="8">RANK(C43, $C$42:$C$65, 1)</f>
        <v>23</v>
      </c>
    </row>
    <row r="44" spans="1:15" x14ac:dyDescent="0.35">
      <c r="A44">
        <f t="shared" si="6"/>
        <v>4.5132945165813325</v>
      </c>
      <c r="B44">
        <f t="shared" si="7"/>
        <v>-0.22435184467592204</v>
      </c>
      <c r="C44">
        <f>(SUM(C7:$C$29)/SUM(D7:$D$29))/A7</f>
        <v>3.1806448261092006</v>
      </c>
      <c r="D44">
        <f t="shared" si="8"/>
        <v>22</v>
      </c>
    </row>
    <row r="45" spans="1:15" x14ac:dyDescent="0.35">
      <c r="A45">
        <f t="shared" si="6"/>
        <v>4.5754529919949274</v>
      </c>
      <c r="B45">
        <f t="shared" si="7"/>
        <v>-0.25392300720752736</v>
      </c>
      <c r="C45">
        <f>(SUM(C8:$C$29)/SUM(D8:$D$29))/A8</f>
        <v>2.8394318453491825</v>
      </c>
      <c r="D45">
        <f t="shared" si="8"/>
        <v>20</v>
      </c>
    </row>
    <row r="46" spans="1:15" x14ac:dyDescent="0.35">
      <c r="A46">
        <f t="shared" si="6"/>
        <v>4.6293191283530346</v>
      </c>
      <c r="B46">
        <f t="shared" si="7"/>
        <v>-0.28671436190716915</v>
      </c>
      <c r="C46">
        <f>(SUM(C9:$C$29)/SUM(D9:$D$29))/A9</f>
        <v>2.5933019786596772</v>
      </c>
      <c r="D46">
        <f t="shared" si="8"/>
        <v>19</v>
      </c>
    </row>
    <row r="47" spans="1:15" x14ac:dyDescent="0.35">
      <c r="A47">
        <f t="shared" si="6"/>
        <v>4.6777428199808533</v>
      </c>
      <c r="B47">
        <f t="shared" si="7"/>
        <v>-0.32247658683007402</v>
      </c>
      <c r="C47">
        <f>(SUM(C10:$C$29)/SUM(D10:$D$29))/A10</f>
        <v>2.411725711510337</v>
      </c>
      <c r="D47">
        <f t="shared" si="8"/>
        <v>18</v>
      </c>
    </row>
    <row r="48" spans="1:15" x14ac:dyDescent="0.35">
      <c r="A48">
        <f t="shared" si="6"/>
        <v>4.7206670746380448</v>
      </c>
      <c r="B48">
        <f xml:space="preserve"> LOG(1-F11)</f>
        <v>-0.36019297580706788</v>
      </c>
      <c r="C48">
        <f>(SUM(C11:$C$29)/SUM(D11:$D$29))/A11</f>
        <v>2.2751240450091625</v>
      </c>
      <c r="D48">
        <f t="shared" si="8"/>
        <v>17</v>
      </c>
    </row>
    <row r="49" spans="1:10" x14ac:dyDescent="0.35">
      <c r="A49">
        <f t="shared" si="6"/>
        <v>4.7602077624282391</v>
      </c>
      <c r="B49">
        <f t="shared" si="7"/>
        <v>-0.40271968167192423</v>
      </c>
      <c r="C49">
        <f>(SUM(C12:$C$29)/SUM(D12:$D$29))/A12</f>
        <v>2.1692469761251427</v>
      </c>
      <c r="D49">
        <f t="shared" si="8"/>
        <v>15</v>
      </c>
      <c r="F49" s="38" t="s">
        <v>62</v>
      </c>
      <c r="G49" s="38"/>
      <c r="H49" s="38"/>
      <c r="I49" s="38"/>
      <c r="J49" s="38"/>
    </row>
    <row r="50" spans="1:10" x14ac:dyDescent="0.35">
      <c r="A50">
        <f t="shared" si="6"/>
        <v>4.7962260987499015</v>
      </c>
      <c r="B50">
        <f t="shared" si="7"/>
        <v>-0.44523318400886275</v>
      </c>
      <c r="C50">
        <f>(SUM(C13:$C$29)/SUM(D13:$D$29))/A13</f>
        <v>2.0943357688112751</v>
      </c>
      <c r="D50">
        <f t="shared" si="8"/>
        <v>13</v>
      </c>
      <c r="E50" t="s">
        <v>69</v>
      </c>
      <c r="F50" t="s">
        <v>64</v>
      </c>
      <c r="G50" t="s">
        <v>65</v>
      </c>
      <c r="H50" t="s">
        <v>68</v>
      </c>
      <c r="I50" t="s">
        <v>67</v>
      </c>
      <c r="J50" t="s">
        <v>66</v>
      </c>
    </row>
    <row r="51" spans="1:10" ht="43.5" x14ac:dyDescent="0.35">
      <c r="A51">
        <f t="shared" si="6"/>
        <v>4.8294456902556702</v>
      </c>
      <c r="B51">
        <f t="shared" si="7"/>
        <v>-0.48873371805696725</v>
      </c>
      <c r="C51">
        <f>(SUM(C14:$C$29)/SUM(D14:$D$29))/A14</f>
        <v>2.0330899583158133</v>
      </c>
      <c r="D51">
        <f t="shared" si="8"/>
        <v>12</v>
      </c>
      <c r="E51" t="s">
        <v>72</v>
      </c>
      <c r="F51" t="s">
        <v>58</v>
      </c>
      <c r="G51" t="s">
        <v>59</v>
      </c>
      <c r="H51" s="20" t="s">
        <v>70</v>
      </c>
      <c r="I51" t="s">
        <v>61</v>
      </c>
      <c r="J51" t="s">
        <v>60</v>
      </c>
    </row>
    <row r="52" spans="1:10" x14ac:dyDescent="0.35">
      <c r="A52">
        <f t="shared" si="6"/>
        <v>4.8604106341962865</v>
      </c>
      <c r="B52">
        <f t="shared" si="7"/>
        <v>-0.53355581515285122</v>
      </c>
      <c r="C52">
        <f>(SUM(C15:$C$29)/SUM(D15:$D$29))/A15</f>
        <v>1.9851410034509811</v>
      </c>
      <c r="D52">
        <f t="shared" si="8"/>
        <v>11</v>
      </c>
      <c r="E52">
        <f>SUM(C25:C29)/SUM(D25:D29)</f>
        <v>595509.43996617815</v>
      </c>
      <c r="F52">
        <f>E52/A25</f>
        <v>1.9850248498044278</v>
      </c>
      <c r="G52">
        <f>F52/(F52-1)</f>
        <v>2.0152028146280223</v>
      </c>
      <c r="H52">
        <f>A25*(SUM(D25:D29)/D30)^(1/G52)</f>
        <v>36276.764969976786</v>
      </c>
      <c r="I52">
        <f>H52/(0.01^(1/G52))</f>
        <v>356520.48568241531</v>
      </c>
      <c r="J52">
        <f>I52*F52*0.01*D32</f>
        <v>1773253575.2928684</v>
      </c>
    </row>
    <row r="53" spans="1:10" x14ac:dyDescent="0.35">
      <c r="A53">
        <f t="shared" si="6"/>
        <v>4.8894698346845153</v>
      </c>
      <c r="B53">
        <f t="shared" si="7"/>
        <v>-0.5775706703629786</v>
      </c>
      <c r="C53">
        <f>(SUM(C16:$C$29)/SUM(D16:$D$29))/A16</f>
        <v>1.9491247659237145</v>
      </c>
      <c r="D53">
        <f t="shared" si="8"/>
        <v>9</v>
      </c>
      <c r="J53">
        <f>J52/C30</f>
        <v>0.11004054767308313</v>
      </c>
    </row>
    <row r="54" spans="1:10" x14ac:dyDescent="0.35">
      <c r="A54">
        <f t="shared" si="6"/>
        <v>4.9165395418021651</v>
      </c>
      <c r="B54">
        <f t="shared" si="7"/>
        <v>-0.6214935843787982</v>
      </c>
      <c r="C54">
        <f>(SUM(C17:$C$29)/SUM(D17:$D$29))/A17</f>
        <v>1.9188422602280655</v>
      </c>
      <c r="D54">
        <f t="shared" si="8"/>
        <v>8</v>
      </c>
    </row>
    <row r="55" spans="1:10" x14ac:dyDescent="0.35">
      <c r="A55">
        <f t="shared" si="6"/>
        <v>4.9422183364895664</v>
      </c>
      <c r="B55">
        <f t="shared" si="7"/>
        <v>-0.66528184659785017</v>
      </c>
      <c r="C55">
        <f>(SUM(C18:$C$29)/SUM(D18:$D$29))/A18</f>
        <v>1.8948589154376834</v>
      </c>
      <c r="D55">
        <f t="shared" si="8"/>
        <v>7</v>
      </c>
    </row>
    <row r="56" spans="1:10" x14ac:dyDescent="0.35">
      <c r="A56">
        <f t="shared" si="6"/>
        <v>4.9660900441380562</v>
      </c>
      <c r="B56">
        <f t="shared" si="7"/>
        <v>-0.70811319938648543</v>
      </c>
      <c r="C56">
        <f>(SUM(C19:$C$29)/SUM(D19:$D$29))/A19</f>
        <v>1.8762513164086541</v>
      </c>
      <c r="D56">
        <f t="shared" si="8"/>
        <v>6</v>
      </c>
    </row>
    <row r="57" spans="1:10" x14ac:dyDescent="0.35">
      <c r="A57">
        <f t="shared" si="6"/>
        <v>4.9891731407867042</v>
      </c>
      <c r="B57">
        <f t="shared" si="7"/>
        <v>-0.75001421149432579</v>
      </c>
      <c r="C57">
        <f>(SUM(C20:$C$29)/SUM(D20:$D$29))/A20</f>
        <v>1.8608310728673341</v>
      </c>
      <c r="D57">
        <f t="shared" si="8"/>
        <v>5</v>
      </c>
    </row>
    <row r="58" spans="1:10" x14ac:dyDescent="0.35">
      <c r="A58">
        <f t="shared" si="6"/>
        <v>5.0388419486119664</v>
      </c>
      <c r="B58">
        <f t="shared" si="7"/>
        <v>-0.9107223451647557</v>
      </c>
      <c r="C58">
        <f>(SUM(C21:$C$29)/SUM(D21:$D$29))/A21</f>
        <v>1.8480534787972884</v>
      </c>
      <c r="D58">
        <f t="shared" si="8"/>
        <v>3</v>
      </c>
    </row>
    <row r="59" spans="1:10" x14ac:dyDescent="0.35">
      <c r="A59">
        <f t="shared" si="6"/>
        <v>5.1252609204754087</v>
      </c>
      <c r="B59">
        <f t="shared" si="7"/>
        <v>-1.1218845185959989</v>
      </c>
      <c r="C59">
        <f>(SUM(C22:$C$29)/SUM(D22:$D$29))/A22</f>
        <v>1.8216032069215562</v>
      </c>
      <c r="D59">
        <f t="shared" si="8"/>
        <v>2</v>
      </c>
    </row>
    <row r="60" spans="1:10" x14ac:dyDescent="0.35">
      <c r="A60">
        <f t="shared" si="6"/>
        <v>5.2336646233210313</v>
      </c>
      <c r="B60">
        <f t="shared" si="7"/>
        <v>-1.4214711793857677</v>
      </c>
      <c r="C60">
        <f>(SUM(C23:$C$29)/SUM(D23:$D$29))/A23</f>
        <v>1.8127802128170754</v>
      </c>
      <c r="D60">
        <f t="shared" si="8"/>
        <v>1</v>
      </c>
    </row>
    <row r="61" spans="1:10" x14ac:dyDescent="0.35">
      <c r="A61">
        <f t="shared" si="6"/>
        <v>5.3774547831689601</v>
      </c>
      <c r="B61">
        <f t="shared" si="7"/>
        <v>-1.8489367956084217</v>
      </c>
      <c r="C61">
        <f>(SUM(C24:$C$29)/SUM(D24:$D$29))/A24</f>
        <v>1.8595223966159504</v>
      </c>
      <c r="D61">
        <f t="shared" si="8"/>
        <v>4</v>
      </c>
    </row>
    <row r="62" spans="1:10" x14ac:dyDescent="0.35">
      <c r="A62">
        <f t="shared" si="6"/>
        <v>5.5336034482383756</v>
      </c>
      <c r="B62">
        <f t="shared" si="7"/>
        <v>-2.148012707067251</v>
      </c>
      <c r="C62">
        <f>(SUM(C25:$C$29)/SUM(D25:$D$29))/A25</f>
        <v>1.9850248498044278</v>
      </c>
      <c r="D62">
        <f t="shared" si="8"/>
        <v>10</v>
      </c>
    </row>
    <row r="63" spans="1:10" x14ac:dyDescent="0.35">
      <c r="A63">
        <f t="shared" si="6"/>
        <v>5.6472789075972889</v>
      </c>
      <c r="B63">
        <f t="shared" si="7"/>
        <v>-2.380219908101866</v>
      </c>
      <c r="C63">
        <f>(SUM(C26:$C$29)/SUM(D26:$D$29))/A26</f>
        <v>2.1176756766301126</v>
      </c>
      <c r="D63">
        <f t="shared" si="8"/>
        <v>14</v>
      </c>
    </row>
    <row r="64" spans="1:10" x14ac:dyDescent="0.35">
      <c r="A64">
        <f t="shared" si="6"/>
        <v>5.8245416234964953</v>
      </c>
      <c r="B64">
        <f t="shared" si="7"/>
        <v>-3.0506155437199589</v>
      </c>
      <c r="C64">
        <f>(SUM(C27:$C$29)/SUM(D27:$D$29))/A27</f>
        <v>2.2641516038807001</v>
      </c>
      <c r="D64">
        <f t="shared" si="8"/>
        <v>16</v>
      </c>
    </row>
    <row r="65" spans="1:4" x14ac:dyDescent="0.35">
      <c r="A65">
        <f t="shared" si="6"/>
        <v>6.1265719146621898</v>
      </c>
      <c r="B65">
        <f t="shared" si="7"/>
        <v>-3.6135905717572601</v>
      </c>
      <c r="C65">
        <f>(SUM(C28:$C$29)/SUM(D28:$D$29))/A28</f>
        <v>2.8419611759760439</v>
      </c>
      <c r="D65">
        <f t="shared" si="8"/>
        <v>21</v>
      </c>
    </row>
    <row r="69" spans="1:4" x14ac:dyDescent="0.35">
      <c r="B69" s="38" t="s">
        <v>52</v>
      </c>
      <c r="C69" s="38"/>
    </row>
    <row r="70" spans="1:4" x14ac:dyDescent="0.35">
      <c r="B70" t="s">
        <v>54</v>
      </c>
      <c r="C70" t="s">
        <v>53</v>
      </c>
    </row>
    <row r="71" spans="1:4" x14ac:dyDescent="0.35">
      <c r="B71">
        <f>LOG(A5)</f>
        <v>4.3010517098452263</v>
      </c>
      <c r="C71">
        <f>LOG(1-F5)</f>
        <v>-0.16857623963281418</v>
      </c>
    </row>
    <row r="72" spans="1:4" x14ac:dyDescent="0.35">
      <c r="B72">
        <f t="shared" ref="B72:B94" si="9">LOG(A6)</f>
        <v>4.3979573801038878</v>
      </c>
      <c r="C72">
        <f t="shared" ref="C72:C94" si="10">LOG(1-F6)</f>
        <v>-0.19779924270011631</v>
      </c>
    </row>
    <row r="73" spans="1:4" x14ac:dyDescent="0.35">
      <c r="B73">
        <f t="shared" si="9"/>
        <v>4.4771357309611233</v>
      </c>
      <c r="C73">
        <f t="shared" si="10"/>
        <v>-0.22435184467592204</v>
      </c>
    </row>
    <row r="74" spans="1:4" x14ac:dyDescent="0.35">
      <c r="B74">
        <f t="shared" si="9"/>
        <v>4.5440804525867851</v>
      </c>
      <c r="C74">
        <f t="shared" si="10"/>
        <v>-0.25392300720752736</v>
      </c>
    </row>
    <row r="75" spans="1:4" x14ac:dyDescent="0.35">
      <c r="B75">
        <f t="shared" si="9"/>
        <v>4.6020708485542956</v>
      </c>
      <c r="C75">
        <f t="shared" si="10"/>
        <v>-0.28671436190716915</v>
      </c>
    </row>
    <row r="76" spans="1:4" x14ac:dyDescent="0.35">
      <c r="B76">
        <f t="shared" si="9"/>
        <v>4.653222164656599</v>
      </c>
      <c r="C76">
        <f t="shared" si="10"/>
        <v>-0.32247658683007402</v>
      </c>
    </row>
    <row r="77" spans="1:4" x14ac:dyDescent="0.35">
      <c r="B77">
        <f t="shared" si="9"/>
        <v>4.6989786901387989</v>
      </c>
      <c r="C77">
        <f t="shared" si="10"/>
        <v>-0.36019297580706788</v>
      </c>
    </row>
    <row r="78" spans="1:4" x14ac:dyDescent="0.35">
      <c r="B78">
        <f t="shared" si="9"/>
        <v>4.7403705856857679</v>
      </c>
      <c r="C78">
        <f t="shared" si="10"/>
        <v>-0.40271968167192423</v>
      </c>
    </row>
    <row r="79" spans="1:4" x14ac:dyDescent="0.35">
      <c r="B79">
        <f t="shared" si="9"/>
        <v>4.7781584885646904</v>
      </c>
      <c r="C79">
        <f t="shared" si="10"/>
        <v>-0.44523318400886275</v>
      </c>
    </row>
    <row r="80" spans="1:4" x14ac:dyDescent="0.35">
      <c r="B80">
        <f t="shared" si="9"/>
        <v>4.8129200380450277</v>
      </c>
      <c r="C80">
        <f t="shared" si="10"/>
        <v>-0.48873371805696725</v>
      </c>
    </row>
    <row r="81" spans="2:3" x14ac:dyDescent="0.35">
      <c r="B81">
        <f t="shared" si="9"/>
        <v>4.8451042441768255</v>
      </c>
      <c r="C81">
        <f t="shared" si="10"/>
        <v>-0.53355581515285122</v>
      </c>
    </row>
    <row r="82" spans="2:3" x14ac:dyDescent="0.35">
      <c r="B82">
        <f t="shared" si="9"/>
        <v>4.8750670539461884</v>
      </c>
      <c r="C82">
        <f t="shared" si="10"/>
        <v>-0.5775706703629786</v>
      </c>
    </row>
    <row r="83" spans="2:3" x14ac:dyDescent="0.35">
      <c r="B83">
        <f t="shared" si="9"/>
        <v>4.9030954156390383</v>
      </c>
      <c r="C83">
        <f t="shared" si="10"/>
        <v>-0.6214935843787982</v>
      </c>
    </row>
    <row r="84" spans="2:3" x14ac:dyDescent="0.35">
      <c r="B84">
        <f t="shared" si="9"/>
        <v>4.9294240350310838</v>
      </c>
      <c r="C84">
        <f t="shared" si="10"/>
        <v>-0.66528184659785017</v>
      </c>
    </row>
    <row r="85" spans="2:3" x14ac:dyDescent="0.35">
      <c r="B85">
        <f t="shared" si="9"/>
        <v>4.9542473349067597</v>
      </c>
      <c r="C85">
        <f t="shared" si="10"/>
        <v>-0.70811319938648543</v>
      </c>
    </row>
    <row r="86" spans="2:3" x14ac:dyDescent="0.35">
      <c r="B86">
        <f t="shared" si="9"/>
        <v>4.9777281767856492</v>
      </c>
      <c r="C86">
        <f t="shared" si="10"/>
        <v>-0.75001421149432579</v>
      </c>
    </row>
    <row r="87" spans="2:3" x14ac:dyDescent="0.35">
      <c r="B87">
        <f t="shared" si="9"/>
        <v>5.0000043429231047</v>
      </c>
      <c r="C87">
        <f t="shared" si="10"/>
        <v>-0.9107223451647557</v>
      </c>
    </row>
    <row r="88" spans="2:3" x14ac:dyDescent="0.35">
      <c r="B88">
        <f t="shared" si="9"/>
        <v>5.0791848651532279</v>
      </c>
      <c r="C88">
        <f t="shared" si="10"/>
        <v>-1.1218845185959989</v>
      </c>
    </row>
    <row r="89" spans="2:3" x14ac:dyDescent="0.35">
      <c r="B89">
        <f t="shared" si="9"/>
        <v>5.176094154342576</v>
      </c>
      <c r="C89">
        <f t="shared" si="10"/>
        <v>-1.4214711793857677</v>
      </c>
    </row>
    <row r="90" spans="2:3" x14ac:dyDescent="0.35">
      <c r="B90">
        <f t="shared" si="9"/>
        <v>5.3010321671309617</v>
      </c>
      <c r="C90">
        <f t="shared" si="10"/>
        <v>-1.8489367956084217</v>
      </c>
    </row>
    <row r="91" spans="2:3" x14ac:dyDescent="0.35">
      <c r="B91">
        <f t="shared" si="9"/>
        <v>5.4771227023655227</v>
      </c>
      <c r="C91">
        <f t="shared" si="10"/>
        <v>-2.148012707067251</v>
      </c>
    </row>
    <row r="92" spans="2:3" x14ac:dyDescent="0.35">
      <c r="B92">
        <f t="shared" si="9"/>
        <v>5.6020610770628103</v>
      </c>
      <c r="C92">
        <f t="shared" si="10"/>
        <v>-2.380219908101866</v>
      </c>
    </row>
    <row r="93" spans="2:3" x14ac:dyDescent="0.35">
      <c r="B93">
        <f t="shared" si="9"/>
        <v>5.6989708729241144</v>
      </c>
      <c r="C93">
        <f t="shared" si="10"/>
        <v>-3.0506155437199589</v>
      </c>
    </row>
    <row r="94" spans="2:3" x14ac:dyDescent="0.35">
      <c r="B94">
        <f t="shared" si="9"/>
        <v>6.0000004342942646</v>
      </c>
      <c r="C94">
        <f t="shared" si="10"/>
        <v>-3.6135905717572601</v>
      </c>
    </row>
    <row r="95" spans="2:3" x14ac:dyDescent="0.35">
      <c r="B95">
        <f>LOG(A29)</f>
        <v>6.3010302128111677</v>
      </c>
      <c r="C95">
        <f>LOG(1)</f>
        <v>0</v>
      </c>
    </row>
  </sheetData>
  <mergeCells count="6">
    <mergeCell ref="A39:B39"/>
    <mergeCell ref="F1:I1"/>
    <mergeCell ref="J1:K1"/>
    <mergeCell ref="L1:Q1"/>
    <mergeCell ref="B69:C69"/>
    <mergeCell ref="F49:J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B010-F934-41A3-88FF-308B180726C1}">
  <dimension ref="A1:I49"/>
  <sheetViews>
    <sheetView workbookViewId="0">
      <selection activeCell="S37" sqref="S37"/>
    </sheetView>
  </sheetViews>
  <sheetFormatPr baseColWidth="10"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24" t="s">
        <v>29</v>
      </c>
      <c r="B3" s="24"/>
    </row>
    <row r="4" spans="1:9" x14ac:dyDescent="0.35">
      <c r="A4" t="s">
        <v>30</v>
      </c>
      <c r="B4">
        <v>0.92313721029489104</v>
      </c>
    </row>
    <row r="5" spans="1:9" x14ac:dyDescent="0.35">
      <c r="A5" t="s">
        <v>31</v>
      </c>
      <c r="B5">
        <v>0.85218230903103387</v>
      </c>
    </row>
    <row r="6" spans="1:9" x14ac:dyDescent="0.35">
      <c r="A6" t="s">
        <v>31</v>
      </c>
      <c r="B6">
        <v>0.84575545290194842</v>
      </c>
    </row>
    <row r="7" spans="1:9" x14ac:dyDescent="0.35">
      <c r="A7" t="s">
        <v>32</v>
      </c>
      <c r="B7">
        <v>0.37116301518184985</v>
      </c>
    </row>
    <row r="8" spans="1:9" ht="15" thickBot="1" x14ac:dyDescent="0.4">
      <c r="A8" s="22" t="s">
        <v>33</v>
      </c>
      <c r="B8" s="22">
        <v>25</v>
      </c>
    </row>
    <row r="10" spans="1:9" ht="15" thickBot="1" x14ac:dyDescent="0.4">
      <c r="A10" t="s">
        <v>34</v>
      </c>
    </row>
    <row r="11" spans="1:9" x14ac:dyDescent="0.35">
      <c r="A11" s="23"/>
      <c r="B11" s="23" t="s">
        <v>39</v>
      </c>
      <c r="C11" s="23" t="s">
        <v>40</v>
      </c>
      <c r="D11" s="23" t="s">
        <v>41</v>
      </c>
      <c r="E11" s="23" t="s">
        <v>42</v>
      </c>
      <c r="F11" s="23" t="s">
        <v>43</v>
      </c>
    </row>
    <row r="12" spans="1:9" x14ac:dyDescent="0.35">
      <c r="A12" t="s">
        <v>35</v>
      </c>
      <c r="B12">
        <v>1</v>
      </c>
      <c r="C12">
        <v>18.266835778883362</v>
      </c>
      <c r="D12">
        <v>18.266835778883362</v>
      </c>
      <c r="E12">
        <v>132.59707264557923</v>
      </c>
      <c r="F12">
        <v>5.0116133691544345E-11</v>
      </c>
    </row>
    <row r="13" spans="1:9" x14ac:dyDescent="0.35">
      <c r="A13" t="s">
        <v>36</v>
      </c>
      <c r="B13">
        <v>23</v>
      </c>
      <c r="C13">
        <v>3.1685256282942884</v>
      </c>
      <c r="D13">
        <v>0.13776198383888211</v>
      </c>
    </row>
    <row r="14" spans="1:9" ht="15" thickBot="1" x14ac:dyDescent="0.4">
      <c r="A14" s="22" t="s">
        <v>37</v>
      </c>
      <c r="B14" s="22">
        <v>24</v>
      </c>
      <c r="C14" s="22">
        <v>21.435361407177652</v>
      </c>
      <c r="D14" s="22"/>
      <c r="E14" s="22"/>
      <c r="F14" s="22"/>
    </row>
    <row r="15" spans="1:9" ht="15" thickBot="1" x14ac:dyDescent="0.4"/>
    <row r="16" spans="1:9" x14ac:dyDescent="0.35">
      <c r="A16" s="23"/>
      <c r="B16" s="23" t="s">
        <v>44</v>
      </c>
      <c r="C16" s="23" t="s">
        <v>32</v>
      </c>
      <c r="D16" s="23" t="s">
        <v>45</v>
      </c>
      <c r="E16" s="23" t="s">
        <v>46</v>
      </c>
      <c r="F16" s="23" t="s">
        <v>47</v>
      </c>
      <c r="G16" s="23" t="s">
        <v>48</v>
      </c>
      <c r="H16" s="23" t="s">
        <v>49</v>
      </c>
      <c r="I16" s="23" t="s">
        <v>50</v>
      </c>
    </row>
    <row r="17" spans="1:9" x14ac:dyDescent="0.35">
      <c r="A17" t="s">
        <v>38</v>
      </c>
      <c r="B17">
        <v>7.7313593280918838</v>
      </c>
      <c r="C17">
        <v>0.75719736484209588</v>
      </c>
      <c r="D17">
        <v>10.210494234490849</v>
      </c>
      <c r="E17">
        <v>5.1526322468997036E-10</v>
      </c>
      <c r="F17">
        <v>6.1649772367220326</v>
      </c>
      <c r="G17">
        <v>9.2977414194617349</v>
      </c>
      <c r="H17">
        <v>6.1649772367220326</v>
      </c>
      <c r="I17">
        <v>9.2977414194617349</v>
      </c>
    </row>
    <row r="18" spans="1:9" ht="15" thickBot="1" x14ac:dyDescent="0.4">
      <c r="A18" s="22" t="s">
        <v>51</v>
      </c>
      <c r="B18" s="22">
        <v>-1.755910322988903</v>
      </c>
      <c r="C18" s="22">
        <v>0.15248789311920663</v>
      </c>
      <c r="D18" s="22">
        <v>-11.515080227492088</v>
      </c>
      <c r="E18" s="22">
        <v>5.0116133691544164E-11</v>
      </c>
      <c r="F18" s="22">
        <v>-2.0713555635867165</v>
      </c>
      <c r="G18" s="22">
        <v>-1.4404650823910896</v>
      </c>
      <c r="H18" s="22">
        <v>-2.0713555635867165</v>
      </c>
      <c r="I18" s="22">
        <v>-1.4404650823910896</v>
      </c>
    </row>
    <row r="22" spans="1:9" x14ac:dyDescent="0.35">
      <c r="A22" t="s">
        <v>55</v>
      </c>
    </row>
    <row r="23" spans="1:9" ht="15" thickBot="1" x14ac:dyDescent="0.4"/>
    <row r="24" spans="1:9" x14ac:dyDescent="0.35">
      <c r="A24" s="23" t="s">
        <v>56</v>
      </c>
      <c r="B24" s="23" t="s">
        <v>57</v>
      </c>
      <c r="C24" s="23" t="s">
        <v>36</v>
      </c>
    </row>
    <row r="25" spans="1:9" x14ac:dyDescent="0.35">
      <c r="A25">
        <v>1</v>
      </c>
      <c r="B25">
        <v>1.1075466481673946</v>
      </c>
      <c r="C25">
        <v>-1.2510329258531978</v>
      </c>
    </row>
    <row r="26" spans="1:9" x14ac:dyDescent="0.35">
      <c r="A26">
        <v>2</v>
      </c>
      <c r="B26">
        <v>8.3257032634299399E-2</v>
      </c>
      <c r="C26">
        <v>-0.25183327226711361</v>
      </c>
    </row>
    <row r="27" spans="1:9" x14ac:dyDescent="0.35">
      <c r="A27">
        <v>3</v>
      </c>
      <c r="B27">
        <v>-6.6927207554209112E-2</v>
      </c>
      <c r="C27">
        <v>-0.1308720351459072</v>
      </c>
    </row>
    <row r="28" spans="1:9" x14ac:dyDescent="0.35">
      <c r="A28">
        <v>4</v>
      </c>
      <c r="B28">
        <v>-0.19358110426248842</v>
      </c>
      <c r="C28">
        <v>-3.0770740413433612E-2</v>
      </c>
    </row>
    <row r="29" spans="1:9" x14ac:dyDescent="0.35">
      <c r="A29">
        <v>5</v>
      </c>
      <c r="B29">
        <v>-0.30272581290247125</v>
      </c>
      <c r="C29">
        <v>4.8802805694943885E-2</v>
      </c>
    </row>
    <row r="30" spans="1:9" x14ac:dyDescent="0.35">
      <c r="A30">
        <v>6</v>
      </c>
      <c r="B30">
        <v>-0.39730991779319957</v>
      </c>
      <c r="C30">
        <v>0.11059555588603043</v>
      </c>
    </row>
    <row r="31" spans="1:9" x14ac:dyDescent="0.35">
      <c r="A31">
        <v>7</v>
      </c>
      <c r="B31">
        <v>-0.48233757779971853</v>
      </c>
      <c r="C31">
        <v>0.15986099096964451</v>
      </c>
    </row>
    <row r="32" spans="1:9" x14ac:dyDescent="0.35">
      <c r="A32">
        <v>8</v>
      </c>
      <c r="B32">
        <v>-0.55770871965888524</v>
      </c>
      <c r="C32">
        <v>0.19751574385181736</v>
      </c>
    </row>
    <row r="33" spans="1:3" x14ac:dyDescent="0.35">
      <c r="A33">
        <v>9</v>
      </c>
      <c r="B33">
        <v>-0.62713862152776834</v>
      </c>
      <c r="C33">
        <v>0.2244189398558441</v>
      </c>
    </row>
    <row r="34" spans="1:3" x14ac:dyDescent="0.35">
      <c r="A34">
        <v>10</v>
      </c>
      <c r="B34">
        <v>-0.69038359009186223</v>
      </c>
      <c r="C34">
        <v>0.24515040608299948</v>
      </c>
    </row>
    <row r="35" spans="1:3" x14ac:dyDescent="0.35">
      <c r="A35">
        <v>11</v>
      </c>
      <c r="B35">
        <v>-0.74871421374231595</v>
      </c>
      <c r="C35">
        <v>0.2599804956853487</v>
      </c>
    </row>
    <row r="36" spans="1:3" x14ac:dyDescent="0.35">
      <c r="A36">
        <v>12</v>
      </c>
      <c r="B36">
        <v>-0.8030858784584165</v>
      </c>
      <c r="C36">
        <v>0.26953006330556528</v>
      </c>
    </row>
    <row r="37" spans="1:3" x14ac:dyDescent="0.35">
      <c r="A37">
        <v>13</v>
      </c>
      <c r="B37">
        <v>-0.85411122857350108</v>
      </c>
      <c r="C37">
        <v>0.27654055821052248</v>
      </c>
    </row>
    <row r="38" spans="1:3" x14ac:dyDescent="0.35">
      <c r="A38">
        <v>14</v>
      </c>
      <c r="B38">
        <v>-0.90164320674166909</v>
      </c>
      <c r="C38">
        <v>0.28014962236287089</v>
      </c>
    </row>
    <row r="39" spans="1:3" x14ac:dyDescent="0.35">
      <c r="A39">
        <v>15</v>
      </c>
      <c r="B39">
        <v>-0.94673286741518936</v>
      </c>
      <c r="C39">
        <v>0.28145102081733919</v>
      </c>
    </row>
    <row r="40" spans="1:3" x14ac:dyDescent="0.35">
      <c r="A40">
        <v>16</v>
      </c>
      <c r="B40">
        <v>-0.98864944530254562</v>
      </c>
      <c r="C40">
        <v>0.28053624591606019</v>
      </c>
    </row>
    <row r="41" spans="1:3" x14ac:dyDescent="0.35">
      <c r="A41">
        <v>17</v>
      </c>
      <c r="B41">
        <v>-1.0291812929944584</v>
      </c>
      <c r="C41">
        <v>0.27916708150013259</v>
      </c>
    </row>
    <row r="42" spans="1:3" x14ac:dyDescent="0.35">
      <c r="A42">
        <v>18</v>
      </c>
      <c r="B42">
        <v>-1.1163952653853872</v>
      </c>
      <c r="C42">
        <v>0.20567292022063155</v>
      </c>
    </row>
    <row r="43" spans="1:3" x14ac:dyDescent="0.35">
      <c r="A43">
        <v>19</v>
      </c>
      <c r="B43">
        <v>-1.2681392301824932</v>
      </c>
      <c r="C43">
        <v>0.14625471158649428</v>
      </c>
    </row>
    <row r="44" spans="1:3" x14ac:dyDescent="0.35">
      <c r="A44">
        <v>20</v>
      </c>
      <c r="B44">
        <v>-1.4584864110593436</v>
      </c>
      <c r="C44">
        <v>3.7015231673575899E-2</v>
      </c>
    </row>
    <row r="45" spans="1:3" x14ac:dyDescent="0.35">
      <c r="A45">
        <v>21</v>
      </c>
      <c r="B45">
        <v>-1.710969037080547</v>
      </c>
      <c r="C45">
        <v>-0.13796775852787468</v>
      </c>
    </row>
    <row r="46" spans="1:3" x14ac:dyDescent="0.35">
      <c r="A46">
        <v>22</v>
      </c>
      <c r="B46">
        <v>-1.9851520899968698</v>
      </c>
      <c r="C46">
        <v>-0.16286061707038124</v>
      </c>
    </row>
    <row r="47" spans="1:3" x14ac:dyDescent="0.35">
      <c r="A47">
        <v>23</v>
      </c>
      <c r="B47">
        <v>-2.1847560025556909</v>
      </c>
      <c r="C47">
        <v>-0.1954639055461751</v>
      </c>
    </row>
    <row r="48" spans="1:3" x14ac:dyDescent="0.35">
      <c r="A48">
        <v>24</v>
      </c>
      <c r="B48">
        <v>-2.4960134352841568</v>
      </c>
      <c r="C48">
        <v>-0.55460210843580215</v>
      </c>
    </row>
    <row r="49" spans="1:3" ht="15" thickBot="1" x14ac:dyDescent="0.4">
      <c r="A49" s="22">
        <v>25</v>
      </c>
      <c r="B49" s="22">
        <v>-3.0263515413973447</v>
      </c>
      <c r="C49" s="22">
        <v>-0.58723903035991531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source</vt:lpstr>
      <vt:lpstr>CH</vt:lpstr>
      <vt:lpstr>GE</vt:lpstr>
      <vt:lpstr>alpha coef 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Celal Güney</cp:lastModifiedBy>
  <dcterms:created xsi:type="dcterms:W3CDTF">2026-02-14T13:26:49Z</dcterms:created>
  <dcterms:modified xsi:type="dcterms:W3CDTF">2026-02-18T09:01:11Z</dcterms:modified>
</cp:coreProperties>
</file>
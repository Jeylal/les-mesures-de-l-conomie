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elal\Documents\GitHub\les-mesures-de-l-conomie\exercices\"/>
    </mc:Choice>
  </mc:AlternateContent>
  <xr:revisionPtr revIDLastSave="0" documentId="13_ncr:1_{E043B6D5-4988-4CD4-9593-01CA2A6C0DE9}" xr6:coauthVersionLast="47" xr6:coauthVersionMax="47" xr10:uidLastSave="{00000000-0000-0000-0000-000000000000}"/>
  <bookViews>
    <workbookView xWindow="315" yWindow="510" windowWidth="28485" windowHeight="14970" activeTab="3" xr2:uid="{0A857FEE-5B62-478B-B26F-1439DD0DBBE3}"/>
  </bookViews>
  <sheets>
    <sheet name="source" sheetId="2" r:id="rId1"/>
    <sheet name="CH" sheetId="1" r:id="rId2"/>
    <sheet name="CH theil" sheetId="7" r:id="rId3"/>
    <sheet name="GE" sheetId="3" r:id="rId4"/>
    <sheet name="alpha coef GE" sheetId="6"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3" l="1"/>
  <c r="J6" i="3"/>
  <c r="J7" i="3"/>
  <c r="J32" i="3" s="1"/>
  <c r="J33" i="3" s="1"/>
  <c r="J8" i="3"/>
  <c r="J9" i="3"/>
  <c r="J10" i="3"/>
  <c r="J11" i="3"/>
  <c r="J12" i="3"/>
  <c r="J13" i="3"/>
  <c r="J14" i="3"/>
  <c r="J15" i="3"/>
  <c r="J16" i="3"/>
  <c r="J17" i="3"/>
  <c r="J18" i="3"/>
  <c r="J19" i="3"/>
  <c r="J20" i="3"/>
  <c r="J21" i="3"/>
  <c r="J22" i="3"/>
  <c r="J23" i="3"/>
  <c r="J24" i="3"/>
  <c r="J25" i="3"/>
  <c r="J26" i="3"/>
  <c r="J27" i="3"/>
  <c r="J28" i="3"/>
  <c r="J29" i="3"/>
  <c r="O31" i="3"/>
  <c r="K23" i="7"/>
  <c r="K5" i="7"/>
  <c r="K6" i="7"/>
  <c r="K7" i="7"/>
  <c r="K8" i="7"/>
  <c r="K9" i="7"/>
  <c r="K10" i="7"/>
  <c r="K11" i="7"/>
  <c r="K12" i="7"/>
  <c r="K13" i="7"/>
  <c r="K14" i="7"/>
  <c r="K15" i="7"/>
  <c r="K16" i="7"/>
  <c r="K17" i="7"/>
  <c r="K18" i="7"/>
  <c r="K19" i="7"/>
  <c r="K20" i="7"/>
  <c r="K21" i="7"/>
  <c r="K22" i="7"/>
  <c r="K24" i="7"/>
  <c r="K25" i="7"/>
  <c r="K26" i="7"/>
  <c r="K27" i="7"/>
  <c r="K28" i="7"/>
  <c r="K4" i="7"/>
  <c r="K3" i="7"/>
  <c r="J5" i="7"/>
  <c r="J6" i="7"/>
  <c r="J7" i="7"/>
  <c r="J8" i="7"/>
  <c r="J9" i="7"/>
  <c r="J10" i="7"/>
  <c r="J11" i="7"/>
  <c r="J12" i="7"/>
  <c r="J13" i="7"/>
  <c r="J14" i="7"/>
  <c r="J15" i="7"/>
  <c r="J16" i="7"/>
  <c r="J17" i="7"/>
  <c r="J18" i="7"/>
  <c r="J19" i="7"/>
  <c r="J20" i="7"/>
  <c r="J21" i="7"/>
  <c r="J22" i="7"/>
  <c r="J23" i="7"/>
  <c r="J24" i="7"/>
  <c r="J25" i="7"/>
  <c r="J26" i="7"/>
  <c r="J27" i="7"/>
  <c r="J28" i="7"/>
  <c r="J4" i="7"/>
  <c r="J3" i="7"/>
  <c r="I32" i="7"/>
  <c r="I7" i="7"/>
  <c r="I9" i="7"/>
  <c r="I14" i="7"/>
  <c r="I15" i="7"/>
  <c r="I16" i="7"/>
  <c r="I17" i="7"/>
  <c r="I22" i="7"/>
  <c r="I23" i="7"/>
  <c r="I24" i="7"/>
  <c r="I25" i="7"/>
  <c r="G3" i="7"/>
  <c r="H3" i="7"/>
  <c r="I3" i="7" s="1"/>
  <c r="H28" i="7"/>
  <c r="I28" i="7" s="1"/>
  <c r="H4" i="7"/>
  <c r="I4" i="7" s="1"/>
  <c r="H5" i="7"/>
  <c r="I5" i="7" s="1"/>
  <c r="H6" i="7"/>
  <c r="H7" i="7"/>
  <c r="H8" i="7"/>
  <c r="I8" i="7" s="1"/>
  <c r="H9" i="7"/>
  <c r="H10" i="7"/>
  <c r="I10" i="7" s="1"/>
  <c r="H11" i="7"/>
  <c r="I11" i="7" s="1"/>
  <c r="H12" i="7"/>
  <c r="I12" i="7" s="1"/>
  <c r="H13" i="7"/>
  <c r="I13" i="7" s="1"/>
  <c r="H14" i="7"/>
  <c r="H15" i="7"/>
  <c r="H16" i="7"/>
  <c r="H17" i="7"/>
  <c r="H18" i="7"/>
  <c r="I18" i="7" s="1"/>
  <c r="H19" i="7"/>
  <c r="I19" i="7" s="1"/>
  <c r="H20" i="7"/>
  <c r="I20" i="7" s="1"/>
  <c r="H21" i="7"/>
  <c r="I21" i="7" s="1"/>
  <c r="H22" i="7"/>
  <c r="H23" i="7"/>
  <c r="H24" i="7"/>
  <c r="H25" i="7"/>
  <c r="H26" i="7"/>
  <c r="I26" i="7" s="1"/>
  <c r="H27" i="7"/>
  <c r="I27" i="7" s="1"/>
  <c r="G19" i="7"/>
  <c r="G28" i="7"/>
  <c r="G5" i="7"/>
  <c r="G6" i="7"/>
  <c r="I6" i="7" s="1"/>
  <c r="G7" i="7"/>
  <c r="G8" i="7"/>
  <c r="G9" i="7"/>
  <c r="G10" i="7"/>
  <c r="G11" i="7"/>
  <c r="G12" i="7"/>
  <c r="G13" i="7"/>
  <c r="G14" i="7"/>
  <c r="G15" i="7"/>
  <c r="G16" i="7"/>
  <c r="G17" i="7"/>
  <c r="G18" i="7"/>
  <c r="G20" i="7"/>
  <c r="G21" i="7"/>
  <c r="G22" i="7"/>
  <c r="G23" i="7"/>
  <c r="G24" i="7"/>
  <c r="G25" i="7"/>
  <c r="G26" i="7"/>
  <c r="G27" i="7"/>
  <c r="G4" i="7"/>
  <c r="E29" i="7"/>
  <c r="E28" i="7"/>
  <c r="E27" i="7"/>
  <c r="E26" i="7"/>
  <c r="E25" i="7"/>
  <c r="E24" i="7"/>
  <c r="E23" i="7"/>
  <c r="E22" i="7"/>
  <c r="E21" i="7"/>
  <c r="E20" i="7"/>
  <c r="E19" i="7"/>
  <c r="E18" i="7"/>
  <c r="E17" i="7"/>
  <c r="E16" i="7"/>
  <c r="E15" i="7"/>
  <c r="E14" i="7"/>
  <c r="E13" i="7"/>
  <c r="E12" i="7"/>
  <c r="E11" i="7"/>
  <c r="E10" i="7"/>
  <c r="E9" i="7"/>
  <c r="E8" i="7"/>
  <c r="E7" i="7"/>
  <c r="E6" i="7"/>
  <c r="E5" i="7"/>
  <c r="E4" i="7"/>
  <c r="E3" i="7"/>
  <c r="C95" i="3"/>
  <c r="B95" i="3"/>
  <c r="B71" i="3"/>
  <c r="B72" i="3"/>
  <c r="B73" i="3"/>
  <c r="B74" i="3"/>
  <c r="B75" i="3"/>
  <c r="B76" i="3"/>
  <c r="B77" i="3"/>
  <c r="B78" i="3"/>
  <c r="B79" i="3"/>
  <c r="B80" i="3"/>
  <c r="B81" i="3"/>
  <c r="B82" i="3"/>
  <c r="B83" i="3"/>
  <c r="B84" i="3"/>
  <c r="B85" i="3"/>
  <c r="B86" i="3"/>
  <c r="B87" i="3"/>
  <c r="B88" i="3"/>
  <c r="B89" i="3"/>
  <c r="B90" i="3"/>
  <c r="B91" i="3"/>
  <c r="B92" i="3"/>
  <c r="B93" i="3"/>
  <c r="B94" i="3"/>
  <c r="E4" i="3"/>
  <c r="A41" i="3" s="1"/>
  <c r="I31" i="7" l="1"/>
  <c r="D32" i="3"/>
  <c r="F26" i="3" s="1"/>
  <c r="C32" i="3"/>
  <c r="G23" i="3" s="1"/>
  <c r="E30" i="3"/>
  <c r="N29" i="3"/>
  <c r="L29" i="3"/>
  <c r="E29" i="3"/>
  <c r="N28" i="3"/>
  <c r="L28" i="3"/>
  <c r="E28" i="3"/>
  <c r="A65" i="3" s="1"/>
  <c r="N27" i="3"/>
  <c r="L27" i="3"/>
  <c r="E27" i="3"/>
  <c r="A64" i="3" s="1"/>
  <c r="N26" i="3"/>
  <c r="L26" i="3"/>
  <c r="E26" i="3"/>
  <c r="A63" i="3" s="1"/>
  <c r="N25" i="3"/>
  <c r="L25" i="3"/>
  <c r="E25" i="3"/>
  <c r="A62" i="3" s="1"/>
  <c r="N24" i="3"/>
  <c r="L24" i="3"/>
  <c r="E24" i="3"/>
  <c r="A61" i="3" s="1"/>
  <c r="N23" i="3"/>
  <c r="L23" i="3"/>
  <c r="M23" i="3" s="1"/>
  <c r="E23" i="3"/>
  <c r="A60" i="3" s="1"/>
  <c r="N22" i="3"/>
  <c r="L22" i="3"/>
  <c r="E22" i="3"/>
  <c r="A59" i="3" s="1"/>
  <c r="N21" i="3"/>
  <c r="L21" i="3"/>
  <c r="M21" i="3" s="1"/>
  <c r="E21" i="3"/>
  <c r="A58" i="3" s="1"/>
  <c r="N20" i="3"/>
  <c r="L20" i="3"/>
  <c r="M20" i="3" s="1"/>
  <c r="E20" i="3"/>
  <c r="A57" i="3" s="1"/>
  <c r="N19" i="3"/>
  <c r="L19" i="3"/>
  <c r="E19" i="3"/>
  <c r="A56" i="3" s="1"/>
  <c r="N18" i="3"/>
  <c r="O18" i="3" s="1"/>
  <c r="L18" i="3"/>
  <c r="E18" i="3"/>
  <c r="A55" i="3" s="1"/>
  <c r="N17" i="3"/>
  <c r="L17" i="3"/>
  <c r="E17" i="3"/>
  <c r="A54" i="3" s="1"/>
  <c r="N16" i="3"/>
  <c r="L16" i="3"/>
  <c r="M16" i="3" s="1"/>
  <c r="G16" i="3"/>
  <c r="E16" i="3"/>
  <c r="A53" i="3" s="1"/>
  <c r="N15" i="3"/>
  <c r="L15" i="3"/>
  <c r="E15" i="3"/>
  <c r="A52" i="3" s="1"/>
  <c r="N14" i="3"/>
  <c r="L14" i="3"/>
  <c r="G14" i="3"/>
  <c r="E14" i="3"/>
  <c r="A51" i="3" s="1"/>
  <c r="N13" i="3"/>
  <c r="L13" i="3"/>
  <c r="M13" i="3" s="1"/>
  <c r="F13" i="3"/>
  <c r="E13" i="3"/>
  <c r="A50" i="3" s="1"/>
  <c r="N12" i="3"/>
  <c r="L12" i="3"/>
  <c r="G12" i="3"/>
  <c r="F12" i="3"/>
  <c r="E12" i="3"/>
  <c r="A49" i="3" s="1"/>
  <c r="N11" i="3"/>
  <c r="L11" i="3"/>
  <c r="E11" i="3"/>
  <c r="A48" i="3" s="1"/>
  <c r="N10" i="3"/>
  <c r="L10" i="3"/>
  <c r="M10" i="3" s="1"/>
  <c r="G10" i="3"/>
  <c r="E10" i="3"/>
  <c r="A47" i="3" s="1"/>
  <c r="N9" i="3"/>
  <c r="O9" i="3" s="1"/>
  <c r="L9" i="3"/>
  <c r="M9" i="3" s="1"/>
  <c r="E9" i="3"/>
  <c r="A46" i="3" s="1"/>
  <c r="N8" i="3"/>
  <c r="O8" i="3" s="1"/>
  <c r="L8" i="3"/>
  <c r="E8" i="3"/>
  <c r="A45" i="3" s="1"/>
  <c r="N7" i="3"/>
  <c r="O7" i="3" s="1"/>
  <c r="L7" i="3"/>
  <c r="M7" i="3" s="1"/>
  <c r="E7" i="3"/>
  <c r="A44" i="3" s="1"/>
  <c r="N6" i="3"/>
  <c r="L6" i="3"/>
  <c r="M6" i="3" s="1"/>
  <c r="G6" i="3"/>
  <c r="E6" i="3"/>
  <c r="A43" i="3" s="1"/>
  <c r="N5" i="3"/>
  <c r="L5" i="3"/>
  <c r="M5" i="3" s="1"/>
  <c r="E5" i="3"/>
  <c r="A42" i="3" s="1"/>
  <c r="N4" i="3"/>
  <c r="L4" i="3"/>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H4" i="3"/>
  <c r="H5" i="3" s="1"/>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O31" i="1"/>
  <c r="O9" i="1"/>
  <c r="O24" i="1"/>
  <c r="O25" i="1"/>
  <c r="N10" i="1"/>
  <c r="O10" i="1" s="1"/>
  <c r="N8" i="1"/>
  <c r="O8" i="1" s="1"/>
  <c r="N7" i="1"/>
  <c r="N6" i="1"/>
  <c r="N29" i="1"/>
  <c r="N9" i="1"/>
  <c r="N11" i="1"/>
  <c r="N12" i="1"/>
  <c r="N13" i="1"/>
  <c r="N14" i="1"/>
  <c r="O14" i="1" s="1"/>
  <c r="N15" i="1"/>
  <c r="O15" i="1" s="1"/>
  <c r="N16" i="1"/>
  <c r="O16" i="1" s="1"/>
  <c r="N17" i="1"/>
  <c r="O17" i="1" s="1"/>
  <c r="N18" i="1"/>
  <c r="N19" i="1"/>
  <c r="N20" i="1"/>
  <c r="O20" i="1" s="1"/>
  <c r="N21" i="1"/>
  <c r="N22" i="1"/>
  <c r="N23" i="1"/>
  <c r="N24" i="1"/>
  <c r="N25" i="1"/>
  <c r="N26" i="1"/>
  <c r="N27" i="1"/>
  <c r="N28" i="1"/>
  <c r="O28" i="1" s="1"/>
  <c r="N5" i="1"/>
  <c r="O5" i="1" s="1"/>
  <c r="N4" i="1"/>
  <c r="O4" i="1" s="1"/>
  <c r="M5" i="1"/>
  <c r="M6" i="1"/>
  <c r="M7" i="1"/>
  <c r="M8" i="1"/>
  <c r="M12" i="1"/>
  <c r="M13" i="1"/>
  <c r="M17" i="1"/>
  <c r="M18" i="1"/>
  <c r="M19" i="1"/>
  <c r="M20" i="1"/>
  <c r="M21" i="1"/>
  <c r="M22" i="1"/>
  <c r="M26" i="1"/>
  <c r="M27" i="1"/>
  <c r="M4" i="1"/>
  <c r="L29" i="1"/>
  <c r="M29" i="1" s="1"/>
  <c r="L7" i="1"/>
  <c r="L8" i="1"/>
  <c r="L9" i="1"/>
  <c r="M9" i="1" s="1"/>
  <c r="L10" i="1"/>
  <c r="M10" i="1" s="1"/>
  <c r="L11" i="1"/>
  <c r="M11" i="1" s="1"/>
  <c r="L12" i="1"/>
  <c r="L13" i="1"/>
  <c r="L14" i="1"/>
  <c r="L15" i="1"/>
  <c r="M15" i="1" s="1"/>
  <c r="L16" i="1"/>
  <c r="M16" i="1" s="1"/>
  <c r="L17" i="1"/>
  <c r="L18" i="1"/>
  <c r="L19" i="1"/>
  <c r="L20" i="1"/>
  <c r="L21" i="1"/>
  <c r="L22" i="1"/>
  <c r="L23" i="1"/>
  <c r="M23" i="1" s="1"/>
  <c r="L24" i="1"/>
  <c r="M24" i="1" s="1"/>
  <c r="L25" i="1"/>
  <c r="M25" i="1" s="1"/>
  <c r="L26" i="1"/>
  <c r="L27" i="1"/>
  <c r="L28" i="1"/>
  <c r="L6" i="1"/>
  <c r="L5" i="1"/>
  <c r="L4" i="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H4" i="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G11" i="1"/>
  <c r="G12" i="1"/>
  <c r="G13" i="1"/>
  <c r="G14" i="1"/>
  <c r="G22" i="1"/>
  <c r="G23" i="1"/>
  <c r="C32" i="1"/>
  <c r="E9" i="1"/>
  <c r="E4" i="1"/>
  <c r="E30" i="1"/>
  <c r="D32" i="1"/>
  <c r="M14" i="1" s="1"/>
  <c r="E6" i="1"/>
  <c r="E5" i="1"/>
  <c r="E29" i="1"/>
  <c r="E28" i="1"/>
  <c r="E27" i="1"/>
  <c r="E26" i="1"/>
  <c r="E25" i="1"/>
  <c r="E24" i="1"/>
  <c r="E23" i="1"/>
  <c r="E22" i="1"/>
  <c r="E21" i="1"/>
  <c r="E20" i="1"/>
  <c r="E19" i="1"/>
  <c r="E18" i="1"/>
  <c r="E17" i="1"/>
  <c r="E16" i="1"/>
  <c r="E15" i="1"/>
  <c r="E14" i="1"/>
  <c r="E13" i="1"/>
  <c r="E12" i="1"/>
  <c r="E11" i="1"/>
  <c r="E10" i="1"/>
  <c r="E8" i="1"/>
  <c r="E7" i="1"/>
  <c r="F23" i="3" l="1"/>
  <c r="F52" i="3"/>
  <c r="G52" i="3" s="1"/>
  <c r="H50" i="3" s="1"/>
  <c r="I50" i="3" s="1"/>
  <c r="J50" i="3" s="1"/>
  <c r="J51" i="3" s="1"/>
  <c r="O20" i="3"/>
  <c r="O13" i="1"/>
  <c r="M28" i="1"/>
  <c r="O12" i="1"/>
  <c r="O11" i="1"/>
  <c r="O23" i="1"/>
  <c r="O29" i="1"/>
  <c r="G28" i="1"/>
  <c r="O22" i="1"/>
  <c r="O6" i="1"/>
  <c r="G27" i="1"/>
  <c r="O21" i="1"/>
  <c r="O7" i="1"/>
  <c r="B60" i="3"/>
  <c r="C89" i="3"/>
  <c r="B49" i="3"/>
  <c r="C78" i="3"/>
  <c r="B50" i="3"/>
  <c r="C79" i="3"/>
  <c r="B63" i="3"/>
  <c r="C92" i="3"/>
  <c r="G26" i="3"/>
  <c r="O16" i="3"/>
  <c r="F19" i="3"/>
  <c r="O10" i="3"/>
  <c r="M14" i="3"/>
  <c r="M4" i="3"/>
  <c r="O6" i="3"/>
  <c r="F9" i="3"/>
  <c r="O12" i="3"/>
  <c r="O14" i="3"/>
  <c r="O4" i="3"/>
  <c r="G9" i="3"/>
  <c r="G11" i="3"/>
  <c r="M17" i="3"/>
  <c r="O21" i="3"/>
  <c r="M26" i="3"/>
  <c r="O17" i="3"/>
  <c r="O19" i="3"/>
  <c r="M24" i="3"/>
  <c r="O26" i="3"/>
  <c r="F29" i="3"/>
  <c r="M29" i="3"/>
  <c r="O5" i="3"/>
  <c r="G18" i="3"/>
  <c r="F20" i="3"/>
  <c r="O22" i="3"/>
  <c r="M27" i="3"/>
  <c r="O28" i="3"/>
  <c r="O24" i="3"/>
  <c r="O29" i="3"/>
  <c r="G28" i="3"/>
  <c r="G20" i="3"/>
  <c r="G25" i="3"/>
  <c r="G22" i="3"/>
  <c r="O23" i="3"/>
  <c r="G5" i="3"/>
  <c r="G8" i="3"/>
  <c r="O11" i="3"/>
  <c r="G17" i="3"/>
  <c r="O13" i="3"/>
  <c r="O15" i="3"/>
  <c r="G19" i="3"/>
  <c r="G24" i="3"/>
  <c r="O25" i="3"/>
  <c r="O27" i="3"/>
  <c r="O26" i="1"/>
  <c r="O18" i="1"/>
  <c r="G4" i="1"/>
  <c r="G20" i="1"/>
  <c r="G6" i="1"/>
  <c r="G21" i="1"/>
  <c r="G5" i="1"/>
  <c r="G19" i="1"/>
  <c r="G7" i="1"/>
  <c r="G29" i="1"/>
  <c r="G15" i="1"/>
  <c r="O27" i="1"/>
  <c r="O19" i="1"/>
  <c r="F27" i="3"/>
  <c r="C93" i="3" s="1"/>
  <c r="F15" i="3"/>
  <c r="F25" i="3"/>
  <c r="F28" i="3"/>
  <c r="M8" i="3"/>
  <c r="F11" i="3"/>
  <c r="C77" i="3" s="1"/>
  <c r="M12" i="3"/>
  <c r="F14" i="3"/>
  <c r="M19" i="3"/>
  <c r="M22" i="3"/>
  <c r="F6" i="3"/>
  <c r="F7" i="3"/>
  <c r="M15" i="3"/>
  <c r="M25" i="3"/>
  <c r="F4" i="3"/>
  <c r="B41" i="3" s="1"/>
  <c r="F5" i="3"/>
  <c r="M11" i="3"/>
  <c r="F17" i="3"/>
  <c r="M18" i="3"/>
  <c r="F21" i="3"/>
  <c r="C87" i="3" s="1"/>
  <c r="F8" i="3"/>
  <c r="G13" i="3"/>
  <c r="F16" i="3"/>
  <c r="G21" i="3"/>
  <c r="F24" i="3"/>
  <c r="G29" i="3"/>
  <c r="F22" i="3"/>
  <c r="G27" i="3"/>
  <c r="M28" i="3"/>
  <c r="G4" i="3"/>
  <c r="G7" i="3"/>
  <c r="F10" i="3"/>
  <c r="G15" i="3"/>
  <c r="F18" i="3"/>
  <c r="C84" i="3" s="1"/>
  <c r="F28" i="1"/>
  <c r="F20" i="1"/>
  <c r="F12" i="1"/>
  <c r="F19" i="1"/>
  <c r="F26" i="1"/>
  <c r="F18" i="1"/>
  <c r="F10" i="1"/>
  <c r="F25" i="1"/>
  <c r="F17" i="1"/>
  <c r="F9" i="1"/>
  <c r="F11" i="1"/>
  <c r="F23" i="1"/>
  <c r="F15" i="1"/>
  <c r="F7" i="1"/>
  <c r="G26" i="1"/>
  <c r="G18" i="1"/>
  <c r="G10" i="1"/>
  <c r="F27" i="1"/>
  <c r="F16" i="1"/>
  <c r="F4" i="1"/>
  <c r="F22" i="1"/>
  <c r="F14" i="1"/>
  <c r="F6" i="1"/>
  <c r="G25" i="1"/>
  <c r="G17" i="1"/>
  <c r="G9" i="1"/>
  <c r="F24" i="1"/>
  <c r="F8" i="1"/>
  <c r="F29" i="1"/>
  <c r="F21" i="1"/>
  <c r="F13" i="1"/>
  <c r="F5" i="1"/>
  <c r="G24" i="1"/>
  <c r="G16" i="1"/>
  <c r="G8" i="1"/>
  <c r="J4" i="3" l="1"/>
  <c r="O32" i="3"/>
  <c r="J4" i="1"/>
  <c r="O32" i="1"/>
  <c r="B46" i="3"/>
  <c r="C75" i="3"/>
  <c r="B65" i="3"/>
  <c r="C94" i="3"/>
  <c r="B59" i="3"/>
  <c r="C88" i="3"/>
  <c r="B43" i="3"/>
  <c r="C72" i="3"/>
  <c r="B56" i="3"/>
  <c r="C85" i="3"/>
  <c r="B44" i="3"/>
  <c r="C73" i="3"/>
  <c r="B52" i="3"/>
  <c r="C81" i="3"/>
  <c r="B61" i="3"/>
  <c r="C90" i="3"/>
  <c r="B47" i="3"/>
  <c r="C76" i="3"/>
  <c r="B42" i="3"/>
  <c r="C71" i="3"/>
  <c r="B51" i="3"/>
  <c r="C80" i="3"/>
  <c r="B53" i="3"/>
  <c r="C82" i="3"/>
  <c r="B45" i="3"/>
  <c r="C74" i="3"/>
  <c r="B62" i="3"/>
  <c r="C91" i="3"/>
  <c r="B54" i="3"/>
  <c r="C83" i="3"/>
  <c r="B57" i="3"/>
  <c r="C86" i="3"/>
  <c r="B55" i="3"/>
  <c r="B64" i="3"/>
  <c r="B48" i="3"/>
  <c r="B58" i="3"/>
  <c r="K19" i="1"/>
  <c r="J19" i="1"/>
  <c r="J29" i="1"/>
  <c r="K29" i="1"/>
  <c r="K23" i="1"/>
  <c r="J23" i="1"/>
  <c r="J9" i="1"/>
  <c r="K9" i="1"/>
  <c r="J6" i="1"/>
  <c r="K6" i="1"/>
  <c r="K22" i="1"/>
  <c r="J22" i="1"/>
  <c r="J11" i="1"/>
  <c r="K11" i="1"/>
  <c r="J17" i="1"/>
  <c r="K17" i="1"/>
  <c r="K5" i="1"/>
  <c r="J5" i="1"/>
  <c r="J24" i="1"/>
  <c r="K24" i="1"/>
  <c r="J25" i="1"/>
  <c r="K25" i="1"/>
  <c r="K10" i="1"/>
  <c r="J10" i="1"/>
  <c r="K12" i="1"/>
  <c r="J12" i="1"/>
  <c r="K15" i="1"/>
  <c r="J15" i="1"/>
  <c r="K20" i="1"/>
  <c r="J20" i="1"/>
  <c r="K7" i="1"/>
  <c r="J7" i="1"/>
  <c r="K14" i="1"/>
  <c r="J14" i="1"/>
  <c r="J8" i="1"/>
  <c r="K8" i="1"/>
  <c r="J16" i="1"/>
  <c r="K16" i="1"/>
  <c r="K13" i="1"/>
  <c r="J13" i="1"/>
  <c r="K27" i="1"/>
  <c r="J27" i="1"/>
  <c r="K18" i="1"/>
  <c r="J18" i="1"/>
  <c r="K21" i="1"/>
  <c r="J21" i="1"/>
  <c r="K26" i="1"/>
  <c r="J26" i="1"/>
  <c r="J28" i="1"/>
  <c r="K28" i="1"/>
  <c r="J33" i="1" l="1"/>
  <c r="J32" i="1"/>
  <c r="J34" i="1" s="1"/>
  <c r="J35" i="1" s="1"/>
</calcChain>
</file>

<file path=xl/sharedStrings.xml><?xml version="1.0" encoding="utf-8"?>
<sst xmlns="http://schemas.openxmlformats.org/spreadsheetml/2006/main" count="109" uniqueCount="72">
  <si>
    <t>seuil inférieur du groupe</t>
  </si>
  <si>
    <t>seuil supérieur du groupe</t>
  </si>
  <si>
    <t>nombre de contribuables du groupe</t>
  </si>
  <si>
    <t>Revenu moyen du groupe</t>
  </si>
  <si>
    <t>Proportion cumulée des contribuables (Proportion des contribuables en-dessous du seuil de revenu supérieur du groupe)</t>
  </si>
  <si>
    <t>Proportion cumulée du revenu (Proportion de revenu total possédé par les contribuables sous le seuil supérieur de revenu du groupe)</t>
  </si>
  <si>
    <t>ligne égalité parfaite x</t>
  </si>
  <si>
    <t>ligne égalité parfaite y</t>
  </si>
  <si>
    <t>Aire des triangles sous la courbe</t>
  </si>
  <si>
    <t>Aire des rectangles sous la courbe</t>
  </si>
  <si>
    <t>Nombre de contribuables ayant un revenu supérieur au seuil inférieur du groupe</t>
  </si>
  <si>
    <t>Proportion de contribuables ayant un revenu supérieur au seuil inférieur du groupe</t>
  </si>
  <si>
    <t>Revenu total gagné par les contribuables ayant un revenu supérieur au seuil inférieure du groupe</t>
  </si>
  <si>
    <t>Proportion du revenu total possédé par les contribuables ayant un revenu supérieur au seuil inférieur du groupe</t>
  </si>
  <si>
    <t>TOTAL</t>
  </si>
  <si>
    <t>Somme aires triangles</t>
  </si>
  <si>
    <t>Somme aires rectangles</t>
  </si>
  <si>
    <t>Part du 1%</t>
  </si>
  <si>
    <t>Somme totale</t>
  </si>
  <si>
    <t>Coefficient de Gini</t>
  </si>
  <si>
    <t>Courbe de Lorenz</t>
  </si>
  <si>
    <t>Calcul des déciles et centiles</t>
  </si>
  <si>
    <t>u.m./et plus</t>
  </si>
  <si>
    <t>Total / Totale</t>
  </si>
  <si>
    <t>revenu total du groupe</t>
  </si>
  <si>
    <t>Part du 0.1%</t>
  </si>
  <si>
    <t>source: administration fédérale des contributions, période fiscale 2022, contribuables avec et sans versement d'un impot fédéral direct</t>
  </si>
  <si>
    <t>https://www.estv.admin.ch/fr/statistiques-personnes-physiques-cantons-1983-a-aujourdhui</t>
  </si>
  <si>
    <t>RAPPORT DÉTAILLÉ</t>
  </si>
  <si>
    <t>Statistiques de la régression</t>
  </si>
  <si>
    <t>Coefficient de détermination multiple</t>
  </si>
  <si>
    <t>Coefficient de détermination R^2</t>
  </si>
  <si>
    <t>Erreur-type</t>
  </si>
  <si>
    <t>Observations</t>
  </si>
  <si>
    <t>ANALYSE DE VARIANCE</t>
  </si>
  <si>
    <t>Régression</t>
  </si>
  <si>
    <t>Résidus</t>
  </si>
  <si>
    <t>Total</t>
  </si>
  <si>
    <t>Constante</t>
  </si>
  <si>
    <t>Degré de liberté</t>
  </si>
  <si>
    <t>Somme des carrés</t>
  </si>
  <si>
    <t>Moyenne des carrés</t>
  </si>
  <si>
    <t>F</t>
  </si>
  <si>
    <t>Valeur critique de F</t>
  </si>
  <si>
    <t>Coefficients</t>
  </si>
  <si>
    <t>Statistique t</t>
  </si>
  <si>
    <t>Probabilité</t>
  </si>
  <si>
    <t>Limite inférieure pour seuil de confiance = 95%</t>
  </si>
  <si>
    <t>Limite supérieure pour seuil de confiance = 95%</t>
  </si>
  <si>
    <t>Limite inférieure pour seuil de confiance =  95,0%</t>
  </si>
  <si>
    <t>Limite supérieure pour seuil de confiance =  95,0%</t>
  </si>
  <si>
    <t>Variable X 1</t>
  </si>
  <si>
    <t>Distribution empirique de Parto</t>
  </si>
  <si>
    <t>Log de l'inverse de la distribution relative cumulée des personnes</t>
  </si>
  <si>
    <t>Log du revenu moyen</t>
  </si>
  <si>
    <t>ANALYSE DES RÉSIDUS</t>
  </si>
  <si>
    <t>Observation</t>
  </si>
  <si>
    <t>Prévisions pour Y</t>
  </si>
  <si>
    <t>b = y_bar / s</t>
  </si>
  <si>
    <t>a = b/(b-1)</t>
  </si>
  <si>
    <t>k=s*p^(1/a)</t>
  </si>
  <si>
    <t>total I top group</t>
  </si>
  <si>
    <t>T</t>
  </si>
  <si>
    <t>Part du 1%: interpolation de Pareto</t>
  </si>
  <si>
    <t>Proportion de la population du groupe</t>
  </si>
  <si>
    <t>Proportion de revenu du groupe</t>
  </si>
  <si>
    <t>Indice theil du groupe</t>
  </si>
  <si>
    <t>Indice de Theil</t>
  </si>
  <si>
    <t xml:space="preserve">L'indice de Theil mesure les écarts entre la distribution des revenus et la distribution de la population entre les groupes.
Essentiellement, l’indice de Theil compare les structures de distribution du revenu et de la population en additionnant, pour l’ensemble des groupes, le logarithme pondéré du rapport entre la part de revenu et la part de population de chaque groupe.
Lorsque ce rapport est égal à 1 pour un groupe donné, alors la contribution de ce groupe à l’inégalité est nulle. Lorsque tous les groupes ont une part de revenu égale à leur part dans la population, l'indice (du groupe) est nulle.
</t>
  </si>
  <si>
    <t>theil</t>
  </si>
  <si>
    <t>Aire des trapèzes sous la courbe</t>
  </si>
  <si>
    <t>Somme aires trapèzes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</si>
</sst>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9">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E3C"/>
        <bgColor indexed="64"/>
      </patternFill>
    </fill>
  </fills>
  <borders count="14">
    <border>
      <left/>
      <right/>
      <top/>
      <bottom/>
      <diagonal/>
    </border>
    <border>
      <left style="thin">
        <color indexed="64"/>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50">
    <xf numFmtId="0" fontId="0" fillId="0" borderId="0" xfId="0"/>
    <xf numFmtId="0" fontId="2" fillId="0" borderId="0" xfId="0" applyFont="1" applyAlignment="1">
      <alignment wrapText="1"/>
    </xf>
    <xf numFmtId="0" fontId="2" fillId="2" borderId="0" xfId="0" applyFont="1" applyFill="1" applyAlignment="1">
      <alignment wrapText="1"/>
    </xf>
    <xf numFmtId="0" fontId="2" fillId="2" borderId="1" xfId="0" applyFont="1" applyFill="1" applyBorder="1" applyAlignment="1">
      <alignment wrapText="1"/>
    </xf>
    <xf numFmtId="0" fontId="2" fillId="2" borderId="1" xfId="0" applyFont="1" applyFill="1" applyBorder="1"/>
    <xf numFmtId="0" fontId="2" fillId="2" borderId="0" xfId="0" applyFont="1" applyFill="1" applyAlignment="1">
      <alignment horizontal="left" vertical="top" wrapText="1"/>
    </xf>
    <xf numFmtId="3" fontId="0" fillId="0" borderId="0" xfId="0" applyNumberFormat="1"/>
    <xf numFmtId="1" fontId="0" fillId="0" borderId="0" xfId="0" applyNumberFormat="1"/>
    <xf numFmtId="0" fontId="0" fillId="2" borderId="0" xfId="0" applyFill="1"/>
    <xf numFmtId="3" fontId="0" fillId="2" borderId="0" xfId="0" applyNumberFormat="1" applyFill="1"/>
    <xf numFmtId="164" fontId="0" fillId="2" borderId="0" xfId="0" applyNumberFormat="1" applyFill="1"/>
    <xf numFmtId="3" fontId="2" fillId="0" borderId="0" xfId="0" applyNumberFormat="1" applyFont="1" applyAlignment="1">
      <alignment wrapText="1"/>
    </xf>
    <xf numFmtId="0" fontId="2" fillId="2" borderId="0" xfId="0" applyFont="1" applyFill="1"/>
    <xf numFmtId="0" fontId="0" fillId="6" borderId="0" xfId="0" applyFill="1" applyAlignment="1">
      <alignment wrapText="1"/>
    </xf>
    <xf numFmtId="0" fontId="2" fillId="6" borderId="0" xfId="0" applyFont="1" applyFill="1" applyAlignment="1">
      <alignment wrapText="1"/>
    </xf>
    <xf numFmtId="0" fontId="0" fillId="2" borderId="1" xfId="0" applyFill="1" applyBorder="1"/>
    <xf numFmtId="165" fontId="0" fillId="2" borderId="0" xfId="0" applyNumberFormat="1" applyFill="1"/>
    <xf numFmtId="9" fontId="0" fillId="2" borderId="0" xfId="1" applyFont="1" applyFill="1" applyBorder="1"/>
    <xf numFmtId="3" fontId="0" fillId="2" borderId="1" xfId="0" applyNumberFormat="1" applyFill="1" applyBorder="1"/>
    <xf numFmtId="0" fontId="3" fillId="0" borderId="0" xfId="2"/>
    <xf numFmtId="0" fontId="0" fillId="0" borderId="0" xfId="0" applyAlignment="1">
      <alignment wrapText="1"/>
    </xf>
    <xf numFmtId="3" fontId="0" fillId="0" borderId="0" xfId="0" applyNumberFormat="1" applyAlignment="1">
      <alignment wrapText="1"/>
    </xf>
    <xf numFmtId="0" fontId="0" fillId="0" borderId="2" xfId="0" applyBorder="1"/>
    <xf numFmtId="0" fontId="4" fillId="0" borderId="3" xfId="0" applyFont="1" applyBorder="1" applyAlignment="1">
      <alignment horizontal="center"/>
    </xf>
    <xf numFmtId="0" fontId="4" fillId="0" borderId="3" xfId="0" applyFont="1" applyBorder="1" applyAlignment="1">
      <alignment horizontal="centerContinuous"/>
    </xf>
    <xf numFmtId="0" fontId="0" fillId="0" borderId="0" xfId="0" applyAlignment="1">
      <alignment horizontal="center"/>
    </xf>
    <xf numFmtId="0" fontId="0" fillId="8" borderId="4" xfId="0" applyFill="1" applyBorder="1"/>
    <xf numFmtId="0" fontId="0" fillId="8" borderId="5" xfId="0" applyFill="1" applyBorder="1"/>
    <xf numFmtId="0" fontId="0" fillId="7" borderId="0" xfId="0" applyFill="1" applyAlignment="1">
      <alignment wrapText="1"/>
    </xf>
    <xf numFmtId="0" fontId="0" fillId="7" borderId="7" xfId="0" applyFill="1" applyBorder="1"/>
    <xf numFmtId="0" fontId="0" fillId="7" borderId="8" xfId="0" applyFill="1" applyBorder="1"/>
    <xf numFmtId="0" fontId="0" fillId="7" borderId="9" xfId="0" applyFill="1" applyBorder="1" applyAlignment="1">
      <alignment wrapText="1"/>
    </xf>
    <xf numFmtId="0" fontId="0" fillId="7" borderId="10" xfId="0" applyFill="1" applyBorder="1" applyAlignment="1">
      <alignment wrapText="1"/>
    </xf>
    <xf numFmtId="0" fontId="0" fillId="7" borderId="11" xfId="0" applyFill="1" applyBorder="1" applyAlignment="1">
      <alignment wrapText="1"/>
    </xf>
    <xf numFmtId="0" fontId="0" fillId="7" borderId="6" xfId="0" applyFill="1" applyBorder="1"/>
    <xf numFmtId="0" fontId="0" fillId="7" borderId="4" xfId="0" applyFill="1" applyBorder="1"/>
    <xf numFmtId="0" fontId="0" fillId="7" borderId="12" xfId="0" applyFill="1" applyBorder="1"/>
    <xf numFmtId="0" fontId="0" fillId="7" borderId="5" xfId="0" applyFill="1" applyBorder="1"/>
    <xf numFmtId="0" fontId="2" fillId="3" borderId="0" xfId="0" applyFont="1" applyFill="1" applyAlignment="1">
      <alignment horizontal="center"/>
    </xf>
    <xf numFmtId="0" fontId="2" fillId="4" borderId="1" xfId="0" applyFont="1" applyFill="1" applyBorder="1" applyAlignment="1">
      <alignment horizontal="center"/>
    </xf>
    <xf numFmtId="0" fontId="2" fillId="4" borderId="0" xfId="0" applyFont="1" applyFill="1" applyAlignment="1">
      <alignment horizontal="center"/>
    </xf>
    <xf numFmtId="0" fontId="2" fillId="5" borderId="1" xfId="0" applyFont="1" applyFill="1" applyBorder="1" applyAlignment="1">
      <alignment horizontal="center"/>
    </xf>
    <xf numFmtId="0" fontId="2" fillId="5" borderId="0" xfId="0" applyFont="1" applyFill="1" applyAlignment="1">
      <alignment horizontal="center"/>
    </xf>
    <xf numFmtId="0" fontId="0" fillId="3" borderId="9"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0" borderId="0" xfId="0" applyAlignment="1">
      <alignment horizontal="left" vertical="top" wrapText="1"/>
    </xf>
    <xf numFmtId="0" fontId="0" fillId="0" borderId="0" xfId="0" applyAlignment="1">
      <alignment horizontal="center"/>
    </xf>
    <xf numFmtId="0" fontId="2" fillId="2" borderId="1" xfId="0" applyFont="1" applyFill="1" applyBorder="1" applyAlignment="1">
      <alignment horizontal="center" wrapText="1"/>
    </xf>
    <xf numFmtId="0" fontId="2" fillId="2" borderId="13" xfId="0" applyFont="1" applyFill="1" applyBorder="1" applyAlignment="1">
      <alignment horizontal="center" wrapText="1"/>
    </xf>
  </cellXfs>
  <cellStyles count="3">
    <cellStyle name="Lien hypertexte" xfId="2" builtinId="8"/>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tx>
            <c:strRef>
              <c:f>'CH theil'!$K$2</c:f>
              <c:strCache>
                <c:ptCount val="1"/>
                <c:pt idx="0">
                  <c:v>theil</c:v>
                </c:pt>
              </c:strCache>
            </c:strRef>
          </c:tx>
          <c:spPr>
            <a:ln w="28575" cap="rnd">
              <a:solidFill>
                <a:schemeClr val="accent1"/>
              </a:solidFill>
              <a:round/>
            </a:ln>
            <a:effectLst/>
          </c:spPr>
          <c:marker>
            <c:symbol val="none"/>
          </c:marker>
          <c:cat>
            <c:numRef>
              <c:f>'CH theil'!$J$3:$J$28</c:f>
              <c:numCache>
                <c:formatCode>General</c:formatCode>
                <c:ptCount val="26"/>
                <c:pt idx="0">
                  <c:v>0.17295308935382017</c:v>
                </c:pt>
                <c:pt idx="1">
                  <c:v>0.21124514245499026</c:v>
                </c:pt>
                <c:pt idx="2">
                  <c:v>0.25126795809408137</c:v>
                </c:pt>
                <c:pt idx="3">
                  <c:v>0.2903156698301102</c:v>
                </c:pt>
                <c:pt idx="4">
                  <c:v>0.33461714719900937</c:v>
                </c:pt>
                <c:pt idx="5">
                  <c:v>0.38602235757574871</c:v>
                </c:pt>
                <c:pt idx="6">
                  <c:v>0.44145114800301682</c:v>
                </c:pt>
                <c:pt idx="7">
                  <c:v>0.49648251950676708</c:v>
                </c:pt>
                <c:pt idx="8">
                  <c:v>0.54822387918798166</c:v>
                </c:pt>
                <c:pt idx="9">
                  <c:v>0.59499406372415498</c:v>
                </c:pt>
                <c:pt idx="10">
                  <c:v>0.63690644275052244</c:v>
                </c:pt>
                <c:pt idx="11">
                  <c:v>0.67411523231501425</c:v>
                </c:pt>
                <c:pt idx="12">
                  <c:v>0.70737900865339587</c:v>
                </c:pt>
                <c:pt idx="13">
                  <c:v>0.73721147792532737</c:v>
                </c:pt>
                <c:pt idx="14">
                  <c:v>0.76402673105950802</c:v>
                </c:pt>
                <c:pt idx="15">
                  <c:v>0.7884214174413765</c:v>
                </c:pt>
                <c:pt idx="16">
                  <c:v>0.81043304908259162</c:v>
                </c:pt>
                <c:pt idx="17">
                  <c:v>0.87757246434952196</c:v>
                </c:pt>
                <c:pt idx="18">
                  <c:v>0.93209909089639742</c:v>
                </c:pt>
                <c:pt idx="19">
                  <c:v>0.96891942274015663</c:v>
                </c:pt>
                <c:pt idx="20">
                  <c:v>0.98876306850756168</c:v>
                </c:pt>
                <c:pt idx="21">
                  <c:v>0.99430859423111106</c:v>
                </c:pt>
                <c:pt idx="22">
                  <c:v>0.99657161053445653</c:v>
                </c:pt>
                <c:pt idx="23">
                  <c:v>0.99918390534635781</c:v>
                </c:pt>
                <c:pt idx="24">
                  <c:v>0.99976680032752152</c:v>
                </c:pt>
                <c:pt idx="25">
                  <c:v>1</c:v>
                </c:pt>
              </c:numCache>
            </c:numRef>
          </c:cat>
          <c:val>
            <c:numRef>
              <c:f>'CH theil'!$K$3:$K$28</c:f>
              <c:numCache>
                <c:formatCode>General</c:formatCode>
                <c:ptCount val="26"/>
                <c:pt idx="0">
                  <c:v>-4.2088632053942511E-2</c:v>
                </c:pt>
                <c:pt idx="1">
                  <c:v>-5.6081521688101613E-2</c:v>
                </c:pt>
                <c:pt idx="2">
                  <c:v>-7.0757626964163836E-2</c:v>
                </c:pt>
                <c:pt idx="3">
                  <c:v>-8.460819555237914E-2</c:v>
                </c:pt>
                <c:pt idx="4">
                  <c:v>-9.9297393306532547E-2</c:v>
                </c:pt>
                <c:pt idx="5">
                  <c:v>-0.11467075089766376</c:v>
                </c:pt>
                <c:pt idx="6">
                  <c:v>-0.12897446806858248</c:v>
                </c:pt>
                <c:pt idx="7">
                  <c:v>-0.14052067323656281</c:v>
                </c:pt>
                <c:pt idx="8">
                  <c:v>-0.14850495731840962</c:v>
                </c:pt>
                <c:pt idx="9">
                  <c:v>-0.15284397652921164</c:v>
                </c:pt>
                <c:pt idx="10">
                  <c:v>-0.15390350320953805</c:v>
                </c:pt>
                <c:pt idx="11">
                  <c:v>-0.15212988745864936</c:v>
                </c:pt>
                <c:pt idx="12">
                  <c:v>-0.14795235654122926</c:v>
                </c:pt>
                <c:pt idx="13">
                  <c:v>-0.14174405137397261</c:v>
                </c:pt>
                <c:pt idx="14">
                  <c:v>-0.13382981631130622</c:v>
                </c:pt>
                <c:pt idx="15">
                  <c:v>-0.12441158187800709</c:v>
                </c:pt>
                <c:pt idx="16">
                  <c:v>-0.11382131937629252</c:v>
                </c:pt>
                <c:pt idx="17">
                  <c:v>-6.5562941053542489E-2</c:v>
                </c:pt>
                <c:pt idx="18">
                  <c:v>2.9681188067023218E-3</c:v>
                </c:pt>
                <c:pt idx="19">
                  <c:v>8.4618344218928748E-2</c:v>
                </c:pt>
                <c:pt idx="20">
                  <c:v>0.16858720120654686</c:v>
                </c:pt>
                <c:pt idx="21">
                  <c:v>0.21222818257633932</c:v>
                </c:pt>
                <c:pt idx="22">
                  <c:v>0.23912618337416464</c:v>
                </c:pt>
                <c:pt idx="23">
                  <c:v>0.2952196130953868</c:v>
                </c:pt>
                <c:pt idx="24">
                  <c:v>0.32856457637534486</c:v>
                </c:pt>
                <c:pt idx="25">
                  <c:v>0.39660361967801816</c:v>
                </c:pt>
              </c:numCache>
            </c:numRef>
          </c:val>
          <c:smooth val="0"/>
          <c:extLst>
            <c:ext xmlns:c16="http://schemas.microsoft.com/office/drawing/2014/chart" uri="{C3380CC4-5D6E-409C-BE32-E72D297353CC}">
              <c16:uniqueId val="{00000000-84E7-4383-9BA4-14EDE0CCED42}"/>
            </c:ext>
          </c:extLst>
        </c:ser>
        <c:dLbls>
          <c:showLegendKey val="0"/>
          <c:showVal val="0"/>
          <c:showCatName val="0"/>
          <c:showSerName val="0"/>
          <c:showPercent val="0"/>
          <c:showBubbleSize val="0"/>
        </c:dLbls>
        <c:smooth val="0"/>
        <c:axId val="319335279"/>
        <c:axId val="319335759"/>
      </c:lineChart>
      <c:catAx>
        <c:axId val="31933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19335759"/>
        <c:crosses val="autoZero"/>
        <c:auto val="1"/>
        <c:lblAlgn val="ctr"/>
        <c:lblOffset val="100"/>
        <c:noMultiLvlLbl val="0"/>
      </c:catAx>
      <c:valAx>
        <c:axId val="31933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31933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strRef>
              <c:f>GE!$G$1:$G$2</c:f>
              <c:strCache>
                <c:ptCount val="2"/>
                <c:pt idx="0">
                  <c:v>Courbe de Lorenz</c:v>
                </c:pt>
                <c:pt idx="1">
                  <c:v>Proportion cumulée du revenu (Proportion de revenu total possédé par les contribuables sous le seuil supérieur de revenu du groupe)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GE!$F$3:$F$29</c:f>
              <c:numCache>
                <c:formatCode>General</c:formatCode>
                <c:ptCount val="27"/>
                <c:pt idx="0">
                  <c:v>0</c:v>
                </c:pt>
                <c:pt idx="1">
                  <c:v>0.28135613513459579</c:v>
                </c:pt>
                <c:pt idx="2">
                  <c:v>0.32169696485941773</c:v>
                </c:pt>
                <c:pt idx="3">
                  <c:v>0.36583720791012314</c:v>
                </c:pt>
                <c:pt idx="4">
                  <c:v>0.40344820705206236</c:v>
                </c:pt>
                <c:pt idx="5">
                  <c:v>0.44271546305349907</c:v>
                </c:pt>
                <c:pt idx="6">
                  <c:v>0.4832438688563846</c:v>
                </c:pt>
                <c:pt idx="7">
                  <c:v>0.52409155309001654</c:v>
                </c:pt>
                <c:pt idx="8">
                  <c:v>0.56367808752219983</c:v>
                </c:pt>
                <c:pt idx="9">
                  <c:v>0.60437810548161153</c:v>
                </c:pt>
                <c:pt idx="10">
                  <c:v>0.64127072815437114</c:v>
                </c:pt>
                <c:pt idx="11">
                  <c:v>0.67546145710693828</c:v>
                </c:pt>
                <c:pt idx="12">
                  <c:v>0.70728553469159694</c:v>
                </c:pt>
                <c:pt idx="13">
                  <c:v>0.73549777502843572</c:v>
                </c:pt>
                <c:pt idx="14">
                  <c:v>0.76094027497854844</c:v>
                </c:pt>
                <c:pt idx="15">
                  <c:v>0.78386845728653243</c:v>
                </c:pt>
                <c:pt idx="16">
                  <c:v>0.80416658352124204</c:v>
                </c:pt>
                <c:pt idx="17">
                  <c:v>0.82217787799572961</c:v>
                </c:pt>
                <c:pt idx="18">
                  <c:v>0.87717757867220081</c:v>
                </c:pt>
                <c:pt idx="19">
                  <c:v>0.924470696226528</c:v>
                </c:pt>
                <c:pt idx="20">
                  <c:v>0.96210963223115753</c:v>
                </c:pt>
                <c:pt idx="21">
                  <c:v>0.98584000159639218</c:v>
                </c:pt>
                <c:pt idx="22">
                  <c:v>0.99288807295512138</c:v>
                </c:pt>
                <c:pt idx="23">
                  <c:v>0.995833416478758</c:v>
                </c:pt>
                <c:pt idx="24">
                  <c:v>0.99911001137429412</c:v>
                </c:pt>
                <c:pt idx="25">
                  <c:v>0.99975655019655574</c:v>
                </c:pt>
                <c:pt idx="26">
                  <c:v>1</c:v>
                </c:pt>
              </c:numCache>
            </c:numRef>
          </c:xVal>
          <c:yVal>
            <c:numRef>
              <c:f>GE!$G$3:$G$29</c:f>
              <c:numCache>
                <c:formatCode>General</c:formatCode>
                <c:ptCount val="27"/>
                <c:pt idx="0">
                  <c:v>0</c:v>
                </c:pt>
                <c:pt idx="1">
                  <c:v>2.5897284949558209E-2</c:v>
                </c:pt>
                <c:pt idx="2">
                  <c:v>4.0123222561722724E-2</c:v>
                </c:pt>
                <c:pt idx="3">
                  <c:v>5.9077249526311083E-2</c:v>
                </c:pt>
                <c:pt idx="4">
                  <c:v>7.8145537102890031E-2</c:v>
                </c:pt>
                <c:pt idx="5">
                  <c:v>0.10111685180608677</c:v>
                </c:pt>
                <c:pt idx="6">
                  <c:v>0.1279567556215622</c:v>
                </c:pt>
                <c:pt idx="7">
                  <c:v>0.15819889885863866</c:v>
                </c:pt>
                <c:pt idx="8">
                  <c:v>0.19055207066140237</c:v>
                </c:pt>
                <c:pt idx="9">
                  <c:v>0.22698588736703129</c:v>
                </c:pt>
                <c:pt idx="10">
                  <c:v>0.26286716796907017</c:v>
                </c:pt>
                <c:pt idx="11">
                  <c:v>0.2987640192849676</c:v>
                </c:pt>
                <c:pt idx="12">
                  <c:v>0.33464536845858972</c:v>
                </c:pt>
                <c:pt idx="13">
                  <c:v>0.36865560992837443</c:v>
                </c:pt>
                <c:pt idx="14">
                  <c:v>0.40129947919880654</c:v>
                </c:pt>
                <c:pt idx="15">
                  <c:v>0.43250922766973687</c:v>
                </c:pt>
                <c:pt idx="16">
                  <c:v>0.46170018237387023</c:v>
                </c:pt>
                <c:pt idx="17">
                  <c:v>0.48901638800589997</c:v>
                </c:pt>
                <c:pt idx="18">
                  <c:v>0.58253640571268872</c:v>
                </c:pt>
                <c:pt idx="19">
                  <c:v>0.68065722591720934</c:v>
                </c:pt>
                <c:pt idx="20">
                  <c:v>0.78088873455995289</c:v>
                </c:pt>
                <c:pt idx="21">
                  <c:v>0.86888446225071081</c:v>
                </c:pt>
                <c:pt idx="22">
                  <c:v>0.90632792856170452</c:v>
                </c:pt>
                <c:pt idx="23">
                  <c:v>0.92665698251440032</c:v>
                </c:pt>
                <c:pt idx="24">
                  <c:v>0.96067168523277524</c:v>
                </c:pt>
                <c:pt idx="25">
                  <c:v>0.97412622442991403</c:v>
                </c:pt>
                <c:pt idx="26">
                  <c:v>1</c:v>
                </c:pt>
              </c:numCache>
            </c:numRef>
          </c:yVal>
          <c:smooth val="0"/>
          <c:extLst>
            <c:ext xmlns:c16="http://schemas.microsoft.com/office/drawing/2014/chart" uri="{C3380CC4-5D6E-409C-BE32-E72D297353CC}">
              <c16:uniqueId val="{00000000-F306-486E-B420-CA3892D97306}"/>
            </c:ext>
          </c:extLst>
        </c:ser>
        <c:ser>
          <c:idx val="1"/>
          <c:order val="1"/>
          <c:tx>
            <c:strRef>
              <c:f>GE!$I$1:$I$2</c:f>
              <c:strCache>
                <c:ptCount val="2"/>
                <c:pt idx="0">
                  <c:v>Courbe de Lorenz</c:v>
                </c:pt>
                <c:pt idx="1">
                  <c:v>ligne égalité parfaite 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GE!$H$3:$H$29</c:f>
              <c:numCache>
                <c:formatCode>General</c:formatCode>
                <c:ptCount val="27"/>
                <c:pt idx="0">
                  <c:v>0</c:v>
                </c:pt>
                <c:pt idx="1">
                  <c:v>3.8461538461538464E-2</c:v>
                </c:pt>
                <c:pt idx="2">
                  <c:v>7.6923076923076927E-2</c:v>
                </c:pt>
                <c:pt idx="3">
                  <c:v>0.11538461538461539</c:v>
                </c:pt>
                <c:pt idx="4">
                  <c:v>0.15384615384615385</c:v>
                </c:pt>
                <c:pt idx="5">
                  <c:v>0.19230769230769232</c:v>
                </c:pt>
                <c:pt idx="6">
                  <c:v>0.23076923076923078</c:v>
                </c:pt>
                <c:pt idx="7">
                  <c:v>0.26923076923076927</c:v>
                </c:pt>
                <c:pt idx="8">
                  <c:v>0.30769230769230771</c:v>
                </c:pt>
                <c:pt idx="9">
                  <c:v>0.34615384615384615</c:v>
                </c:pt>
                <c:pt idx="10">
                  <c:v>0.38461538461538458</c:v>
                </c:pt>
                <c:pt idx="11">
                  <c:v>0.42307692307692302</c:v>
                </c:pt>
                <c:pt idx="12">
                  <c:v>0.46153846153846145</c:v>
                </c:pt>
                <c:pt idx="13">
                  <c:v>0.49999999999999989</c:v>
                </c:pt>
                <c:pt idx="14">
                  <c:v>0.53846153846153832</c:v>
                </c:pt>
                <c:pt idx="15">
                  <c:v>0.57692307692307676</c:v>
                </c:pt>
                <c:pt idx="16">
                  <c:v>0.6153846153846152</c:v>
                </c:pt>
                <c:pt idx="17">
                  <c:v>0.65384615384615363</c:v>
                </c:pt>
                <c:pt idx="18">
                  <c:v>0.69230769230769207</c:v>
                </c:pt>
                <c:pt idx="19">
                  <c:v>0.7307692307692305</c:v>
                </c:pt>
                <c:pt idx="20">
                  <c:v>0.76923076923076894</c:v>
                </c:pt>
                <c:pt idx="21">
                  <c:v>0.80769230769230738</c:v>
                </c:pt>
                <c:pt idx="22">
                  <c:v>0.84615384615384581</c:v>
                </c:pt>
                <c:pt idx="23">
                  <c:v>0.88461538461538425</c:v>
                </c:pt>
                <c:pt idx="24">
                  <c:v>0.92307692307692268</c:v>
                </c:pt>
                <c:pt idx="25">
                  <c:v>0.96153846153846112</c:v>
                </c:pt>
                <c:pt idx="26">
                  <c:v>0.99999999999999956</c:v>
                </c:pt>
              </c:numCache>
            </c:numRef>
          </c:xVal>
          <c:yVal>
            <c:numRef>
              <c:f>GE!$I$3:$I$29</c:f>
              <c:numCache>
                <c:formatCode>General</c:formatCode>
                <c:ptCount val="27"/>
                <c:pt idx="0">
                  <c:v>0</c:v>
                </c:pt>
                <c:pt idx="1">
                  <c:v>3.8461538461538464E-2</c:v>
                </c:pt>
                <c:pt idx="2">
                  <c:v>7.6923076923076927E-2</c:v>
                </c:pt>
                <c:pt idx="3">
                  <c:v>0.11538461538461539</c:v>
                </c:pt>
                <c:pt idx="4">
                  <c:v>0.15384615384615385</c:v>
                </c:pt>
                <c:pt idx="5">
                  <c:v>0.19230769230769232</c:v>
                </c:pt>
                <c:pt idx="6">
                  <c:v>0.23076923076923078</c:v>
                </c:pt>
                <c:pt idx="7">
                  <c:v>0.26923076923076927</c:v>
                </c:pt>
                <c:pt idx="8">
                  <c:v>0.30769230769230771</c:v>
                </c:pt>
                <c:pt idx="9">
                  <c:v>0.34615384615384615</c:v>
                </c:pt>
                <c:pt idx="10">
                  <c:v>0.38461538461538458</c:v>
                </c:pt>
                <c:pt idx="11">
                  <c:v>0.42307692307692302</c:v>
                </c:pt>
                <c:pt idx="12">
                  <c:v>0.46153846153846145</c:v>
                </c:pt>
                <c:pt idx="13">
                  <c:v>0.49999999999999989</c:v>
                </c:pt>
                <c:pt idx="14">
                  <c:v>0.53846153846153832</c:v>
                </c:pt>
                <c:pt idx="15">
                  <c:v>0.57692307692307676</c:v>
                </c:pt>
                <c:pt idx="16">
                  <c:v>0.6153846153846152</c:v>
                </c:pt>
                <c:pt idx="17">
                  <c:v>0.65384615384615363</c:v>
                </c:pt>
                <c:pt idx="18">
                  <c:v>0.69230769230769207</c:v>
                </c:pt>
                <c:pt idx="19">
                  <c:v>0.7307692307692305</c:v>
                </c:pt>
                <c:pt idx="20">
                  <c:v>0.76923076923076894</c:v>
                </c:pt>
                <c:pt idx="21">
                  <c:v>0.80769230769230738</c:v>
                </c:pt>
                <c:pt idx="22">
                  <c:v>0.84615384615384581</c:v>
                </c:pt>
                <c:pt idx="23">
                  <c:v>0.88461538461538425</c:v>
                </c:pt>
                <c:pt idx="24">
                  <c:v>0.92307692307692268</c:v>
                </c:pt>
                <c:pt idx="25">
                  <c:v>0.96153846153846112</c:v>
                </c:pt>
                <c:pt idx="26">
                  <c:v>0.99999999999999956</c:v>
                </c:pt>
              </c:numCache>
            </c:numRef>
          </c:yVal>
          <c:smooth val="0"/>
          <c:extLst>
            <c:ext xmlns:c16="http://schemas.microsoft.com/office/drawing/2014/chart" uri="{C3380CC4-5D6E-409C-BE32-E72D297353CC}">
              <c16:uniqueId val="{00000001-F306-486E-B420-CA3892D97306}"/>
            </c:ext>
          </c:extLst>
        </c:ser>
        <c:ser>
          <c:idx val="2"/>
          <c:order val="2"/>
          <c:tx>
            <c:strRef>
              <c:f>CH!$I$2</c:f>
              <c:strCache>
                <c:ptCount val="1"/>
                <c:pt idx="0">
                  <c:v>ligne égalité parfaite y</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CH!$F$3:$F$29</c:f>
              <c:numCache>
                <c:formatCode>General</c:formatCode>
                <c:ptCount val="27"/>
                <c:pt idx="0">
                  <c:v>0</c:v>
                </c:pt>
                <c:pt idx="1">
                  <c:v>0.17295308935382017</c:v>
                </c:pt>
                <c:pt idx="2">
                  <c:v>0.21124514245499026</c:v>
                </c:pt>
                <c:pt idx="3">
                  <c:v>0.25126795809408137</c:v>
                </c:pt>
                <c:pt idx="4">
                  <c:v>0.2903156698301102</c:v>
                </c:pt>
                <c:pt idx="5">
                  <c:v>0.33461714719900937</c:v>
                </c:pt>
                <c:pt idx="6">
                  <c:v>0.38602235757574871</c:v>
                </c:pt>
                <c:pt idx="7">
                  <c:v>0.44145114800301682</c:v>
                </c:pt>
                <c:pt idx="8">
                  <c:v>0.49648251950676708</c:v>
                </c:pt>
                <c:pt idx="9">
                  <c:v>0.54822387918798166</c:v>
                </c:pt>
                <c:pt idx="10">
                  <c:v>0.59499406372415498</c:v>
                </c:pt>
                <c:pt idx="11">
                  <c:v>0.63690644275052244</c:v>
                </c:pt>
                <c:pt idx="12">
                  <c:v>0.67411523231501425</c:v>
                </c:pt>
                <c:pt idx="13">
                  <c:v>0.70737900865339587</c:v>
                </c:pt>
                <c:pt idx="14">
                  <c:v>0.73721147792532737</c:v>
                </c:pt>
                <c:pt idx="15">
                  <c:v>0.76402673105950802</c:v>
                </c:pt>
                <c:pt idx="16">
                  <c:v>0.7884214174413765</c:v>
                </c:pt>
                <c:pt idx="17">
                  <c:v>0.81043304908259162</c:v>
                </c:pt>
                <c:pt idx="18">
                  <c:v>0.87757246434952196</c:v>
                </c:pt>
                <c:pt idx="19">
                  <c:v>0.93209909089639742</c:v>
                </c:pt>
                <c:pt idx="20">
                  <c:v>0.96891942274015663</c:v>
                </c:pt>
                <c:pt idx="21">
                  <c:v>0.98876306850756168</c:v>
                </c:pt>
                <c:pt idx="22">
                  <c:v>0.99430859423111106</c:v>
                </c:pt>
                <c:pt idx="23">
                  <c:v>0.99657161053445653</c:v>
                </c:pt>
                <c:pt idx="24">
                  <c:v>0.99918390534635781</c:v>
                </c:pt>
                <c:pt idx="25">
                  <c:v>0.99976680032752152</c:v>
                </c:pt>
                <c:pt idx="26">
                  <c:v>1</c:v>
                </c:pt>
              </c:numCache>
            </c:numRef>
          </c:xVal>
          <c:yVal>
            <c:numRef>
              <c:f>CH!$G$3:$G$29</c:f>
              <c:numCache>
                <c:formatCode>General</c:formatCode>
                <c:ptCount val="27"/>
                <c:pt idx="0">
                  <c:v>0</c:v>
                </c:pt>
                <c:pt idx="1">
                  <c:v>1.9104146904600303E-2</c:v>
                </c:pt>
                <c:pt idx="2">
                  <c:v>3.1595535818481547E-2</c:v>
                </c:pt>
                <c:pt idx="3">
                  <c:v>4.7517082050698198E-2</c:v>
                </c:pt>
                <c:pt idx="4">
                  <c:v>6.5893633465686122E-2</c:v>
                </c:pt>
                <c:pt idx="5">
                  <c:v>8.9950156470453402E-2</c:v>
                </c:pt>
                <c:pt idx="6">
                  <c:v>0.12155531081640955</c:v>
                </c:pt>
                <c:pt idx="7">
                  <c:v>0.15962232760093983</c:v>
                </c:pt>
                <c:pt idx="8">
                  <c:v>0.20135202536355054</c:v>
                </c:pt>
                <c:pt idx="9">
                  <c:v>0.24431910148053615</c:v>
                </c:pt>
                <c:pt idx="10">
                  <c:v>0.28651935245988597</c:v>
                </c:pt>
                <c:pt idx="11">
                  <c:v>0.32735834099172234</c:v>
                </c:pt>
                <c:pt idx="12">
                  <c:v>0.36630096348030072</c:v>
                </c:pt>
                <c:pt idx="13">
                  <c:v>0.40351633340483267</c:v>
                </c:pt>
                <c:pt idx="14">
                  <c:v>0.43904494627960178</c:v>
                </c:pt>
                <c:pt idx="15">
                  <c:v>0.47291786350586495</c:v>
                </c:pt>
                <c:pt idx="16">
                  <c:v>0.50549146950752899</c:v>
                </c:pt>
                <c:pt idx="17">
                  <c:v>0.5364731111832084</c:v>
                </c:pt>
                <c:pt idx="18">
                  <c:v>0.64237119451178382</c:v>
                </c:pt>
                <c:pt idx="19">
                  <c:v>0.74720654108725182</c:v>
                </c:pt>
                <c:pt idx="20">
                  <c:v>0.83784527626943728</c:v>
                </c:pt>
                <c:pt idx="21">
                  <c:v>0.90594312610148842</c:v>
                </c:pt>
                <c:pt idx="22">
                  <c:v>0.93329231700701554</c:v>
                </c:pt>
                <c:pt idx="23">
                  <c:v>0.9477800576417319</c:v>
                </c:pt>
                <c:pt idx="24">
                  <c:v>0.97266559248409601</c:v>
                </c:pt>
                <c:pt idx="25">
                  <c:v>0.98392661455642405</c:v>
                </c:pt>
                <c:pt idx="26">
                  <c:v>1</c:v>
                </c:pt>
              </c:numCache>
            </c:numRef>
          </c:yVal>
          <c:smooth val="0"/>
          <c:extLst>
            <c:ext xmlns:c16="http://schemas.microsoft.com/office/drawing/2014/chart" uri="{C3380CC4-5D6E-409C-BE32-E72D297353CC}">
              <c16:uniqueId val="{00000005-F306-486E-B420-CA3892D97306}"/>
            </c:ext>
          </c:extLst>
        </c:ser>
        <c:dLbls>
          <c:showLegendKey val="0"/>
          <c:showVal val="0"/>
          <c:showCatName val="0"/>
          <c:showSerName val="0"/>
          <c:showPercent val="0"/>
          <c:showBubbleSize val="0"/>
        </c:dLbls>
        <c:axId val="218344928"/>
        <c:axId val="218336768"/>
      </c:scatterChart>
      <c:valAx>
        <c:axId val="218344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8336768"/>
        <c:crosses val="autoZero"/>
        <c:crossBetween val="midCat"/>
      </c:valAx>
      <c:valAx>
        <c:axId val="21833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8344928"/>
        <c:crosses val="autoZero"/>
        <c:crossBetween val="midCat"/>
      </c:valAx>
      <c:spPr>
        <a:noFill/>
        <a:ln>
          <a:noFill/>
        </a:ln>
        <a:effectLst/>
      </c:spPr>
    </c:plotArea>
    <c:legend>
      <c:legendPos val="b"/>
      <c:layout>
        <c:manualLayout>
          <c:xMode val="edge"/>
          <c:yMode val="edge"/>
          <c:x val="4.8519865499661204E-2"/>
          <c:y val="0.76566477379298203"/>
          <c:w val="0.8962984274469582"/>
          <c:h val="0.215509181502296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2072964473794849"/>
          <c:y val="1.48183211202645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scatterChart>
        <c:scatterStyle val="lineMarker"/>
        <c:varyColors val="0"/>
        <c:ser>
          <c:idx val="0"/>
          <c:order val="0"/>
          <c:tx>
            <c:strRef>
              <c:f>GE!$B$39:$B$40</c:f>
              <c:strCache>
                <c:ptCount val="2"/>
                <c:pt idx="0">
                  <c:v>Distribution empirique de Parto</c:v>
                </c:pt>
                <c:pt idx="1">
                  <c:v>Log de l'inverse de la distribution relative cumulée des personnes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GE!$A$41:$A$65</c:f>
              <c:numCache>
                <c:formatCode>General</c:formatCode>
                <c:ptCount val="25"/>
                <c:pt idx="0">
                  <c:v>3.7722955399279523</c:v>
                </c:pt>
                <c:pt idx="1">
                  <c:v>4.3556337674688406</c:v>
                </c:pt>
                <c:pt idx="2">
                  <c:v>4.4411644681101272</c:v>
                </c:pt>
                <c:pt idx="3">
                  <c:v>4.5132945165813325</c:v>
                </c:pt>
                <c:pt idx="4">
                  <c:v>4.5754529919949274</c:v>
                </c:pt>
                <c:pt idx="5">
                  <c:v>4.6293191283530346</c:v>
                </c:pt>
                <c:pt idx="6">
                  <c:v>4.6777428199808533</c:v>
                </c:pt>
                <c:pt idx="7">
                  <c:v>4.7206670746380448</c:v>
                </c:pt>
                <c:pt idx="8">
                  <c:v>4.7602077624282391</c:v>
                </c:pt>
                <c:pt idx="9">
                  <c:v>4.7962260987499015</c:v>
                </c:pt>
                <c:pt idx="10">
                  <c:v>4.8294456902556702</c:v>
                </c:pt>
                <c:pt idx="11">
                  <c:v>4.8604106341962865</c:v>
                </c:pt>
                <c:pt idx="12">
                  <c:v>4.8894698346845153</c:v>
                </c:pt>
                <c:pt idx="13">
                  <c:v>4.9165395418021651</c:v>
                </c:pt>
                <c:pt idx="14">
                  <c:v>4.9422183364895664</c:v>
                </c:pt>
                <c:pt idx="15">
                  <c:v>4.9660900441380562</c:v>
                </c:pt>
                <c:pt idx="16">
                  <c:v>4.9891731407867042</c:v>
                </c:pt>
                <c:pt idx="17">
                  <c:v>5.0388419486119664</c:v>
                </c:pt>
                <c:pt idx="18">
                  <c:v>5.1252609204754087</c:v>
                </c:pt>
                <c:pt idx="19">
                  <c:v>5.2336646233210313</c:v>
                </c:pt>
                <c:pt idx="20">
                  <c:v>5.3774547831689601</c:v>
                </c:pt>
                <c:pt idx="21">
                  <c:v>5.5336034482383756</c:v>
                </c:pt>
                <c:pt idx="22">
                  <c:v>5.6472789075972889</c:v>
                </c:pt>
                <c:pt idx="23">
                  <c:v>5.8245416234964953</c:v>
                </c:pt>
                <c:pt idx="24">
                  <c:v>6.1265719146621898</c:v>
                </c:pt>
              </c:numCache>
            </c:numRef>
          </c:xVal>
          <c:yVal>
            <c:numRef>
              <c:f>GE!$B$41:$B$65</c:f>
              <c:numCache>
                <c:formatCode>General</c:formatCode>
                <c:ptCount val="25"/>
                <c:pt idx="0">
                  <c:v>-0.14348627768580327</c:v>
                </c:pt>
                <c:pt idx="1">
                  <c:v>-0.16857623963281418</c:v>
                </c:pt>
                <c:pt idx="2">
                  <c:v>-0.19779924270011631</c:v>
                </c:pt>
                <c:pt idx="3">
                  <c:v>-0.22435184467592204</c:v>
                </c:pt>
                <c:pt idx="4">
                  <c:v>-0.25392300720752736</c:v>
                </c:pt>
                <c:pt idx="5">
                  <c:v>-0.28671436190716915</c:v>
                </c:pt>
                <c:pt idx="6">
                  <c:v>-0.32247658683007402</c:v>
                </c:pt>
                <c:pt idx="7">
                  <c:v>-0.36019297580706788</c:v>
                </c:pt>
                <c:pt idx="8">
                  <c:v>-0.40271968167192423</c:v>
                </c:pt>
                <c:pt idx="9">
                  <c:v>-0.44523318400886275</c:v>
                </c:pt>
                <c:pt idx="10">
                  <c:v>-0.48873371805696725</c:v>
                </c:pt>
                <c:pt idx="11">
                  <c:v>-0.53355581515285122</c:v>
                </c:pt>
                <c:pt idx="12">
                  <c:v>-0.5775706703629786</c:v>
                </c:pt>
                <c:pt idx="13">
                  <c:v>-0.6214935843787982</c:v>
                </c:pt>
                <c:pt idx="14">
                  <c:v>-0.66528184659785017</c:v>
                </c:pt>
                <c:pt idx="15">
                  <c:v>-0.70811319938648543</c:v>
                </c:pt>
                <c:pt idx="16">
                  <c:v>-0.75001421149432579</c:v>
                </c:pt>
                <c:pt idx="17">
                  <c:v>-0.9107223451647557</c:v>
                </c:pt>
                <c:pt idx="18">
                  <c:v>-1.1218845185959989</c:v>
                </c:pt>
                <c:pt idx="19">
                  <c:v>-1.4214711793857677</c:v>
                </c:pt>
                <c:pt idx="20">
                  <c:v>-1.8489367956084217</c:v>
                </c:pt>
                <c:pt idx="21">
                  <c:v>-2.148012707067251</c:v>
                </c:pt>
                <c:pt idx="22">
                  <c:v>-2.380219908101866</c:v>
                </c:pt>
                <c:pt idx="23">
                  <c:v>-3.0506155437199589</c:v>
                </c:pt>
                <c:pt idx="24">
                  <c:v>-3.6135905717572601</c:v>
                </c:pt>
              </c:numCache>
            </c:numRef>
          </c:yVal>
          <c:smooth val="0"/>
          <c:extLst>
            <c:ext xmlns:c16="http://schemas.microsoft.com/office/drawing/2014/chart" uri="{C3380CC4-5D6E-409C-BE32-E72D297353CC}">
              <c16:uniqueId val="{00000000-47F2-4D88-8778-FEC6A4ECED39}"/>
            </c:ext>
          </c:extLst>
        </c:ser>
        <c:dLbls>
          <c:showLegendKey val="0"/>
          <c:showVal val="0"/>
          <c:showCatName val="0"/>
          <c:showSerName val="0"/>
          <c:showPercent val="0"/>
          <c:showBubbleSize val="0"/>
        </c:dLbls>
        <c:axId val="1717047199"/>
        <c:axId val="1717036159"/>
      </c:scatterChart>
      <c:valAx>
        <c:axId val="1717047199"/>
        <c:scaling>
          <c:orientation val="minMax"/>
          <c:min val="3.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b"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17036159"/>
        <c:crosses val="autoZero"/>
        <c:crossBetween val="midCat"/>
      </c:valAx>
      <c:valAx>
        <c:axId val="1717036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71704719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CH"/>
              <a:t>Variable X 1 Courbe de régression</a:t>
            </a:r>
          </a:p>
        </c:rich>
      </c:tx>
      <c:overlay val="0"/>
    </c:title>
    <c:autoTitleDeleted val="0"/>
    <c:plotArea>
      <c:layout/>
      <c:lineChart>
        <c:grouping val="standard"/>
        <c:varyColors val="0"/>
        <c:ser>
          <c:idx val="0"/>
          <c:order val="0"/>
          <c:tx>
            <c:v>Y</c:v>
          </c:tx>
          <c:cat>
            <c:numRef>
              <c:f>GE!$A$41:$A$65</c:f>
              <c:numCache>
                <c:formatCode>General</c:formatCode>
                <c:ptCount val="25"/>
                <c:pt idx="0">
                  <c:v>3.7722955399279523</c:v>
                </c:pt>
                <c:pt idx="1">
                  <c:v>4.3556337674688406</c:v>
                </c:pt>
                <c:pt idx="2">
                  <c:v>4.4411644681101272</c:v>
                </c:pt>
                <c:pt idx="3">
                  <c:v>4.5132945165813325</c:v>
                </c:pt>
                <c:pt idx="4">
                  <c:v>4.5754529919949274</c:v>
                </c:pt>
                <c:pt idx="5">
                  <c:v>4.6293191283530346</c:v>
                </c:pt>
                <c:pt idx="6">
                  <c:v>4.6777428199808533</c:v>
                </c:pt>
                <c:pt idx="7">
                  <c:v>4.7206670746380448</c:v>
                </c:pt>
                <c:pt idx="8">
                  <c:v>4.7602077624282391</c:v>
                </c:pt>
                <c:pt idx="9">
                  <c:v>4.7962260987499015</c:v>
                </c:pt>
                <c:pt idx="10">
                  <c:v>4.8294456902556702</c:v>
                </c:pt>
                <c:pt idx="11">
                  <c:v>4.8604106341962865</c:v>
                </c:pt>
                <c:pt idx="12">
                  <c:v>4.8894698346845153</c:v>
                </c:pt>
                <c:pt idx="13">
                  <c:v>4.9165395418021651</c:v>
                </c:pt>
                <c:pt idx="14">
                  <c:v>4.9422183364895664</c:v>
                </c:pt>
                <c:pt idx="15">
                  <c:v>4.9660900441380562</c:v>
                </c:pt>
                <c:pt idx="16">
                  <c:v>4.9891731407867042</c:v>
                </c:pt>
                <c:pt idx="17">
                  <c:v>5.0388419486119664</c:v>
                </c:pt>
                <c:pt idx="18">
                  <c:v>5.1252609204754087</c:v>
                </c:pt>
                <c:pt idx="19">
                  <c:v>5.2336646233210313</c:v>
                </c:pt>
                <c:pt idx="20">
                  <c:v>5.3774547831689601</c:v>
                </c:pt>
                <c:pt idx="21">
                  <c:v>5.5336034482383756</c:v>
                </c:pt>
                <c:pt idx="22">
                  <c:v>5.6472789075972889</c:v>
                </c:pt>
                <c:pt idx="23">
                  <c:v>5.8245416234964953</c:v>
                </c:pt>
                <c:pt idx="24">
                  <c:v>6.1265719146621898</c:v>
                </c:pt>
              </c:numCache>
            </c:numRef>
          </c:cat>
          <c:val>
            <c:numRef>
              <c:f>GE!$B$41:$B$65</c:f>
              <c:numCache>
                <c:formatCode>General</c:formatCode>
                <c:ptCount val="25"/>
                <c:pt idx="0">
                  <c:v>-0.14348627768580327</c:v>
                </c:pt>
                <c:pt idx="1">
                  <c:v>-0.16857623963281418</c:v>
                </c:pt>
                <c:pt idx="2">
                  <c:v>-0.19779924270011631</c:v>
                </c:pt>
                <c:pt idx="3">
                  <c:v>-0.22435184467592204</c:v>
                </c:pt>
                <c:pt idx="4">
                  <c:v>-0.25392300720752736</c:v>
                </c:pt>
                <c:pt idx="5">
                  <c:v>-0.28671436190716915</c:v>
                </c:pt>
                <c:pt idx="6">
                  <c:v>-0.32247658683007402</c:v>
                </c:pt>
                <c:pt idx="7">
                  <c:v>-0.36019297580706788</c:v>
                </c:pt>
                <c:pt idx="8">
                  <c:v>-0.40271968167192423</c:v>
                </c:pt>
                <c:pt idx="9">
                  <c:v>-0.44523318400886275</c:v>
                </c:pt>
                <c:pt idx="10">
                  <c:v>-0.48873371805696725</c:v>
                </c:pt>
                <c:pt idx="11">
                  <c:v>-0.53355581515285122</c:v>
                </c:pt>
                <c:pt idx="12">
                  <c:v>-0.5775706703629786</c:v>
                </c:pt>
                <c:pt idx="13">
                  <c:v>-0.6214935843787982</c:v>
                </c:pt>
                <c:pt idx="14">
                  <c:v>-0.66528184659785017</c:v>
                </c:pt>
                <c:pt idx="15">
                  <c:v>-0.70811319938648543</c:v>
                </c:pt>
                <c:pt idx="16">
                  <c:v>-0.75001421149432579</c:v>
                </c:pt>
                <c:pt idx="17">
                  <c:v>-0.9107223451647557</c:v>
                </c:pt>
                <c:pt idx="18">
                  <c:v>-1.1218845185959989</c:v>
                </c:pt>
                <c:pt idx="19">
                  <c:v>-1.4214711793857677</c:v>
                </c:pt>
                <c:pt idx="20">
                  <c:v>-1.8489367956084217</c:v>
                </c:pt>
                <c:pt idx="21">
                  <c:v>-2.148012707067251</c:v>
                </c:pt>
                <c:pt idx="22">
                  <c:v>-2.380219908101866</c:v>
                </c:pt>
                <c:pt idx="23">
                  <c:v>-3.0506155437199589</c:v>
                </c:pt>
                <c:pt idx="24">
                  <c:v>-3.6135905717572601</c:v>
                </c:pt>
              </c:numCache>
            </c:numRef>
          </c:val>
          <c:smooth val="0"/>
          <c:extLst>
            <c:ext xmlns:c16="http://schemas.microsoft.com/office/drawing/2014/chart" uri="{C3380CC4-5D6E-409C-BE32-E72D297353CC}">
              <c16:uniqueId val="{00000003-D531-4565-A490-D1D3594E58FD}"/>
            </c:ext>
          </c:extLst>
        </c:ser>
        <c:ser>
          <c:idx val="1"/>
          <c:order val="1"/>
          <c:tx>
            <c:v>Prévisions pour Y</c:v>
          </c:tx>
          <c:cat>
            <c:numRef>
              <c:f>GE!$A$41:$A$65</c:f>
              <c:numCache>
                <c:formatCode>General</c:formatCode>
                <c:ptCount val="25"/>
                <c:pt idx="0">
                  <c:v>3.7722955399279523</c:v>
                </c:pt>
                <c:pt idx="1">
                  <c:v>4.3556337674688406</c:v>
                </c:pt>
                <c:pt idx="2">
                  <c:v>4.4411644681101272</c:v>
                </c:pt>
                <c:pt idx="3">
                  <c:v>4.5132945165813325</c:v>
                </c:pt>
                <c:pt idx="4">
                  <c:v>4.5754529919949274</c:v>
                </c:pt>
                <c:pt idx="5">
                  <c:v>4.6293191283530346</c:v>
                </c:pt>
                <c:pt idx="6">
                  <c:v>4.6777428199808533</c:v>
                </c:pt>
                <c:pt idx="7">
                  <c:v>4.7206670746380448</c:v>
                </c:pt>
                <c:pt idx="8">
                  <c:v>4.7602077624282391</c:v>
                </c:pt>
                <c:pt idx="9">
                  <c:v>4.7962260987499015</c:v>
                </c:pt>
                <c:pt idx="10">
                  <c:v>4.8294456902556702</c:v>
                </c:pt>
                <c:pt idx="11">
                  <c:v>4.8604106341962865</c:v>
                </c:pt>
                <c:pt idx="12">
                  <c:v>4.8894698346845153</c:v>
                </c:pt>
                <c:pt idx="13">
                  <c:v>4.9165395418021651</c:v>
                </c:pt>
                <c:pt idx="14">
                  <c:v>4.9422183364895664</c:v>
                </c:pt>
                <c:pt idx="15">
                  <c:v>4.9660900441380562</c:v>
                </c:pt>
                <c:pt idx="16">
                  <c:v>4.9891731407867042</c:v>
                </c:pt>
                <c:pt idx="17">
                  <c:v>5.0388419486119664</c:v>
                </c:pt>
                <c:pt idx="18">
                  <c:v>5.1252609204754087</c:v>
                </c:pt>
                <c:pt idx="19">
                  <c:v>5.2336646233210313</c:v>
                </c:pt>
                <c:pt idx="20">
                  <c:v>5.3774547831689601</c:v>
                </c:pt>
                <c:pt idx="21">
                  <c:v>5.5336034482383756</c:v>
                </c:pt>
                <c:pt idx="22">
                  <c:v>5.6472789075972889</c:v>
                </c:pt>
                <c:pt idx="23">
                  <c:v>5.8245416234964953</c:v>
                </c:pt>
                <c:pt idx="24">
                  <c:v>6.1265719146621898</c:v>
                </c:pt>
              </c:numCache>
            </c:numRef>
          </c:cat>
          <c:val>
            <c:numRef>
              <c:f>'alpha coef GE'!$B$25:$B$49</c:f>
              <c:numCache>
                <c:formatCode>General</c:formatCode>
                <c:ptCount val="25"/>
                <c:pt idx="0">
                  <c:v>1.1075466481673946</c:v>
                </c:pt>
                <c:pt idx="1">
                  <c:v>8.3257032634299399E-2</c:v>
                </c:pt>
                <c:pt idx="2">
                  <c:v>-6.6927207554209112E-2</c:v>
                </c:pt>
                <c:pt idx="3">
                  <c:v>-0.19358110426248842</c:v>
                </c:pt>
                <c:pt idx="4">
                  <c:v>-0.30272581290247125</c:v>
                </c:pt>
                <c:pt idx="5">
                  <c:v>-0.39730991779319957</c:v>
                </c:pt>
                <c:pt idx="6">
                  <c:v>-0.48233757779971853</c:v>
                </c:pt>
                <c:pt idx="7">
                  <c:v>-0.55770871965888524</c:v>
                </c:pt>
                <c:pt idx="8">
                  <c:v>-0.62713862152776834</c:v>
                </c:pt>
                <c:pt idx="9">
                  <c:v>-0.69038359009186223</c:v>
                </c:pt>
                <c:pt idx="10">
                  <c:v>-0.74871421374231595</c:v>
                </c:pt>
                <c:pt idx="11">
                  <c:v>-0.8030858784584165</c:v>
                </c:pt>
                <c:pt idx="12">
                  <c:v>-0.85411122857350108</c:v>
                </c:pt>
                <c:pt idx="13">
                  <c:v>-0.90164320674166909</c:v>
                </c:pt>
                <c:pt idx="14">
                  <c:v>-0.94673286741518936</c:v>
                </c:pt>
                <c:pt idx="15">
                  <c:v>-0.98864944530254562</c:v>
                </c:pt>
                <c:pt idx="16">
                  <c:v>-1.0291812929944584</c:v>
                </c:pt>
                <c:pt idx="17">
                  <c:v>-1.1163952653853872</c:v>
                </c:pt>
                <c:pt idx="18">
                  <c:v>-1.2681392301824932</c:v>
                </c:pt>
                <c:pt idx="19">
                  <c:v>-1.4584864110593436</c:v>
                </c:pt>
                <c:pt idx="20">
                  <c:v>-1.710969037080547</c:v>
                </c:pt>
                <c:pt idx="21">
                  <c:v>-1.9851520899968698</c:v>
                </c:pt>
                <c:pt idx="22">
                  <c:v>-2.1847560025556909</c:v>
                </c:pt>
                <c:pt idx="23">
                  <c:v>-2.4960134352841568</c:v>
                </c:pt>
                <c:pt idx="24">
                  <c:v>-3.0263515413973447</c:v>
                </c:pt>
              </c:numCache>
            </c:numRef>
          </c:val>
          <c:smooth val="0"/>
          <c:extLst>
            <c:ext xmlns:c16="http://schemas.microsoft.com/office/drawing/2014/chart" uri="{C3380CC4-5D6E-409C-BE32-E72D297353CC}">
              <c16:uniqueId val="{00000004-D531-4565-A490-D1D3594E58FD}"/>
            </c:ext>
          </c:extLst>
        </c:ser>
        <c:dLbls>
          <c:showLegendKey val="0"/>
          <c:showVal val="0"/>
          <c:showCatName val="0"/>
          <c:showSerName val="0"/>
          <c:showPercent val="0"/>
          <c:showBubbleSize val="0"/>
        </c:dLbls>
        <c:marker val="1"/>
        <c:smooth val="0"/>
        <c:axId val="239571519"/>
        <c:axId val="239578239"/>
      </c:lineChart>
      <c:catAx>
        <c:axId val="239571519"/>
        <c:scaling>
          <c:orientation val="minMax"/>
        </c:scaling>
        <c:delete val="0"/>
        <c:axPos val="b"/>
        <c:title>
          <c:tx>
            <c:rich>
              <a:bodyPr/>
              <a:lstStyle/>
              <a:p>
                <a:pPr>
                  <a:defRPr/>
                </a:pPr>
                <a:r>
                  <a:rPr lang="fr-CH"/>
                  <a:t>Variable X 1</a:t>
                </a:r>
              </a:p>
            </c:rich>
          </c:tx>
          <c:overlay val="0"/>
        </c:title>
        <c:numFmt formatCode="General" sourceLinked="1"/>
        <c:majorTickMark val="out"/>
        <c:minorTickMark val="none"/>
        <c:tickLblPos val="low"/>
        <c:crossAx val="239578239"/>
        <c:crosses val="autoZero"/>
        <c:auto val="1"/>
        <c:lblAlgn val="ctr"/>
        <c:lblOffset val="100"/>
        <c:tickMarkSkip val="1"/>
        <c:noMultiLvlLbl val="0"/>
      </c:catAx>
      <c:valAx>
        <c:axId val="239578239"/>
        <c:scaling>
          <c:orientation val="minMax"/>
        </c:scaling>
        <c:delete val="0"/>
        <c:axPos val="l"/>
        <c:title>
          <c:tx>
            <c:rich>
              <a:bodyPr/>
              <a:lstStyle/>
              <a:p>
                <a:pPr>
                  <a:defRPr/>
                </a:pPr>
                <a:r>
                  <a:rPr lang="fr-CH"/>
                  <a:t>Y</a:t>
                </a:r>
              </a:p>
            </c:rich>
          </c:tx>
          <c:overlay val="0"/>
        </c:title>
        <c:numFmt formatCode="General" sourceLinked="1"/>
        <c:majorTickMark val="out"/>
        <c:minorTickMark val="none"/>
        <c:tickLblPos val="nextTo"/>
        <c:crossAx val="239571519"/>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616742</xdr:colOff>
      <xdr:row>0</xdr:row>
      <xdr:rowOff>238124</xdr:rowOff>
    </xdr:from>
    <xdr:to>
      <xdr:col>17</xdr:col>
      <xdr:colOff>616742</xdr:colOff>
      <xdr:row>11</xdr:row>
      <xdr:rowOff>76199</xdr:rowOff>
    </xdr:to>
    <xdr:graphicFrame macro="">
      <xdr:nvGraphicFramePr>
        <xdr:cNvPr id="4" name="Graphique 3">
          <a:extLst>
            <a:ext uri="{FF2B5EF4-FFF2-40B4-BE49-F238E27FC236}">
              <a16:creationId xmlns:a16="http://schemas.microsoft.com/office/drawing/2014/main" id="{B181F903-4530-230A-8E6E-8E32EA2FB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11903</xdr:colOff>
      <xdr:row>5</xdr:row>
      <xdr:rowOff>120650</xdr:rowOff>
    </xdr:from>
    <xdr:to>
      <xdr:col>27</xdr:col>
      <xdr:colOff>17460</xdr:colOff>
      <xdr:row>28</xdr:row>
      <xdr:rowOff>90488</xdr:rowOff>
    </xdr:to>
    <xdr:graphicFrame macro="">
      <xdr:nvGraphicFramePr>
        <xdr:cNvPr id="2" name="Graphique 1">
          <a:extLst>
            <a:ext uri="{FF2B5EF4-FFF2-40B4-BE49-F238E27FC236}">
              <a16:creationId xmlns:a16="http://schemas.microsoft.com/office/drawing/2014/main" id="{0F4ED8B6-39B5-A24D-04D3-28586D713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84137</xdr:colOff>
      <xdr:row>35</xdr:row>
      <xdr:rowOff>85725</xdr:rowOff>
    </xdr:from>
    <xdr:to>
      <xdr:col>2</xdr:col>
      <xdr:colOff>785812</xdr:colOff>
      <xdr:row>53</xdr:row>
      <xdr:rowOff>123825</xdr:rowOff>
    </xdr:to>
    <xdr:graphicFrame macro="">
      <xdr:nvGraphicFramePr>
        <xdr:cNvPr id="6" name="Graphique 5">
          <a:extLst>
            <a:ext uri="{FF2B5EF4-FFF2-40B4-BE49-F238E27FC236}">
              <a16:creationId xmlns:a16="http://schemas.microsoft.com/office/drawing/2014/main" id="{8F14139A-4790-4DA2-5077-D533C124D0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409575</xdr:colOff>
      <xdr:row>3</xdr:row>
      <xdr:rowOff>109537</xdr:rowOff>
    </xdr:from>
    <xdr:to>
      <xdr:col>18</xdr:col>
      <xdr:colOff>600075</xdr:colOff>
      <xdr:row>36</xdr:row>
      <xdr:rowOff>23812</xdr:rowOff>
    </xdr:to>
    <xdr:graphicFrame macro="">
      <xdr:nvGraphicFramePr>
        <xdr:cNvPr id="2" name="Graphique 1">
          <a:extLst>
            <a:ext uri="{FF2B5EF4-FFF2-40B4-BE49-F238E27FC236}">
              <a16:creationId xmlns:a16="http://schemas.microsoft.com/office/drawing/2014/main" id="{545652EF-6576-48D0-EA9B-A5AA55603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stv.admin.ch/fr/statistiques-personnes-physiques-cantons-1983-a-aujourdhui"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9D6E-E496-4D38-B54C-DA7BD6147D63}">
  <dimension ref="A1:A2"/>
  <sheetViews>
    <sheetView workbookViewId="0">
      <selection activeCell="A2" activeCellId="2" sqref="A3 C2 A2"/>
    </sheetView>
  </sheetViews>
  <sheetFormatPr baseColWidth="10" defaultRowHeight="14.25" x14ac:dyDescent="0.45"/>
  <sheetData>
    <row r="1" spans="1:1" x14ac:dyDescent="0.45">
      <c r="A1" t="s">
        <v>26</v>
      </c>
    </row>
    <row r="2" spans="1:1" x14ac:dyDescent="0.45">
      <c r="A2" s="19" t="s">
        <v>27</v>
      </c>
    </row>
  </sheetData>
  <hyperlinks>
    <hyperlink ref="A2" r:id="rId1" xr:uid="{D629CB66-0AF2-40C2-A5DF-566C4192B5D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256E1-B0FC-48AE-8D60-3C9A253EE1A6}">
  <dimension ref="A1:Q35"/>
  <sheetViews>
    <sheetView topLeftCell="A7" zoomScale="85" zoomScaleNormal="85" workbookViewId="0">
      <selection activeCell="A2" sqref="A2:E32"/>
    </sheetView>
  </sheetViews>
  <sheetFormatPr baseColWidth="10" defaultRowHeight="14.25" x14ac:dyDescent="0.45"/>
  <cols>
    <col min="3" max="3" width="25.33203125" customWidth="1"/>
    <col min="5" max="5" width="11.19921875" bestFit="1" customWidth="1"/>
    <col min="6" max="6" width="29.59765625" customWidth="1"/>
    <col min="7" max="7" width="39.33203125" customWidth="1"/>
    <col min="8" max="8" width="11.19921875" bestFit="1" customWidth="1"/>
    <col min="9" max="9" width="22.59765625" customWidth="1"/>
    <col min="10" max="10" width="20.265625" customWidth="1"/>
    <col min="12" max="12" width="67.33203125" bestFit="1" customWidth="1"/>
    <col min="13" max="13" width="10.33203125" bestFit="1" customWidth="1"/>
    <col min="14" max="14" width="27.265625" customWidth="1"/>
  </cols>
  <sheetData>
    <row r="1" spans="1:17" x14ac:dyDescent="0.45">
      <c r="F1" s="38" t="s">
        <v>20</v>
      </c>
      <c r="G1" s="38"/>
      <c r="H1" s="38"/>
      <c r="I1" s="38"/>
      <c r="J1" s="39" t="s">
        <v>19</v>
      </c>
      <c r="K1" s="40"/>
      <c r="L1" s="41" t="s">
        <v>21</v>
      </c>
      <c r="M1" s="42"/>
      <c r="N1" s="42"/>
      <c r="O1" s="42"/>
      <c r="P1" s="42"/>
      <c r="Q1" s="42"/>
    </row>
    <row r="2" spans="1:17" ht="171" x14ac:dyDescent="0.45">
      <c r="A2" s="1" t="s">
        <v>0</v>
      </c>
      <c r="B2" s="1" t="s">
        <v>1</v>
      </c>
      <c r="C2" s="1" t="s">
        <v>24</v>
      </c>
      <c r="D2" s="1" t="s">
        <v>2</v>
      </c>
      <c r="E2" s="1" t="s">
        <v>3</v>
      </c>
      <c r="F2" s="2" t="s">
        <v>4</v>
      </c>
      <c r="G2" s="2" t="s">
        <v>5</v>
      </c>
      <c r="H2" s="2" t="s">
        <v>6</v>
      </c>
      <c r="I2" s="2" t="s">
        <v>7</v>
      </c>
      <c r="J2" s="3" t="s">
        <v>8</v>
      </c>
      <c r="K2" s="2" t="s">
        <v>9</v>
      </c>
      <c r="L2" s="4" t="s">
        <v>10</v>
      </c>
      <c r="M2" s="2" t="s">
        <v>11</v>
      </c>
      <c r="N2" s="5" t="s">
        <v>12</v>
      </c>
      <c r="O2" s="2" t="s">
        <v>13</v>
      </c>
    </row>
    <row r="3" spans="1:17" x14ac:dyDescent="0.45">
      <c r="A3" s="1"/>
      <c r="B3" s="1"/>
      <c r="C3" s="1"/>
      <c r="D3" s="1"/>
      <c r="E3" s="1"/>
      <c r="F3" s="2">
        <v>0</v>
      </c>
      <c r="G3" s="2">
        <v>0</v>
      </c>
      <c r="H3" s="2">
        <v>0</v>
      </c>
      <c r="I3" s="2">
        <v>0</v>
      </c>
      <c r="J3" s="2"/>
      <c r="K3" s="2"/>
      <c r="L3" s="12"/>
      <c r="M3" s="2"/>
      <c r="N3" s="5"/>
      <c r="O3" s="2"/>
    </row>
    <row r="4" spans="1:17" x14ac:dyDescent="0.45">
      <c r="A4" s="1">
        <v>0</v>
      </c>
      <c r="B4" s="1">
        <v>20000</v>
      </c>
      <c r="C4" s="11">
        <v>6349766510</v>
      </c>
      <c r="D4" s="1">
        <v>829909</v>
      </c>
      <c r="E4" s="1">
        <f>C4/D4</f>
        <v>7651.1599585014746</v>
      </c>
      <c r="F4" s="8">
        <f>SUM($D$4:D4)/$D$32</f>
        <v>0.17295308935382017</v>
      </c>
      <c r="G4" s="8">
        <f>SUM($C$4:C4)/$C$32</f>
        <v>1.9104146904600303E-2</v>
      </c>
      <c r="H4" s="13">
        <f>H3+1/26</f>
        <v>3.8461538461538464E-2</v>
      </c>
      <c r="I4" s="13">
        <f>I3+1/26</f>
        <v>3.8461538461538464E-2</v>
      </c>
      <c r="J4" s="13">
        <f>F4*G4/2</f>
        <v>1.6520606133099216E-3</v>
      </c>
      <c r="K4" s="14"/>
      <c r="L4" s="15">
        <f>SUM(D4:$D$29)</f>
        <v>4798463</v>
      </c>
      <c r="M4" s="16">
        <f>L4/$D$32</f>
        <v>1</v>
      </c>
      <c r="N4" s="9">
        <f>SUM(C4:$C$29)</f>
        <v>332376344346</v>
      </c>
      <c r="O4" s="17">
        <f>N4/C$32</f>
        <v>1</v>
      </c>
    </row>
    <row r="5" spans="1:17" x14ac:dyDescent="0.45">
      <c r="A5">
        <v>20001</v>
      </c>
      <c r="B5">
        <v>25000</v>
      </c>
      <c r="C5" s="6">
        <v>4151842183</v>
      </c>
      <c r="D5" s="6">
        <v>183743</v>
      </c>
      <c r="E5" s="7">
        <f>C5/D5</f>
        <v>22595.920296283395</v>
      </c>
      <c r="F5" s="8">
        <f>SUM($D$4:D5)/$D$32</f>
        <v>0.21124514245499026</v>
      </c>
      <c r="G5" s="8">
        <f>SUM($C$4:C5)/$C$32</f>
        <v>3.1595535818481547E-2</v>
      </c>
      <c r="H5" s="13">
        <f t="shared" ref="H5:H29" si="0">H4+1/26</f>
        <v>7.6923076923076927E-2</v>
      </c>
      <c r="I5" s="13">
        <f t="shared" ref="I5:I29" si="1">I4+1/26</f>
        <v>7.6923076923076927E-2</v>
      </c>
      <c r="J5" s="8">
        <f>((F5-F4)*(G5-G4))/2</f>
        <v>2.3916046379885401E-4</v>
      </c>
      <c r="K5" s="8">
        <f>(F5-F4)*G4</f>
        <v>7.315370077235091E-4</v>
      </c>
      <c r="L5" s="18">
        <f>SUM(D5:$D$29)</f>
        <v>3968554</v>
      </c>
      <c r="M5" s="16">
        <f t="shared" ref="M5:M29" si="2">L5/$D$32</f>
        <v>0.82704691064617986</v>
      </c>
      <c r="N5" s="9">
        <f>SUM(C5:$C$29)</f>
        <v>326026577836</v>
      </c>
      <c r="O5" s="17">
        <f t="shared" ref="O5:O29" si="3">N5/C$32</f>
        <v>0.98089585309539973</v>
      </c>
    </row>
    <row r="6" spans="1:17" x14ac:dyDescent="0.45">
      <c r="A6">
        <v>25001</v>
      </c>
      <c r="B6">
        <v>30000</v>
      </c>
      <c r="C6" s="6">
        <v>5291945333</v>
      </c>
      <c r="D6" s="6">
        <v>192048</v>
      </c>
      <c r="E6" s="7">
        <f>C6/D6</f>
        <v>27555.326444430561</v>
      </c>
      <c r="F6" s="8">
        <f>SUM($D$4:D6)/$D$32</f>
        <v>0.25126795809408137</v>
      </c>
      <c r="G6" s="8">
        <f>SUM($C$4:C6)/$C$32</f>
        <v>4.7517082050698198E-2</v>
      </c>
      <c r="H6" s="13">
        <f t="shared" si="0"/>
        <v>0.11538461538461539</v>
      </c>
      <c r="I6" s="13">
        <f t="shared" si="1"/>
        <v>0.11538461538461539</v>
      </c>
      <c r="J6" s="8">
        <f t="shared" ref="J6:J28" si="4">((F6-F5)*(G6-G5))/2</f>
        <v>3.1861255477063629E-4</v>
      </c>
      <c r="K6" s="8">
        <f t="shared" ref="K6:K29" si="5">(F6-F5)*G5</f>
        <v>1.2645423050813864E-3</v>
      </c>
      <c r="L6" s="18">
        <f>SUM(D6:$D$29)</f>
        <v>3784811</v>
      </c>
      <c r="M6" s="16">
        <f t="shared" si="2"/>
        <v>0.78875485754500974</v>
      </c>
      <c r="N6" s="9">
        <f>SUM(C6:$C$29)</f>
        <v>321874735653</v>
      </c>
      <c r="O6" s="17">
        <f t="shared" si="3"/>
        <v>0.96840446418151849</v>
      </c>
    </row>
    <row r="7" spans="1:17" x14ac:dyDescent="0.45">
      <c r="A7">
        <v>30001</v>
      </c>
      <c r="B7">
        <v>35000</v>
      </c>
      <c r="C7" s="6">
        <v>6107930981</v>
      </c>
      <c r="D7" s="6">
        <v>187369</v>
      </c>
      <c r="E7" s="7">
        <f t="shared" ref="E7:E29" si="6">C7/D7</f>
        <v>32598.407319247046</v>
      </c>
      <c r="F7" s="8">
        <f>SUM($D$4:D7)/$D$32</f>
        <v>0.2903156698301102</v>
      </c>
      <c r="G7" s="8">
        <f>SUM($C$4:C7)/$C$32</f>
        <v>6.5893633465686122E-2</v>
      </c>
      <c r="H7" s="13">
        <f t="shared" si="0"/>
        <v>0.15384615384615385</v>
      </c>
      <c r="I7" s="13">
        <f t="shared" si="1"/>
        <v>0.15384615384615385</v>
      </c>
      <c r="J7" s="8">
        <f t="shared" si="4"/>
        <v>3.5878114117738062E-4</v>
      </c>
      <c r="K7" s="8">
        <f t="shared" si="5"/>
        <v>1.855433322452893E-3</v>
      </c>
      <c r="L7" s="18">
        <f>SUM(D7:$D$29)</f>
        <v>3592763</v>
      </c>
      <c r="M7" s="16">
        <f t="shared" si="2"/>
        <v>0.74873204190591858</v>
      </c>
      <c r="N7" s="9">
        <f>SUM(C7:$C$29)</f>
        <v>316582790320</v>
      </c>
      <c r="O7" s="17">
        <f t="shared" si="3"/>
        <v>0.95248291794930184</v>
      </c>
    </row>
    <row r="8" spans="1:17" x14ac:dyDescent="0.45">
      <c r="A8">
        <v>35001</v>
      </c>
      <c r="B8">
        <v>40000</v>
      </c>
      <c r="C8" s="6">
        <v>7995819174</v>
      </c>
      <c r="D8" s="6">
        <v>212579</v>
      </c>
      <c r="E8" s="7">
        <f t="shared" si="6"/>
        <v>37613.401013270362</v>
      </c>
      <c r="F8" s="8">
        <f>SUM($D$4:D8)/$D$32</f>
        <v>0.33461714719900937</v>
      </c>
      <c r="G8" s="8">
        <f>SUM($C$4:C8)/$C$32</f>
        <v>8.9950156470453402E-2</v>
      </c>
      <c r="H8" s="13">
        <f t="shared" si="0"/>
        <v>0.19230769230769232</v>
      </c>
      <c r="I8" s="13">
        <f t="shared" si="1"/>
        <v>0.19230769230769232</v>
      </c>
      <c r="J8" s="8">
        <f t="shared" si="4"/>
        <v>5.328697547350499E-4</v>
      </c>
      <c r="K8" s="8">
        <f t="shared" si="5"/>
        <v>2.9191853117346307E-3</v>
      </c>
      <c r="L8" s="18">
        <f>SUM(D8:$D$29)</f>
        <v>3405394</v>
      </c>
      <c r="M8" s="16">
        <f t="shared" si="2"/>
        <v>0.70968433016988985</v>
      </c>
      <c r="N8" s="9">
        <f>SUM(C8:$C$29)</f>
        <v>310474859339</v>
      </c>
      <c r="O8" s="17">
        <f t="shared" si="3"/>
        <v>0.93410636653431389</v>
      </c>
    </row>
    <row r="9" spans="1:17" x14ac:dyDescent="0.45">
      <c r="A9">
        <v>40001</v>
      </c>
      <c r="B9">
        <v>45000</v>
      </c>
      <c r="C9" s="6">
        <v>10504805664</v>
      </c>
      <c r="D9" s="6">
        <v>246666</v>
      </c>
      <c r="E9" s="7">
        <f>C9/D9</f>
        <v>42587.165089635375</v>
      </c>
      <c r="F9" s="8">
        <f>SUM($D$4:D9)/$D$32</f>
        <v>0.38602235757574871</v>
      </c>
      <c r="G9" s="8">
        <f>SUM($C$4:C9)/$C$32</f>
        <v>0.12155531081640955</v>
      </c>
      <c r="H9" s="13">
        <f t="shared" si="0"/>
        <v>0.23076923076923078</v>
      </c>
      <c r="I9" s="13">
        <f t="shared" si="1"/>
        <v>0.23076923076923078</v>
      </c>
      <c r="J9" s="8">
        <f t="shared" si="4"/>
        <v>8.123348040715968E-4</v>
      </c>
      <c r="K9" s="8">
        <f t="shared" si="5"/>
        <v>4.6239067167842783E-3</v>
      </c>
      <c r="L9" s="18">
        <f>SUM(D9:$D$29)</f>
        <v>3192815</v>
      </c>
      <c r="M9" s="16">
        <f t="shared" si="2"/>
        <v>0.66538285280099063</v>
      </c>
      <c r="N9" s="9">
        <f>SUM(C9:$C$29)</f>
        <v>302479040165</v>
      </c>
      <c r="O9" s="17">
        <f t="shared" si="3"/>
        <v>0.91004984352954654</v>
      </c>
    </row>
    <row r="10" spans="1:17" x14ac:dyDescent="0.45">
      <c r="A10">
        <v>45001</v>
      </c>
      <c r="B10">
        <v>50000</v>
      </c>
      <c r="C10" s="6">
        <v>12652575879</v>
      </c>
      <c r="D10" s="6">
        <v>265973</v>
      </c>
      <c r="E10" s="7">
        <f t="shared" si="6"/>
        <v>47570.903358611591</v>
      </c>
      <c r="F10" s="8">
        <f>SUM($D$4:D10)/$D$32</f>
        <v>0.44145114800301682</v>
      </c>
      <c r="G10" s="8">
        <f>SUM($C$4:C10)/$C$32</f>
        <v>0.15962232760093983</v>
      </c>
      <c r="H10" s="13">
        <f t="shared" si="0"/>
        <v>0.26923076923076927</v>
      </c>
      <c r="I10" s="13">
        <f t="shared" si="1"/>
        <v>0.26923076923076927</v>
      </c>
      <c r="J10" s="8">
        <f t="shared" si="4"/>
        <v>1.0550043477705134E-3</v>
      </c>
      <c r="K10" s="8">
        <f t="shared" si="5"/>
        <v>6.7376638485642021E-3</v>
      </c>
      <c r="L10" s="18">
        <f>SUM(D10:$D$29)</f>
        <v>2946149</v>
      </c>
      <c r="M10" s="16">
        <f t="shared" si="2"/>
        <v>0.61397764242425124</v>
      </c>
      <c r="N10" s="9">
        <f>SUM(C10:$C$29)</f>
        <v>291974234501</v>
      </c>
      <c r="O10" s="17">
        <f t="shared" si="3"/>
        <v>0.87844468918359042</v>
      </c>
    </row>
    <row r="11" spans="1:17" x14ac:dyDescent="0.45">
      <c r="A11">
        <v>50001</v>
      </c>
      <c r="B11">
        <v>55000</v>
      </c>
      <c r="C11" s="6">
        <v>13869964393</v>
      </c>
      <c r="D11" s="6">
        <v>264066</v>
      </c>
      <c r="E11" s="7">
        <f t="shared" si="6"/>
        <v>52524.612759688869</v>
      </c>
      <c r="F11" s="8">
        <f>SUM($D$4:D11)/$D$32</f>
        <v>0.49648251950676708</v>
      </c>
      <c r="G11" s="8">
        <f>SUM($C$4:C11)/$C$32</f>
        <v>0.20135202536355054</v>
      </c>
      <c r="H11" s="13">
        <f t="shared" si="0"/>
        <v>0.30769230769230771</v>
      </c>
      <c r="I11" s="13">
        <f t="shared" si="1"/>
        <v>0.30769230769230771</v>
      </c>
      <c r="J11" s="8">
        <f t="shared" si="4"/>
        <v>1.1482212501567229E-3</v>
      </c>
      <c r="K11" s="8">
        <f t="shared" si="5"/>
        <v>8.7842356105006496E-3</v>
      </c>
      <c r="L11" s="18">
        <f>SUM(D11:$D$29)</f>
        <v>2680176</v>
      </c>
      <c r="M11" s="16">
        <f t="shared" si="2"/>
        <v>0.55854885199698323</v>
      </c>
      <c r="N11" s="9">
        <f>SUM(C11:$C$29)</f>
        <v>279321658622</v>
      </c>
      <c r="O11" s="17">
        <f t="shared" si="3"/>
        <v>0.84037767239906014</v>
      </c>
    </row>
    <row r="12" spans="1:17" x14ac:dyDescent="0.45">
      <c r="A12">
        <v>55001</v>
      </c>
      <c r="B12">
        <v>60000</v>
      </c>
      <c r="C12" s="6">
        <v>14281239687</v>
      </c>
      <c r="D12" s="6">
        <v>248279</v>
      </c>
      <c r="E12" s="7">
        <f t="shared" si="6"/>
        <v>57520.93284973759</v>
      </c>
      <c r="F12" s="8">
        <f>SUM($D$4:D12)/$D$32</f>
        <v>0.54822387918798166</v>
      </c>
      <c r="G12" s="8">
        <f>SUM($C$4:C12)/$C$32</f>
        <v>0.24431910148053615</v>
      </c>
      <c r="H12" s="13">
        <f t="shared" si="0"/>
        <v>0.34615384615384615</v>
      </c>
      <c r="I12" s="13">
        <f t="shared" si="1"/>
        <v>0.34615384615384615</v>
      </c>
      <c r="J12" s="8">
        <f t="shared" si="4"/>
        <v>1.1115874699095384E-3</v>
      </c>
      <c r="K12" s="8">
        <f t="shared" si="5"/>
        <v>1.0418227566876508E-2</v>
      </c>
      <c r="L12" s="18">
        <f>SUM(D12:$D$29)</f>
        <v>2416110</v>
      </c>
      <c r="M12" s="16">
        <f t="shared" si="2"/>
        <v>0.50351748049323297</v>
      </c>
      <c r="N12" s="9">
        <f>SUM(C12:$C$29)</f>
        <v>265451694229</v>
      </c>
      <c r="O12" s="17">
        <f t="shared" si="3"/>
        <v>0.79864797463644943</v>
      </c>
    </row>
    <row r="13" spans="1:17" x14ac:dyDescent="0.45">
      <c r="A13">
        <v>60001</v>
      </c>
      <c r="B13">
        <v>65000</v>
      </c>
      <c r="C13" s="6">
        <v>14026365151</v>
      </c>
      <c r="D13" s="6">
        <v>224425</v>
      </c>
      <c r="E13" s="7">
        <f t="shared" si="6"/>
        <v>62499.12064609558</v>
      </c>
      <c r="F13" s="8">
        <f>SUM($D$4:D13)/$D$32</f>
        <v>0.59499406372415498</v>
      </c>
      <c r="G13" s="8">
        <f>SUM($C$4:C13)/$C$32</f>
        <v>0.28651935245988597</v>
      </c>
      <c r="H13" s="13">
        <f t="shared" si="0"/>
        <v>0.38461538461538458</v>
      </c>
      <c r="I13" s="13">
        <f t="shared" si="1"/>
        <v>0.38461538461538458</v>
      </c>
      <c r="J13" s="8">
        <f t="shared" si="4"/>
        <v>9.8685676288850989E-4</v>
      </c>
      <c r="K13" s="8">
        <f t="shared" si="5"/>
        <v>1.1426849461956733E-2</v>
      </c>
      <c r="L13" s="18">
        <f>SUM(D13:$D$29)</f>
        <v>2167831</v>
      </c>
      <c r="M13" s="16">
        <f t="shared" si="2"/>
        <v>0.45177612081201834</v>
      </c>
      <c r="N13" s="9">
        <f>SUM(C13:$C$29)</f>
        <v>251170454542</v>
      </c>
      <c r="O13" s="17">
        <f t="shared" si="3"/>
        <v>0.75568089851946385</v>
      </c>
    </row>
    <row r="14" spans="1:17" x14ac:dyDescent="0.45">
      <c r="A14">
        <v>65001</v>
      </c>
      <c r="B14">
        <v>70000</v>
      </c>
      <c r="C14" s="6">
        <v>13573913715</v>
      </c>
      <c r="D14" s="6">
        <v>201115</v>
      </c>
      <c r="E14" s="7">
        <f t="shared" si="6"/>
        <v>67493.293463938549</v>
      </c>
      <c r="F14" s="8">
        <f>SUM($D$4:D14)/$D$32</f>
        <v>0.63690644275052244</v>
      </c>
      <c r="G14" s="8">
        <f>SUM($C$4:C14)/$C$32</f>
        <v>0.32735834099172234</v>
      </c>
      <c r="H14" s="13">
        <f t="shared" si="0"/>
        <v>0.42307692307692302</v>
      </c>
      <c r="I14" s="13">
        <f t="shared" si="1"/>
        <v>0.42307692307692302</v>
      </c>
      <c r="J14" s="8">
        <f t="shared" si="4"/>
        <v>8.5582958319990006E-4</v>
      </c>
      <c r="K14" s="8">
        <f t="shared" si="5"/>
        <v>1.2008707698688111E-2</v>
      </c>
      <c r="L14" s="18">
        <f>SUM(D14:$D$29)</f>
        <v>1943406</v>
      </c>
      <c r="M14" s="16">
        <f t="shared" si="2"/>
        <v>0.40500593627584497</v>
      </c>
      <c r="N14" s="9">
        <f>SUM(C14:$C$29)</f>
        <v>237144089391</v>
      </c>
      <c r="O14" s="17">
        <f t="shared" si="3"/>
        <v>0.71348064754011409</v>
      </c>
    </row>
    <row r="15" spans="1:17" x14ac:dyDescent="0.45">
      <c r="A15">
        <v>70001</v>
      </c>
      <c r="B15">
        <v>75000</v>
      </c>
      <c r="C15" s="6">
        <v>12943606502</v>
      </c>
      <c r="D15" s="6">
        <v>178545</v>
      </c>
      <c r="E15" s="7">
        <f t="shared" si="6"/>
        <v>72494.92566019771</v>
      </c>
      <c r="F15" s="8">
        <f>SUM($D$4:D15)/$D$32</f>
        <v>0.67411523231501425</v>
      </c>
      <c r="G15" s="8">
        <f>SUM($C$4:C15)/$C$32</f>
        <v>0.36630096348030072</v>
      </c>
      <c r="H15" s="13">
        <f t="shared" si="0"/>
        <v>0.46153846153846145</v>
      </c>
      <c r="I15" s="13">
        <f t="shared" si="1"/>
        <v>0.46153846153846145</v>
      </c>
      <c r="J15" s="8">
        <f t="shared" si="4"/>
        <v>7.2450392263347964E-4</v>
      </c>
      <c r="K15" s="8">
        <f t="shared" si="5"/>
        <v>1.2180607622142148E-2</v>
      </c>
      <c r="L15" s="18">
        <f>SUM(D15:$D$29)</f>
        <v>1742291</v>
      </c>
      <c r="M15" s="16">
        <f t="shared" si="2"/>
        <v>0.36309355724947762</v>
      </c>
      <c r="N15" s="9">
        <f>SUM(C15:$C$29)</f>
        <v>223570175676</v>
      </c>
      <c r="O15" s="17">
        <f t="shared" si="3"/>
        <v>0.67264165900827766</v>
      </c>
    </row>
    <row r="16" spans="1:17" x14ac:dyDescent="0.45">
      <c r="A16">
        <v>75001</v>
      </c>
      <c r="B16">
        <v>80000</v>
      </c>
      <c r="C16" s="6">
        <v>12369508609</v>
      </c>
      <c r="D16" s="6">
        <v>159615</v>
      </c>
      <c r="E16" s="7">
        <f t="shared" si="6"/>
        <v>77495.903323622464</v>
      </c>
      <c r="F16" s="8">
        <f>SUM($D$4:D16)/$D$32</f>
        <v>0.70737900865339587</v>
      </c>
      <c r="G16" s="8">
        <f>SUM($C$4:C16)/$C$32</f>
        <v>0.40351633340483267</v>
      </c>
      <c r="H16" s="13">
        <f t="shared" si="0"/>
        <v>0.49999999999999989</v>
      </c>
      <c r="I16" s="13">
        <f t="shared" si="1"/>
        <v>0.49999999999999989</v>
      </c>
      <c r="J16" s="8">
        <f t="shared" si="4"/>
        <v>6.189618707598825E-4</v>
      </c>
      <c r="K16" s="8">
        <f t="shared" si="5"/>
        <v>1.2184553321742418E-2</v>
      </c>
      <c r="L16" s="18">
        <f>SUM(D16:$D$29)</f>
        <v>1563746</v>
      </c>
      <c r="M16" s="16">
        <f t="shared" si="2"/>
        <v>0.32588476768498581</v>
      </c>
      <c r="N16" s="9">
        <f>SUM(C16:$C$29)</f>
        <v>210626569174</v>
      </c>
      <c r="O16" s="17">
        <f t="shared" si="3"/>
        <v>0.63369903651969928</v>
      </c>
    </row>
    <row r="17" spans="1:15" x14ac:dyDescent="0.45">
      <c r="A17">
        <v>80001</v>
      </c>
      <c r="B17">
        <v>85000</v>
      </c>
      <c r="C17" s="6">
        <v>11808870467</v>
      </c>
      <c r="D17" s="6">
        <v>143150</v>
      </c>
      <c r="E17" s="7">
        <f t="shared" si="6"/>
        <v>82492.98265455816</v>
      </c>
      <c r="F17" s="8">
        <f>SUM($D$4:D17)/$D$32</f>
        <v>0.73721147792532737</v>
      </c>
      <c r="G17" s="8">
        <f>SUM($C$4:C17)/$C$32</f>
        <v>0.43904494627960178</v>
      </c>
      <c r="H17" s="13">
        <f t="shared" si="0"/>
        <v>0.53846153846153832</v>
      </c>
      <c r="I17" s="13">
        <f t="shared" si="1"/>
        <v>0.53846153846153832</v>
      </c>
      <c r="J17" s="8">
        <f t="shared" si="4"/>
        <v>5.2995312593044966E-4</v>
      </c>
      <c r="K17" s="8">
        <f t="shared" si="5"/>
        <v>1.2037888617022138E-2</v>
      </c>
      <c r="L17" s="18">
        <f>SUM(D17:$D$29)</f>
        <v>1404131</v>
      </c>
      <c r="M17" s="16">
        <f t="shared" si="2"/>
        <v>0.29262099134660413</v>
      </c>
      <c r="N17" s="9">
        <f>SUM(C17:$C$29)</f>
        <v>198257060565</v>
      </c>
      <c r="O17" s="17">
        <f t="shared" si="3"/>
        <v>0.59648366659516738</v>
      </c>
    </row>
    <row r="18" spans="1:15" x14ac:dyDescent="0.45">
      <c r="A18">
        <v>85001</v>
      </c>
      <c r="B18">
        <v>90000</v>
      </c>
      <c r="C18" s="6">
        <v>11258556400</v>
      </c>
      <c r="D18" s="6">
        <v>128672</v>
      </c>
      <c r="E18" s="7">
        <f t="shared" si="6"/>
        <v>87498.106814225321</v>
      </c>
      <c r="F18" s="8">
        <f>SUM($D$4:D18)/$D$32</f>
        <v>0.76402673105950802</v>
      </c>
      <c r="G18" s="8">
        <f>SUM($C$4:C18)/$C$32</f>
        <v>0.47291786350586495</v>
      </c>
      <c r="H18" s="13">
        <f t="shared" si="0"/>
        <v>0.57692307692307676</v>
      </c>
      <c r="I18" s="13">
        <f t="shared" si="1"/>
        <v>0.57692307692307676</v>
      </c>
      <c r="J18" s="8">
        <f t="shared" si="4"/>
        <v>4.5415542490769771E-4</v>
      </c>
      <c r="K18" s="8">
        <f t="shared" si="5"/>
        <v>1.1773101371770267E-2</v>
      </c>
      <c r="L18" s="18">
        <f>SUM(D18:$D$29)</f>
        <v>1260981</v>
      </c>
      <c r="M18" s="16">
        <f t="shared" si="2"/>
        <v>0.26278852207467268</v>
      </c>
      <c r="N18" s="9">
        <f>SUM(C18:$C$29)</f>
        <v>186448190098</v>
      </c>
      <c r="O18" s="17">
        <f t="shared" si="3"/>
        <v>0.56095505372039822</v>
      </c>
    </row>
    <row r="19" spans="1:15" x14ac:dyDescent="0.45">
      <c r="A19">
        <v>90001</v>
      </c>
      <c r="B19">
        <v>95000</v>
      </c>
      <c r="C19" s="6">
        <v>10826696085</v>
      </c>
      <c r="D19" s="6">
        <v>117057</v>
      </c>
      <c r="E19" s="7">
        <f t="shared" si="6"/>
        <v>92490.804351726081</v>
      </c>
      <c r="F19" s="8">
        <f>SUM($D$4:D19)/$D$32</f>
        <v>0.7884214174413765</v>
      </c>
      <c r="G19" s="8">
        <f>SUM($C$4:C19)/$C$32</f>
        <v>0.50549146950752899</v>
      </c>
      <c r="H19" s="13">
        <f t="shared" si="0"/>
        <v>0.6153846153846152</v>
      </c>
      <c r="I19" s="13">
        <f t="shared" si="1"/>
        <v>0.6153846153846152</v>
      </c>
      <c r="J19" s="8">
        <f t="shared" si="4"/>
        <v>3.973114513685715E-4</v>
      </c>
      <c r="K19" s="8">
        <f t="shared" si="5"/>
        <v>1.1536682964608861E-2</v>
      </c>
      <c r="L19" s="18">
        <f>SUM(D19:$D$29)</f>
        <v>1132309</v>
      </c>
      <c r="M19" s="16">
        <f t="shared" si="2"/>
        <v>0.23597326894049198</v>
      </c>
      <c r="N19" s="9">
        <f>SUM(C19:$C$29)</f>
        <v>175189633698</v>
      </c>
      <c r="O19" s="17">
        <f t="shared" si="3"/>
        <v>0.52708213649413505</v>
      </c>
    </row>
    <row r="20" spans="1:15" x14ac:dyDescent="0.45">
      <c r="A20">
        <v>95001</v>
      </c>
      <c r="B20">
        <v>100000</v>
      </c>
      <c r="C20" s="6">
        <v>10297564802</v>
      </c>
      <c r="D20" s="6">
        <v>105622</v>
      </c>
      <c r="E20" s="7">
        <f t="shared" si="6"/>
        <v>97494.50684516484</v>
      </c>
      <c r="F20" s="8">
        <f>SUM($D$4:D20)/$D$32</f>
        <v>0.81043304908259162</v>
      </c>
      <c r="G20" s="8">
        <f>SUM($C$4:C20)/$C$32</f>
        <v>0.5364731111832084</v>
      </c>
      <c r="H20" s="13">
        <f t="shared" si="0"/>
        <v>0.65384615384615363</v>
      </c>
      <c r="I20" s="13">
        <f t="shared" si="1"/>
        <v>0.65384615384615363</v>
      </c>
      <c r="J20" s="8">
        <f t="shared" si="4"/>
        <v>3.4097824210258681E-4</v>
      </c>
      <c r="K20" s="8">
        <f t="shared" si="5"/>
        <v>1.112669202457625E-2</v>
      </c>
      <c r="L20" s="18">
        <f>SUM(D20:$D$29)</f>
        <v>1015252</v>
      </c>
      <c r="M20" s="16">
        <f t="shared" si="2"/>
        <v>0.21157858255862347</v>
      </c>
      <c r="N20" s="9">
        <f>SUM(C20:$C$29)</f>
        <v>164362937613</v>
      </c>
      <c r="O20" s="17">
        <f t="shared" si="3"/>
        <v>0.49450853049247107</v>
      </c>
    </row>
    <row r="21" spans="1:15" x14ac:dyDescent="0.45">
      <c r="A21">
        <v>100001</v>
      </c>
      <c r="B21">
        <v>120000</v>
      </c>
      <c r="C21" s="6">
        <v>35198017810</v>
      </c>
      <c r="D21" s="6">
        <v>322166</v>
      </c>
      <c r="E21" s="7">
        <f t="shared" si="6"/>
        <v>109254.29067623524</v>
      </c>
      <c r="F21" s="8">
        <f>SUM($D$4:D21)/$D$32</f>
        <v>0.87757246434952196</v>
      </c>
      <c r="G21" s="8">
        <f>SUM($C$4:C21)/$C$32</f>
        <v>0.64237119451178382</v>
      </c>
      <c r="H21" s="13">
        <f t="shared" si="0"/>
        <v>0.69230769230769207</v>
      </c>
      <c r="I21" s="13">
        <f t="shared" si="1"/>
        <v>0.69230769230769207</v>
      </c>
      <c r="J21" s="8">
        <f t="shared" si="4"/>
        <v>3.5549676962846094E-3</v>
      </c>
      <c r="K21" s="8">
        <f t="shared" si="5"/>
        <v>3.6018490991271523E-2</v>
      </c>
      <c r="L21" s="18">
        <f>SUM(D21:$D$29)</f>
        <v>909630</v>
      </c>
      <c r="M21" s="16">
        <f t="shared" si="2"/>
        <v>0.18956695091740836</v>
      </c>
      <c r="N21" s="9">
        <f>SUM(C21:$C$29)</f>
        <v>154065372811</v>
      </c>
      <c r="O21" s="17">
        <f t="shared" si="3"/>
        <v>0.46352688881679166</v>
      </c>
    </row>
    <row r="22" spans="1:15" x14ac:dyDescent="0.45">
      <c r="A22">
        <v>120001</v>
      </c>
      <c r="B22">
        <v>150000</v>
      </c>
      <c r="C22" s="6">
        <v>34844789253</v>
      </c>
      <c r="D22" s="6">
        <v>261644</v>
      </c>
      <c r="E22" s="7">
        <f t="shared" si="6"/>
        <v>133176.33598706638</v>
      </c>
      <c r="F22" s="8">
        <f>SUM($D$4:D22)/$D$32</f>
        <v>0.93209909089639742</v>
      </c>
      <c r="G22" s="8">
        <f>SUM($C$4:C22)/$C$32</f>
        <v>0.74720654108725182</v>
      </c>
      <c r="H22" s="13">
        <f t="shared" si="0"/>
        <v>0.7307692307692305</v>
      </c>
      <c r="I22" s="13">
        <f t="shared" si="1"/>
        <v>0.7307692307692305</v>
      </c>
      <c r="J22" s="8">
        <f t="shared" si="4"/>
        <v>2.8581588958164011E-3</v>
      </c>
      <c r="K22" s="8">
        <f t="shared" si="5"/>
        <v>3.5026334227614329E-2</v>
      </c>
      <c r="L22" s="18">
        <f>SUM(D22:$D$29)</f>
        <v>587464</v>
      </c>
      <c r="M22" s="16">
        <f t="shared" si="2"/>
        <v>0.12242753565047808</v>
      </c>
      <c r="N22" s="9">
        <f>SUM(C22:$C$29)</f>
        <v>118867355001</v>
      </c>
      <c r="O22" s="17">
        <f t="shared" si="3"/>
        <v>0.35762880548821618</v>
      </c>
    </row>
    <row r="23" spans="1:15" x14ac:dyDescent="0.45">
      <c r="A23">
        <v>150001</v>
      </c>
      <c r="B23">
        <v>200000</v>
      </c>
      <c r="C23" s="6">
        <v>30126171456</v>
      </c>
      <c r="D23" s="6">
        <v>176681</v>
      </c>
      <c r="E23" s="7">
        <f t="shared" si="6"/>
        <v>170511.66484228638</v>
      </c>
      <c r="F23" s="8">
        <f>SUM($D$4:D23)/$D$32</f>
        <v>0.96891942274015663</v>
      </c>
      <c r="G23" s="8">
        <f>SUM($C$4:C23)/$C$32</f>
        <v>0.83784527626943728</v>
      </c>
      <c r="H23" s="13">
        <f t="shared" si="0"/>
        <v>0.76923076923076894</v>
      </c>
      <c r="I23" s="13">
        <f t="shared" si="1"/>
        <v>0.76923076923076894</v>
      </c>
      <c r="J23" s="8">
        <f t="shared" si="4"/>
        <v>1.6686741536533409E-3</v>
      </c>
      <c r="K23" s="8">
        <f t="shared" si="5"/>
        <v>2.7512392798660114E-2</v>
      </c>
      <c r="L23" s="18">
        <f>SUM(D23:$D$29)</f>
        <v>325820</v>
      </c>
      <c r="M23" s="16">
        <f t="shared" si="2"/>
        <v>6.7900909103602552E-2</v>
      </c>
      <c r="N23" s="9">
        <f>SUM(C23:$C$29)</f>
        <v>84022565748</v>
      </c>
      <c r="O23" s="17">
        <f t="shared" si="3"/>
        <v>0.25279345891274818</v>
      </c>
    </row>
    <row r="24" spans="1:15" x14ac:dyDescent="0.45">
      <c r="A24">
        <v>200001</v>
      </c>
      <c r="B24">
        <v>300000</v>
      </c>
      <c r="C24" s="6">
        <v>22634114385</v>
      </c>
      <c r="D24" s="6">
        <v>95219</v>
      </c>
      <c r="E24" s="7">
        <f t="shared" si="6"/>
        <v>237705.86106764406</v>
      </c>
      <c r="F24" s="8">
        <f>SUM($D$4:D24)/$D$32</f>
        <v>0.98876306850756168</v>
      </c>
      <c r="G24" s="8">
        <f>SUM($C$4:C24)/$C$32</f>
        <v>0.90594312610148842</v>
      </c>
      <c r="H24" s="13">
        <f t="shared" si="0"/>
        <v>0.80769230769230738</v>
      </c>
      <c r="I24" s="13">
        <f t="shared" si="1"/>
        <v>0.80769230769230738</v>
      </c>
      <c r="J24" s="8">
        <f t="shared" si="4"/>
        <v>6.7565480479458311E-4</v>
      </c>
      <c r="K24" s="8">
        <f t="shared" si="5"/>
        <v>1.6625904870184335E-2</v>
      </c>
      <c r="L24" s="18">
        <f>SUM(D24:$D$29)</f>
        <v>149139</v>
      </c>
      <c r="M24" s="16">
        <f t="shared" si="2"/>
        <v>3.1080577259843412E-2</v>
      </c>
      <c r="N24" s="9">
        <f>SUM(C24:$C$29)</f>
        <v>53896394292</v>
      </c>
      <c r="O24" s="17">
        <f t="shared" si="3"/>
        <v>0.16215472373056269</v>
      </c>
    </row>
    <row r="25" spans="1:15" x14ac:dyDescent="0.45">
      <c r="A25">
        <v>300001</v>
      </c>
      <c r="B25">
        <v>400000</v>
      </c>
      <c r="C25" s="6">
        <v>9090224094</v>
      </c>
      <c r="D25" s="6">
        <v>26610</v>
      </c>
      <c r="E25" s="7">
        <f t="shared" si="6"/>
        <v>341609.32333709131</v>
      </c>
      <c r="F25" s="8">
        <f>SUM($D$4:D25)/$D$32</f>
        <v>0.99430859423111106</v>
      </c>
      <c r="G25" s="8">
        <f>SUM($C$4:C25)/$C$32</f>
        <v>0.93329231700701554</v>
      </c>
      <c r="H25" s="13">
        <f t="shared" si="0"/>
        <v>0.84615384615384581</v>
      </c>
      <c r="I25" s="13">
        <f t="shared" si="1"/>
        <v>0.84615384615384581</v>
      </c>
      <c r="J25" s="8">
        <f t="shared" si="4"/>
        <v>7.5832820842431747E-5</v>
      </c>
      <c r="K25" s="8">
        <f t="shared" si="5"/>
        <v>5.0239309098685462E-3</v>
      </c>
      <c r="L25" s="18">
        <f>SUM(D25:$D$29)</f>
        <v>53920</v>
      </c>
      <c r="M25" s="16">
        <f t="shared" si="2"/>
        <v>1.1236931492438307E-2</v>
      </c>
      <c r="N25" s="9">
        <f>SUM(C25:$C$29)</f>
        <v>31262279907</v>
      </c>
      <c r="O25" s="17">
        <f t="shared" si="3"/>
        <v>9.4056873898511625E-2</v>
      </c>
    </row>
    <row r="26" spans="1:15" x14ac:dyDescent="0.45">
      <c r="A26">
        <v>400001</v>
      </c>
      <c r="B26">
        <v>500000</v>
      </c>
      <c r="C26" s="6">
        <v>4815382270</v>
      </c>
      <c r="D26" s="6">
        <v>10859</v>
      </c>
      <c r="E26" s="7">
        <f t="shared" si="6"/>
        <v>443446.19854498573</v>
      </c>
      <c r="F26" s="8">
        <f>SUM($D$4:D26)/$D$32</f>
        <v>0.99657161053445653</v>
      </c>
      <c r="G26" s="8">
        <f>SUM($C$4:C26)/$C$32</f>
        <v>0.9477800576417319</v>
      </c>
      <c r="H26" s="13">
        <f t="shared" si="0"/>
        <v>0.88461538461538425</v>
      </c>
      <c r="I26" s="13">
        <f t="shared" si="1"/>
        <v>0.88461538461538425</v>
      </c>
      <c r="J26" s="8">
        <f>((F26-F25)*(G26-G25))/2</f>
        <v>1.6392996627501861E-5</v>
      </c>
      <c r="K26" s="8">
        <f t="shared" si="5"/>
        <v>2.1120557291739415E-3</v>
      </c>
      <c r="L26" s="18">
        <f>SUM(D26:$D$29)</f>
        <v>27310</v>
      </c>
      <c r="M26" s="16">
        <f t="shared" si="2"/>
        <v>5.6914057688889127E-3</v>
      </c>
      <c r="N26" s="9">
        <f>SUM(C26:$C$29)</f>
        <v>22172055813</v>
      </c>
      <c r="O26" s="17">
        <f t="shared" si="3"/>
        <v>6.6707682992984421E-2</v>
      </c>
    </row>
    <row r="27" spans="1:15" x14ac:dyDescent="0.45">
      <c r="A27">
        <v>500001</v>
      </c>
      <c r="B27">
        <v>1000000</v>
      </c>
      <c r="C27" s="6">
        <v>8271363098</v>
      </c>
      <c r="D27" s="6">
        <v>12535</v>
      </c>
      <c r="E27" s="7">
        <f t="shared" si="6"/>
        <v>659861.43581970478</v>
      </c>
      <c r="F27" s="8">
        <f>SUM($D$4:D27)/$D$32</f>
        <v>0.99918390534635781</v>
      </c>
      <c r="G27" s="8">
        <f>SUM($C$4:C27)/$C$32</f>
        <v>0.97266559248409601</v>
      </c>
      <c r="H27" s="13">
        <f t="shared" si="0"/>
        <v>0.92307692307692268</v>
      </c>
      <c r="I27" s="13">
        <f t="shared" si="1"/>
        <v>0.92307692307692268</v>
      </c>
      <c r="J27" s="8">
        <f t="shared" si="4"/>
        <v>3.2504176780048193E-5</v>
      </c>
      <c r="K27" s="8">
        <f t="shared" si="5"/>
        <v>2.4758809274009956E-3</v>
      </c>
      <c r="L27" s="18">
        <f>SUM(D27:$D$29)</f>
        <v>16451</v>
      </c>
      <c r="M27" s="16">
        <f t="shared" si="2"/>
        <v>3.4283894655434458E-3</v>
      </c>
      <c r="N27" s="9">
        <f>SUM(C27:$C$29)</f>
        <v>17356673543</v>
      </c>
      <c r="O27" s="17">
        <f t="shared" si="3"/>
        <v>5.2219942358268129E-2</v>
      </c>
    </row>
    <row r="28" spans="1:15" x14ac:dyDescent="0.45">
      <c r="A28">
        <v>1000001</v>
      </c>
      <c r="B28">
        <v>2000000</v>
      </c>
      <c r="C28" s="6">
        <v>3742897350</v>
      </c>
      <c r="D28" s="6">
        <v>2797</v>
      </c>
      <c r="E28" s="7">
        <f t="shared" si="6"/>
        <v>1338182.8208795139</v>
      </c>
      <c r="F28" s="8">
        <f>SUM($D$4:D28)/$D$32</f>
        <v>0.99976680032752152</v>
      </c>
      <c r="G28" s="8">
        <f>SUM($C$4:C28)/$C$32</f>
        <v>0.98392661455642405</v>
      </c>
      <c r="H28" s="13">
        <f t="shared" si="0"/>
        <v>0.96153846153846112</v>
      </c>
      <c r="I28" s="13">
        <f t="shared" si="1"/>
        <v>0.96153846153846112</v>
      </c>
      <c r="J28" s="8">
        <f t="shared" si="4"/>
        <v>3.2819966243668675E-6</v>
      </c>
      <c r="K28" s="8">
        <f t="shared" si="5"/>
        <v>5.6696189220960236E-4</v>
      </c>
      <c r="L28" s="18">
        <f>SUM(D28:$D$29)</f>
        <v>3916</v>
      </c>
      <c r="M28" s="16">
        <f t="shared" si="2"/>
        <v>8.1609465364221832E-4</v>
      </c>
      <c r="N28" s="9">
        <f>SUM(C28:$C$29)</f>
        <v>9085310445</v>
      </c>
      <c r="O28" s="17">
        <f t="shared" si="3"/>
        <v>2.7334407515904005E-2</v>
      </c>
    </row>
    <row r="29" spans="1:15" x14ac:dyDescent="0.45">
      <c r="A29">
        <v>2000001</v>
      </c>
      <c r="B29" t="s">
        <v>22</v>
      </c>
      <c r="C29" s="6">
        <v>5342413095</v>
      </c>
      <c r="D29" s="6">
        <v>1119</v>
      </c>
      <c r="E29" s="7">
        <f t="shared" si="6"/>
        <v>4774274.4369973186</v>
      </c>
      <c r="F29" s="8">
        <f>SUM($D$4:D29)/$D$32</f>
        <v>1</v>
      </c>
      <c r="G29" s="8">
        <f>SUM($C$4:C29)/$C$32</f>
        <v>1</v>
      </c>
      <c r="H29" s="13">
        <f t="shared" si="0"/>
        <v>0.99999999999999956</v>
      </c>
      <c r="I29" s="13">
        <f t="shared" si="1"/>
        <v>0.99999999999999956</v>
      </c>
      <c r="J29" s="8">
        <f>((F29-F28)*(G29-G28))/2</f>
        <v>1.8741541105311322E-6</v>
      </c>
      <c r="K29" s="8">
        <f t="shared" si="5"/>
        <v>2.294513642574168E-4</v>
      </c>
      <c r="L29" s="18">
        <f>SUM(D29:$D$29)</f>
        <v>1119</v>
      </c>
      <c r="M29" s="16">
        <f t="shared" si="2"/>
        <v>2.3319967247845821E-4</v>
      </c>
      <c r="N29" s="9">
        <f>SUM(C29:$C$29)</f>
        <v>5342413095</v>
      </c>
      <c r="O29" s="17">
        <f t="shared" si="3"/>
        <v>1.6073385443575998E-2</v>
      </c>
    </row>
    <row r="30" spans="1:15" x14ac:dyDescent="0.45">
      <c r="B30" t="s">
        <v>23</v>
      </c>
      <c r="C30" s="6">
        <v>332376344346</v>
      </c>
      <c r="D30" s="6">
        <v>4798463</v>
      </c>
      <c r="E30" s="7">
        <f>C30/D30</f>
        <v>69267.251689968223</v>
      </c>
      <c r="F30" s="8"/>
      <c r="G30" s="8"/>
      <c r="H30" s="13"/>
      <c r="I30" s="13"/>
      <c r="J30" s="8"/>
      <c r="K30" s="8"/>
    </row>
    <row r="31" spans="1:15" x14ac:dyDescent="0.45">
      <c r="N31" t="s">
        <v>25</v>
      </c>
      <c r="O31" s="10" t="e">
        <f>#REF!+((#REF!-#REF!)*(0.001-#REF!)/(#REF!-#REF!))</f>
        <v>#REF!</v>
      </c>
    </row>
    <row r="32" spans="1:15" x14ac:dyDescent="0.45">
      <c r="B32" t="s">
        <v>14</v>
      </c>
      <c r="C32" s="9">
        <f>SUM(C4:C29)</f>
        <v>332376344346</v>
      </c>
      <c r="D32" s="9">
        <f>SUM(D4:D29)</f>
        <v>4798463</v>
      </c>
      <c r="I32" t="s">
        <v>15</v>
      </c>
      <c r="J32" s="8">
        <f>SUM(J5:J30)</f>
        <v>1.9372463865715183E-2</v>
      </c>
      <c r="N32" t="s">
        <v>17</v>
      </c>
      <c r="O32" s="10">
        <f>O27+((O26-O27)*(0.01-M27)/(M26-M27))</f>
        <v>9.4291132404414987E-2</v>
      </c>
    </row>
    <row r="33" spans="9:10" x14ac:dyDescent="0.45">
      <c r="I33" t="s">
        <v>16</v>
      </c>
      <c r="J33" s="8">
        <f>SUM(K5:K30)</f>
        <v>0.25720121848286576</v>
      </c>
    </row>
    <row r="34" spans="9:10" x14ac:dyDescent="0.45">
      <c r="I34" t="s">
        <v>18</v>
      </c>
      <c r="J34" s="8">
        <f>J32+J33</f>
        <v>0.27657368234858093</v>
      </c>
    </row>
    <row r="35" spans="9:10" x14ac:dyDescent="0.45">
      <c r="I35" t="s">
        <v>19</v>
      </c>
      <c r="J35" s="8">
        <f>1-(2*J34)</f>
        <v>0.44685263530283814</v>
      </c>
    </row>
  </sheetData>
  <mergeCells count="3">
    <mergeCell ref="F1:I1"/>
    <mergeCell ref="J1:K1"/>
    <mergeCell ref="L1: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79C0-D56A-4054-A52D-D30424BA6045}">
  <dimension ref="A1:X32"/>
  <sheetViews>
    <sheetView workbookViewId="0">
      <selection activeCell="J17" sqref="J17"/>
    </sheetView>
  </sheetViews>
  <sheetFormatPr baseColWidth="10" defaultRowHeight="14.25" x14ac:dyDescent="0.45"/>
  <cols>
    <col min="3" max="3" width="14.1328125" bestFit="1" customWidth="1"/>
    <col min="7" max="7" width="19.6640625" customWidth="1"/>
    <col min="9" max="9" width="12.33203125" bestFit="1" customWidth="1"/>
  </cols>
  <sheetData>
    <row r="1" spans="1:24" ht="57.4" thickBot="1" x14ac:dyDescent="0.5">
      <c r="A1" s="1" t="s">
        <v>0</v>
      </c>
      <c r="B1" s="1" t="s">
        <v>1</v>
      </c>
      <c r="C1" s="1" t="s">
        <v>24</v>
      </c>
      <c r="D1" s="1" t="s">
        <v>2</v>
      </c>
      <c r="E1" s="1" t="s">
        <v>3</v>
      </c>
      <c r="G1" s="43" t="s">
        <v>67</v>
      </c>
      <c r="H1" s="44"/>
      <c r="I1" s="45"/>
    </row>
    <row r="2" spans="1:24" ht="43.15" thickBot="1" x14ac:dyDescent="0.5">
      <c r="A2" s="1"/>
      <c r="B2" s="1"/>
      <c r="C2" s="1"/>
      <c r="D2" s="1"/>
      <c r="E2" s="1"/>
      <c r="G2" s="31" t="s">
        <v>64</v>
      </c>
      <c r="H2" s="32" t="s">
        <v>65</v>
      </c>
      <c r="I2" s="33" t="s">
        <v>66</v>
      </c>
      <c r="K2" s="28" t="s">
        <v>69</v>
      </c>
      <c r="R2" s="46" t="s">
        <v>68</v>
      </c>
      <c r="S2" s="46"/>
      <c r="T2" s="46"/>
      <c r="U2" s="46"/>
      <c r="V2" s="46"/>
      <c r="W2" s="46"/>
      <c r="X2" s="46"/>
    </row>
    <row r="3" spans="1:24" x14ac:dyDescent="0.45">
      <c r="A3" s="1">
        <v>0</v>
      </c>
      <c r="B3" s="1">
        <v>20000</v>
      </c>
      <c r="C3" s="11">
        <v>6349766510</v>
      </c>
      <c r="D3" s="1">
        <v>829909</v>
      </c>
      <c r="E3" s="1">
        <f>C3/D3</f>
        <v>7651.1599585014746</v>
      </c>
      <c r="G3" s="35">
        <f>D3/D$29</f>
        <v>0.17295308935382017</v>
      </c>
      <c r="H3" s="35">
        <f>C3/C$29</f>
        <v>1.9104146904600303E-2</v>
      </c>
      <c r="I3" s="34">
        <f>H3*(LN(H3)- LN(G3))</f>
        <v>-4.2088632053942511E-2</v>
      </c>
      <c r="J3">
        <f>D3/D29</f>
        <v>0.17295308935382017</v>
      </c>
      <c r="K3">
        <f>I3</f>
        <v>-4.2088632053942511E-2</v>
      </c>
      <c r="R3" s="46"/>
      <c r="S3" s="46"/>
      <c r="T3" s="46"/>
      <c r="U3" s="46"/>
      <c r="V3" s="46"/>
      <c r="W3" s="46"/>
      <c r="X3" s="46"/>
    </row>
    <row r="4" spans="1:24" x14ac:dyDescent="0.45">
      <c r="A4">
        <v>20001</v>
      </c>
      <c r="B4">
        <v>25000</v>
      </c>
      <c r="C4" s="6">
        <v>4151842183</v>
      </c>
      <c r="D4" s="6">
        <v>183743</v>
      </c>
      <c r="E4" s="7">
        <f>C4/D4</f>
        <v>22595.920296283395</v>
      </c>
      <c r="G4" s="36">
        <f>D4/D$29</f>
        <v>3.8292053101170107E-2</v>
      </c>
      <c r="H4" s="36">
        <f t="shared" ref="H4:H27" si="0">C4/C$29</f>
        <v>1.2491388913881246E-2</v>
      </c>
      <c r="I4" s="29">
        <f t="shared" ref="I4:I28" si="1">H4*(LN(H4)- LN(G4))</f>
        <v>-1.3992889634159102E-2</v>
      </c>
      <c r="J4">
        <f>SUM(D$3:D4)/D$29</f>
        <v>0.21124514245499026</v>
      </c>
      <c r="K4">
        <f>SUM($I$3:I4)</f>
        <v>-5.6081521688101613E-2</v>
      </c>
      <c r="R4" s="46"/>
      <c r="S4" s="46"/>
      <c r="T4" s="46"/>
      <c r="U4" s="46"/>
      <c r="V4" s="46"/>
      <c r="W4" s="46"/>
      <c r="X4" s="46"/>
    </row>
    <row r="5" spans="1:24" x14ac:dyDescent="0.45">
      <c r="A5">
        <v>25001</v>
      </c>
      <c r="B5">
        <v>30000</v>
      </c>
      <c r="C5" s="6">
        <v>5291945333</v>
      </c>
      <c r="D5" s="6">
        <v>192048</v>
      </c>
      <c r="E5" s="7">
        <f>C5/D5</f>
        <v>27555.326444430561</v>
      </c>
      <c r="G5" s="36">
        <f t="shared" ref="G5:G27" si="2">D5/D$29</f>
        <v>4.0022815639091103E-2</v>
      </c>
      <c r="H5" s="36">
        <f t="shared" si="0"/>
        <v>1.592154623221665E-2</v>
      </c>
      <c r="I5" s="29">
        <f>H5*(LN(H5)- LN(G5))</f>
        <v>-1.4676105276062229E-2</v>
      </c>
      <c r="J5">
        <f>SUM(D$3:D5)/D$29</f>
        <v>0.25126795809408137</v>
      </c>
      <c r="K5">
        <f>SUM($I$3:I5)</f>
        <v>-7.0757626964163836E-2</v>
      </c>
      <c r="R5" s="46"/>
      <c r="S5" s="46"/>
      <c r="T5" s="46"/>
      <c r="U5" s="46"/>
      <c r="V5" s="46"/>
      <c r="W5" s="46"/>
      <c r="X5" s="46"/>
    </row>
    <row r="6" spans="1:24" x14ac:dyDescent="0.45">
      <c r="A6">
        <v>30001</v>
      </c>
      <c r="B6">
        <v>35000</v>
      </c>
      <c r="C6" s="6">
        <v>6107930981</v>
      </c>
      <c r="D6" s="6">
        <v>187369</v>
      </c>
      <c r="E6" s="7">
        <f t="shared" ref="E6:E28" si="3">C6/D6</f>
        <v>32598.407319247046</v>
      </c>
      <c r="G6" s="36">
        <f t="shared" si="2"/>
        <v>3.9047711736028806E-2</v>
      </c>
      <c r="H6" s="36">
        <f t="shared" si="0"/>
        <v>1.8376551414987924E-2</v>
      </c>
      <c r="I6" s="29">
        <f t="shared" si="1"/>
        <v>-1.3850568588215303E-2</v>
      </c>
      <c r="J6">
        <f>SUM(D$3:D6)/D$29</f>
        <v>0.2903156698301102</v>
      </c>
      <c r="K6">
        <f>SUM($I$3:I6)</f>
        <v>-8.460819555237914E-2</v>
      </c>
      <c r="R6" s="46"/>
      <c r="S6" s="46"/>
      <c r="T6" s="46"/>
      <c r="U6" s="46"/>
      <c r="V6" s="46"/>
      <c r="W6" s="46"/>
      <c r="X6" s="46"/>
    </row>
    <row r="7" spans="1:24" x14ac:dyDescent="0.45">
      <c r="A7">
        <v>35001</v>
      </c>
      <c r="B7">
        <v>40000</v>
      </c>
      <c r="C7" s="6">
        <v>7995819174</v>
      </c>
      <c r="D7" s="6">
        <v>212579</v>
      </c>
      <c r="E7" s="7">
        <f t="shared" si="3"/>
        <v>37613.401013270362</v>
      </c>
      <c r="G7" s="36">
        <f t="shared" si="2"/>
        <v>4.4301477368899167E-2</v>
      </c>
      <c r="H7" s="36">
        <f t="shared" si="0"/>
        <v>2.405652300476728E-2</v>
      </c>
      <c r="I7" s="29">
        <f t="shared" si="1"/>
        <v>-1.4689197754153411E-2</v>
      </c>
      <c r="J7">
        <f>SUM(D$3:D7)/D$29</f>
        <v>0.33461714719900937</v>
      </c>
      <c r="K7">
        <f>SUM($I$3:I7)</f>
        <v>-9.9297393306532547E-2</v>
      </c>
      <c r="R7" s="46"/>
      <c r="S7" s="46"/>
      <c r="T7" s="46"/>
      <c r="U7" s="46"/>
      <c r="V7" s="46"/>
      <c r="W7" s="46"/>
      <c r="X7" s="46"/>
    </row>
    <row r="8" spans="1:24" x14ac:dyDescent="0.45">
      <c r="A8">
        <v>40001</v>
      </c>
      <c r="B8">
        <v>45000</v>
      </c>
      <c r="C8" s="6">
        <v>10504805664</v>
      </c>
      <c r="D8" s="6">
        <v>246666</v>
      </c>
      <c r="E8" s="7">
        <f>C8/D8</f>
        <v>42587.165089635375</v>
      </c>
      <c r="G8" s="36">
        <f t="shared" si="2"/>
        <v>5.1405210376739383E-2</v>
      </c>
      <c r="H8" s="36">
        <f t="shared" si="0"/>
        <v>3.1605154345956149E-2</v>
      </c>
      <c r="I8" s="29">
        <f t="shared" si="1"/>
        <v>-1.5373357591131214E-2</v>
      </c>
      <c r="J8">
        <f>SUM(D$3:D8)/D$29</f>
        <v>0.38602235757574871</v>
      </c>
      <c r="K8">
        <f>SUM($I$3:I8)</f>
        <v>-0.11467075089766376</v>
      </c>
      <c r="R8" s="46"/>
      <c r="S8" s="46"/>
      <c r="T8" s="46"/>
      <c r="U8" s="46"/>
      <c r="V8" s="46"/>
      <c r="W8" s="46"/>
      <c r="X8" s="46"/>
    </row>
    <row r="9" spans="1:24" x14ac:dyDescent="0.45">
      <c r="A9">
        <v>45001</v>
      </c>
      <c r="B9">
        <v>50000</v>
      </c>
      <c r="C9" s="6">
        <v>12652575879</v>
      </c>
      <c r="D9" s="6">
        <v>265973</v>
      </c>
      <c r="E9" s="7">
        <f t="shared" si="3"/>
        <v>47570.903358611591</v>
      </c>
      <c r="G9" s="36">
        <f t="shared" si="2"/>
        <v>5.5428790427268067E-2</v>
      </c>
      <c r="H9" s="36">
        <f t="shared" si="0"/>
        <v>3.8067016784530283E-2</v>
      </c>
      <c r="I9" s="29">
        <f t="shared" si="1"/>
        <v>-1.4303717170918728E-2</v>
      </c>
      <c r="J9">
        <f>SUM(D$3:D9)/D$29</f>
        <v>0.44145114800301682</v>
      </c>
      <c r="K9">
        <f>SUM($I$3:I9)</f>
        <v>-0.12897446806858248</v>
      </c>
      <c r="R9" s="46"/>
      <c r="S9" s="46"/>
      <c r="T9" s="46"/>
      <c r="U9" s="46"/>
      <c r="V9" s="46"/>
      <c r="W9" s="46"/>
      <c r="X9" s="46"/>
    </row>
    <row r="10" spans="1:24" x14ac:dyDescent="0.45">
      <c r="A10">
        <v>50001</v>
      </c>
      <c r="B10">
        <v>55000</v>
      </c>
      <c r="C10" s="6">
        <v>13869964393</v>
      </c>
      <c r="D10" s="6">
        <v>264066</v>
      </c>
      <c r="E10" s="7">
        <f t="shared" si="3"/>
        <v>52524.612759688869</v>
      </c>
      <c r="G10" s="36">
        <f t="shared" si="2"/>
        <v>5.5031371503750266E-2</v>
      </c>
      <c r="H10" s="36">
        <f t="shared" si="0"/>
        <v>4.17296977626107E-2</v>
      </c>
      <c r="I10" s="29">
        <f t="shared" si="1"/>
        <v>-1.1546205167980323E-2</v>
      </c>
      <c r="J10">
        <f>SUM(D$3:D10)/D$29</f>
        <v>0.49648251950676708</v>
      </c>
      <c r="K10">
        <f>SUM($I$3:I10)</f>
        <v>-0.14052067323656281</v>
      </c>
      <c r="R10" s="46"/>
      <c r="S10" s="46"/>
      <c r="T10" s="46"/>
      <c r="U10" s="46"/>
      <c r="V10" s="46"/>
      <c r="W10" s="46"/>
      <c r="X10" s="46"/>
    </row>
    <row r="11" spans="1:24" x14ac:dyDescent="0.45">
      <c r="A11">
        <v>55001</v>
      </c>
      <c r="B11">
        <v>60000</v>
      </c>
      <c r="C11" s="6">
        <v>14281239687</v>
      </c>
      <c r="D11" s="6">
        <v>248279</v>
      </c>
      <c r="E11" s="7">
        <f t="shared" si="3"/>
        <v>57520.93284973759</v>
      </c>
      <c r="G11" s="36">
        <f t="shared" si="2"/>
        <v>5.1741359681214592E-2</v>
      </c>
      <c r="H11" s="36">
        <f t="shared" si="0"/>
        <v>4.2967076116985602E-2</v>
      </c>
      <c r="I11" s="29">
        <f t="shared" si="1"/>
        <v>-7.9842840818468257E-3</v>
      </c>
      <c r="J11">
        <f>SUM(D$3:D11)/D$29</f>
        <v>0.54822387918798166</v>
      </c>
      <c r="K11">
        <f>SUM($I$3:I11)</f>
        <v>-0.14850495731840962</v>
      </c>
      <c r="R11" s="46"/>
      <c r="S11" s="46"/>
      <c r="T11" s="46"/>
      <c r="U11" s="46"/>
      <c r="V11" s="46"/>
      <c r="W11" s="46"/>
      <c r="X11" s="46"/>
    </row>
    <row r="12" spans="1:24" x14ac:dyDescent="0.45">
      <c r="A12">
        <v>60001</v>
      </c>
      <c r="B12">
        <v>65000</v>
      </c>
      <c r="C12" s="6">
        <v>14026365151</v>
      </c>
      <c r="D12" s="6">
        <v>224425</v>
      </c>
      <c r="E12" s="7">
        <f t="shared" si="3"/>
        <v>62499.12064609558</v>
      </c>
      <c r="G12" s="36">
        <f t="shared" si="2"/>
        <v>4.6770184536173355E-2</v>
      </c>
      <c r="H12" s="36">
        <f t="shared" si="0"/>
        <v>4.2200250979349818E-2</v>
      </c>
      <c r="I12" s="29">
        <f t="shared" si="1"/>
        <v>-4.3390192108020186E-3</v>
      </c>
      <c r="J12">
        <f>SUM(D$3:D12)/D$29</f>
        <v>0.59499406372415498</v>
      </c>
      <c r="K12">
        <f>SUM($I$3:I12)</f>
        <v>-0.15284397652921164</v>
      </c>
      <c r="R12" s="46"/>
      <c r="S12" s="46"/>
      <c r="T12" s="46"/>
      <c r="U12" s="46"/>
      <c r="V12" s="46"/>
      <c r="W12" s="46"/>
      <c r="X12" s="46"/>
    </row>
    <row r="13" spans="1:24" x14ac:dyDescent="0.45">
      <c r="A13">
        <v>65001</v>
      </c>
      <c r="B13">
        <v>70000</v>
      </c>
      <c r="C13" s="6">
        <v>13573913715</v>
      </c>
      <c r="D13" s="6">
        <v>201115</v>
      </c>
      <c r="E13" s="7">
        <f t="shared" si="3"/>
        <v>67493.293463938549</v>
      </c>
      <c r="G13" s="36">
        <f t="shared" si="2"/>
        <v>4.1912379026367401E-2</v>
      </c>
      <c r="H13" s="36">
        <f t="shared" si="0"/>
        <v>4.0838988531836401E-2</v>
      </c>
      <c r="I13" s="29">
        <f t="shared" si="1"/>
        <v>-1.0595266803264201E-3</v>
      </c>
      <c r="J13">
        <f>SUM(D$3:D13)/D$29</f>
        <v>0.63690644275052244</v>
      </c>
      <c r="K13">
        <f>SUM($I$3:I13)</f>
        <v>-0.15390350320953805</v>
      </c>
      <c r="R13" s="46"/>
      <c r="S13" s="46"/>
      <c r="T13" s="46"/>
      <c r="U13" s="46"/>
      <c r="V13" s="46"/>
      <c r="W13" s="46"/>
      <c r="X13" s="46"/>
    </row>
    <row r="14" spans="1:24" x14ac:dyDescent="0.45">
      <c r="A14">
        <v>70001</v>
      </c>
      <c r="B14">
        <v>75000</v>
      </c>
      <c r="C14" s="6">
        <v>12943606502</v>
      </c>
      <c r="D14" s="6">
        <v>178545</v>
      </c>
      <c r="E14" s="7">
        <f t="shared" si="3"/>
        <v>72494.92566019771</v>
      </c>
      <c r="G14" s="36">
        <f t="shared" si="2"/>
        <v>3.72087895644918E-2</v>
      </c>
      <c r="H14" s="36">
        <f t="shared" si="0"/>
        <v>3.8942622488578348E-2</v>
      </c>
      <c r="I14" s="29">
        <f t="shared" si="1"/>
        <v>1.7736157508887016E-3</v>
      </c>
      <c r="J14">
        <f>SUM(D$3:D14)/D$29</f>
        <v>0.67411523231501425</v>
      </c>
      <c r="K14">
        <f>SUM($I$3:I14)</f>
        <v>-0.15212988745864936</v>
      </c>
      <c r="R14" s="46"/>
      <c r="S14" s="46"/>
      <c r="T14" s="46"/>
      <c r="U14" s="46"/>
      <c r="V14" s="46"/>
      <c r="W14" s="46"/>
      <c r="X14" s="46"/>
    </row>
    <row r="15" spans="1:24" x14ac:dyDescent="0.45">
      <c r="A15">
        <v>75001</v>
      </c>
      <c r="B15">
        <v>80000</v>
      </c>
      <c r="C15" s="6">
        <v>12369508609</v>
      </c>
      <c r="D15" s="6">
        <v>159615</v>
      </c>
      <c r="E15" s="7">
        <f t="shared" si="3"/>
        <v>77495.903323622464</v>
      </c>
      <c r="G15" s="36">
        <f t="shared" si="2"/>
        <v>3.3263776338381686E-2</v>
      </c>
      <c r="H15" s="36">
        <f t="shared" si="0"/>
        <v>3.7215369924531942E-2</v>
      </c>
      <c r="I15" s="29">
        <f t="shared" si="1"/>
        <v>4.1775309174201074E-3</v>
      </c>
      <c r="J15">
        <f>SUM(D$3:D15)/D$29</f>
        <v>0.70737900865339587</v>
      </c>
      <c r="K15">
        <f>SUM($I$3:I15)</f>
        <v>-0.14795235654122926</v>
      </c>
      <c r="R15" s="46"/>
      <c r="S15" s="46"/>
      <c r="T15" s="46"/>
      <c r="U15" s="46"/>
      <c r="V15" s="46"/>
      <c r="W15" s="46"/>
      <c r="X15" s="46"/>
    </row>
    <row r="16" spans="1:24" x14ac:dyDescent="0.45">
      <c r="A16">
        <v>80001</v>
      </c>
      <c r="B16">
        <v>85000</v>
      </c>
      <c r="C16" s="6">
        <v>11808870467</v>
      </c>
      <c r="D16" s="6">
        <v>143150</v>
      </c>
      <c r="E16" s="7">
        <f t="shared" si="3"/>
        <v>82492.98265455816</v>
      </c>
      <c r="G16" s="36">
        <f t="shared" si="2"/>
        <v>2.983246927193145E-2</v>
      </c>
      <c r="H16" s="36">
        <f t="shared" si="0"/>
        <v>3.5528612874769147E-2</v>
      </c>
      <c r="I16" s="29">
        <f t="shared" si="1"/>
        <v>6.2083051672566624E-3</v>
      </c>
      <c r="J16">
        <f>SUM(D$3:D16)/D$29</f>
        <v>0.73721147792532737</v>
      </c>
      <c r="K16">
        <f>SUM($I$3:I16)</f>
        <v>-0.14174405137397261</v>
      </c>
      <c r="R16" s="46"/>
      <c r="S16" s="46"/>
      <c r="T16" s="46"/>
      <c r="U16" s="46"/>
      <c r="V16" s="46"/>
      <c r="W16" s="46"/>
      <c r="X16" s="46"/>
    </row>
    <row r="17" spans="1:24" x14ac:dyDescent="0.45">
      <c r="A17">
        <v>85001</v>
      </c>
      <c r="B17">
        <v>90000</v>
      </c>
      <c r="C17" s="6">
        <v>11258556400</v>
      </c>
      <c r="D17" s="6">
        <v>128672</v>
      </c>
      <c r="E17" s="7">
        <f t="shared" si="3"/>
        <v>87498.106814225321</v>
      </c>
      <c r="G17" s="36">
        <f t="shared" si="2"/>
        <v>2.6815253134180674E-2</v>
      </c>
      <c r="H17" s="36">
        <f t="shared" si="0"/>
        <v>3.3872917226263163E-2</v>
      </c>
      <c r="I17" s="29">
        <f t="shared" si="1"/>
        <v>7.9142350626663863E-3</v>
      </c>
      <c r="J17">
        <f>SUM(D$3:D17)/D$29</f>
        <v>0.76402673105950802</v>
      </c>
      <c r="K17">
        <f>SUM($I$3:I17)</f>
        <v>-0.13382981631130622</v>
      </c>
      <c r="R17" s="46"/>
      <c r="S17" s="46"/>
      <c r="T17" s="46"/>
      <c r="U17" s="46"/>
      <c r="V17" s="46"/>
      <c r="W17" s="46"/>
      <c r="X17" s="46"/>
    </row>
    <row r="18" spans="1:24" x14ac:dyDescent="0.45">
      <c r="A18">
        <v>90001</v>
      </c>
      <c r="B18">
        <v>95000</v>
      </c>
      <c r="C18" s="6">
        <v>10826696085</v>
      </c>
      <c r="D18" s="6">
        <v>117057</v>
      </c>
      <c r="E18" s="7">
        <f t="shared" si="3"/>
        <v>92490.804351726081</v>
      </c>
      <c r="G18" s="36">
        <f t="shared" si="2"/>
        <v>2.4394686381868529E-2</v>
      </c>
      <c r="H18" s="36">
        <f t="shared" si="0"/>
        <v>3.2573606001663979E-2</v>
      </c>
      <c r="I18" s="29">
        <f t="shared" si="1"/>
        <v>9.4182344332991354E-3</v>
      </c>
      <c r="J18">
        <f>SUM(D$3:D18)/D$29</f>
        <v>0.7884214174413765</v>
      </c>
      <c r="K18">
        <f>SUM($I$3:I18)</f>
        <v>-0.12441158187800709</v>
      </c>
      <c r="R18" s="46"/>
      <c r="S18" s="46"/>
      <c r="T18" s="46"/>
      <c r="U18" s="46"/>
      <c r="V18" s="46"/>
      <c r="W18" s="46"/>
      <c r="X18" s="46"/>
    </row>
    <row r="19" spans="1:24" x14ac:dyDescent="0.45">
      <c r="A19">
        <v>95001</v>
      </c>
      <c r="B19">
        <v>100000</v>
      </c>
      <c r="C19" s="6">
        <v>10297564802</v>
      </c>
      <c r="D19" s="6">
        <v>105622</v>
      </c>
      <c r="E19" s="7">
        <f t="shared" si="3"/>
        <v>97494.50684516484</v>
      </c>
      <c r="G19" s="36">
        <f>D19/D$29</f>
        <v>2.2011631641215113E-2</v>
      </c>
      <c r="H19" s="36">
        <f t="shared" si="0"/>
        <v>3.0981641675679399E-2</v>
      </c>
      <c r="I19" s="29">
        <f t="shared" si="1"/>
        <v>1.0590262501714576E-2</v>
      </c>
      <c r="J19">
        <f>SUM(D$3:D19)/D$29</f>
        <v>0.81043304908259162</v>
      </c>
      <c r="K19">
        <f>SUM($I$3:I19)</f>
        <v>-0.11382131937629252</v>
      </c>
      <c r="R19" s="46"/>
      <c r="S19" s="46"/>
      <c r="T19" s="46"/>
      <c r="U19" s="46"/>
      <c r="V19" s="46"/>
      <c r="W19" s="46"/>
      <c r="X19" s="46"/>
    </row>
    <row r="20" spans="1:24" x14ac:dyDescent="0.45">
      <c r="A20">
        <v>100001</v>
      </c>
      <c r="B20">
        <v>120000</v>
      </c>
      <c r="C20" s="6">
        <v>35198017810</v>
      </c>
      <c r="D20" s="6">
        <v>322166</v>
      </c>
      <c r="E20" s="7">
        <f t="shared" si="3"/>
        <v>109254.29067623524</v>
      </c>
      <c r="G20" s="36">
        <f t="shared" si="2"/>
        <v>6.7139415266930264E-2</v>
      </c>
      <c r="H20" s="36">
        <f t="shared" si="0"/>
        <v>0.10589808332857546</v>
      </c>
      <c r="I20" s="29">
        <f t="shared" si="1"/>
        <v>4.8258378322750033E-2</v>
      </c>
      <c r="J20">
        <f>SUM(D$3:D20)/D$29</f>
        <v>0.87757246434952196</v>
      </c>
      <c r="K20">
        <f>SUM($I$3:I20)</f>
        <v>-6.5562941053542489E-2</v>
      </c>
    </row>
    <row r="21" spans="1:24" x14ac:dyDescent="0.45">
      <c r="A21">
        <v>120001</v>
      </c>
      <c r="B21">
        <v>150000</v>
      </c>
      <c r="C21" s="6">
        <v>34844789253</v>
      </c>
      <c r="D21" s="6">
        <v>261644</v>
      </c>
      <c r="E21" s="7">
        <f t="shared" si="3"/>
        <v>133176.33598706638</v>
      </c>
      <c r="G21" s="36">
        <f t="shared" si="2"/>
        <v>5.4526626546875533E-2</v>
      </c>
      <c r="H21" s="36">
        <f t="shared" si="0"/>
        <v>0.10483534657546799</v>
      </c>
      <c r="I21" s="29">
        <f t="shared" si="1"/>
        <v>6.8531059860244811E-2</v>
      </c>
      <c r="J21">
        <f>SUM(D$3:D21)/D$29</f>
        <v>0.93209909089639742</v>
      </c>
      <c r="K21">
        <f>SUM($I$3:I21)</f>
        <v>2.9681188067023218E-3</v>
      </c>
    </row>
    <row r="22" spans="1:24" x14ac:dyDescent="0.45">
      <c r="A22">
        <v>150001</v>
      </c>
      <c r="B22">
        <v>200000</v>
      </c>
      <c r="C22" s="6">
        <v>30126171456</v>
      </c>
      <c r="D22" s="6">
        <v>176681</v>
      </c>
      <c r="E22" s="7">
        <f t="shared" si="3"/>
        <v>170511.66484228638</v>
      </c>
      <c r="G22" s="36">
        <f t="shared" si="2"/>
        <v>3.6820331843759137E-2</v>
      </c>
      <c r="H22" s="36">
        <f t="shared" si="0"/>
        <v>9.0638735182185529E-2</v>
      </c>
      <c r="I22" s="29">
        <f t="shared" si="1"/>
        <v>8.1650225412226426E-2</v>
      </c>
      <c r="J22">
        <f>SUM(D$3:D22)/D$29</f>
        <v>0.96891942274015663</v>
      </c>
      <c r="K22">
        <f>SUM($I$3:I22)</f>
        <v>8.4618344218928748E-2</v>
      </c>
    </row>
    <row r="23" spans="1:24" x14ac:dyDescent="0.45">
      <c r="A23">
        <v>200001</v>
      </c>
      <c r="B23">
        <v>300000</v>
      </c>
      <c r="C23" s="6">
        <v>22634114385</v>
      </c>
      <c r="D23" s="6">
        <v>95219</v>
      </c>
      <c r="E23" s="7">
        <f t="shared" si="3"/>
        <v>237705.86106764406</v>
      </c>
      <c r="G23" s="36">
        <f t="shared" si="2"/>
        <v>1.9843645767405105E-2</v>
      </c>
      <c r="H23" s="36">
        <f t="shared" si="0"/>
        <v>6.8097849832051055E-2</v>
      </c>
      <c r="I23" s="29">
        <f t="shared" si="1"/>
        <v>8.3968856987618093E-2</v>
      </c>
      <c r="J23">
        <f>SUM(D$3:D23)/D$29</f>
        <v>0.98876306850756168</v>
      </c>
      <c r="K23">
        <f>SUM($I$3:I23)</f>
        <v>0.16858720120654686</v>
      </c>
    </row>
    <row r="24" spans="1:24" x14ac:dyDescent="0.45">
      <c r="A24">
        <v>300001</v>
      </c>
      <c r="B24">
        <v>400000</v>
      </c>
      <c r="C24" s="6">
        <v>9090224094</v>
      </c>
      <c r="D24" s="6">
        <v>26610</v>
      </c>
      <c r="E24" s="7">
        <f t="shared" si="3"/>
        <v>341609.32333709131</v>
      </c>
      <c r="G24" s="36">
        <f t="shared" si="2"/>
        <v>5.5455257235493948E-3</v>
      </c>
      <c r="H24" s="36">
        <f t="shared" si="0"/>
        <v>2.7349190905527201E-2</v>
      </c>
      <c r="I24" s="29">
        <f t="shared" si="1"/>
        <v>4.3640981369792477E-2</v>
      </c>
      <c r="J24">
        <f>SUM(D$3:D24)/D$29</f>
        <v>0.99430859423111106</v>
      </c>
      <c r="K24">
        <f>SUM($I$3:I24)</f>
        <v>0.21222818257633932</v>
      </c>
    </row>
    <row r="25" spans="1:24" x14ac:dyDescent="0.45">
      <c r="A25">
        <v>400001</v>
      </c>
      <c r="B25">
        <v>500000</v>
      </c>
      <c r="C25" s="6">
        <v>4815382270</v>
      </c>
      <c r="D25" s="6">
        <v>10859</v>
      </c>
      <c r="E25" s="7">
        <f t="shared" si="3"/>
        <v>443446.19854498573</v>
      </c>
      <c r="G25" s="36">
        <f t="shared" si="2"/>
        <v>2.2630163033454669E-3</v>
      </c>
      <c r="H25" s="36">
        <f t="shared" si="0"/>
        <v>1.4487740634716296E-2</v>
      </c>
      <c r="I25" s="29">
        <f t="shared" si="1"/>
        <v>2.6898000797825308E-2</v>
      </c>
      <c r="J25">
        <f>SUM(D$3:D25)/D$29</f>
        <v>0.99657161053445653</v>
      </c>
      <c r="K25">
        <f>SUM($I$3:I25)</f>
        <v>0.23912618337416464</v>
      </c>
    </row>
    <row r="26" spans="1:24" x14ac:dyDescent="0.45">
      <c r="A26">
        <v>500001</v>
      </c>
      <c r="B26">
        <v>1000000</v>
      </c>
      <c r="C26" s="6">
        <v>8271363098</v>
      </c>
      <c r="D26" s="6">
        <v>12535</v>
      </c>
      <c r="E26" s="7">
        <f t="shared" si="3"/>
        <v>659861.43581970478</v>
      </c>
      <c r="G26" s="36">
        <f t="shared" si="2"/>
        <v>2.6122948119012275E-3</v>
      </c>
      <c r="H26" s="36">
        <f t="shared" si="0"/>
        <v>2.4885534842364127E-2</v>
      </c>
      <c r="I26" s="29">
        <f t="shared" si="1"/>
        <v>5.6093429721222138E-2</v>
      </c>
      <c r="J26">
        <f>SUM(D$3:D26)/D$29</f>
        <v>0.99918390534635781</v>
      </c>
      <c r="K26">
        <f>SUM($I$3:I26)</f>
        <v>0.2952196130953868</v>
      </c>
    </row>
    <row r="27" spans="1:24" x14ac:dyDescent="0.45">
      <c r="A27">
        <v>1000001</v>
      </c>
      <c r="B27">
        <v>2000000</v>
      </c>
      <c r="C27" s="6">
        <v>3742897350</v>
      </c>
      <c r="D27" s="6">
        <v>2797</v>
      </c>
      <c r="E27" s="7">
        <f t="shared" si="3"/>
        <v>1338182.8208795139</v>
      </c>
      <c r="G27" s="36">
        <f t="shared" si="2"/>
        <v>5.8289498116376019E-4</v>
      </c>
      <c r="H27" s="36">
        <f t="shared" si="0"/>
        <v>1.1261022072328007E-2</v>
      </c>
      <c r="I27" s="29">
        <f t="shared" si="1"/>
        <v>3.3344963279958083E-2</v>
      </c>
      <c r="J27">
        <f>SUM(D$3:D27)/D$29</f>
        <v>0.99976680032752152</v>
      </c>
      <c r="K27">
        <f>SUM($I$3:I27)</f>
        <v>0.32856457637534486</v>
      </c>
    </row>
    <row r="28" spans="1:24" ht="14.65" thickBot="1" x14ac:dyDescent="0.5">
      <c r="A28">
        <v>2000001</v>
      </c>
      <c r="B28" t="s">
        <v>22</v>
      </c>
      <c r="C28" s="6">
        <v>5342413095</v>
      </c>
      <c r="D28" s="6">
        <v>1119</v>
      </c>
      <c r="E28" s="7">
        <f t="shared" si="3"/>
        <v>4774274.4369973186</v>
      </c>
      <c r="G28" s="37">
        <f>D28/D$29</f>
        <v>2.3319967247845821E-4</v>
      </c>
      <c r="H28" s="37">
        <f>C28/C$29</f>
        <v>1.6073385443575998E-2</v>
      </c>
      <c r="I28" s="30">
        <f t="shared" si="1"/>
        <v>6.8039043302673324E-2</v>
      </c>
      <c r="J28">
        <f>SUM(D$3:D28)/D$29</f>
        <v>1</v>
      </c>
      <c r="K28">
        <f>SUM($I$3:I28)</f>
        <v>0.39660361967801816</v>
      </c>
    </row>
    <row r="29" spans="1:24" ht="14.65" thickBot="1" x14ac:dyDescent="0.5">
      <c r="B29" t="s">
        <v>23</v>
      </c>
      <c r="C29" s="6">
        <v>332376344346</v>
      </c>
      <c r="D29" s="6">
        <v>4798463</v>
      </c>
      <c r="E29" s="7">
        <f>C29/D29</f>
        <v>69267.251689968223</v>
      </c>
    </row>
    <row r="30" spans="1:24" x14ac:dyDescent="0.45">
      <c r="I30" s="26" t="s">
        <v>67</v>
      </c>
    </row>
    <row r="31" spans="1:24" ht="14.65" thickBot="1" x14ac:dyDescent="0.5">
      <c r="C31" s="9"/>
      <c r="D31" s="9"/>
      <c r="I31" s="27">
        <f>SUM(I3:I28)</f>
        <v>0.39660361967801816</v>
      </c>
    </row>
    <row r="32" spans="1:24" x14ac:dyDescent="0.45">
      <c r="I32">
        <f>LN(D29)</f>
        <v>15.383806216267152</v>
      </c>
    </row>
  </sheetData>
  <mergeCells count="2">
    <mergeCell ref="G1:I1"/>
    <mergeCell ref="R2:X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34C0-BA93-4AA9-AB60-815506C21888}">
  <dimension ref="A1:Q95"/>
  <sheetViews>
    <sheetView tabSelected="1" topLeftCell="C10" workbookViewId="0">
      <selection activeCell="N2" sqref="N2"/>
    </sheetView>
  </sheetViews>
  <sheetFormatPr baseColWidth="10" defaultRowHeight="14.25" x14ac:dyDescent="0.45"/>
  <cols>
    <col min="1" max="1" width="17.59765625" bestFit="1" customWidth="1"/>
    <col min="2" max="2" width="58.59765625" bestFit="1" customWidth="1"/>
    <col min="3" max="3" width="19.33203125" customWidth="1"/>
    <col min="5" max="5" width="11.19921875" bestFit="1" customWidth="1"/>
    <col min="9" max="9" width="19.3984375" bestFit="1" customWidth="1"/>
    <col min="10" max="10" width="19.265625" customWidth="1"/>
    <col min="12" max="12" width="67.3984375" bestFit="1" customWidth="1"/>
    <col min="14" max="14" width="13.06640625" bestFit="1" customWidth="1"/>
  </cols>
  <sheetData>
    <row r="1" spans="1:17" x14ac:dyDescent="0.45">
      <c r="F1" s="38" t="s">
        <v>20</v>
      </c>
      <c r="G1" s="38"/>
      <c r="H1" s="38"/>
      <c r="I1" s="38"/>
      <c r="J1" s="39" t="s">
        <v>19</v>
      </c>
      <c r="K1" s="40"/>
      <c r="L1" s="41" t="s">
        <v>21</v>
      </c>
      <c r="M1" s="42"/>
      <c r="N1" s="42"/>
      <c r="O1" s="42"/>
      <c r="P1" s="42"/>
      <c r="Q1" s="42"/>
    </row>
    <row r="2" spans="1:17" ht="199.5" x14ac:dyDescent="0.45">
      <c r="A2" s="1" t="s">
        <v>0</v>
      </c>
      <c r="B2" s="1" t="s">
        <v>1</v>
      </c>
      <c r="C2" s="1" t="s">
        <v>24</v>
      </c>
      <c r="D2" s="1" t="s">
        <v>2</v>
      </c>
      <c r="E2" s="1" t="s">
        <v>3</v>
      </c>
      <c r="F2" s="2" t="s">
        <v>4</v>
      </c>
      <c r="G2" s="2" t="s">
        <v>5</v>
      </c>
      <c r="H2" s="2" t="s">
        <v>6</v>
      </c>
      <c r="I2" s="2" t="s">
        <v>7</v>
      </c>
      <c r="J2" s="48" t="s">
        <v>70</v>
      </c>
      <c r="K2" s="49"/>
      <c r="L2" s="4" t="s">
        <v>10</v>
      </c>
      <c r="M2" s="2" t="s">
        <v>11</v>
      </c>
      <c r="N2" s="5" t="s">
        <v>12</v>
      </c>
      <c r="O2" s="2" t="s">
        <v>13</v>
      </c>
    </row>
    <row r="3" spans="1:17" x14ac:dyDescent="0.45">
      <c r="A3" s="1"/>
      <c r="B3" s="1"/>
      <c r="C3" s="1"/>
      <c r="D3" s="1"/>
      <c r="E3" s="1"/>
      <c r="F3" s="2">
        <v>0</v>
      </c>
      <c r="G3" s="2">
        <v>0</v>
      </c>
      <c r="H3" s="2">
        <v>0</v>
      </c>
      <c r="I3" s="2">
        <v>0</v>
      </c>
      <c r="J3" s="2"/>
      <c r="K3" s="2"/>
      <c r="L3" s="12"/>
      <c r="M3" s="2"/>
      <c r="N3" s="5"/>
      <c r="O3" s="2"/>
    </row>
    <row r="4" spans="1:17" x14ac:dyDescent="0.45">
      <c r="A4" s="20">
        <v>0</v>
      </c>
      <c r="B4" s="20">
        <v>20000</v>
      </c>
      <c r="C4" s="21">
        <v>417323015</v>
      </c>
      <c r="D4" s="20">
        <v>70498</v>
      </c>
      <c r="E4" s="20">
        <f>C4/D4</f>
        <v>5919.6433232148429</v>
      </c>
      <c r="F4" s="8">
        <f>SUM($D$4:D4)/$D$32</f>
        <v>0.28135613513459579</v>
      </c>
      <c r="G4" s="8">
        <f>SUM($C$4:C4)/$C$32</f>
        <v>2.5897284949558209E-2</v>
      </c>
      <c r="H4" s="13">
        <f>H3+1/26</f>
        <v>3.8461538461538464E-2</v>
      </c>
      <c r="I4" s="13">
        <f>I3+1/26</f>
        <v>3.8461538461538464E-2</v>
      </c>
      <c r="J4" s="13">
        <f>((G3+G4)*(F4-F3))/2</f>
        <v>3.6431800019435167E-3</v>
      </c>
      <c r="K4" s="14"/>
      <c r="L4" s="15">
        <f>SUM(D4:$D$29)</f>
        <v>250565</v>
      </c>
      <c r="M4" s="16">
        <f>L4/$D$32</f>
        <v>1</v>
      </c>
      <c r="N4" s="9">
        <f>SUM(C4:$C$29)</f>
        <v>16114546981</v>
      </c>
      <c r="O4" s="17">
        <f t="shared" ref="O4:O29" si="0">N4/C$32</f>
        <v>1</v>
      </c>
    </row>
    <row r="5" spans="1:17" x14ac:dyDescent="0.45">
      <c r="A5">
        <v>20001</v>
      </c>
      <c r="B5">
        <v>25000</v>
      </c>
      <c r="C5" s="6">
        <v>229244540</v>
      </c>
      <c r="D5" s="6">
        <v>10108</v>
      </c>
      <c r="E5" s="7">
        <f>C5/D5</f>
        <v>22679.515235457064</v>
      </c>
      <c r="F5" s="8">
        <f>SUM($D$4:D5)/$D$32</f>
        <v>0.32169696485941773</v>
      </c>
      <c r="G5" s="8">
        <f>SUM($C$4:C5)/$C$32</f>
        <v>4.0123222561722724E-2</v>
      </c>
      <c r="H5" s="13">
        <f t="shared" ref="H5:I29" si="1">H4+1/26</f>
        <v>7.6923076923076927E-2</v>
      </c>
      <c r="I5" s="13">
        <f t="shared" si="1"/>
        <v>7.6923076923076927E-2</v>
      </c>
      <c r="J5" s="13">
        <f>((G4+G5)*(F5-F4))/2</f>
        <v>1.3316610259294563E-3</v>
      </c>
      <c r="K5" s="14"/>
      <c r="L5" s="18">
        <f>SUM(D5:$D$29)</f>
        <v>180067</v>
      </c>
      <c r="M5" s="16">
        <f t="shared" ref="M5:M29" si="2">L5/$D$32</f>
        <v>0.71864386486540421</v>
      </c>
      <c r="N5" s="9">
        <f>SUM(C5:$C$29)</f>
        <v>15697223966</v>
      </c>
      <c r="O5" s="17">
        <f t="shared" si="0"/>
        <v>0.97410271505044177</v>
      </c>
    </row>
    <row r="6" spans="1:17" x14ac:dyDescent="0.45">
      <c r="A6">
        <v>25001</v>
      </c>
      <c r="B6">
        <v>30000</v>
      </c>
      <c r="C6" s="6">
        <v>305435558</v>
      </c>
      <c r="D6" s="6">
        <v>11060</v>
      </c>
      <c r="E6" s="7">
        <f>C6/D6</f>
        <v>27616.234900542495</v>
      </c>
      <c r="F6" s="8">
        <f>SUM($D$4:D6)/$D$32</f>
        <v>0.36583720791012314</v>
      </c>
      <c r="G6" s="8">
        <f>SUM($C$4:C6)/$C$32</f>
        <v>5.9077249526311083E-2</v>
      </c>
      <c r="H6" s="13">
        <f t="shared" si="1"/>
        <v>0.11538461538461539</v>
      </c>
      <c r="I6" s="13">
        <f t="shared" si="1"/>
        <v>0.11538461538461539</v>
      </c>
      <c r="J6" s="13">
        <f t="shared" ref="J6:J29" si="3">((G5+G6)*(F6-F5))/2</f>
        <v>2.189366474355265E-3</v>
      </c>
      <c r="K6" s="14"/>
      <c r="L6" s="18">
        <f>SUM(D6:$D$29)</f>
        <v>169959</v>
      </c>
      <c r="M6" s="16">
        <f t="shared" si="2"/>
        <v>0.67830303514058232</v>
      </c>
      <c r="N6" s="9">
        <f>SUM(C6:$C$29)</f>
        <v>15467979426</v>
      </c>
      <c r="O6" s="17">
        <f t="shared" si="0"/>
        <v>0.95987677743827726</v>
      </c>
    </row>
    <row r="7" spans="1:17" x14ac:dyDescent="0.45">
      <c r="A7">
        <v>30001</v>
      </c>
      <c r="B7">
        <v>35000</v>
      </c>
      <c r="C7" s="6">
        <v>307276816</v>
      </c>
      <c r="D7" s="6">
        <v>9424</v>
      </c>
      <c r="E7" s="7">
        <f t="shared" ref="E7:E29" si="4">C7/D7</f>
        <v>32605.774193548386</v>
      </c>
      <c r="F7" s="8">
        <f>SUM($D$4:D7)/$D$32</f>
        <v>0.40344820705206236</v>
      </c>
      <c r="G7" s="8">
        <f>SUM($C$4:C7)/$C$32</f>
        <v>7.8145537102890031E-2</v>
      </c>
      <c r="H7" s="13">
        <f t="shared" si="1"/>
        <v>0.15384615384615385</v>
      </c>
      <c r="I7" s="13">
        <f t="shared" si="1"/>
        <v>0.15384615384615385</v>
      </c>
      <c r="J7" s="13">
        <f t="shared" si="3"/>
        <v>2.5805430550826956E-3</v>
      </c>
      <c r="K7" s="14"/>
      <c r="L7" s="18">
        <f>SUM(D7:$D$29)</f>
        <v>158899</v>
      </c>
      <c r="M7" s="16">
        <f t="shared" si="2"/>
        <v>0.63416279208987691</v>
      </c>
      <c r="N7" s="9">
        <f>SUM(C7:$C$29)</f>
        <v>15162543868</v>
      </c>
      <c r="O7" s="17">
        <f t="shared" si="0"/>
        <v>0.9409227504736889</v>
      </c>
    </row>
    <row r="8" spans="1:17" x14ac:dyDescent="0.45">
      <c r="A8">
        <v>35001</v>
      </c>
      <c r="B8">
        <v>40000</v>
      </c>
      <c r="C8" s="6">
        <v>370172330</v>
      </c>
      <c r="D8" s="6">
        <v>9839</v>
      </c>
      <c r="E8" s="7">
        <f t="shared" si="4"/>
        <v>37622.962699461328</v>
      </c>
      <c r="F8" s="8">
        <f>SUM($D$4:D8)/$D$32</f>
        <v>0.44271546305349907</v>
      </c>
      <c r="G8" s="8">
        <f>SUM($C$4:C8)/$C$32</f>
        <v>0.10111685180608677</v>
      </c>
      <c r="H8" s="13">
        <f t="shared" si="1"/>
        <v>0.19230769230769232</v>
      </c>
      <c r="I8" s="13">
        <f t="shared" si="1"/>
        <v>0.19230769230769232</v>
      </c>
      <c r="J8" s="13">
        <f t="shared" si="3"/>
        <v>3.5195710583589509E-3</v>
      </c>
      <c r="K8" s="14"/>
      <c r="L8" s="18">
        <f>SUM(D8:$D$29)</f>
        <v>149475</v>
      </c>
      <c r="M8" s="16">
        <f t="shared" si="2"/>
        <v>0.5965517929479377</v>
      </c>
      <c r="N8" s="9">
        <f>SUM(C8:$C$29)</f>
        <v>14855267052</v>
      </c>
      <c r="O8" s="17">
        <f t="shared" si="0"/>
        <v>0.92185446289710993</v>
      </c>
    </row>
    <row r="9" spans="1:17" x14ac:dyDescent="0.45">
      <c r="A9">
        <v>40001</v>
      </c>
      <c r="B9">
        <v>45000</v>
      </c>
      <c r="C9" s="6">
        <v>432512891</v>
      </c>
      <c r="D9" s="6">
        <v>10155</v>
      </c>
      <c r="E9" s="7">
        <f>C9/D9</f>
        <v>42591.126637124566</v>
      </c>
      <c r="F9" s="8">
        <f>SUM($D$4:D9)/$D$32</f>
        <v>0.4832438688563846</v>
      </c>
      <c r="G9" s="8">
        <f>SUM($C$4:C9)/$C$32</f>
        <v>0.1279567556215622</v>
      </c>
      <c r="H9" s="13">
        <f t="shared" si="1"/>
        <v>0.23076923076923078</v>
      </c>
      <c r="I9" s="13">
        <f t="shared" si="1"/>
        <v>0.23076923076923078</v>
      </c>
      <c r="J9" s="13">
        <f t="shared" si="3"/>
        <v>4.6419940602793249E-3</v>
      </c>
      <c r="K9" s="14"/>
      <c r="L9" s="18">
        <f>SUM(D9:$D$29)</f>
        <v>139636</v>
      </c>
      <c r="M9" s="16">
        <f t="shared" si="2"/>
        <v>0.55728453694650093</v>
      </c>
      <c r="N9" s="9">
        <f>SUM(C9:$C$29)</f>
        <v>14485094722</v>
      </c>
      <c r="O9" s="17">
        <f t="shared" si="0"/>
        <v>0.89888314819391324</v>
      </c>
    </row>
    <row r="10" spans="1:17" x14ac:dyDescent="0.45">
      <c r="A10">
        <v>45001</v>
      </c>
      <c r="B10">
        <v>50000</v>
      </c>
      <c r="C10" s="6">
        <v>487338438</v>
      </c>
      <c r="D10" s="6">
        <v>10235</v>
      </c>
      <c r="E10" s="7">
        <f t="shared" si="4"/>
        <v>47614.893795798729</v>
      </c>
      <c r="F10" s="8">
        <f>SUM($D$4:D10)/$D$32</f>
        <v>0.52409155309001654</v>
      </c>
      <c r="G10" s="8">
        <f>SUM($C$4:C10)/$C$32</f>
        <v>0.15819889885863866</v>
      </c>
      <c r="H10" s="13">
        <f t="shared" si="1"/>
        <v>0.26923076923076927</v>
      </c>
      <c r="I10" s="13">
        <f t="shared" si="1"/>
        <v>0.26923076923076927</v>
      </c>
      <c r="J10" s="13">
        <f t="shared" si="3"/>
        <v>5.8443979079377652E-3</v>
      </c>
      <c r="K10" s="14"/>
      <c r="L10" s="18">
        <f>SUM(D10:$D$29)</f>
        <v>129481</v>
      </c>
      <c r="M10" s="16">
        <f t="shared" si="2"/>
        <v>0.5167561311436154</v>
      </c>
      <c r="N10" s="9">
        <f>SUM(C10:$C$29)</f>
        <v>14052581831</v>
      </c>
      <c r="O10" s="17">
        <f t="shared" si="0"/>
        <v>0.87204324437843783</v>
      </c>
    </row>
    <row r="11" spans="1:17" x14ac:dyDescent="0.45">
      <c r="A11">
        <v>50001</v>
      </c>
      <c r="B11">
        <v>55000</v>
      </c>
      <c r="C11" s="6">
        <v>521356707</v>
      </c>
      <c r="D11" s="6">
        <v>9919</v>
      </c>
      <c r="E11" s="7">
        <f t="shared" si="4"/>
        <v>52561.418187317271</v>
      </c>
      <c r="F11" s="8">
        <f>SUM($D$4:D11)/$D$32</f>
        <v>0.56367808752219983</v>
      </c>
      <c r="G11" s="8">
        <f>SUM($C$4:C11)/$C$32</f>
        <v>0.19055207066140237</v>
      </c>
      <c r="H11" s="13">
        <f t="shared" si="1"/>
        <v>0.30769230769230771</v>
      </c>
      <c r="I11" s="13">
        <f t="shared" si="1"/>
        <v>0.30769230769230771</v>
      </c>
      <c r="J11" s="13">
        <f t="shared" si="3"/>
        <v>6.9029211315812054E-3</v>
      </c>
      <c r="K11" s="14"/>
      <c r="L11" s="18">
        <f>SUM(D11:$D$29)</f>
        <v>119246</v>
      </c>
      <c r="M11" s="16">
        <f t="shared" si="2"/>
        <v>0.47590844690998346</v>
      </c>
      <c r="N11" s="9">
        <f>SUM(C11:$C$29)</f>
        <v>13565243393</v>
      </c>
      <c r="O11" s="17">
        <f t="shared" si="0"/>
        <v>0.84180110114136131</v>
      </c>
    </row>
    <row r="12" spans="1:17" x14ac:dyDescent="0.45">
      <c r="A12">
        <v>55001</v>
      </c>
      <c r="B12">
        <v>60000</v>
      </c>
      <c r="C12" s="6">
        <v>587114451</v>
      </c>
      <c r="D12" s="6">
        <v>10198</v>
      </c>
      <c r="E12" s="7">
        <f t="shared" si="4"/>
        <v>57571.528829182193</v>
      </c>
      <c r="F12" s="8">
        <f>SUM($D$4:D12)/$D$32</f>
        <v>0.60437810548161153</v>
      </c>
      <c r="G12" s="8">
        <f>SUM($C$4:C12)/$C$32</f>
        <v>0.22698588736703129</v>
      </c>
      <c r="H12" s="13">
        <f t="shared" si="1"/>
        <v>0.34615384615384615</v>
      </c>
      <c r="I12" s="13">
        <f t="shared" si="1"/>
        <v>0.34615384615384615</v>
      </c>
      <c r="J12" s="13">
        <f t="shared" si="3"/>
        <v>8.4969011952466672E-3</v>
      </c>
      <c r="K12" s="14"/>
      <c r="L12" s="18">
        <f>SUM(D12:$D$29)</f>
        <v>109327</v>
      </c>
      <c r="M12" s="16">
        <f t="shared" si="2"/>
        <v>0.43632191247780017</v>
      </c>
      <c r="N12" s="9">
        <f>SUM(C12:$C$29)</f>
        <v>13043886686</v>
      </c>
      <c r="O12" s="17">
        <f t="shared" si="0"/>
        <v>0.80944792933859766</v>
      </c>
    </row>
    <row r="13" spans="1:17" x14ac:dyDescent="0.45">
      <c r="A13">
        <v>60001</v>
      </c>
      <c r="B13">
        <v>65000</v>
      </c>
      <c r="C13" s="6">
        <v>578210582</v>
      </c>
      <c r="D13" s="6">
        <v>9244</v>
      </c>
      <c r="E13" s="7">
        <f t="shared" si="4"/>
        <v>62549.824967546519</v>
      </c>
      <c r="F13" s="8">
        <f>SUM($D$4:D13)/$D$32</f>
        <v>0.64127072815437114</v>
      </c>
      <c r="G13" s="8">
        <f>SUM($C$4:C13)/$C$32</f>
        <v>0.26286716796907017</v>
      </c>
      <c r="H13" s="13">
        <f t="shared" si="1"/>
        <v>0.38461538461538458</v>
      </c>
      <c r="I13" s="13">
        <f t="shared" si="1"/>
        <v>0.38461538461538458</v>
      </c>
      <c r="J13" s="13">
        <f t="shared" si="3"/>
        <v>9.0359819678066128E-3</v>
      </c>
      <c r="K13" s="14"/>
      <c r="L13" s="18">
        <f>SUM(D13:$D$29)</f>
        <v>99129</v>
      </c>
      <c r="M13" s="16">
        <f t="shared" si="2"/>
        <v>0.39562189451838842</v>
      </c>
      <c r="N13" s="9">
        <f>SUM(C13:$C$29)</f>
        <v>12456772235</v>
      </c>
      <c r="O13" s="17">
        <f t="shared" si="0"/>
        <v>0.77301411263296871</v>
      </c>
    </row>
    <row r="14" spans="1:17" x14ac:dyDescent="0.45">
      <c r="A14">
        <v>65001</v>
      </c>
      <c r="B14">
        <v>70000</v>
      </c>
      <c r="C14" s="6">
        <v>578461497</v>
      </c>
      <c r="D14" s="6">
        <v>8567</v>
      </c>
      <c r="E14" s="7">
        <f t="shared" si="4"/>
        <v>67522.061048208241</v>
      </c>
      <c r="F14" s="8">
        <f>SUM($D$4:D14)/$D$32</f>
        <v>0.67546145710693828</v>
      </c>
      <c r="G14" s="8">
        <f>SUM($C$4:C14)/$C$32</f>
        <v>0.2987640192849676</v>
      </c>
      <c r="H14" s="13">
        <f t="shared" si="1"/>
        <v>0.42307692307692302</v>
      </c>
      <c r="I14" s="13">
        <f t="shared" si="1"/>
        <v>0.42307692307692302</v>
      </c>
      <c r="J14" s="13">
        <f t="shared" si="3"/>
        <v>9.6012898473556447E-3</v>
      </c>
      <c r="K14" s="14"/>
      <c r="L14" s="18">
        <f>SUM(D14:$D$29)</f>
        <v>89885</v>
      </c>
      <c r="M14" s="16">
        <f t="shared" si="2"/>
        <v>0.35872927184562886</v>
      </c>
      <c r="N14" s="9">
        <f>SUM(C14:$C$29)</f>
        <v>11878561653</v>
      </c>
      <c r="O14" s="17">
        <f t="shared" si="0"/>
        <v>0.73713283203092983</v>
      </c>
    </row>
    <row r="15" spans="1:17" x14ac:dyDescent="0.45">
      <c r="A15">
        <v>70001</v>
      </c>
      <c r="B15">
        <v>75000</v>
      </c>
      <c r="C15" s="6">
        <v>578211687</v>
      </c>
      <c r="D15" s="6">
        <v>7974</v>
      </c>
      <c r="E15" s="7">
        <f t="shared" si="4"/>
        <v>72512.12528216705</v>
      </c>
      <c r="F15" s="8">
        <f>SUM($D$4:D15)/$D$32</f>
        <v>0.70728553469159694</v>
      </c>
      <c r="G15" s="8">
        <f>SUM($C$4:C15)/$C$32</f>
        <v>0.33464536845858972</v>
      </c>
      <c r="H15" s="13">
        <f t="shared" si="1"/>
        <v>0.46153846153846145</v>
      </c>
      <c r="I15" s="13">
        <f t="shared" si="1"/>
        <v>0.46153846153846145</v>
      </c>
      <c r="J15" s="13">
        <f t="shared" si="3"/>
        <v>1.0078834749201055E-2</v>
      </c>
      <c r="K15" s="14"/>
      <c r="L15" s="18">
        <f>SUM(D15:$D$29)</f>
        <v>81318</v>
      </c>
      <c r="M15" s="16">
        <f t="shared" si="2"/>
        <v>0.32453854289306167</v>
      </c>
      <c r="N15" s="9">
        <f>SUM(C15:$C$29)</f>
        <v>11300100156</v>
      </c>
      <c r="O15" s="17">
        <f t="shared" si="0"/>
        <v>0.70123598071503246</v>
      </c>
    </row>
    <row r="16" spans="1:17" x14ac:dyDescent="0.45">
      <c r="A16">
        <v>75001</v>
      </c>
      <c r="B16">
        <v>80000</v>
      </c>
      <c r="C16" s="6">
        <v>548059634</v>
      </c>
      <c r="D16" s="6">
        <v>7069</v>
      </c>
      <c r="E16" s="7">
        <f t="shared" si="4"/>
        <v>77530.009053614369</v>
      </c>
      <c r="F16" s="8">
        <f>SUM($D$4:D16)/$D$32</f>
        <v>0.73549777502843572</v>
      </c>
      <c r="G16" s="8">
        <f>SUM($C$4:C16)/$C$32</f>
        <v>0.36865560992837443</v>
      </c>
      <c r="H16" s="13">
        <f t="shared" si="1"/>
        <v>0.49999999999999989</v>
      </c>
      <c r="I16" s="13">
        <f t="shared" si="1"/>
        <v>0.49999999999999989</v>
      </c>
      <c r="J16" s="13">
        <f t="shared" si="3"/>
        <v>9.9208481156934439E-3</v>
      </c>
      <c r="K16" s="14"/>
      <c r="L16" s="18">
        <f>SUM(D16:$D$29)</f>
        <v>73344</v>
      </c>
      <c r="M16" s="16">
        <f t="shared" si="2"/>
        <v>0.292714465308403</v>
      </c>
      <c r="N16" s="9">
        <f>SUM(C16:$C$29)</f>
        <v>10721888469</v>
      </c>
      <c r="O16" s="17">
        <f t="shared" si="0"/>
        <v>0.66535463154141028</v>
      </c>
    </row>
    <row r="17" spans="1:15" x14ac:dyDescent="0.45">
      <c r="A17">
        <v>80001</v>
      </c>
      <c r="B17">
        <v>85000</v>
      </c>
      <c r="C17" s="6">
        <v>526041165</v>
      </c>
      <c r="D17" s="6">
        <v>6375</v>
      </c>
      <c r="E17" s="7">
        <f t="shared" si="4"/>
        <v>82516.261176470594</v>
      </c>
      <c r="F17" s="8">
        <f>SUM($D$4:D17)/$D$32</f>
        <v>0.76094027497854844</v>
      </c>
      <c r="G17" s="8">
        <f>SUM($C$4:C17)/$C$32</f>
        <v>0.40129947919880654</v>
      </c>
      <c r="H17" s="13">
        <f t="shared" si="1"/>
        <v>0.53846153846153832</v>
      </c>
      <c r="I17" s="13">
        <f t="shared" si="1"/>
        <v>0.53846153846153832</v>
      </c>
      <c r="J17" s="13">
        <f t="shared" si="3"/>
        <v>9.7947911583536676E-3</v>
      </c>
      <c r="K17" s="14"/>
      <c r="L17" s="18">
        <f>SUM(D17:$D$29)</f>
        <v>66275</v>
      </c>
      <c r="M17" s="16">
        <f t="shared" si="2"/>
        <v>0.26450222497156428</v>
      </c>
      <c r="N17" s="9">
        <f>SUM(C17:$C$29)</f>
        <v>10173828835</v>
      </c>
      <c r="O17" s="17">
        <f t="shared" si="0"/>
        <v>0.63134439007162557</v>
      </c>
    </row>
    <row r="18" spans="1:15" x14ac:dyDescent="0.45">
      <c r="A18">
        <v>85001</v>
      </c>
      <c r="B18">
        <v>90000</v>
      </c>
      <c r="C18" s="6">
        <v>502930958</v>
      </c>
      <c r="D18" s="6">
        <v>5745</v>
      </c>
      <c r="E18" s="7">
        <f t="shared" si="4"/>
        <v>87542.377371627503</v>
      </c>
      <c r="F18" s="8">
        <f>SUM($D$4:D18)/$D$32</f>
        <v>0.78386845728653243</v>
      </c>
      <c r="G18" s="8">
        <f>SUM($C$4:C18)/$C$32</f>
        <v>0.43250922766973687</v>
      </c>
      <c r="H18" s="13">
        <f t="shared" si="1"/>
        <v>0.57692307692307676</v>
      </c>
      <c r="I18" s="13">
        <f t="shared" si="1"/>
        <v>0.57692307692307676</v>
      </c>
      <c r="J18" s="13">
        <f t="shared" si="3"/>
        <v>9.5588590205331718E-3</v>
      </c>
      <c r="K18" s="14"/>
      <c r="L18" s="18">
        <f>SUM(D18:$D$29)</f>
        <v>59900</v>
      </c>
      <c r="M18" s="16">
        <f t="shared" si="2"/>
        <v>0.23905972502145151</v>
      </c>
      <c r="N18" s="9">
        <f>SUM(C18:$C$29)</f>
        <v>9647787670</v>
      </c>
      <c r="O18" s="17">
        <f t="shared" si="0"/>
        <v>0.59870052080119351</v>
      </c>
    </row>
    <row r="19" spans="1:15" x14ac:dyDescent="0.45">
      <c r="A19">
        <v>90001</v>
      </c>
      <c r="B19">
        <v>95000</v>
      </c>
      <c r="C19" s="6">
        <v>470399011</v>
      </c>
      <c r="D19" s="6">
        <v>5086</v>
      </c>
      <c r="E19" s="7">
        <f t="shared" si="4"/>
        <v>92488.991545418801</v>
      </c>
      <c r="F19" s="8">
        <f>SUM($D$4:D19)/$D$32</f>
        <v>0.80416658352124204</v>
      </c>
      <c r="G19" s="8">
        <f>SUM($C$4:C19)/$C$32</f>
        <v>0.46170018237387023</v>
      </c>
      <c r="H19" s="13">
        <f t="shared" si="1"/>
        <v>0.6153846153846152</v>
      </c>
      <c r="I19" s="13">
        <f t="shared" si="1"/>
        <v>0.6153846153846152</v>
      </c>
      <c r="J19" s="13">
        <f t="shared" si="3"/>
        <v>9.0753877426651731E-3</v>
      </c>
      <c r="K19" s="14"/>
      <c r="L19" s="18">
        <f>SUM(D19:$D$29)</f>
        <v>54155</v>
      </c>
      <c r="M19" s="16">
        <f t="shared" si="2"/>
        <v>0.21613154271346757</v>
      </c>
      <c r="N19" s="9">
        <f>SUM(C19:$C$29)</f>
        <v>9144856712</v>
      </c>
      <c r="O19" s="17">
        <f t="shared" si="0"/>
        <v>0.56749077233026313</v>
      </c>
    </row>
    <row r="20" spans="1:15" x14ac:dyDescent="0.45">
      <c r="A20">
        <v>95001</v>
      </c>
      <c r="B20">
        <v>100000</v>
      </c>
      <c r="C20" s="6">
        <v>440188279</v>
      </c>
      <c r="D20" s="6">
        <v>4513</v>
      </c>
      <c r="E20" s="7">
        <f t="shared" si="4"/>
        <v>97537.841568801246</v>
      </c>
      <c r="F20" s="8">
        <f>SUM($D$4:D20)/$D$32</f>
        <v>0.82217787799572961</v>
      </c>
      <c r="G20" s="8">
        <f>SUM($C$4:C20)/$C$32</f>
        <v>0.48901638800589997</v>
      </c>
      <c r="H20" s="13">
        <f t="shared" si="1"/>
        <v>0.65384615384615363</v>
      </c>
      <c r="I20" s="13">
        <f t="shared" si="1"/>
        <v>0.65384615384615363</v>
      </c>
      <c r="J20" s="13">
        <f t="shared" si="3"/>
        <v>8.5618180554424654E-3</v>
      </c>
      <c r="K20" s="14"/>
      <c r="L20" s="18">
        <f>SUM(D20:$D$29)</f>
        <v>49069</v>
      </c>
      <c r="M20" s="16">
        <f t="shared" si="2"/>
        <v>0.19583341647875802</v>
      </c>
      <c r="N20" s="9">
        <f>SUM(C20:$C$29)</f>
        <v>8674457701</v>
      </c>
      <c r="O20" s="17">
        <f t="shared" si="0"/>
        <v>0.53829981762612977</v>
      </c>
    </row>
    <row r="21" spans="1:15" x14ac:dyDescent="0.45">
      <c r="A21">
        <v>100001</v>
      </c>
      <c r="B21">
        <v>120000</v>
      </c>
      <c r="C21" s="6">
        <v>1507032719</v>
      </c>
      <c r="D21" s="6">
        <v>13781</v>
      </c>
      <c r="E21" s="7">
        <f t="shared" si="4"/>
        <v>109355.8318699659</v>
      </c>
      <c r="F21" s="8">
        <f>SUM($D$4:D21)/$D$32</f>
        <v>0.87717757867220081</v>
      </c>
      <c r="G21" s="8">
        <f>SUM($C$4:C21)/$C$32</f>
        <v>0.58253640571268872</v>
      </c>
      <c r="H21" s="13">
        <f t="shared" si="1"/>
        <v>0.69230769230769207</v>
      </c>
      <c r="I21" s="13">
        <f t="shared" si="1"/>
        <v>0.69230769230769207</v>
      </c>
      <c r="J21" s="13">
        <f t="shared" si="3"/>
        <v>2.946754145677943E-2</v>
      </c>
      <c r="K21" s="14"/>
      <c r="L21" s="18">
        <f>SUM(D21:$D$29)</f>
        <v>44556</v>
      </c>
      <c r="M21" s="16">
        <f t="shared" si="2"/>
        <v>0.17782212200427036</v>
      </c>
      <c r="N21" s="9">
        <f>SUM(C21:$C$29)</f>
        <v>8234269422</v>
      </c>
      <c r="O21" s="17">
        <f t="shared" si="0"/>
        <v>0.51098361199410003</v>
      </c>
    </row>
    <row r="22" spans="1:15" x14ac:dyDescent="0.45">
      <c r="A22">
        <v>120001</v>
      </c>
      <c r="B22">
        <v>150000</v>
      </c>
      <c r="C22" s="6">
        <v>1581172567</v>
      </c>
      <c r="D22" s="6">
        <v>11850</v>
      </c>
      <c r="E22" s="7">
        <f t="shared" si="4"/>
        <v>133432.28413502109</v>
      </c>
      <c r="F22" s="8">
        <f>SUM($D$4:D22)/$D$32</f>
        <v>0.924470696226528</v>
      </c>
      <c r="G22" s="8">
        <f>SUM($C$4:C22)/$C$32</f>
        <v>0.68065722591720934</v>
      </c>
      <c r="H22" s="13">
        <f t="shared" si="1"/>
        <v>0.7307692307692305</v>
      </c>
      <c r="I22" s="13">
        <f t="shared" si="1"/>
        <v>0.7307692307692305</v>
      </c>
      <c r="J22" s="13">
        <f t="shared" si="3"/>
        <v>2.9870182457275123E-2</v>
      </c>
      <c r="K22" s="14"/>
      <c r="L22" s="18">
        <f>SUM(D22:$D$29)</f>
        <v>30775</v>
      </c>
      <c r="M22" s="16">
        <f t="shared" si="2"/>
        <v>0.12282242132779918</v>
      </c>
      <c r="N22" s="9">
        <f>SUM(C22:$C$29)</f>
        <v>6727236703</v>
      </c>
      <c r="O22" s="17">
        <f t="shared" si="0"/>
        <v>0.41746359428731122</v>
      </c>
    </row>
    <row r="23" spans="1:15" x14ac:dyDescent="0.45">
      <c r="A23">
        <v>150001</v>
      </c>
      <c r="B23">
        <v>200000</v>
      </c>
      <c r="C23" s="6">
        <v>1615185355</v>
      </c>
      <c r="D23" s="6">
        <v>9431</v>
      </c>
      <c r="E23" s="7">
        <f t="shared" si="4"/>
        <v>171263.42434524442</v>
      </c>
      <c r="F23" s="8">
        <f>SUM($D$4:D23)/$D$32</f>
        <v>0.96210963223115753</v>
      </c>
      <c r="G23" s="8">
        <f>SUM($C$4:C23)/$C$32</f>
        <v>0.78088873455995289</v>
      </c>
      <c r="H23" s="13">
        <f t="shared" si="1"/>
        <v>0.76923076923076894</v>
      </c>
      <c r="I23" s="13">
        <f t="shared" si="1"/>
        <v>0.76923076923076894</v>
      </c>
      <c r="J23" s="13">
        <f t="shared" si="3"/>
        <v>2.7505517437112357E-2</v>
      </c>
      <c r="K23" s="14"/>
      <c r="L23" s="18">
        <f>SUM(D23:$D$29)</f>
        <v>18925</v>
      </c>
      <c r="M23" s="16">
        <f t="shared" si="2"/>
        <v>7.5529303773471959E-2</v>
      </c>
      <c r="N23" s="9">
        <f>SUM(C23:$C$29)</f>
        <v>5146064136</v>
      </c>
      <c r="O23" s="17">
        <f t="shared" si="0"/>
        <v>0.31934277408279071</v>
      </c>
    </row>
    <row r="24" spans="1:15" x14ac:dyDescent="0.45">
      <c r="A24">
        <v>200001</v>
      </c>
      <c r="B24">
        <v>300000</v>
      </c>
      <c r="C24" s="6">
        <v>1418011288</v>
      </c>
      <c r="D24" s="6">
        <v>5946</v>
      </c>
      <c r="E24" s="7">
        <f t="shared" si="4"/>
        <v>238481.54860410359</v>
      </c>
      <c r="F24" s="8">
        <f>SUM($D$4:D24)/$D$32</f>
        <v>0.98584000159639218</v>
      </c>
      <c r="G24" s="8">
        <f>SUM($C$4:C24)/$C$32</f>
        <v>0.86888446225071081</v>
      </c>
      <c r="H24" s="13">
        <f t="shared" si="1"/>
        <v>0.80769230769230738</v>
      </c>
      <c r="I24" s="13">
        <f t="shared" si="1"/>
        <v>0.80769230769230738</v>
      </c>
      <c r="J24" s="13">
        <f t="shared" si="3"/>
        <v>1.9574863664590506E-2</v>
      </c>
      <c r="K24" s="14"/>
      <c r="L24" s="18">
        <f>SUM(D24:$D$29)</f>
        <v>9494</v>
      </c>
      <c r="M24" s="16">
        <f t="shared" si="2"/>
        <v>3.7890367768842415E-2</v>
      </c>
      <c r="N24" s="9">
        <f>SUM(C24:$C$29)</f>
        <v>3530878781</v>
      </c>
      <c r="O24" s="17">
        <f t="shared" si="0"/>
        <v>0.21911126544004705</v>
      </c>
    </row>
    <row r="25" spans="1:15" x14ac:dyDescent="0.45">
      <c r="A25">
        <v>300001</v>
      </c>
      <c r="B25">
        <v>400000</v>
      </c>
      <c r="C25" s="6">
        <v>603384497</v>
      </c>
      <c r="D25" s="6">
        <v>1766</v>
      </c>
      <c r="E25" s="7">
        <f t="shared" si="4"/>
        <v>341667.32559456397</v>
      </c>
      <c r="F25" s="8">
        <f>SUM($D$4:D25)/$D$32</f>
        <v>0.99288807295512138</v>
      </c>
      <c r="G25" s="8">
        <f>SUM($C$4:C25)/$C$32</f>
        <v>0.90632792856170452</v>
      </c>
      <c r="H25" s="13">
        <f t="shared" si="1"/>
        <v>0.84615384615384581</v>
      </c>
      <c r="I25" s="13">
        <f t="shared" si="1"/>
        <v>0.84615384615384581</v>
      </c>
      <c r="J25" s="13">
        <f t="shared" si="3"/>
        <v>6.2559118036730876E-3</v>
      </c>
      <c r="K25" s="14"/>
      <c r="L25" s="18">
        <f>SUM(D25:$D$29)</f>
        <v>3548</v>
      </c>
      <c r="M25" s="16">
        <f t="shared" si="2"/>
        <v>1.4159998403607847E-2</v>
      </c>
      <c r="N25" s="9">
        <f>SUM(C25:$C$29)</f>
        <v>2112867493</v>
      </c>
      <c r="O25" s="17">
        <f t="shared" si="0"/>
        <v>0.13111553774928922</v>
      </c>
    </row>
    <row r="26" spans="1:15" x14ac:dyDescent="0.45">
      <c r="A26">
        <v>400001</v>
      </c>
      <c r="B26">
        <v>500000</v>
      </c>
      <c r="C26" s="6">
        <v>327593495</v>
      </c>
      <c r="D26" s="6">
        <v>738</v>
      </c>
      <c r="E26" s="7">
        <f t="shared" si="4"/>
        <v>443893.62466124661</v>
      </c>
      <c r="F26" s="8">
        <f>SUM($D$4:D26)/$D$32</f>
        <v>0.995833416478758</v>
      </c>
      <c r="G26" s="8">
        <f>SUM($C$4:C26)/$C$32</f>
        <v>0.92665698251440032</v>
      </c>
      <c r="H26" s="13">
        <f t="shared" si="1"/>
        <v>0.88461538461538425</v>
      </c>
      <c r="I26" s="13">
        <f t="shared" si="1"/>
        <v>0.88461538461538425</v>
      </c>
      <c r="J26" s="13">
        <f t="shared" si="3"/>
        <v>2.6993851183808289E-3</v>
      </c>
      <c r="K26" s="14"/>
      <c r="L26" s="18">
        <f>SUM(D26:$D$29)</f>
        <v>1782</v>
      </c>
      <c r="M26" s="16">
        <f t="shared" si="2"/>
        <v>7.1119270448785745E-3</v>
      </c>
      <c r="N26" s="9">
        <f>SUM(C26:$C$29)</f>
        <v>1509482996</v>
      </c>
      <c r="O26" s="17">
        <f t="shared" si="0"/>
        <v>9.3672071438295437E-2</v>
      </c>
    </row>
    <row r="27" spans="1:15" x14ac:dyDescent="0.45">
      <c r="A27">
        <v>500001</v>
      </c>
      <c r="B27">
        <v>1000000</v>
      </c>
      <c r="C27" s="6">
        <v>548131525</v>
      </c>
      <c r="D27" s="6">
        <v>821</v>
      </c>
      <c r="E27" s="7">
        <f t="shared" si="4"/>
        <v>667638.88550548116</v>
      </c>
      <c r="F27" s="8">
        <f>SUM($D$4:D27)/$D$32</f>
        <v>0.99911001137429412</v>
      </c>
      <c r="G27" s="8">
        <f>SUM($C$4:C27)/$C$32</f>
        <v>0.96067168523277524</v>
      </c>
      <c r="H27" s="13">
        <f t="shared" si="1"/>
        <v>0.92307692307692268</v>
      </c>
      <c r="I27" s="13">
        <f t="shared" si="1"/>
        <v>0.92307692307692268</v>
      </c>
      <c r="J27" s="13">
        <f t="shared" si="3"/>
        <v>3.0920057394696822E-3</v>
      </c>
      <c r="K27" s="14"/>
      <c r="L27" s="18">
        <f>SUM(D27:$D$29)</f>
        <v>1044</v>
      </c>
      <c r="M27" s="16">
        <f t="shared" si="2"/>
        <v>4.1665835212419929E-3</v>
      </c>
      <c r="N27" s="9">
        <f>SUM(C27:$C$29)</f>
        <v>1181889501</v>
      </c>
      <c r="O27" s="17">
        <f t="shared" si="0"/>
        <v>7.334301748559964E-2</v>
      </c>
    </row>
    <row r="28" spans="1:15" x14ac:dyDescent="0.45">
      <c r="A28">
        <v>1000001</v>
      </c>
      <c r="B28">
        <v>2000000</v>
      </c>
      <c r="C28" s="6">
        <v>216813804</v>
      </c>
      <c r="D28" s="6">
        <v>162</v>
      </c>
      <c r="E28" s="7">
        <f t="shared" si="4"/>
        <v>1338356.8148148148</v>
      </c>
      <c r="F28" s="8">
        <f>SUM($D$4:D28)/$D$32</f>
        <v>0.99975655019655574</v>
      </c>
      <c r="G28" s="8">
        <f>SUM($C$4:C28)/$C$32</f>
        <v>0.97412622442991403</v>
      </c>
      <c r="H28" s="13">
        <f t="shared" si="1"/>
        <v>0.96153846153846112</v>
      </c>
      <c r="I28" s="13">
        <f t="shared" si="1"/>
        <v>0.96153846153846112</v>
      </c>
      <c r="J28" s="13">
        <f t="shared" si="3"/>
        <v>6.2546098091378162E-4</v>
      </c>
      <c r="K28" s="14"/>
      <c r="L28" s="18">
        <f>SUM(D28:$D$29)</f>
        <v>223</v>
      </c>
      <c r="M28" s="16">
        <f t="shared" si="2"/>
        <v>8.8998862570590471E-4</v>
      </c>
      <c r="N28" s="9">
        <f>SUM(C28:$C$29)</f>
        <v>633757976</v>
      </c>
      <c r="O28" s="17">
        <f t="shared" si="0"/>
        <v>3.9328314767224794E-2</v>
      </c>
    </row>
    <row r="29" spans="1:15" x14ac:dyDescent="0.45">
      <c r="A29">
        <v>2000001</v>
      </c>
      <c r="B29" t="s">
        <v>22</v>
      </c>
      <c r="C29" s="6">
        <v>416944172</v>
      </c>
      <c r="D29" s="6">
        <v>61</v>
      </c>
      <c r="E29" s="7">
        <f t="shared" si="4"/>
        <v>6835150.360655738</v>
      </c>
      <c r="F29" s="8">
        <f>SUM($D$4:D29)/$D$32</f>
        <v>1</v>
      </c>
      <c r="G29" s="8">
        <f>SUM($C$4:C29)/$C$32</f>
        <v>1</v>
      </c>
      <c r="H29" s="13">
        <f t="shared" si="1"/>
        <v>0.99999999999999956</v>
      </c>
      <c r="I29" s="13">
        <f t="shared" si="1"/>
        <v>0.99999999999999956</v>
      </c>
      <c r="J29" s="13">
        <f t="shared" si="3"/>
        <v>2.4030032065581306E-4</v>
      </c>
      <c r="K29" s="14"/>
      <c r="L29" s="18">
        <f>SUM(D29:$D$29)</f>
        <v>61</v>
      </c>
      <c r="M29" s="16">
        <f t="shared" si="2"/>
        <v>2.4344980344421607E-4</v>
      </c>
      <c r="N29" s="9">
        <f>SUM(C29:$C$29)</f>
        <v>416944172</v>
      </c>
      <c r="O29" s="17">
        <f t="shared" si="0"/>
        <v>2.5873775570085945E-2</v>
      </c>
    </row>
    <row r="30" spans="1:15" x14ac:dyDescent="0.45">
      <c r="B30" t="s">
        <v>23</v>
      </c>
      <c r="C30" s="6">
        <v>16114546981</v>
      </c>
      <c r="D30" s="6">
        <v>250565</v>
      </c>
      <c r="E30" s="7">
        <f>C30/D30</f>
        <v>64312.840903557961</v>
      </c>
      <c r="F30" s="8"/>
      <c r="G30" s="8"/>
      <c r="H30" s="13"/>
      <c r="I30" s="13"/>
      <c r="J30" s="8"/>
      <c r="K30" s="8"/>
    </row>
    <row r="31" spans="1:15" x14ac:dyDescent="0.45">
      <c r="N31" t="s">
        <v>25</v>
      </c>
      <c r="O31" s="10" t="e">
        <f>#REF!+((#REF!-#REF!)*(0.001-#REF!)/(#REF!-#REF!))</f>
        <v>#REF!</v>
      </c>
    </row>
    <row r="32" spans="1:15" x14ac:dyDescent="0.45">
      <c r="B32" t="s">
        <v>14</v>
      </c>
      <c r="C32" s="9">
        <f>SUM(C4:C29)</f>
        <v>16114546981</v>
      </c>
      <c r="D32" s="9">
        <f>SUM(D4:D29)</f>
        <v>250565</v>
      </c>
      <c r="I32" t="s">
        <v>71</v>
      </c>
      <c r="J32" s="8">
        <f>SUM(J4:J29)</f>
        <v>0.23410951554661666</v>
      </c>
      <c r="N32" t="s">
        <v>17</v>
      </c>
      <c r="O32" s="10">
        <f>O26+((O25-O26)*(0.01-M26)/(M25-M26))</f>
        <v>0.10901519963532298</v>
      </c>
    </row>
    <row r="33" spans="1:10" x14ac:dyDescent="0.45">
      <c r="I33" t="s">
        <v>19</v>
      </c>
      <c r="J33" s="8">
        <f>1-(2*J32)</f>
        <v>0.53178096890676674</v>
      </c>
    </row>
    <row r="39" spans="1:10" x14ac:dyDescent="0.45">
      <c r="A39" s="47" t="s">
        <v>52</v>
      </c>
      <c r="B39" s="47"/>
    </row>
    <row r="40" spans="1:10" x14ac:dyDescent="0.45">
      <c r="A40" t="s">
        <v>54</v>
      </c>
      <c r="B40" t="s">
        <v>53</v>
      </c>
    </row>
    <row r="41" spans="1:10" x14ac:dyDescent="0.45">
      <c r="A41">
        <f t="shared" ref="A41:A65" si="5">LOG(E4)</f>
        <v>3.7722955399279523</v>
      </c>
      <c r="B41">
        <f xml:space="preserve"> LOG(1-F4)</f>
        <v>-0.14348627768580327</v>
      </c>
    </row>
    <row r="42" spans="1:10" x14ac:dyDescent="0.45">
      <c r="A42">
        <f t="shared" si="5"/>
        <v>4.3556337674688406</v>
      </c>
      <c r="B42">
        <f t="shared" ref="B42:B65" si="6" xml:space="preserve"> LOG(1-F5)</f>
        <v>-0.16857623963281418</v>
      </c>
    </row>
    <row r="43" spans="1:10" x14ac:dyDescent="0.45">
      <c r="A43">
        <f t="shared" si="5"/>
        <v>4.4411644681101272</v>
      </c>
      <c r="B43">
        <f t="shared" si="6"/>
        <v>-0.19779924270011631</v>
      </c>
    </row>
    <row r="44" spans="1:10" x14ac:dyDescent="0.45">
      <c r="A44">
        <f t="shared" si="5"/>
        <v>4.5132945165813325</v>
      </c>
      <c r="B44">
        <f t="shared" si="6"/>
        <v>-0.22435184467592204</v>
      </c>
    </row>
    <row r="45" spans="1:10" x14ac:dyDescent="0.45">
      <c r="A45">
        <f t="shared" si="5"/>
        <v>4.5754529919949274</v>
      </c>
      <c r="B45">
        <f t="shared" si="6"/>
        <v>-0.25392300720752736</v>
      </c>
    </row>
    <row r="46" spans="1:10" x14ac:dyDescent="0.45">
      <c r="A46">
        <f t="shared" si="5"/>
        <v>4.6293191283530346</v>
      </c>
      <c r="B46">
        <f t="shared" si="6"/>
        <v>-0.28671436190716915</v>
      </c>
    </row>
    <row r="47" spans="1:10" x14ac:dyDescent="0.45">
      <c r="A47">
        <f t="shared" si="5"/>
        <v>4.6777428199808533</v>
      </c>
      <c r="B47">
        <f t="shared" si="6"/>
        <v>-0.32247658683007402</v>
      </c>
    </row>
    <row r="48" spans="1:10" x14ac:dyDescent="0.45">
      <c r="A48">
        <f>LOG(E11)</f>
        <v>4.7206670746380448</v>
      </c>
      <c r="B48">
        <f xml:space="preserve"> LOG(1-F11)</f>
        <v>-0.36019297580706788</v>
      </c>
      <c r="H48" s="25"/>
      <c r="I48" s="25"/>
      <c r="J48" s="25"/>
    </row>
    <row r="49" spans="1:10" x14ac:dyDescent="0.45">
      <c r="A49">
        <f t="shared" si="5"/>
        <v>4.7602077624282391</v>
      </c>
      <c r="B49">
        <f t="shared" si="6"/>
        <v>-0.40271968167192423</v>
      </c>
      <c r="H49" t="s">
        <v>60</v>
      </c>
      <c r="I49" t="s">
        <v>62</v>
      </c>
      <c r="J49" t="s">
        <v>61</v>
      </c>
    </row>
    <row r="50" spans="1:10" x14ac:dyDescent="0.45">
      <c r="A50">
        <f t="shared" si="5"/>
        <v>4.7962260987499015</v>
      </c>
      <c r="B50">
        <f t="shared" si="6"/>
        <v>-0.44523318400886275</v>
      </c>
      <c r="F50" s="25" t="s">
        <v>63</v>
      </c>
      <c r="G50" s="25"/>
      <c r="H50">
        <f>A29*((D29/D30)^(1/G52))</f>
        <v>5556.4227026976187</v>
      </c>
      <c r="I50">
        <f>H50/(0.01^(1/G52))</f>
        <v>144405.83496934638</v>
      </c>
      <c r="J50">
        <f>I50*F52*0.01*D32</f>
        <v>1236582250.9790702</v>
      </c>
    </row>
    <row r="51" spans="1:10" x14ac:dyDescent="0.45">
      <c r="A51">
        <f t="shared" si="5"/>
        <v>4.8294456902556702</v>
      </c>
      <c r="B51">
        <f t="shared" si="6"/>
        <v>-0.48873371805696725</v>
      </c>
      <c r="F51" t="s">
        <v>58</v>
      </c>
      <c r="G51" t="s">
        <v>59</v>
      </c>
      <c r="J51">
        <f>J50/C30</f>
        <v>7.6737016090931601E-2</v>
      </c>
    </row>
    <row r="52" spans="1:10" x14ac:dyDescent="0.45">
      <c r="A52">
        <f t="shared" si="5"/>
        <v>4.8604106341962865</v>
      </c>
      <c r="B52">
        <f t="shared" si="6"/>
        <v>-0.53355581515285122</v>
      </c>
      <c r="F52">
        <f>E29/A29</f>
        <v>3.4175734715411332</v>
      </c>
      <c r="G52">
        <f>F52/(F52-1)</f>
        <v>1.4136378942653307</v>
      </c>
    </row>
    <row r="53" spans="1:10" x14ac:dyDescent="0.45">
      <c r="A53">
        <f t="shared" si="5"/>
        <v>4.8894698346845153</v>
      </c>
      <c r="B53">
        <f t="shared" si="6"/>
        <v>-0.5775706703629786</v>
      </c>
    </row>
    <row r="54" spans="1:10" x14ac:dyDescent="0.45">
      <c r="A54">
        <f t="shared" si="5"/>
        <v>4.9165395418021651</v>
      </c>
      <c r="B54">
        <f t="shared" si="6"/>
        <v>-0.6214935843787982</v>
      </c>
    </row>
    <row r="55" spans="1:10" x14ac:dyDescent="0.45">
      <c r="A55">
        <f t="shared" si="5"/>
        <v>4.9422183364895664</v>
      </c>
      <c r="B55">
        <f t="shared" si="6"/>
        <v>-0.66528184659785017</v>
      </c>
    </row>
    <row r="56" spans="1:10" x14ac:dyDescent="0.45">
      <c r="A56">
        <f t="shared" si="5"/>
        <v>4.9660900441380562</v>
      </c>
      <c r="B56">
        <f t="shared" si="6"/>
        <v>-0.70811319938648543</v>
      </c>
    </row>
    <row r="57" spans="1:10" x14ac:dyDescent="0.45">
      <c r="A57">
        <f t="shared" si="5"/>
        <v>4.9891731407867042</v>
      </c>
      <c r="B57">
        <f t="shared" si="6"/>
        <v>-0.75001421149432579</v>
      </c>
    </row>
    <row r="58" spans="1:10" x14ac:dyDescent="0.45">
      <c r="A58">
        <f t="shared" si="5"/>
        <v>5.0388419486119664</v>
      </c>
      <c r="B58">
        <f t="shared" si="6"/>
        <v>-0.9107223451647557</v>
      </c>
    </row>
    <row r="59" spans="1:10" x14ac:dyDescent="0.45">
      <c r="A59">
        <f t="shared" si="5"/>
        <v>5.1252609204754087</v>
      </c>
      <c r="B59">
        <f t="shared" si="6"/>
        <v>-1.1218845185959989</v>
      </c>
    </row>
    <row r="60" spans="1:10" x14ac:dyDescent="0.45">
      <c r="A60">
        <f t="shared" si="5"/>
        <v>5.2336646233210313</v>
      </c>
      <c r="B60">
        <f t="shared" si="6"/>
        <v>-1.4214711793857677</v>
      </c>
    </row>
    <row r="61" spans="1:10" x14ac:dyDescent="0.45">
      <c r="A61">
        <f t="shared" si="5"/>
        <v>5.3774547831689601</v>
      </c>
      <c r="B61">
        <f t="shared" si="6"/>
        <v>-1.8489367956084217</v>
      </c>
    </row>
    <row r="62" spans="1:10" x14ac:dyDescent="0.45">
      <c r="A62">
        <f t="shared" si="5"/>
        <v>5.5336034482383756</v>
      </c>
      <c r="B62">
        <f t="shared" si="6"/>
        <v>-2.148012707067251</v>
      </c>
    </row>
    <row r="63" spans="1:10" x14ac:dyDescent="0.45">
      <c r="A63">
        <f t="shared" si="5"/>
        <v>5.6472789075972889</v>
      </c>
      <c r="B63">
        <f t="shared" si="6"/>
        <v>-2.380219908101866</v>
      </c>
    </row>
    <row r="64" spans="1:10" x14ac:dyDescent="0.45">
      <c r="A64">
        <f t="shared" si="5"/>
        <v>5.8245416234964953</v>
      </c>
      <c r="B64">
        <f t="shared" si="6"/>
        <v>-3.0506155437199589</v>
      </c>
    </row>
    <row r="65" spans="1:3" x14ac:dyDescent="0.45">
      <c r="A65">
        <f t="shared" si="5"/>
        <v>6.1265719146621898</v>
      </c>
      <c r="B65">
        <f t="shared" si="6"/>
        <v>-3.6135905717572601</v>
      </c>
    </row>
    <row r="69" spans="1:3" x14ac:dyDescent="0.45">
      <c r="B69" s="47" t="s">
        <v>52</v>
      </c>
      <c r="C69" s="47"/>
    </row>
    <row r="70" spans="1:3" x14ac:dyDescent="0.45">
      <c r="B70" t="s">
        <v>54</v>
      </c>
      <c r="C70" t="s">
        <v>53</v>
      </c>
    </row>
    <row r="71" spans="1:3" x14ac:dyDescent="0.45">
      <c r="B71">
        <f>LOG(A5)</f>
        <v>4.3010517098452263</v>
      </c>
      <c r="C71">
        <f>LOG(1-F5)</f>
        <v>-0.16857623963281418</v>
      </c>
    </row>
    <row r="72" spans="1:3" x14ac:dyDescent="0.45">
      <c r="B72">
        <f t="shared" ref="B72:B94" si="7">LOG(A6)</f>
        <v>4.3979573801038878</v>
      </c>
      <c r="C72">
        <f t="shared" ref="C72:C94" si="8">LOG(1-F6)</f>
        <v>-0.19779924270011631</v>
      </c>
    </row>
    <row r="73" spans="1:3" x14ac:dyDescent="0.45">
      <c r="B73">
        <f t="shared" si="7"/>
        <v>4.4771357309611233</v>
      </c>
      <c r="C73">
        <f t="shared" si="8"/>
        <v>-0.22435184467592204</v>
      </c>
    </row>
    <row r="74" spans="1:3" x14ac:dyDescent="0.45">
      <c r="B74">
        <f t="shared" si="7"/>
        <v>4.5440804525867851</v>
      </c>
      <c r="C74">
        <f t="shared" si="8"/>
        <v>-0.25392300720752736</v>
      </c>
    </row>
    <row r="75" spans="1:3" x14ac:dyDescent="0.45">
      <c r="B75">
        <f t="shared" si="7"/>
        <v>4.6020708485542956</v>
      </c>
      <c r="C75">
        <f t="shared" si="8"/>
        <v>-0.28671436190716915</v>
      </c>
    </row>
    <row r="76" spans="1:3" x14ac:dyDescent="0.45">
      <c r="B76">
        <f t="shared" si="7"/>
        <v>4.653222164656599</v>
      </c>
      <c r="C76">
        <f t="shared" si="8"/>
        <v>-0.32247658683007402</v>
      </c>
    </row>
    <row r="77" spans="1:3" x14ac:dyDescent="0.45">
      <c r="B77">
        <f t="shared" si="7"/>
        <v>4.6989786901387989</v>
      </c>
      <c r="C77">
        <f t="shared" si="8"/>
        <v>-0.36019297580706788</v>
      </c>
    </row>
    <row r="78" spans="1:3" x14ac:dyDescent="0.45">
      <c r="B78">
        <f t="shared" si="7"/>
        <v>4.7403705856857679</v>
      </c>
      <c r="C78">
        <f t="shared" si="8"/>
        <v>-0.40271968167192423</v>
      </c>
    </row>
    <row r="79" spans="1:3" x14ac:dyDescent="0.45">
      <c r="B79">
        <f t="shared" si="7"/>
        <v>4.7781584885646904</v>
      </c>
      <c r="C79">
        <f t="shared" si="8"/>
        <v>-0.44523318400886275</v>
      </c>
    </row>
    <row r="80" spans="1:3" x14ac:dyDescent="0.45">
      <c r="B80">
        <f t="shared" si="7"/>
        <v>4.8129200380450277</v>
      </c>
      <c r="C80">
        <f t="shared" si="8"/>
        <v>-0.48873371805696725</v>
      </c>
    </row>
    <row r="81" spans="2:3" x14ac:dyDescent="0.45">
      <c r="B81">
        <f t="shared" si="7"/>
        <v>4.8451042441768255</v>
      </c>
      <c r="C81">
        <f t="shared" si="8"/>
        <v>-0.53355581515285122</v>
      </c>
    </row>
    <row r="82" spans="2:3" x14ac:dyDescent="0.45">
      <c r="B82">
        <f t="shared" si="7"/>
        <v>4.8750670539461884</v>
      </c>
      <c r="C82">
        <f t="shared" si="8"/>
        <v>-0.5775706703629786</v>
      </c>
    </row>
    <row r="83" spans="2:3" x14ac:dyDescent="0.45">
      <c r="B83">
        <f t="shared" si="7"/>
        <v>4.9030954156390383</v>
      </c>
      <c r="C83">
        <f t="shared" si="8"/>
        <v>-0.6214935843787982</v>
      </c>
    </row>
    <row r="84" spans="2:3" x14ac:dyDescent="0.45">
      <c r="B84">
        <f t="shared" si="7"/>
        <v>4.9294240350310838</v>
      </c>
      <c r="C84">
        <f t="shared" si="8"/>
        <v>-0.66528184659785017</v>
      </c>
    </row>
    <row r="85" spans="2:3" x14ac:dyDescent="0.45">
      <c r="B85">
        <f t="shared" si="7"/>
        <v>4.9542473349067597</v>
      </c>
      <c r="C85">
        <f t="shared" si="8"/>
        <v>-0.70811319938648543</v>
      </c>
    </row>
    <row r="86" spans="2:3" x14ac:dyDescent="0.45">
      <c r="B86">
        <f t="shared" si="7"/>
        <v>4.9777281767856492</v>
      </c>
      <c r="C86">
        <f t="shared" si="8"/>
        <v>-0.75001421149432579</v>
      </c>
    </row>
    <row r="87" spans="2:3" x14ac:dyDescent="0.45">
      <c r="B87">
        <f t="shared" si="7"/>
        <v>5.0000043429231047</v>
      </c>
      <c r="C87">
        <f t="shared" si="8"/>
        <v>-0.9107223451647557</v>
      </c>
    </row>
    <row r="88" spans="2:3" x14ac:dyDescent="0.45">
      <c r="B88">
        <f t="shared" si="7"/>
        <v>5.0791848651532279</v>
      </c>
      <c r="C88">
        <f t="shared" si="8"/>
        <v>-1.1218845185959989</v>
      </c>
    </row>
    <row r="89" spans="2:3" x14ac:dyDescent="0.45">
      <c r="B89">
        <f t="shared" si="7"/>
        <v>5.176094154342576</v>
      </c>
      <c r="C89">
        <f t="shared" si="8"/>
        <v>-1.4214711793857677</v>
      </c>
    </row>
    <row r="90" spans="2:3" x14ac:dyDescent="0.45">
      <c r="B90">
        <f t="shared" si="7"/>
        <v>5.3010321671309617</v>
      </c>
      <c r="C90">
        <f t="shared" si="8"/>
        <v>-1.8489367956084217</v>
      </c>
    </row>
    <row r="91" spans="2:3" x14ac:dyDescent="0.45">
      <c r="B91">
        <f t="shared" si="7"/>
        <v>5.4771227023655227</v>
      </c>
      <c r="C91">
        <f t="shared" si="8"/>
        <v>-2.148012707067251</v>
      </c>
    </row>
    <row r="92" spans="2:3" x14ac:dyDescent="0.45">
      <c r="B92">
        <f t="shared" si="7"/>
        <v>5.6020610770628103</v>
      </c>
      <c r="C92">
        <f t="shared" si="8"/>
        <v>-2.380219908101866</v>
      </c>
    </row>
    <row r="93" spans="2:3" x14ac:dyDescent="0.45">
      <c r="B93">
        <f t="shared" si="7"/>
        <v>5.6989708729241144</v>
      </c>
      <c r="C93">
        <f t="shared" si="8"/>
        <v>-3.0506155437199589</v>
      </c>
    </row>
    <row r="94" spans="2:3" x14ac:dyDescent="0.45">
      <c r="B94">
        <f t="shared" si="7"/>
        <v>6.0000004342942646</v>
      </c>
      <c r="C94">
        <f t="shared" si="8"/>
        <v>-3.6135905717572601</v>
      </c>
    </row>
    <row r="95" spans="2:3" x14ac:dyDescent="0.45">
      <c r="B95">
        <f>LOG(A29)</f>
        <v>6.3010302128111677</v>
      </c>
      <c r="C95">
        <f>LOG(1)</f>
        <v>0</v>
      </c>
    </row>
  </sheetData>
  <mergeCells count="6">
    <mergeCell ref="A39:B39"/>
    <mergeCell ref="F1:I1"/>
    <mergeCell ref="J1:K1"/>
    <mergeCell ref="L1:Q1"/>
    <mergeCell ref="B69:C69"/>
    <mergeCell ref="J2:K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B010-F934-41A3-88FF-308B180726C1}">
  <dimension ref="A1:I49"/>
  <sheetViews>
    <sheetView topLeftCell="A9" workbookViewId="0">
      <selection activeCell="B18" sqref="B18"/>
    </sheetView>
  </sheetViews>
  <sheetFormatPr baseColWidth="10" defaultRowHeight="14.25" x14ac:dyDescent="0.45"/>
  <sheetData>
    <row r="1" spans="1:9" x14ac:dyDescent="0.45">
      <c r="A1" t="s">
        <v>28</v>
      </c>
    </row>
    <row r="2" spans="1:9" ht="14.65" thickBot="1" x14ac:dyDescent="0.5"/>
    <row r="3" spans="1:9" x14ac:dyDescent="0.45">
      <c r="A3" s="24" t="s">
        <v>29</v>
      </c>
      <c r="B3" s="24"/>
    </row>
    <row r="4" spans="1:9" x14ac:dyDescent="0.45">
      <c r="A4" t="s">
        <v>30</v>
      </c>
      <c r="B4">
        <v>0.92313721029489104</v>
      </c>
    </row>
    <row r="5" spans="1:9" x14ac:dyDescent="0.45">
      <c r="A5" t="s">
        <v>31</v>
      </c>
      <c r="B5">
        <v>0.85218230903103387</v>
      </c>
    </row>
    <row r="6" spans="1:9" x14ac:dyDescent="0.45">
      <c r="A6" t="s">
        <v>31</v>
      </c>
      <c r="B6">
        <v>0.84575545290194842</v>
      </c>
    </row>
    <row r="7" spans="1:9" x14ac:dyDescent="0.45">
      <c r="A7" t="s">
        <v>32</v>
      </c>
      <c r="B7">
        <v>0.37116301518184985</v>
      </c>
    </row>
    <row r="8" spans="1:9" ht="14.65" thickBot="1" x14ac:dyDescent="0.5">
      <c r="A8" s="22" t="s">
        <v>33</v>
      </c>
      <c r="B8" s="22">
        <v>25</v>
      </c>
    </row>
    <row r="10" spans="1:9" ht="14.65" thickBot="1" x14ac:dyDescent="0.5">
      <c r="A10" t="s">
        <v>34</v>
      </c>
    </row>
    <row r="11" spans="1:9" x14ac:dyDescent="0.45">
      <c r="A11" s="23"/>
      <c r="B11" s="23" t="s">
        <v>39</v>
      </c>
      <c r="C11" s="23" t="s">
        <v>40</v>
      </c>
      <c r="D11" s="23" t="s">
        <v>41</v>
      </c>
      <c r="E11" s="23" t="s">
        <v>42</v>
      </c>
      <c r="F11" s="23" t="s">
        <v>43</v>
      </c>
    </row>
    <row r="12" spans="1:9" x14ac:dyDescent="0.45">
      <c r="A12" t="s">
        <v>35</v>
      </c>
      <c r="B12">
        <v>1</v>
      </c>
      <c r="C12">
        <v>18.266835778883362</v>
      </c>
      <c r="D12">
        <v>18.266835778883362</v>
      </c>
      <c r="E12">
        <v>132.59707264557923</v>
      </c>
      <c r="F12">
        <v>5.0116133691544345E-11</v>
      </c>
    </row>
    <row r="13" spans="1:9" x14ac:dyDescent="0.45">
      <c r="A13" t="s">
        <v>36</v>
      </c>
      <c r="B13">
        <v>23</v>
      </c>
      <c r="C13">
        <v>3.1685256282942884</v>
      </c>
      <c r="D13">
        <v>0.13776198383888211</v>
      </c>
    </row>
    <row r="14" spans="1:9" ht="14.65" thickBot="1" x14ac:dyDescent="0.5">
      <c r="A14" s="22" t="s">
        <v>37</v>
      </c>
      <c r="B14" s="22">
        <v>24</v>
      </c>
      <c r="C14" s="22">
        <v>21.435361407177652</v>
      </c>
      <c r="D14" s="22"/>
      <c r="E14" s="22"/>
      <c r="F14" s="22"/>
    </row>
    <row r="15" spans="1:9" ht="14.65" thickBot="1" x14ac:dyDescent="0.5"/>
    <row r="16" spans="1:9" x14ac:dyDescent="0.45">
      <c r="A16" s="23"/>
      <c r="B16" s="23" t="s">
        <v>44</v>
      </c>
      <c r="C16" s="23" t="s">
        <v>32</v>
      </c>
      <c r="D16" s="23" t="s">
        <v>45</v>
      </c>
      <c r="E16" s="23" t="s">
        <v>46</v>
      </c>
      <c r="F16" s="23" t="s">
        <v>47</v>
      </c>
      <c r="G16" s="23" t="s">
        <v>48</v>
      </c>
      <c r="H16" s="23" t="s">
        <v>49</v>
      </c>
      <c r="I16" s="23" t="s">
        <v>50</v>
      </c>
    </row>
    <row r="17" spans="1:9" x14ac:dyDescent="0.45">
      <c r="A17" t="s">
        <v>38</v>
      </c>
      <c r="B17">
        <v>7.7313593280918838</v>
      </c>
      <c r="C17">
        <v>0.75719736484209588</v>
      </c>
      <c r="D17">
        <v>10.210494234490849</v>
      </c>
      <c r="E17">
        <v>5.1526322468997036E-10</v>
      </c>
      <c r="F17">
        <v>6.1649772367220326</v>
      </c>
      <c r="G17">
        <v>9.2977414194617349</v>
      </c>
      <c r="H17">
        <v>6.1649772367220326</v>
      </c>
      <c r="I17">
        <v>9.2977414194617349</v>
      </c>
    </row>
    <row r="18" spans="1:9" ht="14.65" thickBot="1" x14ac:dyDescent="0.5">
      <c r="A18" s="22" t="s">
        <v>51</v>
      </c>
      <c r="B18" s="22">
        <v>-1.755910322988903</v>
      </c>
      <c r="C18" s="22">
        <v>0.15248789311920663</v>
      </c>
      <c r="D18" s="22">
        <v>-11.515080227492088</v>
      </c>
      <c r="E18" s="22">
        <v>5.0116133691544164E-11</v>
      </c>
      <c r="F18" s="22">
        <v>-2.0713555635867165</v>
      </c>
      <c r="G18" s="22">
        <v>-1.4404650823910896</v>
      </c>
      <c r="H18" s="22">
        <v>-2.0713555635867165</v>
      </c>
      <c r="I18" s="22">
        <v>-1.4404650823910896</v>
      </c>
    </row>
    <row r="22" spans="1:9" x14ac:dyDescent="0.45">
      <c r="A22" t="s">
        <v>55</v>
      </c>
    </row>
    <row r="23" spans="1:9" ht="14.65" thickBot="1" x14ac:dyDescent="0.5"/>
    <row r="24" spans="1:9" x14ac:dyDescent="0.45">
      <c r="A24" s="23" t="s">
        <v>56</v>
      </c>
      <c r="B24" s="23" t="s">
        <v>57</v>
      </c>
      <c r="C24" s="23" t="s">
        <v>36</v>
      </c>
    </row>
    <row r="25" spans="1:9" x14ac:dyDescent="0.45">
      <c r="A25">
        <v>1</v>
      </c>
      <c r="B25">
        <v>1.1075466481673946</v>
      </c>
      <c r="C25">
        <v>-1.2510329258531978</v>
      </c>
    </row>
    <row r="26" spans="1:9" x14ac:dyDescent="0.45">
      <c r="A26">
        <v>2</v>
      </c>
      <c r="B26">
        <v>8.3257032634299399E-2</v>
      </c>
      <c r="C26">
        <v>-0.25183327226711361</v>
      </c>
    </row>
    <row r="27" spans="1:9" x14ac:dyDescent="0.45">
      <c r="A27">
        <v>3</v>
      </c>
      <c r="B27">
        <v>-6.6927207554209112E-2</v>
      </c>
      <c r="C27">
        <v>-0.1308720351459072</v>
      </c>
    </row>
    <row r="28" spans="1:9" x14ac:dyDescent="0.45">
      <c r="A28">
        <v>4</v>
      </c>
      <c r="B28">
        <v>-0.19358110426248842</v>
      </c>
      <c r="C28">
        <v>-3.0770740413433612E-2</v>
      </c>
    </row>
    <row r="29" spans="1:9" x14ac:dyDescent="0.45">
      <c r="A29">
        <v>5</v>
      </c>
      <c r="B29">
        <v>-0.30272581290247125</v>
      </c>
      <c r="C29">
        <v>4.8802805694943885E-2</v>
      </c>
    </row>
    <row r="30" spans="1:9" x14ac:dyDescent="0.45">
      <c r="A30">
        <v>6</v>
      </c>
      <c r="B30">
        <v>-0.39730991779319957</v>
      </c>
      <c r="C30">
        <v>0.11059555588603043</v>
      </c>
    </row>
    <row r="31" spans="1:9" x14ac:dyDescent="0.45">
      <c r="A31">
        <v>7</v>
      </c>
      <c r="B31">
        <v>-0.48233757779971853</v>
      </c>
      <c r="C31">
        <v>0.15986099096964451</v>
      </c>
    </row>
    <row r="32" spans="1:9" x14ac:dyDescent="0.45">
      <c r="A32">
        <v>8</v>
      </c>
      <c r="B32">
        <v>-0.55770871965888524</v>
      </c>
      <c r="C32">
        <v>0.19751574385181736</v>
      </c>
    </row>
    <row r="33" spans="1:3" x14ac:dyDescent="0.45">
      <c r="A33">
        <v>9</v>
      </c>
      <c r="B33">
        <v>-0.62713862152776834</v>
      </c>
      <c r="C33">
        <v>0.2244189398558441</v>
      </c>
    </row>
    <row r="34" spans="1:3" x14ac:dyDescent="0.45">
      <c r="A34">
        <v>10</v>
      </c>
      <c r="B34">
        <v>-0.69038359009186223</v>
      </c>
      <c r="C34">
        <v>0.24515040608299948</v>
      </c>
    </row>
    <row r="35" spans="1:3" x14ac:dyDescent="0.45">
      <c r="A35">
        <v>11</v>
      </c>
      <c r="B35">
        <v>-0.74871421374231595</v>
      </c>
      <c r="C35">
        <v>0.2599804956853487</v>
      </c>
    </row>
    <row r="36" spans="1:3" x14ac:dyDescent="0.45">
      <c r="A36">
        <v>12</v>
      </c>
      <c r="B36">
        <v>-0.8030858784584165</v>
      </c>
      <c r="C36">
        <v>0.26953006330556528</v>
      </c>
    </row>
    <row r="37" spans="1:3" x14ac:dyDescent="0.45">
      <c r="A37">
        <v>13</v>
      </c>
      <c r="B37">
        <v>-0.85411122857350108</v>
      </c>
      <c r="C37">
        <v>0.27654055821052248</v>
      </c>
    </row>
    <row r="38" spans="1:3" x14ac:dyDescent="0.45">
      <c r="A38">
        <v>14</v>
      </c>
      <c r="B38">
        <v>-0.90164320674166909</v>
      </c>
      <c r="C38">
        <v>0.28014962236287089</v>
      </c>
    </row>
    <row r="39" spans="1:3" x14ac:dyDescent="0.45">
      <c r="A39">
        <v>15</v>
      </c>
      <c r="B39">
        <v>-0.94673286741518936</v>
      </c>
      <c r="C39">
        <v>0.28145102081733919</v>
      </c>
    </row>
    <row r="40" spans="1:3" x14ac:dyDescent="0.45">
      <c r="A40">
        <v>16</v>
      </c>
      <c r="B40">
        <v>-0.98864944530254562</v>
      </c>
      <c r="C40">
        <v>0.28053624591606019</v>
      </c>
    </row>
    <row r="41" spans="1:3" x14ac:dyDescent="0.45">
      <c r="A41">
        <v>17</v>
      </c>
      <c r="B41">
        <v>-1.0291812929944584</v>
      </c>
      <c r="C41">
        <v>0.27916708150013259</v>
      </c>
    </row>
    <row r="42" spans="1:3" x14ac:dyDescent="0.45">
      <c r="A42">
        <v>18</v>
      </c>
      <c r="B42">
        <v>-1.1163952653853872</v>
      </c>
      <c r="C42">
        <v>0.20567292022063155</v>
      </c>
    </row>
    <row r="43" spans="1:3" x14ac:dyDescent="0.45">
      <c r="A43">
        <v>19</v>
      </c>
      <c r="B43">
        <v>-1.2681392301824932</v>
      </c>
      <c r="C43">
        <v>0.14625471158649428</v>
      </c>
    </row>
    <row r="44" spans="1:3" x14ac:dyDescent="0.45">
      <c r="A44">
        <v>20</v>
      </c>
      <c r="B44">
        <v>-1.4584864110593436</v>
      </c>
      <c r="C44">
        <v>3.7015231673575899E-2</v>
      </c>
    </row>
    <row r="45" spans="1:3" x14ac:dyDescent="0.45">
      <c r="A45">
        <v>21</v>
      </c>
      <c r="B45">
        <v>-1.710969037080547</v>
      </c>
      <c r="C45">
        <v>-0.13796775852787468</v>
      </c>
    </row>
    <row r="46" spans="1:3" x14ac:dyDescent="0.45">
      <c r="A46">
        <v>22</v>
      </c>
      <c r="B46">
        <v>-1.9851520899968698</v>
      </c>
      <c r="C46">
        <v>-0.16286061707038124</v>
      </c>
    </row>
    <row r="47" spans="1:3" x14ac:dyDescent="0.45">
      <c r="A47">
        <v>23</v>
      </c>
      <c r="B47">
        <v>-2.1847560025556909</v>
      </c>
      <c r="C47">
        <v>-0.1954639055461751</v>
      </c>
    </row>
    <row r="48" spans="1:3" x14ac:dyDescent="0.45">
      <c r="A48">
        <v>24</v>
      </c>
      <c r="B48">
        <v>-2.4960134352841568</v>
      </c>
      <c r="C48">
        <v>-0.55460210843580215</v>
      </c>
    </row>
    <row r="49" spans="1:3" ht="14.65" thickBot="1" x14ac:dyDescent="0.5">
      <c r="A49" s="22">
        <v>25</v>
      </c>
      <c r="B49" s="22">
        <v>-3.0263515413973447</v>
      </c>
      <c r="C49" s="22">
        <v>-0.58723903035991531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source</vt:lpstr>
      <vt:lpstr>CH</vt:lpstr>
      <vt:lpstr>CH theil</vt:lpstr>
      <vt:lpstr>GE</vt:lpstr>
      <vt:lpstr>alpha coef 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Celâl Guney</dc:creator>
  <cp:lastModifiedBy>Celâl Guney</cp:lastModifiedBy>
  <dcterms:created xsi:type="dcterms:W3CDTF">2026-02-14T13:26:49Z</dcterms:created>
  <dcterms:modified xsi:type="dcterms:W3CDTF">2026-04-12T16:30:24Z</dcterms:modified>
</cp:coreProperties>
</file>
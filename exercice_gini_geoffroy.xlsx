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1900_fortunes" sheetId="1" state="visible" r:id="rId3"/>
    <sheet name="2_1934_fortunes" sheetId="2" state="visible" r:id="rId4"/>
    <sheet name="3_1952_fortunes" sheetId="3" state="visible" r:id="rId5"/>
    <sheet name="4_1952_revenu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<sst xmlns="http://schemas.openxmlformats.org/spreadsheetml/2006/main" count="103" uniqueCount="39">
  <si>
    <t xml:space="preserve">Courbe de Lorenz</t>
  </si>
  <si>
    <t xml:space="preserve">Coefficient de Gini</t>
  </si>
  <si>
    <t xml:space="preserve">Calcul des déciles et centiles</t>
  </si>
  <si>
    <t xml:space="preserve">Seuil inférieur du groupe (en fr)</t>
  </si>
  <si>
    <t xml:space="preserve">Seuil supérieur du groupe (en fr)</t>
  </si>
  <si>
    <t xml:space="preserve">Fortune totale du groupe (en milliers)</t>
  </si>
  <si>
    <t xml:space="preserve">Nombre de contribuables du groupe</t>
  </si>
  <si>
    <t xml:space="preserve">Fortune moyenne par groupe (en milliers)</t>
  </si>
  <si>
    <t xml:space="preserve">Proportion cumulée des contribuables (Proportion des contribuables en-dessous du seuil de fortune supérieur du groupe)</t>
  </si>
  <si>
    <t xml:space="preserve">Proportion cumulée de la fortune (Proportion de fortune totale possédée par les contribuables sous le seuil supérieur de fortune du groupe)</t>
  </si>
  <si>
    <t xml:space="preserve">ligne égalité parfaite x</t>
  </si>
  <si>
    <t xml:space="preserve">ligne égalité parfaite y</t>
  </si>
  <si>
    <t xml:space="preserve">Aire des triangles sous la courbe</t>
  </si>
  <si>
    <t xml:space="preserve">Aire des rectangles sous la courbe</t>
  </si>
  <si>
    <t xml:space="preserve">Nombre de contribuables ayant une fortune supérieure au seuil inférieur du groupe</t>
  </si>
  <si>
    <t xml:space="preserve">Proportion de contribuables ayant une fortune supérieure au seuil inférieur du groupe</t>
  </si>
  <si>
    <t xml:space="preserve">Fortune totale possédée par les contribuables ayant une fortune supérieure au seuil inférieure du groupe</t>
  </si>
  <si>
    <t xml:space="preserve">Proportion de la fortune totale possédée par les contribuables ayant une fortune supérieure au seuil inférieur du groupe</t>
  </si>
  <si>
    <t xml:space="preserve">et plus</t>
  </si>
  <si>
    <t xml:space="preserve">TOTAL</t>
  </si>
  <si>
    <t xml:space="preserve">Somme aires triangles</t>
  </si>
  <si>
    <t xml:space="preserve">Part du 0.1%</t>
  </si>
  <si>
    <t xml:space="preserve">Somme aires rectangles</t>
  </si>
  <si>
    <t xml:space="preserve">Part du 1%</t>
  </si>
  <si>
    <t xml:space="preserve">Somme totale</t>
  </si>
  <si>
    <t xml:space="preserve">Fortune moyenne par groupe</t>
  </si>
  <si>
    <t xml:space="preserve">Seuil inférieur du groupe (en milliers)</t>
  </si>
  <si>
    <t xml:space="preserve">Seuil supérieur du groupe (en milliers)</t>
  </si>
  <si>
    <t xml:space="preserve">seuil inférieur du groupe (en milliers)</t>
  </si>
  <si>
    <t xml:space="preserve">seuil supérieur du groupe (en milliers)</t>
  </si>
  <si>
    <t xml:space="preserve">revenu totale du groupe (en milliers)</t>
  </si>
  <si>
    <t xml:space="preserve">nombre de contribuables du groupe</t>
  </si>
  <si>
    <t xml:space="preserve">Revenu moyen du groupe</t>
  </si>
  <si>
    <t xml:space="preserve">Proportion cumulée des contribuables (Proportion des contribuables en-dessous du seuil de revenu supérieur du groupe)</t>
  </si>
  <si>
    <t xml:space="preserve">Proportion cumulée du revenu (Proportion de revenu total possédé par les contribuables sous le seuil supérieur de revenu du groupe)</t>
  </si>
  <si>
    <t xml:space="preserve">Nombre de contribuables ayant un revenu supérieur au seuil inférieur du groupe</t>
  </si>
  <si>
    <t xml:space="preserve">Proportion de contribuables ayant un revenu supérieur au seuil inférieur du groupe</t>
  </si>
  <si>
    <t xml:space="preserve">Revenu total gagné par les contribuables ayant un revenu supérieur au seuil inférieure du groupe</t>
  </si>
  <si>
    <t xml:space="preserve">Proportion du revenu total possédé par les contribuables ayant un revenu supérieur au seuil inférieur du groupe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</si>
</sst>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"/>
    <numFmt numFmtId="167" formatCode="#,##0"/>
    <numFmt numFmtId="168" formatCode="0.0"/>
    <numFmt numFmtId="169" formatCode="0.0000%"/>
    <numFmt numFmtId="170" formatCode="0.000%"/>
    <numFmt numFmtId="171" formatCode="0.00000000"/>
    <numFmt numFmtId="172" formatCode="0.0%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9"/>
      <color rgb="FF595959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"/>
        <bgColor rgb="FFDCEAF7"/>
      </patternFill>
    </fill>
    <fill>
      <patternFill patternType="solid">
        <fgColor theme="8" tint="0.7999"/>
        <bgColor rgb="FFD9D9D9"/>
      </patternFill>
    </fill>
    <fill>
      <patternFill patternType="solid">
        <fgColor theme="5" tint="0.5999"/>
        <bgColor rgb="FFF2CFEE"/>
      </patternFill>
    </fill>
    <fill>
      <patternFill patternType="solid">
        <fgColor theme="3" tint="0.8999"/>
        <bgColor rgb="FFD9F2D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3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CFEE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"Fortunes"</c:f>
              <c:strCache>
                <c:ptCount val="1"/>
                <c:pt idx="0">
                  <c:v>Fortunes</c:v>
                </c:pt>
              </c:strCache>
            </c:strRef>
          </c:tx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3_1952_fortunes!$F$3:$F$42</c:f>
              <c:numCache>
                <c:formatCode>0%</c:formatCode>
                <c:ptCount val="40"/>
                <c:pt idx="0">
                  <c:v>0</c:v>
                </c:pt>
                <c:pt idx="1">
                  <c:v>0.602640453120789</c:v>
                </c:pt>
                <c:pt idx="2">
                  <c:v>0.699314637811697</c:v>
                </c:pt>
                <c:pt idx="3">
                  <c:v>0.774291755988725</c:v>
                </c:pt>
                <c:pt idx="4">
                  <c:v>0.817054666313829</c:v>
                </c:pt>
                <c:pt idx="5">
                  <c:v>0.848802740477641</c:v>
                </c:pt>
                <c:pt idx="6">
                  <c:v>0.870902818409367</c:v>
                </c:pt>
                <c:pt idx="7">
                  <c:v>0.887411719863365</c:v>
                </c:pt>
                <c:pt idx="8">
                  <c:v>0.901339891575362</c:v>
                </c:pt>
                <c:pt idx="9">
                  <c:v>0.911728360593252</c:v>
                </c:pt>
                <c:pt idx="10">
                  <c:v>0.91991726127036</c:v>
                </c:pt>
                <c:pt idx="11">
                  <c:v>0.927783267257265</c:v>
                </c:pt>
                <c:pt idx="12">
                  <c:v>0.938623303285514</c:v>
                </c:pt>
                <c:pt idx="13">
                  <c:v>0.946319364698628</c:v>
                </c:pt>
                <c:pt idx="14">
                  <c:v>0.95370224254004</c:v>
                </c:pt>
                <c:pt idx="15">
                  <c:v>0.958754451940888</c:v>
                </c:pt>
                <c:pt idx="16">
                  <c:v>0.963726544614092</c:v>
                </c:pt>
                <c:pt idx="17">
                  <c:v>0.971539139449234</c:v>
                </c:pt>
                <c:pt idx="18">
                  <c:v>0.976622909985215</c:v>
                </c:pt>
                <c:pt idx="19">
                  <c:v>0.980436951777013</c:v>
                </c:pt>
                <c:pt idx="20">
                  <c:v>0.983143926059544</c:v>
                </c:pt>
                <c:pt idx="21">
                  <c:v>0.986923978936584</c:v>
                </c:pt>
                <c:pt idx="22">
                  <c:v>0.989427019730565</c:v>
                </c:pt>
                <c:pt idx="23">
                  <c:v>0.991296410042268</c:v>
                </c:pt>
                <c:pt idx="24">
                  <c:v>0.992602555480834</c:v>
                </c:pt>
                <c:pt idx="25">
                  <c:v>0.993658639617965</c:v>
                </c:pt>
                <c:pt idx="26">
                  <c:v>0.994525356944299</c:v>
                </c:pt>
                <c:pt idx="27">
                  <c:v>0.995639707792444</c:v>
                </c:pt>
                <c:pt idx="28">
                  <c:v>0.996472436204021</c:v>
                </c:pt>
                <c:pt idx="29">
                  <c:v>0.99706724221229</c:v>
                </c:pt>
                <c:pt idx="30">
                  <c:v>0.997504242544896</c:v>
                </c:pt>
                <c:pt idx="31">
                  <c:v>0.997812570557345</c:v>
                </c:pt>
                <c:pt idx="32">
                  <c:v>0.998827382440841</c:v>
                </c:pt>
                <c:pt idx="33">
                  <c:v>0.999288660569703</c:v>
                </c:pt>
                <c:pt idx="34">
                  <c:v>0.999584849684025</c:v>
                </c:pt>
                <c:pt idx="35">
                  <c:v>0.999762077596692</c:v>
                </c:pt>
                <c:pt idx="36">
                  <c:v>0.999830055426209</c:v>
                </c:pt>
                <c:pt idx="37">
                  <c:v>0.999946588848237</c:v>
                </c:pt>
                <c:pt idx="38">
                  <c:v>0.999956299966739</c:v>
                </c:pt>
                <c:pt idx="39">
                  <c:v>1</c:v>
                </c:pt>
              </c:numCache>
            </c:numRef>
          </c:xVal>
          <c:yVal>
            <c:numRef>
              <c:f>3_1952_fortunes!$G$3:$G$42</c:f>
              <c:numCache>
                <c:formatCode>0%</c:formatCode>
                <c:ptCount val="40"/>
                <c:pt idx="0">
                  <c:v>0</c:v>
                </c:pt>
                <c:pt idx="1">
                  <c:v>0.014098355720984</c:v>
                </c:pt>
                <c:pt idx="2">
                  <c:v>0.0249558622362206</c:v>
                </c:pt>
                <c:pt idx="3">
                  <c:v>0.0487173567265611</c:v>
                </c:pt>
                <c:pt idx="4">
                  <c:v>0.0721890768938487</c:v>
                </c:pt>
                <c:pt idx="5">
                  <c:v>0.0971535153595442</c:v>
                </c:pt>
                <c:pt idx="6">
                  <c:v>0.119652770619087</c:v>
                </c:pt>
                <c:pt idx="7">
                  <c:v>0.140386799308563</c:v>
                </c:pt>
                <c:pt idx="8">
                  <c:v>0.161111854195012</c:v>
                </c:pt>
                <c:pt idx="9">
                  <c:v>0.179046851487252</c:v>
                </c:pt>
                <c:pt idx="10">
                  <c:v>0.195113253085952</c:v>
                </c:pt>
                <c:pt idx="11">
                  <c:v>0.212362833574859</c:v>
                </c:pt>
                <c:pt idx="12">
                  <c:v>0.239843799031113</c:v>
                </c:pt>
                <c:pt idx="13">
                  <c:v>0.263003821533776</c:v>
                </c:pt>
                <c:pt idx="14">
                  <c:v>0.288635729196751</c:v>
                </c:pt>
                <c:pt idx="15">
                  <c:v>0.308571770971508</c:v>
                </c:pt>
                <c:pt idx="16">
                  <c:v>0.330615066163339</c:v>
                </c:pt>
                <c:pt idx="17">
                  <c:v>0.371165296599809</c:v>
                </c:pt>
                <c:pt idx="18">
                  <c:v>0.403593099372657</c:v>
                </c:pt>
                <c:pt idx="19">
                  <c:v>0.432435470262776</c:v>
                </c:pt>
                <c:pt idx="20">
                  <c:v>0.456006583818018</c:v>
                </c:pt>
                <c:pt idx="21">
                  <c:v>0.495374884881158</c:v>
                </c:pt>
                <c:pt idx="22">
                  <c:v>0.52732775764825</c:v>
                </c:pt>
                <c:pt idx="23">
                  <c:v>0.555525377829765</c:v>
                </c:pt>
                <c:pt idx="24">
                  <c:v>0.578340760859225</c:v>
                </c:pt>
                <c:pt idx="25">
                  <c:v>0.599255174348782</c:v>
                </c:pt>
                <c:pt idx="26">
                  <c:v>0.618453206018923</c:v>
                </c:pt>
                <c:pt idx="27">
                  <c:v>0.646862335330005</c:v>
                </c:pt>
                <c:pt idx="28">
                  <c:v>0.672093602445191</c:v>
                </c:pt>
                <c:pt idx="29">
                  <c:v>0.69285534769085</c:v>
                </c:pt>
                <c:pt idx="30">
                  <c:v>0.710122875785811</c:v>
                </c:pt>
                <c:pt idx="31">
                  <c:v>0.723809742880665</c:v>
                </c:pt>
                <c:pt idx="32">
                  <c:v>0.781449615645769</c:v>
                </c:pt>
                <c:pt idx="33">
                  <c:v>0.818720886611739</c:v>
                </c:pt>
                <c:pt idx="34">
                  <c:v>0.852745003991354</c:v>
                </c:pt>
                <c:pt idx="35">
                  <c:v>0.881178214900432</c:v>
                </c:pt>
                <c:pt idx="36">
                  <c:v>0.895394422781419</c:v>
                </c:pt>
                <c:pt idx="37">
                  <c:v>0.928207758307086</c:v>
                </c:pt>
                <c:pt idx="38">
                  <c:v>0.931887131140488</c:v>
                </c:pt>
                <c:pt idx="39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"égalité parfaite"</c:f>
              <c:strCache>
                <c:ptCount val="1"/>
                <c:pt idx="0">
                  <c:v>égalité parfaite</c:v>
                </c:pt>
              </c:strCache>
            </c:strRef>
          </c:tx>
          <c:spPr>
            <a:solidFill>
              <a:srgbClr val="e97132"/>
            </a:solidFill>
            <a:ln cap="rnd" w="1908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3_1952_fortunes!$H$3:$H$42</c:f>
              <c:numCache>
                <c:formatCode>0%</c:formatCode>
                <c:ptCount val="40"/>
                <c:pt idx="0">
                  <c:v>0</c:v>
                </c:pt>
                <c:pt idx="1">
                  <c:v>0.0256410256410256</c:v>
                </c:pt>
                <c:pt idx="2">
                  <c:v>0.0512820512820513</c:v>
                </c:pt>
                <c:pt idx="3">
                  <c:v>0.0769230769230769</c:v>
                </c:pt>
                <c:pt idx="4">
                  <c:v>0.102564102564103</c:v>
                </c:pt>
                <c:pt idx="5">
                  <c:v>0.128205128205128</c:v>
                </c:pt>
                <c:pt idx="6">
                  <c:v>0.153846153846154</c:v>
                </c:pt>
                <c:pt idx="7">
                  <c:v>0.179487179487179</c:v>
                </c:pt>
                <c:pt idx="8">
                  <c:v>0.205128205128205</c:v>
                </c:pt>
                <c:pt idx="9">
                  <c:v>0.230769230769231</c:v>
                </c:pt>
                <c:pt idx="10">
                  <c:v>0.256410256410256</c:v>
                </c:pt>
                <c:pt idx="11">
                  <c:v>0.282051282051282</c:v>
                </c:pt>
                <c:pt idx="12">
                  <c:v>0.307692307692308</c:v>
                </c:pt>
                <c:pt idx="13">
                  <c:v>0.333333333333333</c:v>
                </c:pt>
                <c:pt idx="14">
                  <c:v>0.358974358974359</c:v>
                </c:pt>
                <c:pt idx="15">
                  <c:v>0.384615384615385</c:v>
                </c:pt>
                <c:pt idx="16">
                  <c:v>0.41025641025641</c:v>
                </c:pt>
                <c:pt idx="17">
                  <c:v>0.435897435897436</c:v>
                </c:pt>
                <c:pt idx="18">
                  <c:v>0.461538461538462</c:v>
                </c:pt>
                <c:pt idx="19">
                  <c:v>0.487179487179487</c:v>
                </c:pt>
                <c:pt idx="20">
                  <c:v>0.512820512820513</c:v>
                </c:pt>
                <c:pt idx="21">
                  <c:v>0.538461538461539</c:v>
                </c:pt>
                <c:pt idx="22">
                  <c:v>0.564102564102564</c:v>
                </c:pt>
                <c:pt idx="23">
                  <c:v>0.58974358974359</c:v>
                </c:pt>
                <c:pt idx="24">
                  <c:v>0.615384615384616</c:v>
                </c:pt>
                <c:pt idx="25">
                  <c:v>0.641025641025641</c:v>
                </c:pt>
                <c:pt idx="26">
                  <c:v>0.666666666666667</c:v>
                </c:pt>
                <c:pt idx="27">
                  <c:v>0.692307692307693</c:v>
                </c:pt>
                <c:pt idx="28">
                  <c:v>0.717948717948718</c:v>
                </c:pt>
                <c:pt idx="29">
                  <c:v>0.743589743589744</c:v>
                </c:pt>
                <c:pt idx="30">
                  <c:v>0.76923076923077</c:v>
                </c:pt>
                <c:pt idx="31">
                  <c:v>0.794871794871795</c:v>
                </c:pt>
                <c:pt idx="32">
                  <c:v>0.820512820512821</c:v>
                </c:pt>
                <c:pt idx="33">
                  <c:v>0.846153846153847</c:v>
                </c:pt>
                <c:pt idx="34">
                  <c:v>0.871794871794872</c:v>
                </c:pt>
                <c:pt idx="35">
                  <c:v>0.897435897435898</c:v>
                </c:pt>
                <c:pt idx="36">
                  <c:v>0.923076923076924</c:v>
                </c:pt>
                <c:pt idx="37">
                  <c:v>0.948717948717949</c:v>
                </c:pt>
                <c:pt idx="38">
                  <c:v>0.974358974358975</c:v>
                </c:pt>
                <c:pt idx="39">
                  <c:v>1</c:v>
                </c:pt>
              </c:numCache>
            </c:numRef>
          </c:xVal>
          <c:yVal>
            <c:numRef>
              <c:f>3_1952_fortunes!$I$3:$I$42</c:f>
              <c:numCache>
                <c:formatCode>0%</c:formatCode>
                <c:ptCount val="40"/>
                <c:pt idx="0">
                  <c:v>0</c:v>
                </c:pt>
                <c:pt idx="1">
                  <c:v>0.0256410256410256</c:v>
                </c:pt>
                <c:pt idx="2">
                  <c:v>0.0512820512820513</c:v>
                </c:pt>
                <c:pt idx="3">
                  <c:v>0.0769230769230769</c:v>
                </c:pt>
                <c:pt idx="4">
                  <c:v>0.102564102564103</c:v>
                </c:pt>
                <c:pt idx="5">
                  <c:v>0.128205128205128</c:v>
                </c:pt>
                <c:pt idx="6">
                  <c:v>0.153846153846154</c:v>
                </c:pt>
                <c:pt idx="7">
                  <c:v>0.179487179487179</c:v>
                </c:pt>
                <c:pt idx="8">
                  <c:v>0.205128205128205</c:v>
                </c:pt>
                <c:pt idx="9">
                  <c:v>0.230769230769231</c:v>
                </c:pt>
                <c:pt idx="10">
                  <c:v>0.256410256410256</c:v>
                </c:pt>
                <c:pt idx="11">
                  <c:v>0.282051282051282</c:v>
                </c:pt>
                <c:pt idx="12">
                  <c:v>0.307692307692308</c:v>
                </c:pt>
                <c:pt idx="13">
                  <c:v>0.333333333333333</c:v>
                </c:pt>
                <c:pt idx="14">
                  <c:v>0.358974358974359</c:v>
                </c:pt>
                <c:pt idx="15">
                  <c:v>0.384615384615385</c:v>
                </c:pt>
                <c:pt idx="16">
                  <c:v>0.41025641025641</c:v>
                </c:pt>
                <c:pt idx="17">
                  <c:v>0.435897435897436</c:v>
                </c:pt>
                <c:pt idx="18">
                  <c:v>0.461538461538462</c:v>
                </c:pt>
                <c:pt idx="19">
                  <c:v>0.487179487179487</c:v>
                </c:pt>
                <c:pt idx="20">
                  <c:v>0.512820512820513</c:v>
                </c:pt>
                <c:pt idx="21">
                  <c:v>0.538461538461539</c:v>
                </c:pt>
                <c:pt idx="22">
                  <c:v>0.564102564102564</c:v>
                </c:pt>
                <c:pt idx="23">
                  <c:v>0.58974358974359</c:v>
                </c:pt>
                <c:pt idx="24">
                  <c:v>0.615384615384616</c:v>
                </c:pt>
                <c:pt idx="25">
                  <c:v>0.641025641025641</c:v>
                </c:pt>
                <c:pt idx="26">
                  <c:v>0.666666666666667</c:v>
                </c:pt>
                <c:pt idx="27">
                  <c:v>0.692307692307693</c:v>
                </c:pt>
                <c:pt idx="28">
                  <c:v>0.717948717948718</c:v>
                </c:pt>
                <c:pt idx="29">
                  <c:v>0.743589743589744</c:v>
                </c:pt>
                <c:pt idx="30">
                  <c:v>0.76923076923077</c:v>
                </c:pt>
                <c:pt idx="31">
                  <c:v>0.794871794871795</c:v>
                </c:pt>
                <c:pt idx="32">
                  <c:v>0.820512820512821</c:v>
                </c:pt>
                <c:pt idx="33">
                  <c:v>0.846153846153847</c:v>
                </c:pt>
                <c:pt idx="34">
                  <c:v>0.871794871794872</c:v>
                </c:pt>
                <c:pt idx="35">
                  <c:v>0.897435897435898</c:v>
                </c:pt>
                <c:pt idx="36">
                  <c:v>0.923076923076924</c:v>
                </c:pt>
                <c:pt idx="37">
                  <c:v>0.948717948717949</c:v>
                </c:pt>
                <c:pt idx="38">
                  <c:v>0.974358974358975</c:v>
                </c:pt>
                <c:pt idx="39">
                  <c:v>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"Revenus"</c:f>
              <c:strCache>
                <c:ptCount val="1"/>
                <c:pt idx="0">
                  <c:v>Revenus</c:v>
                </c:pt>
              </c:strCache>
            </c:strRef>
          </c:tx>
          <c:spPr>
            <a:solidFill>
              <a:srgbClr val="196b24"/>
            </a:solidFill>
            <a:ln cap="rnd" w="19080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4_1952_revenu!$F$3:$F$44</c:f>
              <c:numCache>
                <c:formatCode>General</c:formatCode>
                <c:ptCount val="42"/>
                <c:pt idx="0">
                  <c:v>0</c:v>
                </c:pt>
                <c:pt idx="1">
                  <c:v>0.148677224270998</c:v>
                </c:pt>
                <c:pt idx="2">
                  <c:v>0.178271857906914</c:v>
                </c:pt>
                <c:pt idx="3">
                  <c:v>0.215946142136786</c:v>
                </c:pt>
                <c:pt idx="4">
                  <c:v>0.271972012556476</c:v>
                </c:pt>
                <c:pt idx="5">
                  <c:v>0.331406485570492</c:v>
                </c:pt>
                <c:pt idx="6">
                  <c:v>0.377900893180124</c:v>
                </c:pt>
                <c:pt idx="7">
                  <c:v>0.42973641596605</c:v>
                </c:pt>
                <c:pt idx="8">
                  <c:v>0.480394465633566</c:v>
                </c:pt>
                <c:pt idx="9">
                  <c:v>0.5909142775292</c:v>
                </c:pt>
                <c:pt idx="10">
                  <c:v>0.687166028565255</c:v>
                </c:pt>
                <c:pt idx="11">
                  <c:v>0.763524553349243</c:v>
                </c:pt>
                <c:pt idx="12">
                  <c:v>0.818965328879167</c:v>
                </c:pt>
                <c:pt idx="13">
                  <c:v>0.858836753670196</c:v>
                </c:pt>
                <c:pt idx="14">
                  <c:v>0.887241775289573</c:v>
                </c:pt>
                <c:pt idx="15">
                  <c:v>0.907727379770284</c:v>
                </c:pt>
                <c:pt idx="16">
                  <c:v>0.923835697586059</c:v>
                </c:pt>
                <c:pt idx="17">
                  <c:v>0.935440484196369</c:v>
                </c:pt>
                <c:pt idx="18">
                  <c:v>0.945435652914914</c:v>
                </c:pt>
                <c:pt idx="19">
                  <c:v>0.952439797134735</c:v>
                </c:pt>
                <c:pt idx="20">
                  <c:v>0.95830774048978</c:v>
                </c:pt>
                <c:pt idx="21">
                  <c:v>0.962580632630815</c:v>
                </c:pt>
                <c:pt idx="22">
                  <c:v>0.966477218929883</c:v>
                </c:pt>
                <c:pt idx="23">
                  <c:v>0.96941726005647</c:v>
                </c:pt>
                <c:pt idx="24">
                  <c:v>0.979706190109711</c:v>
                </c:pt>
                <c:pt idx="25">
                  <c:v>0.985197827622791</c:v>
                </c:pt>
                <c:pt idx="26">
                  <c:v>0.988718108079893</c:v>
                </c:pt>
                <c:pt idx="27">
                  <c:v>0.991012359826074</c:v>
                </c:pt>
                <c:pt idx="28">
                  <c:v>0.992728800021364</c:v>
                </c:pt>
                <c:pt idx="29">
                  <c:v>0.99394754539341</c:v>
                </c:pt>
                <c:pt idx="30">
                  <c:v>0.995571729962928</c:v>
                </c:pt>
                <c:pt idx="31">
                  <c:v>0.99665451967594</c:v>
                </c:pt>
                <c:pt idx="32">
                  <c:v>0.997433836935754</c:v>
                </c:pt>
                <c:pt idx="33">
                  <c:v>0.997929103979374</c:v>
                </c:pt>
                <c:pt idx="34">
                  <c:v>0.998254426449202</c:v>
                </c:pt>
                <c:pt idx="35">
                  <c:v>0.9991745549273</c:v>
                </c:pt>
                <c:pt idx="36">
                  <c:v>0.999492594058252</c:v>
                </c:pt>
                <c:pt idx="37">
                  <c:v>0.999766933155944</c:v>
                </c:pt>
                <c:pt idx="38">
                  <c:v>0.999861616561342</c:v>
                </c:pt>
                <c:pt idx="39">
                  <c:v>0.999905316594602</c:v>
                </c:pt>
                <c:pt idx="40">
                  <c:v>0.999951444407488</c:v>
                </c:pt>
                <c:pt idx="41">
                  <c:v>1</c:v>
                </c:pt>
              </c:numCache>
            </c:numRef>
          </c:xVal>
          <c:yVal>
            <c:numRef>
              <c:f>4_1952_revenu!$G$3:$G$44</c:f>
              <c:numCache>
                <c:formatCode>General</c:formatCode>
                <c:ptCount val="42"/>
                <c:pt idx="0">
                  <c:v>0</c:v>
                </c:pt>
                <c:pt idx="1">
                  <c:v>0.00655600122874499</c:v>
                </c:pt>
                <c:pt idx="2">
                  <c:v>0.0141893590095963</c:v>
                </c:pt>
                <c:pt idx="3">
                  <c:v>0.0267748089639593</c:v>
                </c:pt>
                <c:pt idx="4">
                  <c:v>0.0497781351002177</c:v>
                </c:pt>
                <c:pt idx="5">
                  <c:v>0.0784636719192085</c:v>
                </c:pt>
                <c:pt idx="6">
                  <c:v>0.10443560773639</c:v>
                </c:pt>
                <c:pt idx="7">
                  <c:v>0.137375821061806</c:v>
                </c:pt>
                <c:pt idx="8">
                  <c:v>0.173407371588065</c:v>
                </c:pt>
                <c:pt idx="9">
                  <c:v>0.264467149443905</c:v>
                </c:pt>
                <c:pt idx="10">
                  <c:v>0.358085097939501</c:v>
                </c:pt>
                <c:pt idx="11">
                  <c:v>0.443909114024889</c:v>
                </c:pt>
                <c:pt idx="12">
                  <c:v>0.514422688276509</c:v>
                </c:pt>
                <c:pt idx="13">
                  <c:v>0.571187105820518</c:v>
                </c:pt>
                <c:pt idx="14">
                  <c:v>0.615993306573345</c:v>
                </c:pt>
                <c:pt idx="15">
                  <c:v>0.651386967954154</c:v>
                </c:pt>
                <c:pt idx="16">
                  <c:v>0.681648487805882</c:v>
                </c:pt>
                <c:pt idx="17">
                  <c:v>0.705198943514475</c:v>
                </c:pt>
                <c:pt idx="18">
                  <c:v>0.72702643712456</c:v>
                </c:pt>
                <c:pt idx="19">
                  <c:v>0.743371979029027</c:v>
                </c:pt>
                <c:pt idx="20">
                  <c:v>0.757967000260153</c:v>
                </c:pt>
                <c:pt idx="21">
                  <c:v>0.769232945651551</c:v>
                </c:pt>
                <c:pt idx="22">
                  <c:v>0.780098740536385</c:v>
                </c:pt>
                <c:pt idx="23">
                  <c:v>0.788756174958001</c:v>
                </c:pt>
                <c:pt idx="24">
                  <c:v>0.823417145695939</c:v>
                </c:pt>
                <c:pt idx="25">
                  <c:v>0.846059270778063</c:v>
                </c:pt>
                <c:pt idx="26">
                  <c:v>0.863250677206046</c:v>
                </c:pt>
                <c:pt idx="27">
                  <c:v>0.876181160517308</c:v>
                </c:pt>
                <c:pt idx="28">
                  <c:v>0.887158292044464</c:v>
                </c:pt>
                <c:pt idx="29">
                  <c:v>0.895892155580281</c:v>
                </c:pt>
                <c:pt idx="30">
                  <c:v>0.909271659937475</c:v>
                </c:pt>
                <c:pt idx="31">
                  <c:v>0.919850478196391</c:v>
                </c:pt>
                <c:pt idx="32">
                  <c:v>0.928672161724006</c:v>
                </c:pt>
                <c:pt idx="33">
                  <c:v>0.935004387325113</c:v>
                </c:pt>
                <c:pt idx="34">
                  <c:v>0.939651130489484</c:v>
                </c:pt>
                <c:pt idx="35">
                  <c:v>0.956425851266004</c:v>
                </c:pt>
                <c:pt idx="36">
                  <c:v>0.964737884883056</c:v>
                </c:pt>
                <c:pt idx="37">
                  <c:v>0.974787578505194</c:v>
                </c:pt>
                <c:pt idx="38">
                  <c:v>0.97991347342398</c:v>
                </c:pt>
                <c:pt idx="39">
                  <c:v>0.982787649055145</c:v>
                </c:pt>
                <c:pt idx="40">
                  <c:v>0.987313134490255</c:v>
                </c:pt>
                <c:pt idx="41">
                  <c:v>1</c:v>
                </c:pt>
              </c:numCache>
            </c:numRef>
          </c:yVal>
          <c:smooth val="1"/>
        </c:ser>
        <c:axId val="34802579"/>
        <c:axId val="64206598"/>
      </c:scatterChart>
      <c:valAx>
        <c:axId val="3480257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4206598"/>
        <c:crosses val="autoZero"/>
        <c:crossBetween val="midCat"/>
      </c:valAx>
      <c:valAx>
        <c:axId val="642065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480257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374760</xdr:colOff>
      <xdr:row>9</xdr:row>
      <xdr:rowOff>44280</xdr:rowOff>
    </xdr:from>
    <xdr:to>
      <xdr:col>8</xdr:col>
      <xdr:colOff>196560</xdr:colOff>
      <xdr:row>24</xdr:row>
      <xdr:rowOff>120240</xdr:rowOff>
    </xdr:to>
    <xdr:graphicFrame>
      <xdr:nvGraphicFramePr>
        <xdr:cNvPr id="0" name="Graphique 1"/>
        <xdr:cNvGraphicFramePr/>
      </xdr:nvGraphicFramePr>
      <xdr:xfrm>
        <a:off x="5851080" y="2206440"/>
        <a:ext cx="5293440" cy="279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8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selection pane="topLeft" activeCell="C45" activeCellId="0" sqref="C45"/>
    </sheetView>
  </sheetViews>
  <sheetFormatPr defaultColWidth="10.50390625" defaultRowHeight="14.25" zeroHeight="false" outlineLevelRow="0" outlineLevelCol="0"/>
  <cols>
    <col collapsed="false" customWidth="true" hidden="false" outlineLevel="0" max="5" min="1" style="0" width="18.89"/>
    <col collapsed="false" customWidth="true" hidden="false" outlineLevel="0" max="6" min="6" style="0" width="24.67"/>
    <col collapsed="false" customWidth="true" hidden="false" outlineLevel="0" max="15" min="7" style="0" width="18.89"/>
  </cols>
  <sheetData>
    <row r="1" customFormat="false" ht="14.25" hidden="false" customHeight="false" outlineLevel="0" collapsed="false">
      <c r="F1" s="1" t="s">
        <v>0</v>
      </c>
      <c r="G1" s="1"/>
      <c r="H1" s="1"/>
      <c r="I1" s="1"/>
      <c r="J1" s="2" t="s">
        <v>1</v>
      </c>
      <c r="K1" s="2"/>
      <c r="L1" s="3" t="s">
        <v>2</v>
      </c>
      <c r="M1" s="3"/>
      <c r="N1" s="3"/>
      <c r="O1" s="3"/>
      <c r="P1" s="4"/>
      <c r="Q1" s="4"/>
    </row>
    <row r="2" customFormat="false" ht="151.5" hidden="false" customHeight="true" outlineLevel="0" collapsed="false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6" t="s">
        <v>8</v>
      </c>
      <c r="G2" s="7" t="s">
        <v>9</v>
      </c>
      <c r="H2" s="7" t="s">
        <v>10</v>
      </c>
      <c r="I2" s="8" t="s">
        <v>11</v>
      </c>
      <c r="J2" s="6" t="s">
        <v>12</v>
      </c>
      <c r="K2" s="7" t="s">
        <v>13</v>
      </c>
      <c r="L2" s="9" t="s">
        <v>14</v>
      </c>
      <c r="M2" s="7" t="s">
        <v>15</v>
      </c>
      <c r="N2" s="10" t="s">
        <v>16</v>
      </c>
      <c r="O2" s="7" t="s">
        <v>17</v>
      </c>
    </row>
    <row r="3" customFormat="false" ht="14.25" hidden="false" customHeight="true" outlineLevel="0" collapsed="false">
      <c r="A3" s="5"/>
      <c r="B3" s="5"/>
      <c r="C3" s="5"/>
      <c r="D3" s="5"/>
      <c r="E3" s="5"/>
      <c r="F3" s="11" t="n">
        <v>0</v>
      </c>
      <c r="G3" s="12" t="n">
        <v>0</v>
      </c>
      <c r="H3" s="13" t="n">
        <v>0</v>
      </c>
      <c r="I3" s="14" t="n">
        <v>0</v>
      </c>
      <c r="J3" s="6"/>
      <c r="K3" s="7"/>
      <c r="L3" s="9"/>
      <c r="M3" s="7"/>
      <c r="N3" s="10"/>
      <c r="O3" s="7"/>
    </row>
    <row r="4" customFormat="false" ht="15" hidden="false" customHeight="true" outlineLevel="0" collapsed="false">
      <c r="A4" s="12" t="n">
        <v>0</v>
      </c>
      <c r="B4" s="12" t="n">
        <v>99</v>
      </c>
      <c r="C4" s="15" t="n">
        <v>11617.29</v>
      </c>
      <c r="D4" s="16" t="n">
        <v>129081</v>
      </c>
      <c r="E4" s="17" t="n">
        <f aca="false">C4/D4</f>
        <v>0.09</v>
      </c>
      <c r="F4" s="6"/>
      <c r="G4" s="7"/>
      <c r="H4" s="13" t="n">
        <f aca="false">H3+1/40</f>
        <v>0.025</v>
      </c>
      <c r="I4" s="13" t="n">
        <f aca="false">I3+1/40</f>
        <v>0.025</v>
      </c>
      <c r="J4" s="6"/>
      <c r="K4" s="7"/>
      <c r="L4" s="9"/>
      <c r="M4" s="7"/>
      <c r="N4" s="10"/>
      <c r="O4" s="7"/>
    </row>
    <row r="5" customFormat="false" ht="16.25" hidden="false" customHeight="false" outlineLevel="0" collapsed="false">
      <c r="A5" s="0" t="n">
        <v>100</v>
      </c>
      <c r="B5" s="0" t="n">
        <v>500</v>
      </c>
      <c r="C5" s="0" t="n">
        <v>2607</v>
      </c>
      <c r="D5" s="0" t="n">
        <v>5464</v>
      </c>
      <c r="E5" s="18" t="n">
        <f aca="false">C5/D5</f>
        <v>0.47712298682284</v>
      </c>
      <c r="F5" s="19"/>
      <c r="G5" s="20"/>
      <c r="H5" s="13" t="n">
        <f aca="false">H4+1/40</f>
        <v>0.05</v>
      </c>
      <c r="I5" s="13" t="n">
        <f aca="false">I4+1/40</f>
        <v>0.05</v>
      </c>
      <c r="J5" s="19"/>
      <c r="K5" s="20"/>
      <c r="L5" s="19"/>
      <c r="M5" s="20"/>
      <c r="N5" s="20"/>
      <c r="O5" s="20"/>
    </row>
    <row r="6" customFormat="false" ht="16.25" hidden="false" customHeight="false" outlineLevel="0" collapsed="false">
      <c r="A6" s="0" t="n">
        <v>600</v>
      </c>
      <c r="B6" s="0" t="n">
        <v>1000</v>
      </c>
      <c r="C6" s="0" t="n">
        <v>8906</v>
      </c>
      <c r="D6" s="0" t="n">
        <v>9123</v>
      </c>
      <c r="E6" s="18" t="n">
        <f aca="false">C6/D6</f>
        <v>0.976213964704593</v>
      </c>
      <c r="F6" s="19"/>
      <c r="G6" s="20"/>
      <c r="H6" s="13" t="n">
        <f aca="false">H5+1/40</f>
        <v>0.075</v>
      </c>
      <c r="I6" s="13" t="n">
        <f aca="false">I5+1/40</f>
        <v>0.075</v>
      </c>
      <c r="J6" s="19"/>
      <c r="K6" s="20"/>
      <c r="L6" s="19"/>
      <c r="M6" s="20"/>
      <c r="N6" s="20"/>
      <c r="O6" s="20"/>
    </row>
    <row r="7" customFormat="false" ht="16.25" hidden="false" customHeight="false" outlineLevel="0" collapsed="false">
      <c r="A7" s="0" t="n">
        <v>1100</v>
      </c>
      <c r="B7" s="0" t="n">
        <v>2000</v>
      </c>
      <c r="C7" s="0" t="n">
        <v>16379</v>
      </c>
      <c r="D7" s="0" t="n">
        <v>8969</v>
      </c>
      <c r="E7" s="18" t="n">
        <f aca="false">C7/D7</f>
        <v>1.82617906121084</v>
      </c>
      <c r="F7" s="19"/>
      <c r="G7" s="20"/>
      <c r="H7" s="13" t="n">
        <f aca="false">H6+1/40</f>
        <v>0.1</v>
      </c>
      <c r="I7" s="13" t="n">
        <f aca="false">I6+1/40</f>
        <v>0.1</v>
      </c>
      <c r="J7" s="19"/>
      <c r="K7" s="20"/>
      <c r="L7" s="19"/>
      <c r="M7" s="20"/>
      <c r="N7" s="20"/>
      <c r="O7" s="20"/>
    </row>
    <row r="8" customFormat="false" ht="16.25" hidden="false" customHeight="false" outlineLevel="0" collapsed="false">
      <c r="A8" s="0" t="n">
        <v>2100</v>
      </c>
      <c r="B8" s="0" t="n">
        <v>3000</v>
      </c>
      <c r="C8" s="0" t="n">
        <v>15960</v>
      </c>
      <c r="D8" s="0" t="n">
        <v>5612</v>
      </c>
      <c r="E8" s="18" t="n">
        <f aca="false">C8/D8</f>
        <v>2.84390591589451</v>
      </c>
      <c r="F8" s="19"/>
      <c r="G8" s="20"/>
      <c r="H8" s="13" t="n">
        <f aca="false">H7+1/40</f>
        <v>0.125</v>
      </c>
      <c r="I8" s="13" t="n">
        <f aca="false">I7+1/40</f>
        <v>0.125</v>
      </c>
      <c r="J8" s="19"/>
      <c r="K8" s="20"/>
      <c r="L8" s="19"/>
      <c r="M8" s="20"/>
      <c r="N8" s="20"/>
      <c r="O8" s="20"/>
    </row>
    <row r="9" customFormat="false" ht="16.25" hidden="false" customHeight="false" outlineLevel="0" collapsed="false">
      <c r="A9" s="0" t="n">
        <v>3100</v>
      </c>
      <c r="B9" s="0" t="n">
        <v>4000</v>
      </c>
      <c r="C9" s="0" t="n">
        <v>13929</v>
      </c>
      <c r="D9" s="0" t="n">
        <v>3610</v>
      </c>
      <c r="E9" s="18" t="n">
        <f aca="false">C9/D9</f>
        <v>3.8584487534626</v>
      </c>
      <c r="F9" s="19"/>
      <c r="G9" s="20"/>
      <c r="H9" s="13" t="n">
        <f aca="false">H8+1/40</f>
        <v>0.15</v>
      </c>
      <c r="I9" s="13" t="n">
        <f aca="false">I8+1/40</f>
        <v>0.15</v>
      </c>
      <c r="J9" s="19"/>
      <c r="K9" s="20"/>
      <c r="L9" s="19"/>
      <c r="M9" s="20"/>
      <c r="N9" s="20"/>
      <c r="O9" s="20"/>
    </row>
    <row r="10" customFormat="false" ht="16.25" hidden="false" customHeight="false" outlineLevel="0" collapsed="false">
      <c r="A10" s="0" t="n">
        <v>4100</v>
      </c>
      <c r="B10" s="0" t="n">
        <v>5000</v>
      </c>
      <c r="C10" s="0" t="n">
        <v>21241</v>
      </c>
      <c r="D10" s="0" t="n">
        <v>4312</v>
      </c>
      <c r="E10" s="18" t="n">
        <f aca="false">C10/D10</f>
        <v>4.92602040816327</v>
      </c>
      <c r="F10" s="19"/>
      <c r="G10" s="20"/>
      <c r="H10" s="13" t="n">
        <f aca="false">H9+1/40</f>
        <v>0.175</v>
      </c>
      <c r="I10" s="13" t="n">
        <f aca="false">I9+1/40</f>
        <v>0.175</v>
      </c>
      <c r="J10" s="19"/>
      <c r="K10" s="20"/>
      <c r="L10" s="19"/>
      <c r="M10" s="20"/>
      <c r="N10" s="20"/>
      <c r="O10" s="20"/>
    </row>
    <row r="11" customFormat="false" ht="16.25" hidden="false" customHeight="false" outlineLevel="0" collapsed="false">
      <c r="A11" s="0" t="n">
        <v>5100</v>
      </c>
      <c r="B11" s="0" t="n">
        <v>6000</v>
      </c>
      <c r="C11" s="0" t="n">
        <v>13934</v>
      </c>
      <c r="D11" s="0" t="n">
        <v>2359</v>
      </c>
      <c r="E11" s="18" t="n">
        <f aca="false">C11/D11</f>
        <v>5.90674014412887</v>
      </c>
      <c r="F11" s="19"/>
      <c r="G11" s="20"/>
      <c r="H11" s="13" t="n">
        <f aca="false">H10+1/40</f>
        <v>0.2</v>
      </c>
      <c r="I11" s="13" t="n">
        <f aca="false">I10+1/40</f>
        <v>0.2</v>
      </c>
      <c r="J11" s="19"/>
      <c r="K11" s="20"/>
      <c r="L11" s="19"/>
      <c r="M11" s="20"/>
      <c r="N11" s="20"/>
      <c r="O11" s="20"/>
    </row>
    <row r="12" customFormat="false" ht="16.25" hidden="false" customHeight="false" outlineLevel="0" collapsed="false">
      <c r="A12" s="0" t="n">
        <v>6100</v>
      </c>
      <c r="B12" s="0" t="n">
        <v>8000</v>
      </c>
      <c r="C12" s="0" t="n">
        <v>26217</v>
      </c>
      <c r="D12" s="0" t="n">
        <v>3538</v>
      </c>
      <c r="E12" s="18" t="n">
        <f aca="false">C12/D12</f>
        <v>7.41011871113624</v>
      </c>
      <c r="F12" s="19"/>
      <c r="G12" s="20"/>
      <c r="H12" s="13" t="n">
        <f aca="false">H11+1/40</f>
        <v>0.225</v>
      </c>
      <c r="I12" s="13" t="n">
        <f aca="false">I11+1/40</f>
        <v>0.225</v>
      </c>
      <c r="J12" s="19"/>
      <c r="K12" s="20"/>
      <c r="L12" s="19"/>
      <c r="M12" s="20"/>
      <c r="N12" s="20"/>
      <c r="O12" s="20"/>
    </row>
    <row r="13" customFormat="false" ht="16.25" hidden="false" customHeight="false" outlineLevel="0" collapsed="false">
      <c r="A13" s="0" t="n">
        <v>8100</v>
      </c>
      <c r="B13" s="0" t="n">
        <v>10000</v>
      </c>
      <c r="C13" s="0" t="n">
        <v>33258</v>
      </c>
      <c r="D13" s="0" t="n">
        <v>3442</v>
      </c>
      <c r="E13" s="18" t="n">
        <f aca="false">C13/D13</f>
        <v>9.66240557815224</v>
      </c>
      <c r="F13" s="19"/>
      <c r="G13" s="20"/>
      <c r="H13" s="13" t="n">
        <f aca="false">H12+1/40</f>
        <v>0.25</v>
      </c>
      <c r="I13" s="13" t="n">
        <f aca="false">I12+1/40</f>
        <v>0.25</v>
      </c>
      <c r="J13" s="19"/>
      <c r="K13" s="20"/>
      <c r="L13" s="19"/>
      <c r="M13" s="20"/>
      <c r="N13" s="20"/>
      <c r="O13" s="20"/>
    </row>
    <row r="14" customFormat="false" ht="16.25" hidden="false" customHeight="false" outlineLevel="0" collapsed="false">
      <c r="A14" s="0" t="n">
        <v>10100</v>
      </c>
      <c r="B14" s="0" t="n">
        <v>15000</v>
      </c>
      <c r="C14" s="0" t="n">
        <v>50364</v>
      </c>
      <c r="D14" s="0" t="n">
        <v>3833</v>
      </c>
      <c r="E14" s="18" t="n">
        <f aca="false">C14/D14</f>
        <v>13.1395773545526</v>
      </c>
      <c r="F14" s="19"/>
      <c r="G14" s="20"/>
      <c r="H14" s="13" t="n">
        <f aca="false">H13+1/40</f>
        <v>0.275</v>
      </c>
      <c r="I14" s="13" t="n">
        <f aca="false">I13+1/40</f>
        <v>0.275</v>
      </c>
      <c r="J14" s="19"/>
      <c r="K14" s="20"/>
      <c r="L14" s="19"/>
      <c r="M14" s="20"/>
      <c r="N14" s="20"/>
      <c r="O14" s="20"/>
    </row>
    <row r="15" customFormat="false" ht="16.25" hidden="false" customHeight="false" outlineLevel="0" collapsed="false">
      <c r="A15" s="0" t="n">
        <v>15100</v>
      </c>
      <c r="B15" s="0" t="n">
        <v>20000</v>
      </c>
      <c r="C15" s="0" t="n">
        <v>47243</v>
      </c>
      <c r="D15" s="0" t="n">
        <v>2551</v>
      </c>
      <c r="E15" s="18" t="n">
        <f aca="false">C15/D15</f>
        <v>18.5194041552332</v>
      </c>
      <c r="F15" s="19"/>
      <c r="G15" s="20"/>
      <c r="H15" s="13" t="n">
        <f aca="false">H14+1/40</f>
        <v>0.3</v>
      </c>
      <c r="I15" s="13" t="n">
        <f aca="false">I14+1/40</f>
        <v>0.3</v>
      </c>
      <c r="J15" s="19"/>
      <c r="K15" s="20"/>
      <c r="L15" s="19"/>
      <c r="M15" s="20"/>
      <c r="N15" s="20"/>
      <c r="O15" s="20"/>
    </row>
    <row r="16" customFormat="false" ht="16.25" hidden="false" customHeight="false" outlineLevel="0" collapsed="false">
      <c r="A16" s="0" t="n">
        <v>20100</v>
      </c>
      <c r="B16" s="0" t="n">
        <v>30000</v>
      </c>
      <c r="C16" s="0" t="n">
        <v>71760</v>
      </c>
      <c r="D16" s="0" t="n">
        <v>2767</v>
      </c>
      <c r="E16" s="18" t="n">
        <f aca="false">C16/D16</f>
        <v>25.9342247921937</v>
      </c>
      <c r="F16" s="19"/>
      <c r="G16" s="20"/>
      <c r="H16" s="13" t="n">
        <f aca="false">H15+1/40</f>
        <v>0.325</v>
      </c>
      <c r="I16" s="13" t="n">
        <f aca="false">I15+1/40</f>
        <v>0.325</v>
      </c>
      <c r="J16" s="19"/>
      <c r="K16" s="20"/>
      <c r="L16" s="19"/>
      <c r="M16" s="20"/>
      <c r="N16" s="20"/>
      <c r="O16" s="20"/>
    </row>
    <row r="17" customFormat="false" ht="16.25" hidden="false" customHeight="false" outlineLevel="0" collapsed="false">
      <c r="A17" s="0" t="n">
        <v>30100</v>
      </c>
      <c r="B17" s="0" t="n">
        <v>40000</v>
      </c>
      <c r="C17" s="0" t="n">
        <v>54096</v>
      </c>
      <c r="D17" s="0" t="n">
        <v>1489</v>
      </c>
      <c r="E17" s="18" t="n">
        <f aca="false">C17/D17</f>
        <v>36.3304231027535</v>
      </c>
      <c r="F17" s="19"/>
      <c r="G17" s="20"/>
      <c r="H17" s="13" t="n">
        <f aca="false">H16+1/40</f>
        <v>0.35</v>
      </c>
      <c r="I17" s="13" t="n">
        <f aca="false">I16+1/40</f>
        <v>0.35</v>
      </c>
      <c r="J17" s="19"/>
      <c r="K17" s="20"/>
      <c r="L17" s="19"/>
      <c r="M17" s="20"/>
      <c r="N17" s="20"/>
      <c r="O17" s="20"/>
    </row>
    <row r="18" customFormat="false" ht="16.25" hidden="false" customHeight="false" outlineLevel="0" collapsed="false">
      <c r="A18" s="0" t="n">
        <v>40100</v>
      </c>
      <c r="B18" s="0" t="n">
        <v>50000</v>
      </c>
      <c r="C18" s="0" t="n">
        <v>54493</v>
      </c>
      <c r="D18" s="0" t="n">
        <v>1150</v>
      </c>
      <c r="E18" s="18" t="n">
        <f aca="false">C18/D18</f>
        <v>47.3852173913043</v>
      </c>
      <c r="F18" s="19"/>
      <c r="G18" s="20"/>
      <c r="H18" s="13" t="n">
        <f aca="false">H17+1/40</f>
        <v>0.375</v>
      </c>
      <c r="I18" s="13" t="n">
        <f aca="false">I17+1/40</f>
        <v>0.375</v>
      </c>
      <c r="J18" s="19"/>
      <c r="K18" s="20"/>
      <c r="L18" s="19"/>
      <c r="M18" s="20"/>
      <c r="N18" s="20"/>
      <c r="O18" s="20"/>
    </row>
    <row r="19" customFormat="false" ht="16.25" hidden="false" customHeight="false" outlineLevel="0" collapsed="false">
      <c r="A19" s="0" t="n">
        <v>50100</v>
      </c>
      <c r="B19" s="0" t="n">
        <v>75000</v>
      </c>
      <c r="C19" s="0" t="n">
        <v>81073</v>
      </c>
      <c r="D19" s="0" t="n">
        <v>1287</v>
      </c>
      <c r="E19" s="18" t="n">
        <f aca="false">C19/D19</f>
        <v>62.993783993784</v>
      </c>
      <c r="F19" s="19"/>
      <c r="G19" s="20"/>
      <c r="H19" s="13" t="n">
        <f aca="false">H18+1/40</f>
        <v>0.4</v>
      </c>
      <c r="I19" s="13" t="n">
        <f aca="false">I18+1/40</f>
        <v>0.4</v>
      </c>
      <c r="J19" s="19"/>
      <c r="K19" s="20"/>
      <c r="L19" s="19"/>
      <c r="M19" s="20"/>
      <c r="N19" s="20"/>
      <c r="O19" s="20"/>
    </row>
    <row r="20" customFormat="false" ht="16.25" hidden="false" customHeight="false" outlineLevel="0" collapsed="false">
      <c r="A20" s="0" t="n">
        <v>75100</v>
      </c>
      <c r="B20" s="0" t="n">
        <v>100000</v>
      </c>
      <c r="C20" s="0" t="n">
        <v>84147</v>
      </c>
      <c r="D20" s="0" t="n">
        <v>940</v>
      </c>
      <c r="E20" s="18" t="n">
        <f aca="false">C20/D20</f>
        <v>89.518085106383</v>
      </c>
      <c r="F20" s="19"/>
      <c r="G20" s="20"/>
      <c r="H20" s="13" t="n">
        <f aca="false">H19+1/40</f>
        <v>0.425</v>
      </c>
      <c r="I20" s="13" t="n">
        <f aca="false">I19+1/40</f>
        <v>0.425</v>
      </c>
      <c r="J20" s="19"/>
      <c r="K20" s="20"/>
      <c r="L20" s="19"/>
      <c r="M20" s="20"/>
      <c r="N20" s="20"/>
      <c r="O20" s="20"/>
    </row>
    <row r="21" customFormat="false" ht="16.25" hidden="false" customHeight="false" outlineLevel="0" collapsed="false">
      <c r="A21" s="0" t="n">
        <v>100100</v>
      </c>
      <c r="B21" s="0" t="n">
        <v>125000</v>
      </c>
      <c r="C21" s="0" t="n">
        <v>43465</v>
      </c>
      <c r="D21" s="0" t="n">
        <v>376</v>
      </c>
      <c r="E21" s="18" t="n">
        <f aca="false">C21/D21</f>
        <v>115.598404255319</v>
      </c>
      <c r="F21" s="19"/>
      <c r="G21" s="20"/>
      <c r="H21" s="13" t="n">
        <f aca="false">H20+1/40</f>
        <v>0.45</v>
      </c>
      <c r="I21" s="13" t="n">
        <f aca="false">I20+1/40</f>
        <v>0.45</v>
      </c>
      <c r="J21" s="19"/>
      <c r="K21" s="20"/>
      <c r="L21" s="19"/>
      <c r="M21" s="20"/>
      <c r="N21" s="20"/>
      <c r="O21" s="20"/>
    </row>
    <row r="22" customFormat="false" ht="16.25" hidden="false" customHeight="false" outlineLevel="0" collapsed="false">
      <c r="A22" s="0" t="n">
        <v>125100</v>
      </c>
      <c r="B22" s="0" t="n">
        <v>150000</v>
      </c>
      <c r="C22" s="0" t="n">
        <v>46527</v>
      </c>
      <c r="D22" s="0" t="n">
        <v>327</v>
      </c>
      <c r="E22" s="18" t="n">
        <f aca="false">C22/D22</f>
        <v>142.284403669725</v>
      </c>
      <c r="F22" s="19"/>
      <c r="G22" s="20"/>
      <c r="H22" s="13" t="n">
        <f aca="false">H21+1/40</f>
        <v>0.475</v>
      </c>
      <c r="I22" s="13" t="n">
        <f aca="false">I21+1/40</f>
        <v>0.475</v>
      </c>
      <c r="J22" s="19"/>
      <c r="K22" s="20"/>
      <c r="L22" s="19"/>
      <c r="M22" s="20"/>
      <c r="N22" s="20"/>
      <c r="O22" s="20"/>
    </row>
    <row r="23" customFormat="false" ht="16.25" hidden="false" customHeight="false" outlineLevel="0" collapsed="false">
      <c r="A23" s="0" t="n">
        <v>150100</v>
      </c>
      <c r="B23" s="0" t="n">
        <v>175000</v>
      </c>
      <c r="C23" s="0" t="n">
        <v>34378</v>
      </c>
      <c r="D23" s="0" t="n">
        <v>210</v>
      </c>
      <c r="E23" s="18" t="n">
        <f aca="false">C23/D23</f>
        <v>163.704761904762</v>
      </c>
      <c r="F23" s="19"/>
      <c r="G23" s="20"/>
      <c r="H23" s="13" t="n">
        <f aca="false">H22+1/40</f>
        <v>0.5</v>
      </c>
      <c r="I23" s="13" t="n">
        <f aca="false">I22+1/40</f>
        <v>0.5</v>
      </c>
      <c r="J23" s="19"/>
      <c r="K23" s="20"/>
      <c r="L23" s="19"/>
      <c r="M23" s="20"/>
      <c r="N23" s="20"/>
      <c r="O23" s="20"/>
    </row>
    <row r="24" customFormat="false" ht="16.25" hidden="false" customHeight="false" outlineLevel="0" collapsed="false">
      <c r="A24" s="0" t="n">
        <v>175100</v>
      </c>
      <c r="B24" s="0" t="n">
        <v>200000</v>
      </c>
      <c r="C24" s="0" t="n">
        <v>37818</v>
      </c>
      <c r="D24" s="0" t="n">
        <v>197</v>
      </c>
      <c r="E24" s="18" t="n">
        <f aca="false">C24/D24</f>
        <v>191.969543147208</v>
      </c>
      <c r="F24" s="19"/>
      <c r="G24" s="20"/>
      <c r="H24" s="13" t="n">
        <f aca="false">H23+1/40</f>
        <v>0.525</v>
      </c>
      <c r="I24" s="13" t="n">
        <f aca="false">I23+1/40</f>
        <v>0.525</v>
      </c>
      <c r="J24" s="19"/>
      <c r="K24" s="20"/>
      <c r="L24" s="19"/>
      <c r="M24" s="20"/>
      <c r="N24" s="20"/>
      <c r="O24" s="20"/>
    </row>
    <row r="25" customFormat="false" ht="16.25" hidden="false" customHeight="false" outlineLevel="0" collapsed="false">
      <c r="A25" s="0" t="n">
        <v>200100</v>
      </c>
      <c r="B25" s="0" t="n">
        <v>225000</v>
      </c>
      <c r="C25" s="0" t="n">
        <v>20921</v>
      </c>
      <c r="D25" s="0" t="n">
        <v>97</v>
      </c>
      <c r="E25" s="18" t="n">
        <f aca="false">C25/D25</f>
        <v>215.680412371134</v>
      </c>
      <c r="F25" s="19"/>
      <c r="G25" s="20"/>
      <c r="H25" s="13" t="n">
        <f aca="false">H24+1/40</f>
        <v>0.55</v>
      </c>
      <c r="I25" s="13" t="n">
        <f aca="false">I24+1/40</f>
        <v>0.55</v>
      </c>
      <c r="J25" s="19"/>
      <c r="K25" s="20"/>
      <c r="L25" s="19"/>
      <c r="M25" s="20"/>
      <c r="N25" s="20"/>
      <c r="O25" s="20"/>
    </row>
    <row r="26" customFormat="false" ht="16.25" hidden="false" customHeight="false" outlineLevel="0" collapsed="false">
      <c r="A26" s="0" t="n">
        <v>225100</v>
      </c>
      <c r="B26" s="0" t="n">
        <v>250000</v>
      </c>
      <c r="C26" s="0" t="n">
        <v>27156</v>
      </c>
      <c r="D26" s="0" t="n">
        <v>112</v>
      </c>
      <c r="E26" s="18" t="n">
        <f aca="false">C26/D26</f>
        <v>242.464285714286</v>
      </c>
      <c r="F26" s="19"/>
      <c r="G26" s="20"/>
      <c r="H26" s="13" t="n">
        <f aca="false">H25+1/40</f>
        <v>0.575</v>
      </c>
      <c r="I26" s="13" t="n">
        <f aca="false">I25+1/40</f>
        <v>0.575</v>
      </c>
      <c r="J26" s="19"/>
      <c r="K26" s="20"/>
      <c r="L26" s="19"/>
      <c r="M26" s="20"/>
      <c r="N26" s="20"/>
      <c r="O26" s="20"/>
    </row>
    <row r="27" customFormat="false" ht="16.25" hidden="false" customHeight="false" outlineLevel="0" collapsed="false">
      <c r="A27" s="0" t="n">
        <v>250100</v>
      </c>
      <c r="B27" s="0" t="n">
        <v>300000</v>
      </c>
      <c r="C27" s="0" t="n">
        <v>43469</v>
      </c>
      <c r="D27" s="0" t="n">
        <v>153</v>
      </c>
      <c r="E27" s="18" t="n">
        <f aca="false">C27/D27</f>
        <v>284.111111111111</v>
      </c>
      <c r="F27" s="19"/>
      <c r="G27" s="20"/>
      <c r="H27" s="13" t="n">
        <f aca="false">H26+1/40</f>
        <v>0.6</v>
      </c>
      <c r="I27" s="13" t="n">
        <f aca="false">I26+1/40</f>
        <v>0.6</v>
      </c>
      <c r="J27" s="19"/>
      <c r="K27" s="20"/>
      <c r="L27" s="19"/>
      <c r="M27" s="20"/>
      <c r="N27" s="20"/>
      <c r="O27" s="20"/>
    </row>
    <row r="28" customFormat="false" ht="16.25" hidden="false" customHeight="false" outlineLevel="0" collapsed="false">
      <c r="A28" s="0" t="n">
        <v>300100</v>
      </c>
      <c r="B28" s="0" t="n">
        <v>350000</v>
      </c>
      <c r="C28" s="0" t="n">
        <v>30873</v>
      </c>
      <c r="D28" s="0" t="n">
        <v>93</v>
      </c>
      <c r="E28" s="18" t="n">
        <f aca="false">C28/D28</f>
        <v>331.967741935484</v>
      </c>
      <c r="F28" s="19"/>
      <c r="G28" s="20"/>
      <c r="H28" s="13" t="n">
        <f aca="false">H27+1/40</f>
        <v>0.625</v>
      </c>
      <c r="I28" s="13" t="n">
        <f aca="false">I27+1/40</f>
        <v>0.625</v>
      </c>
      <c r="J28" s="19"/>
      <c r="K28" s="20"/>
      <c r="L28" s="19"/>
      <c r="M28" s="20"/>
      <c r="N28" s="20"/>
      <c r="O28" s="20"/>
    </row>
    <row r="29" customFormat="false" ht="16.25" hidden="false" customHeight="false" outlineLevel="0" collapsed="false">
      <c r="A29" s="0" t="n">
        <v>350100</v>
      </c>
      <c r="B29" s="0" t="n">
        <v>400000</v>
      </c>
      <c r="C29" s="0" t="n">
        <v>25654</v>
      </c>
      <c r="D29" s="0" t="n">
        <v>67</v>
      </c>
      <c r="E29" s="18" t="n">
        <f aca="false">C29/D29</f>
        <v>382.89552238806</v>
      </c>
      <c r="F29" s="19"/>
      <c r="G29" s="20"/>
      <c r="H29" s="13" t="n">
        <f aca="false">H28+1/40</f>
        <v>0.65</v>
      </c>
      <c r="I29" s="13" t="n">
        <f aca="false">I28+1/40</f>
        <v>0.65</v>
      </c>
      <c r="J29" s="19"/>
      <c r="K29" s="20"/>
      <c r="L29" s="19"/>
      <c r="M29" s="20"/>
      <c r="N29" s="20"/>
      <c r="O29" s="20"/>
    </row>
    <row r="30" customFormat="false" ht="16.25" hidden="false" customHeight="false" outlineLevel="0" collapsed="false">
      <c r="A30" s="0" t="n">
        <v>400100</v>
      </c>
      <c r="B30" s="0" t="n">
        <v>450000</v>
      </c>
      <c r="C30" s="0" t="n">
        <v>18343</v>
      </c>
      <c r="D30" s="0" t="n">
        <v>42</v>
      </c>
      <c r="E30" s="18" t="n">
        <f aca="false">C30/D30</f>
        <v>436.738095238095</v>
      </c>
      <c r="F30" s="19"/>
      <c r="G30" s="20"/>
      <c r="H30" s="13" t="n">
        <f aca="false">H29+1/40</f>
        <v>0.675</v>
      </c>
      <c r="I30" s="13" t="n">
        <f aca="false">I29+1/40</f>
        <v>0.675</v>
      </c>
      <c r="J30" s="19"/>
      <c r="K30" s="20"/>
      <c r="L30" s="19"/>
      <c r="M30" s="20"/>
      <c r="N30" s="20"/>
      <c r="O30" s="20"/>
    </row>
    <row r="31" customFormat="false" ht="16.25" hidden="false" customHeight="false" outlineLevel="0" collapsed="false">
      <c r="A31" s="0" t="n">
        <v>450100</v>
      </c>
      <c r="B31" s="0" t="n">
        <v>500000</v>
      </c>
      <c r="C31" s="0" t="n">
        <v>28395</v>
      </c>
      <c r="D31" s="0" t="n">
        <v>58</v>
      </c>
      <c r="E31" s="18" t="n">
        <f aca="false">C31/D31</f>
        <v>489.568965517241</v>
      </c>
      <c r="F31" s="19"/>
      <c r="G31" s="20"/>
      <c r="H31" s="13" t="n">
        <f aca="false">H30+1/40</f>
        <v>0.7</v>
      </c>
      <c r="I31" s="13" t="n">
        <f aca="false">I30+1/40</f>
        <v>0.7</v>
      </c>
      <c r="J31" s="19"/>
      <c r="K31" s="20"/>
      <c r="L31" s="19"/>
      <c r="M31" s="20"/>
      <c r="N31" s="20"/>
      <c r="O31" s="20"/>
    </row>
    <row r="32" customFormat="false" ht="16.25" hidden="false" customHeight="false" outlineLevel="0" collapsed="false">
      <c r="A32" s="0" t="n">
        <v>500100</v>
      </c>
      <c r="B32" s="0" t="n">
        <v>600000</v>
      </c>
      <c r="C32" s="0" t="n">
        <v>30701</v>
      </c>
      <c r="D32" s="0" t="n">
        <v>55</v>
      </c>
      <c r="E32" s="18" t="n">
        <f aca="false">C32/D32</f>
        <v>558.2</v>
      </c>
      <c r="F32" s="19"/>
      <c r="G32" s="20"/>
      <c r="H32" s="13" t="n">
        <f aca="false">H31+1/40</f>
        <v>0.725</v>
      </c>
      <c r="I32" s="13" t="n">
        <f aca="false">I31+1/40</f>
        <v>0.725</v>
      </c>
      <c r="J32" s="19"/>
      <c r="K32" s="20"/>
      <c r="L32" s="19"/>
      <c r="M32" s="20"/>
      <c r="N32" s="20"/>
      <c r="O32" s="20"/>
    </row>
    <row r="33" customFormat="false" ht="16.25" hidden="false" customHeight="false" outlineLevel="0" collapsed="false">
      <c r="A33" s="0" t="n">
        <v>600100</v>
      </c>
      <c r="B33" s="0" t="n">
        <v>700000</v>
      </c>
      <c r="C33" s="0" t="n">
        <v>25504</v>
      </c>
      <c r="D33" s="0" t="n">
        <v>38</v>
      </c>
      <c r="E33" s="18" t="n">
        <f aca="false">C33/D33</f>
        <v>671.157894736842</v>
      </c>
      <c r="F33" s="19"/>
      <c r="G33" s="20"/>
      <c r="H33" s="13" t="n">
        <f aca="false">H32+1/40</f>
        <v>0.75</v>
      </c>
      <c r="I33" s="13" t="n">
        <f aca="false">I32+1/40</f>
        <v>0.75</v>
      </c>
      <c r="J33" s="19"/>
      <c r="K33" s="20"/>
      <c r="L33" s="19"/>
      <c r="M33" s="20"/>
      <c r="N33" s="20"/>
      <c r="O33" s="20"/>
    </row>
    <row r="34" customFormat="false" ht="16.25" hidden="false" customHeight="false" outlineLevel="0" collapsed="false">
      <c r="A34" s="0" t="n">
        <v>700100</v>
      </c>
      <c r="B34" s="0" t="n">
        <v>800000</v>
      </c>
      <c r="C34" s="0" t="n">
        <v>25160</v>
      </c>
      <c r="D34" s="0" t="n">
        <v>33</v>
      </c>
      <c r="E34" s="18" t="n">
        <f aca="false">C34/D34</f>
        <v>762.424242424242</v>
      </c>
      <c r="F34" s="19"/>
      <c r="G34" s="20"/>
      <c r="H34" s="13" t="n">
        <f aca="false">H33+1/40</f>
        <v>0.775</v>
      </c>
      <c r="I34" s="13" t="n">
        <f aca="false">I33+1/40</f>
        <v>0.775</v>
      </c>
      <c r="J34" s="19"/>
      <c r="K34" s="20"/>
      <c r="L34" s="19"/>
      <c r="M34" s="20"/>
      <c r="N34" s="20"/>
      <c r="O34" s="20"/>
    </row>
    <row r="35" customFormat="false" ht="16.25" hidden="false" customHeight="false" outlineLevel="0" collapsed="false">
      <c r="A35" s="0" t="n">
        <v>800100</v>
      </c>
      <c r="B35" s="0" t="n">
        <v>900000</v>
      </c>
      <c r="C35" s="0" t="n">
        <v>17111</v>
      </c>
      <c r="D35" s="0" t="n">
        <v>20</v>
      </c>
      <c r="E35" s="18" t="n">
        <f aca="false">C35/D35</f>
        <v>855.55</v>
      </c>
      <c r="F35" s="19"/>
      <c r="G35" s="20"/>
      <c r="H35" s="13" t="n">
        <f aca="false">H34+1/40</f>
        <v>0.8</v>
      </c>
      <c r="I35" s="13" t="n">
        <f aca="false">I34+1/40</f>
        <v>0.8</v>
      </c>
      <c r="J35" s="19"/>
      <c r="K35" s="20"/>
      <c r="L35" s="19"/>
      <c r="M35" s="20"/>
      <c r="N35" s="20"/>
      <c r="O35" s="20"/>
    </row>
    <row r="36" customFormat="false" ht="16.25" hidden="false" customHeight="false" outlineLevel="0" collapsed="false">
      <c r="A36" s="0" t="n">
        <v>900100</v>
      </c>
      <c r="B36" s="0" t="n">
        <v>999000</v>
      </c>
      <c r="C36" s="0" t="n">
        <v>12305</v>
      </c>
      <c r="D36" s="0" t="n">
        <v>13</v>
      </c>
      <c r="E36" s="18" t="n">
        <f aca="false">C36/D36</f>
        <v>946.538461538462</v>
      </c>
      <c r="F36" s="19"/>
      <c r="G36" s="20"/>
      <c r="H36" s="13" t="n">
        <f aca="false">H35+1/40</f>
        <v>0.825</v>
      </c>
      <c r="I36" s="13" t="n">
        <f aca="false">I35+1/40</f>
        <v>0.825</v>
      </c>
      <c r="J36" s="19"/>
      <c r="K36" s="20"/>
      <c r="L36" s="19"/>
      <c r="M36" s="20"/>
      <c r="N36" s="20"/>
      <c r="O36" s="20"/>
    </row>
    <row r="37" customFormat="false" ht="16.25" hidden="false" customHeight="false" outlineLevel="0" collapsed="false">
      <c r="A37" s="0" t="n">
        <v>1000000</v>
      </c>
      <c r="B37" s="0" t="n">
        <v>1200000</v>
      </c>
      <c r="C37" s="0" t="n">
        <v>55835</v>
      </c>
      <c r="D37" s="0" t="n">
        <v>49</v>
      </c>
      <c r="E37" s="18" t="n">
        <f aca="false">C37/D37</f>
        <v>1139.48979591837</v>
      </c>
      <c r="F37" s="19"/>
      <c r="G37" s="20"/>
      <c r="H37" s="13" t="n">
        <f aca="false">H36+1/40</f>
        <v>0.85</v>
      </c>
      <c r="I37" s="13" t="n">
        <f aca="false">I36+1/40</f>
        <v>0.85</v>
      </c>
      <c r="J37" s="19"/>
      <c r="K37" s="20"/>
      <c r="L37" s="19"/>
      <c r="M37" s="20"/>
      <c r="N37" s="20"/>
      <c r="O37" s="20"/>
    </row>
    <row r="38" customFormat="false" ht="16.25" hidden="false" customHeight="false" outlineLevel="0" collapsed="false">
      <c r="A38" s="0" t="n">
        <v>1200100</v>
      </c>
      <c r="B38" s="0" t="n">
        <v>1500000</v>
      </c>
      <c r="C38" s="0" t="n">
        <v>29061</v>
      </c>
      <c r="D38" s="0" t="n">
        <v>21</v>
      </c>
      <c r="E38" s="18" t="n">
        <f aca="false">C38/D38</f>
        <v>1383.85714285714</v>
      </c>
      <c r="F38" s="19"/>
      <c r="G38" s="20"/>
      <c r="H38" s="13" t="n">
        <f aca="false">H37+1/40</f>
        <v>0.875</v>
      </c>
      <c r="I38" s="13" t="n">
        <f aca="false">I37+1/40</f>
        <v>0.875</v>
      </c>
      <c r="J38" s="19"/>
      <c r="K38" s="20"/>
      <c r="L38" s="19"/>
      <c r="M38" s="20"/>
      <c r="N38" s="20"/>
      <c r="O38" s="20"/>
    </row>
    <row r="39" customFormat="false" ht="16.25" hidden="false" customHeight="false" outlineLevel="0" collapsed="false">
      <c r="A39" s="0" t="n">
        <v>1500100</v>
      </c>
      <c r="B39" s="0" t="n">
        <v>2000000</v>
      </c>
      <c r="C39" s="0" t="n">
        <v>43102</v>
      </c>
      <c r="D39" s="0" t="n">
        <v>24</v>
      </c>
      <c r="E39" s="18" t="n">
        <f aca="false">C39/D39</f>
        <v>1795.91666666667</v>
      </c>
      <c r="F39" s="19"/>
      <c r="G39" s="20"/>
      <c r="H39" s="13" t="n">
        <f aca="false">H38+1/40</f>
        <v>0.900000000000001</v>
      </c>
      <c r="I39" s="13" t="n">
        <f aca="false">I38+1/40</f>
        <v>0.900000000000001</v>
      </c>
      <c r="J39" s="19"/>
      <c r="K39" s="20"/>
      <c r="L39" s="19"/>
      <c r="M39" s="20"/>
      <c r="N39" s="20"/>
      <c r="O39" s="20"/>
    </row>
    <row r="40" customFormat="false" ht="16.25" hidden="false" customHeight="false" outlineLevel="0" collapsed="false">
      <c r="A40" s="0" t="n">
        <v>2000100</v>
      </c>
      <c r="B40" s="0" t="n">
        <v>3000000</v>
      </c>
      <c r="C40" s="0" t="n">
        <v>54497</v>
      </c>
      <c r="D40" s="0" t="n">
        <v>23</v>
      </c>
      <c r="E40" s="18" t="n">
        <f aca="false">C40/D40</f>
        <v>2369.4347826087</v>
      </c>
      <c r="F40" s="19"/>
      <c r="G40" s="20"/>
      <c r="H40" s="13" t="n">
        <f aca="false">H39+1/40</f>
        <v>0.925000000000001</v>
      </c>
      <c r="I40" s="13" t="n">
        <f aca="false">I39+1/40</f>
        <v>0.925000000000001</v>
      </c>
      <c r="J40" s="19"/>
      <c r="K40" s="20"/>
      <c r="L40" s="19"/>
      <c r="M40" s="20"/>
      <c r="N40" s="20"/>
      <c r="O40" s="20"/>
    </row>
    <row r="41" customFormat="false" ht="16.25" hidden="false" customHeight="false" outlineLevel="0" collapsed="false">
      <c r="A41" s="0" t="n">
        <v>3000100</v>
      </c>
      <c r="B41" s="0" t="n">
        <v>4000000</v>
      </c>
      <c r="C41" s="0" t="n">
        <v>31663</v>
      </c>
      <c r="D41" s="0" t="n">
        <v>9</v>
      </c>
      <c r="E41" s="18" t="n">
        <f aca="false">C41/D41</f>
        <v>3518.11111111111</v>
      </c>
      <c r="F41" s="19"/>
      <c r="G41" s="20"/>
      <c r="H41" s="13" t="n">
        <f aca="false">H40+1/40</f>
        <v>0.950000000000001</v>
      </c>
      <c r="I41" s="13" t="n">
        <f aca="false">I40+1/40</f>
        <v>0.950000000000001</v>
      </c>
      <c r="J41" s="19"/>
      <c r="K41" s="20"/>
      <c r="L41" s="19"/>
      <c r="M41" s="20"/>
      <c r="N41" s="20"/>
      <c r="O41" s="20"/>
    </row>
    <row r="42" customFormat="false" ht="16.25" hidden="false" customHeight="false" outlineLevel="0" collapsed="false">
      <c r="A42" s="0" t="n">
        <v>4000100</v>
      </c>
      <c r="B42" s="0" t="n">
        <v>5000000</v>
      </c>
      <c r="C42" s="0" t="n">
        <v>0</v>
      </c>
      <c r="D42" s="0" t="n">
        <v>0</v>
      </c>
      <c r="E42" s="18" t="n">
        <v>0</v>
      </c>
      <c r="F42" s="19"/>
      <c r="G42" s="20"/>
      <c r="H42" s="13" t="n">
        <f aca="false">H41+1/40</f>
        <v>0.975000000000001</v>
      </c>
      <c r="I42" s="13" t="n">
        <f aca="false">I41+1/40</f>
        <v>0.975000000000001</v>
      </c>
      <c r="J42" s="19"/>
      <c r="K42" s="20"/>
      <c r="L42" s="19"/>
      <c r="M42" s="20"/>
      <c r="N42" s="20"/>
      <c r="O42" s="20"/>
    </row>
    <row r="43" customFormat="false" ht="16.25" hidden="false" customHeight="false" outlineLevel="0" collapsed="false">
      <c r="A43" s="0" t="n">
        <v>5000000</v>
      </c>
      <c r="B43" s="0" t="s">
        <v>18</v>
      </c>
      <c r="C43" s="0" t="n">
        <v>33343</v>
      </c>
      <c r="D43" s="0" t="n">
        <v>4</v>
      </c>
      <c r="E43" s="18" t="n">
        <f aca="false">C43/D43</f>
        <v>8335.75</v>
      </c>
      <c r="F43" s="19"/>
      <c r="G43" s="20"/>
      <c r="H43" s="13" t="n">
        <f aca="false">H42+1/40</f>
        <v>1</v>
      </c>
      <c r="I43" s="13" t="n">
        <f aca="false">I42+1/40</f>
        <v>1</v>
      </c>
      <c r="J43" s="19"/>
      <c r="K43" s="20"/>
      <c r="L43" s="19"/>
      <c r="M43" s="20"/>
      <c r="N43" s="20"/>
      <c r="O43" s="20"/>
    </row>
    <row r="45" customFormat="false" ht="14.25" hidden="false" customHeight="false" outlineLevel="0" collapsed="false">
      <c r="B45" s="0" t="s">
        <v>19</v>
      </c>
      <c r="C45" s="21" t="n">
        <f aca="false">SUM(C4:C43)</f>
        <v>1322505.29</v>
      </c>
      <c r="D45" s="21" t="n">
        <f aca="false">SUM(D4:D43)</f>
        <v>191548</v>
      </c>
      <c r="I45" s="22" t="s">
        <v>20</v>
      </c>
      <c r="J45" s="20"/>
      <c r="N45" s="22" t="s">
        <v>21</v>
      </c>
      <c r="O45" s="23"/>
    </row>
    <row r="46" customFormat="false" ht="14.25" hidden="false" customHeight="false" outlineLevel="0" collapsed="false">
      <c r="I46" s="0" t="s">
        <v>22</v>
      </c>
      <c r="J46" s="20"/>
      <c r="N46" s="22" t="s">
        <v>23</v>
      </c>
      <c r="O46" s="23"/>
    </row>
    <row r="47" customFormat="false" ht="14.25" hidden="false" customHeight="false" outlineLevel="0" collapsed="false">
      <c r="I47" s="0" t="s">
        <v>24</v>
      </c>
      <c r="J47" s="20"/>
    </row>
    <row r="48" customFormat="false" ht="14.25" hidden="false" customHeight="false" outlineLevel="0" collapsed="false">
      <c r="I48" s="0" t="s">
        <v>1</v>
      </c>
      <c r="J48" s="20"/>
    </row>
  </sheetData>
  <mergeCells count="3">
    <mergeCell ref="F1:I1"/>
    <mergeCell ref="J1:K1"/>
    <mergeCell ref="L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2" colorId="64" zoomScale="60" zoomScaleNormal="60" zoomScalePageLayoutView="100" workbookViewId="0">
      <selection pane="topLeft" activeCell="G46" activeCellId="0" sqref="G46"/>
    </sheetView>
  </sheetViews>
  <sheetFormatPr defaultColWidth="10.50390625" defaultRowHeight="14.25" zeroHeight="false" outlineLevelRow="0" outlineLevelCol="0"/>
  <cols>
    <col collapsed="false" customWidth="true" hidden="false" outlineLevel="0" max="5" min="1" style="0" width="14"/>
    <col collapsed="false" customWidth="true" hidden="false" outlineLevel="0" max="7" min="6" style="0" width="19.33"/>
    <col collapsed="false" customWidth="true" hidden="false" outlineLevel="0" max="15" min="8" style="0" width="14"/>
  </cols>
  <sheetData>
    <row r="1" customFormat="false" ht="14.25" hidden="false" customHeight="false" outlineLevel="0" collapsed="false">
      <c r="F1" s="24" t="s">
        <v>0</v>
      </c>
      <c r="G1" s="24"/>
      <c r="H1" s="24"/>
      <c r="I1" s="24"/>
      <c r="J1" s="2" t="s">
        <v>1</v>
      </c>
      <c r="K1" s="2"/>
      <c r="L1" s="3" t="s">
        <v>2</v>
      </c>
      <c r="M1" s="3"/>
      <c r="N1" s="3"/>
      <c r="O1" s="3"/>
      <c r="P1" s="25"/>
    </row>
    <row r="2" customFormat="false" ht="145.5" hidden="false" customHeight="true" outlineLevel="0" collapsed="false">
      <c r="A2" s="5" t="s">
        <v>3</v>
      </c>
      <c r="B2" s="5" t="s">
        <v>4</v>
      </c>
      <c r="C2" s="5" t="s">
        <v>5</v>
      </c>
      <c r="D2" s="5" t="s">
        <v>6</v>
      </c>
      <c r="E2" s="5" t="s">
        <v>25</v>
      </c>
      <c r="F2" s="6" t="s">
        <v>8</v>
      </c>
      <c r="G2" s="7" t="s">
        <v>9</v>
      </c>
      <c r="H2" s="7" t="s">
        <v>10</v>
      </c>
      <c r="I2" s="7" t="s">
        <v>11</v>
      </c>
      <c r="J2" s="6" t="s">
        <v>12</v>
      </c>
      <c r="K2" s="7" t="s">
        <v>13</v>
      </c>
      <c r="L2" s="9" t="s">
        <v>14</v>
      </c>
      <c r="M2" s="7" t="s">
        <v>15</v>
      </c>
      <c r="N2" s="10" t="s">
        <v>16</v>
      </c>
      <c r="O2" s="7" t="s">
        <v>17</v>
      </c>
      <c r="P2" s="25"/>
    </row>
    <row r="3" customFormat="false" ht="15" hidden="false" customHeight="true" outlineLevel="0" collapsed="false">
      <c r="A3" s="5"/>
      <c r="B3" s="5"/>
      <c r="C3" s="5"/>
      <c r="D3" s="5"/>
      <c r="E3" s="5"/>
      <c r="F3" s="26"/>
      <c r="G3" s="5"/>
      <c r="H3" s="12" t="n">
        <v>0</v>
      </c>
      <c r="I3" s="12" t="n">
        <v>0</v>
      </c>
      <c r="J3" s="6"/>
      <c r="K3" s="7"/>
      <c r="L3" s="9"/>
      <c r="M3" s="7"/>
      <c r="N3" s="10"/>
      <c r="O3" s="7"/>
      <c r="P3" s="25"/>
    </row>
    <row r="4" customFormat="false" ht="14.25" hidden="false" customHeight="false" outlineLevel="0" collapsed="false">
      <c r="A4" s="0" t="n">
        <v>0</v>
      </c>
      <c r="B4" s="0" t="n">
        <v>999</v>
      </c>
      <c r="C4" s="0" t="n">
        <f aca="false">500/1000*D4</f>
        <v>117970</v>
      </c>
      <c r="D4" s="0" t="n">
        <v>235940</v>
      </c>
      <c r="E4" s="27"/>
      <c r="F4" s="19" t="n">
        <f aca="false">D4/D43</f>
        <v>0.706523529323691</v>
      </c>
      <c r="G4" s="19" t="n">
        <f aca="false">C4/C43</f>
        <v>0.0274035098885625</v>
      </c>
      <c r="H4" s="28" t="n">
        <f aca="false">H3+1/38</f>
        <v>0.0263157894736842</v>
      </c>
      <c r="I4" s="28" t="n">
        <f aca="false">I3+1/38</f>
        <v>0.0263157894736842</v>
      </c>
      <c r="J4" s="19"/>
      <c r="K4" s="20"/>
      <c r="L4" s="19"/>
      <c r="M4" s="20"/>
      <c r="N4" s="20"/>
      <c r="O4" s="20"/>
      <c r="P4" s="25"/>
    </row>
    <row r="5" customFormat="false" ht="14.25" hidden="false" customHeight="false" outlineLevel="0" collapsed="false">
      <c r="A5" s="0" t="n">
        <v>1000</v>
      </c>
      <c r="B5" s="0" t="n">
        <v>5500</v>
      </c>
      <c r="C5" s="0" t="n">
        <v>94066</v>
      </c>
      <c r="D5" s="0" t="n">
        <v>32283</v>
      </c>
      <c r="E5" s="27" t="n">
        <f aca="false">C5/D5</f>
        <v>2.9137936375182</v>
      </c>
      <c r="F5" s="19" t="n">
        <f aca="false">SUM(D$4:D5)/D$43</f>
        <v>0.803195136923745</v>
      </c>
      <c r="G5" s="19" t="n">
        <f aca="false">SUM(C$4:C5)/C$43</f>
        <v>0.0492543072198969</v>
      </c>
      <c r="H5" s="28" t="n">
        <f aca="false">H4+1/38</f>
        <v>0.0526315789473684</v>
      </c>
      <c r="I5" s="28" t="n">
        <f aca="false">I4+1/38</f>
        <v>0.0526315789473684</v>
      </c>
      <c r="J5" s="19"/>
      <c r="K5" s="20"/>
      <c r="L5" s="19"/>
      <c r="M5" s="20"/>
      <c r="N5" s="20"/>
      <c r="O5" s="20"/>
      <c r="P5" s="25"/>
    </row>
    <row r="6" customFormat="false" ht="14.25" hidden="false" customHeight="false" outlineLevel="0" collapsed="false">
      <c r="A6" s="0" t="n">
        <v>6000</v>
      </c>
      <c r="B6" s="0" t="n">
        <v>10500</v>
      </c>
      <c r="C6" s="0" t="n">
        <v>144139</v>
      </c>
      <c r="D6" s="0" t="n">
        <v>18296</v>
      </c>
      <c r="E6" s="27" t="n">
        <f aca="false">C6/D6</f>
        <v>7.87817009182335</v>
      </c>
      <c r="F6" s="19" t="n">
        <f aca="false">SUM(D$4:D6)/$D$43</f>
        <v>0.857982601925467</v>
      </c>
      <c r="G6" s="19" t="n">
        <f aca="false">SUM(C$4:C6)/C$43</f>
        <v>0.0827366714805352</v>
      </c>
      <c r="H6" s="28" t="n">
        <f aca="false">H5+1/38</f>
        <v>0.0789473684210526</v>
      </c>
      <c r="I6" s="28" t="n">
        <f aca="false">I5+1/38</f>
        <v>0.0789473684210526</v>
      </c>
      <c r="J6" s="19"/>
      <c r="K6" s="20"/>
      <c r="L6" s="19"/>
      <c r="M6" s="20"/>
      <c r="N6" s="20"/>
      <c r="O6" s="20"/>
      <c r="P6" s="25"/>
    </row>
    <row r="7" customFormat="false" ht="14.25" hidden="false" customHeight="false" outlineLevel="0" collapsed="false">
      <c r="A7" s="0" t="n">
        <v>11000</v>
      </c>
      <c r="B7" s="0" t="n">
        <v>15500</v>
      </c>
      <c r="C7" s="0" t="n">
        <v>126373</v>
      </c>
      <c r="D7" s="0" t="n">
        <v>9749</v>
      </c>
      <c r="E7" s="27" t="n">
        <f aca="false">C7/D7</f>
        <v>12.9626628372141</v>
      </c>
      <c r="F7" s="19" t="n">
        <f aca="false">SUM(D$4:D7)/$D$43</f>
        <v>0.887176031981314</v>
      </c>
      <c r="G7" s="19" t="n">
        <f aca="false">SUM(C$4:C7)/C$43</f>
        <v>0.112092132658354</v>
      </c>
      <c r="H7" s="28" t="n">
        <f aca="false">H6+1/38</f>
        <v>0.105263157894737</v>
      </c>
      <c r="I7" s="28" t="n">
        <f aca="false">I6+1/38</f>
        <v>0.105263157894737</v>
      </c>
      <c r="J7" s="19"/>
      <c r="K7" s="20"/>
      <c r="L7" s="19"/>
      <c r="M7" s="20"/>
      <c r="N7" s="20"/>
      <c r="O7" s="20"/>
      <c r="P7" s="25"/>
    </row>
    <row r="8" customFormat="false" ht="14.25" hidden="false" customHeight="false" outlineLevel="0" collapsed="false">
      <c r="A8" s="0" t="n">
        <v>16000</v>
      </c>
      <c r="B8" s="0" t="n">
        <v>20500</v>
      </c>
      <c r="C8" s="0" t="n">
        <v>123157</v>
      </c>
      <c r="D8" s="0" t="n">
        <v>6842</v>
      </c>
      <c r="E8" s="27" t="n">
        <f aca="false">C8/D8</f>
        <v>18.0001461560947</v>
      </c>
      <c r="F8" s="19" t="n">
        <f aca="false">SUM(D$4:D8)/$D$43</f>
        <v>0.90766443576038</v>
      </c>
      <c r="G8" s="19" t="n">
        <f aca="false">SUM(C$4:C8)/C$43</f>
        <v>0.140700542146747</v>
      </c>
      <c r="H8" s="28" t="n">
        <f aca="false">H7+1/38</f>
        <v>0.131578947368421</v>
      </c>
      <c r="I8" s="28" t="n">
        <f aca="false">I7+1/38</f>
        <v>0.131578947368421</v>
      </c>
      <c r="J8" s="19"/>
      <c r="K8" s="20"/>
      <c r="L8" s="19"/>
      <c r="M8" s="20"/>
      <c r="N8" s="20"/>
      <c r="O8" s="20"/>
      <c r="P8" s="25"/>
    </row>
    <row r="9" customFormat="false" ht="14.25" hidden="false" customHeight="false" outlineLevel="0" collapsed="false">
      <c r="A9" s="0" t="n">
        <v>21000</v>
      </c>
      <c r="B9" s="0" t="n">
        <v>25500</v>
      </c>
      <c r="C9" s="0" t="n">
        <v>105888</v>
      </c>
      <c r="D9" s="0" t="n">
        <v>4600</v>
      </c>
      <c r="E9" s="27" t="n">
        <f aca="false">C9/D9</f>
        <v>23.0191304347826</v>
      </c>
      <c r="F9" s="19" t="n">
        <f aca="false">SUM(D$4:D9)/$D$43</f>
        <v>0.921439159142973</v>
      </c>
      <c r="G9" s="19" t="n">
        <f aca="false">SUM(C$4:C9)/C$43</f>
        <v>0.165297497771737</v>
      </c>
      <c r="H9" s="28" t="n">
        <f aca="false">H8+1/38</f>
        <v>0.157894736842105</v>
      </c>
      <c r="I9" s="28" t="n">
        <f aca="false">I8+1/38</f>
        <v>0.157894736842105</v>
      </c>
      <c r="J9" s="19"/>
      <c r="K9" s="20"/>
      <c r="L9" s="19"/>
      <c r="M9" s="20"/>
      <c r="N9" s="20"/>
      <c r="O9" s="20"/>
      <c r="P9" s="25"/>
    </row>
    <row r="10" customFormat="false" ht="14.25" hidden="false" customHeight="false" outlineLevel="0" collapsed="false">
      <c r="A10" s="0" t="n">
        <v>26000</v>
      </c>
      <c r="B10" s="0" t="n">
        <v>30500</v>
      </c>
      <c r="C10" s="0" t="n">
        <v>106638</v>
      </c>
      <c r="D10" s="0" t="n">
        <v>3801</v>
      </c>
      <c r="E10" s="27" t="n">
        <f aca="false">C10/D10</f>
        <v>28.0552486187845</v>
      </c>
      <c r="F10" s="19" t="n">
        <f aca="false">SUM(D$4:D10)/$D$43</f>
        <v>0.932821272964111</v>
      </c>
      <c r="G10" s="19" t="n">
        <f aca="false">SUM(C$4:C10)/C$43</f>
        <v>0.190068672540717</v>
      </c>
      <c r="H10" s="28" t="n">
        <f aca="false">H9+1/38</f>
        <v>0.184210526315789</v>
      </c>
      <c r="I10" s="28" t="n">
        <f aca="false">I9+1/38</f>
        <v>0.184210526315789</v>
      </c>
      <c r="J10" s="19"/>
      <c r="K10" s="20"/>
      <c r="L10" s="19"/>
      <c r="M10" s="20"/>
      <c r="N10" s="20"/>
      <c r="O10" s="20"/>
      <c r="P10" s="25"/>
    </row>
    <row r="11" customFormat="false" ht="14.25" hidden="false" customHeight="false" outlineLevel="0" collapsed="false">
      <c r="A11" s="0" t="n">
        <v>31000</v>
      </c>
      <c r="B11" s="0" t="n">
        <v>40500</v>
      </c>
      <c r="C11" s="0" t="n">
        <v>171442</v>
      </c>
      <c r="D11" s="0" t="n">
        <v>4854</v>
      </c>
      <c r="E11" s="27" t="n">
        <f aca="false">C11/D11</f>
        <v>35.3197362999588</v>
      </c>
      <c r="F11" s="19" t="n">
        <f aca="false">SUM(D$4:D11)/$D$43</f>
        <v>0.94735660063783</v>
      </c>
      <c r="G11" s="19" t="n">
        <f aca="false">SUM(C$4:C11)/C$43</f>
        <v>0.229893310519143</v>
      </c>
      <c r="H11" s="28" t="n">
        <f aca="false">H10+1/38</f>
        <v>0.210526315789474</v>
      </c>
      <c r="I11" s="28" t="n">
        <f aca="false">I10+1/38</f>
        <v>0.210526315789474</v>
      </c>
      <c r="J11" s="19"/>
      <c r="K11" s="20"/>
      <c r="L11" s="19"/>
      <c r="M11" s="20"/>
      <c r="N11" s="20"/>
      <c r="O11" s="20"/>
      <c r="P11" s="25"/>
    </row>
    <row r="12" customFormat="false" ht="14.25" hidden="false" customHeight="false" outlineLevel="0" collapsed="false">
      <c r="A12" s="0" t="n">
        <v>41000</v>
      </c>
      <c r="B12" s="0" t="n">
        <v>50500</v>
      </c>
      <c r="C12" s="0" t="n">
        <v>150757</v>
      </c>
      <c r="D12" s="0" t="n">
        <v>3316</v>
      </c>
      <c r="E12" s="27" t="n">
        <f aca="false">C12/D12</f>
        <v>45.4635102533173</v>
      </c>
      <c r="F12" s="19" t="n">
        <f aca="false">SUM(D$4:D12)/$D$43</f>
        <v>0.957286379493629</v>
      </c>
      <c r="G12" s="19" t="n">
        <f aca="false">SUM(C$4:C12)/C$43</f>
        <v>0.264912984506343</v>
      </c>
      <c r="H12" s="28" t="n">
        <f aca="false">H11+1/38</f>
        <v>0.236842105263158</v>
      </c>
      <c r="I12" s="28" t="n">
        <f aca="false">I11+1/38</f>
        <v>0.236842105263158</v>
      </c>
      <c r="J12" s="19"/>
      <c r="K12" s="20"/>
      <c r="L12" s="19"/>
      <c r="M12" s="20"/>
      <c r="N12" s="20"/>
      <c r="O12" s="20"/>
      <c r="P12" s="25"/>
    </row>
    <row r="13" customFormat="false" ht="14.25" hidden="false" customHeight="false" outlineLevel="0" collapsed="false">
      <c r="A13" s="0" t="n">
        <v>51000</v>
      </c>
      <c r="B13" s="0" t="n">
        <v>60500</v>
      </c>
      <c r="C13" s="0" t="n">
        <v>128189</v>
      </c>
      <c r="D13" s="0" t="n">
        <v>2310</v>
      </c>
      <c r="E13" s="27" t="n">
        <f aca="false">C13/D13</f>
        <v>55.4930735930736</v>
      </c>
      <c r="F13" s="19" t="n">
        <f aca="false">SUM(D$4:D13)/$D$43</f>
        <v>0.964203686235757</v>
      </c>
      <c r="G13" s="19" t="n">
        <f aca="false">SUM(C$4:C13)/C$43</f>
        <v>0.294690288304808</v>
      </c>
      <c r="H13" s="28" t="n">
        <f aca="false">H12+1/38</f>
        <v>0.263157894736842</v>
      </c>
      <c r="I13" s="28" t="n">
        <f aca="false">I12+1/38</f>
        <v>0.263157894736842</v>
      </c>
      <c r="J13" s="19"/>
      <c r="K13" s="20"/>
      <c r="L13" s="19"/>
      <c r="M13" s="20"/>
      <c r="N13" s="20"/>
      <c r="O13" s="20"/>
      <c r="P13" s="25"/>
    </row>
    <row r="14" customFormat="false" ht="14.25" hidden="false" customHeight="false" outlineLevel="0" collapsed="false">
      <c r="A14" s="0" t="n">
        <v>61000</v>
      </c>
      <c r="B14" s="0" t="n">
        <v>70500</v>
      </c>
      <c r="C14" s="0" t="n">
        <v>107732</v>
      </c>
      <c r="D14" s="0" t="n">
        <v>1644</v>
      </c>
      <c r="E14" s="27" t="n">
        <f aca="false">C14/D14</f>
        <v>65.5304136253041</v>
      </c>
      <c r="F14" s="19" t="n">
        <f aca="false">SUM(D$4:D14)/$D$43</f>
        <v>0.969126652592493</v>
      </c>
      <c r="G14" s="19" t="n">
        <f aca="false">SUM(C$4:C14)/C$43</f>
        <v>0.31971559073182</v>
      </c>
      <c r="H14" s="28" t="n">
        <f aca="false">H13+1/38</f>
        <v>0.289473684210526</v>
      </c>
      <c r="I14" s="28" t="n">
        <f aca="false">I13+1/38</f>
        <v>0.289473684210526</v>
      </c>
      <c r="J14" s="19"/>
      <c r="K14" s="20"/>
      <c r="L14" s="19"/>
      <c r="M14" s="20"/>
      <c r="N14" s="20"/>
      <c r="O14" s="20"/>
      <c r="P14" s="25"/>
    </row>
    <row r="15" customFormat="false" ht="14.25" hidden="false" customHeight="false" outlineLevel="0" collapsed="false">
      <c r="A15" s="0" t="n">
        <v>71000</v>
      </c>
      <c r="B15" s="0" t="n">
        <v>80500</v>
      </c>
      <c r="C15" s="0" t="n">
        <v>95582</v>
      </c>
      <c r="D15" s="0" t="n">
        <v>1268</v>
      </c>
      <c r="E15" s="27" t="n">
        <f aca="false">C15/D15</f>
        <v>75.3801261829653</v>
      </c>
      <c r="F15" s="19" t="n">
        <f aca="false">SUM(D$4:D15)/$D$43</f>
        <v>0.972923685037955</v>
      </c>
      <c r="G15" s="19" t="n">
        <f aca="false">SUM(C$4:C15)/C$43</f>
        <v>0.341918543026205</v>
      </c>
      <c r="H15" s="28" t="n">
        <f aca="false">H14+1/38</f>
        <v>0.315789473684211</v>
      </c>
      <c r="I15" s="28" t="n">
        <f aca="false">I14+1/38</f>
        <v>0.315789473684211</v>
      </c>
      <c r="J15" s="19"/>
      <c r="K15" s="20"/>
      <c r="L15" s="19"/>
      <c r="M15" s="20"/>
      <c r="N15" s="20"/>
      <c r="O15" s="20"/>
      <c r="P15" s="25"/>
    </row>
    <row r="16" customFormat="false" ht="14.25" hidden="false" customHeight="false" outlineLevel="0" collapsed="false">
      <c r="A16" s="0" t="n">
        <v>81000</v>
      </c>
      <c r="B16" s="0" t="n">
        <v>90500</v>
      </c>
      <c r="C16" s="0" t="n">
        <v>85665</v>
      </c>
      <c r="D16" s="0" t="n">
        <v>1003</v>
      </c>
      <c r="E16" s="27" t="n">
        <f aca="false">C16/D16</f>
        <v>85.4087736789631</v>
      </c>
      <c r="F16" s="19" t="n">
        <f aca="false">SUM(D$4:D16)/$D$43</f>
        <v>0.975927173636377</v>
      </c>
      <c r="G16" s="19" t="n">
        <f aca="false">SUM(C$4:C16)/C$43</f>
        <v>0.361817853652667</v>
      </c>
      <c r="H16" s="28" t="n">
        <f aca="false">H15+1/38</f>
        <v>0.342105263157895</v>
      </c>
      <c r="I16" s="28" t="n">
        <f aca="false">I15+1/38</f>
        <v>0.342105263157895</v>
      </c>
      <c r="J16" s="19"/>
      <c r="K16" s="20"/>
      <c r="L16" s="19"/>
      <c r="M16" s="20"/>
      <c r="N16" s="20"/>
      <c r="O16" s="20"/>
      <c r="P16" s="25"/>
    </row>
    <row r="17" customFormat="false" ht="14.25" hidden="false" customHeight="false" outlineLevel="0" collapsed="false">
      <c r="A17" s="0" t="n">
        <v>91000</v>
      </c>
      <c r="B17" s="0" t="n">
        <v>100500</v>
      </c>
      <c r="C17" s="0" t="n">
        <v>84639</v>
      </c>
      <c r="D17" s="0" t="n">
        <v>887</v>
      </c>
      <c r="E17" s="27" t="n">
        <f aca="false">C17/D17</f>
        <v>95.4216459977452</v>
      </c>
      <c r="F17" s="19" t="n">
        <f aca="false">SUM(D$4:D17)/$D$43</f>
        <v>0.978583299645151</v>
      </c>
      <c r="G17" s="19" t="n">
        <f aca="false">SUM(C$4:C17)/C$43</f>
        <v>0.381478832490151</v>
      </c>
      <c r="H17" s="28" t="n">
        <f aca="false">H16+1/38</f>
        <v>0.368421052631579</v>
      </c>
      <c r="I17" s="28" t="n">
        <f aca="false">I16+1/38</f>
        <v>0.368421052631579</v>
      </c>
      <c r="J17" s="19"/>
      <c r="K17" s="20"/>
      <c r="L17" s="19"/>
      <c r="M17" s="20"/>
      <c r="N17" s="20"/>
      <c r="O17" s="20"/>
      <c r="P17" s="25"/>
    </row>
    <row r="18" customFormat="false" ht="14.25" hidden="false" customHeight="false" outlineLevel="0" collapsed="false">
      <c r="A18" s="0" t="n">
        <v>101000</v>
      </c>
      <c r="B18" s="0" t="n">
        <v>125500</v>
      </c>
      <c r="C18" s="0" t="n">
        <v>168931</v>
      </c>
      <c r="D18" s="0" t="n">
        <v>1506</v>
      </c>
      <c r="E18" s="27" t="n">
        <f aca="false">C18/D18</f>
        <v>112.17197875166</v>
      </c>
      <c r="F18" s="19" t="n">
        <f aca="false">SUM(D$4:D18)/$D$43</f>
        <v>0.983093024300409</v>
      </c>
      <c r="G18" s="19" t="n">
        <f aca="false">SUM(C$4:C18)/C$43</f>
        <v>0.420720184774501</v>
      </c>
      <c r="H18" s="28" t="n">
        <f aca="false">H17+1/38</f>
        <v>0.394736842105263</v>
      </c>
      <c r="I18" s="28" t="n">
        <f aca="false">I17+1/38</f>
        <v>0.394736842105263</v>
      </c>
      <c r="J18" s="19"/>
      <c r="K18" s="20"/>
      <c r="L18" s="19"/>
      <c r="M18" s="20"/>
      <c r="N18" s="20"/>
      <c r="O18" s="20"/>
      <c r="P18" s="25"/>
    </row>
    <row r="19" customFormat="false" ht="14.25" hidden="false" customHeight="false" outlineLevel="0" collapsed="false">
      <c r="A19" s="0" t="n">
        <v>126000</v>
      </c>
      <c r="B19" s="0" t="n">
        <v>150500</v>
      </c>
      <c r="C19" s="0" t="n">
        <v>139090</v>
      </c>
      <c r="D19" s="0" t="n">
        <v>1009</v>
      </c>
      <c r="E19" s="27" t="n">
        <f aca="false">C19/D19</f>
        <v>137.84935579782</v>
      </c>
      <c r="F19" s="19" t="n">
        <f aca="false">SUM(D$4:D19)/$D$43</f>
        <v>0.98611447992933</v>
      </c>
      <c r="G19" s="19" t="n">
        <f aca="false">SUM(C$4:C19)/C$43</f>
        <v>0.453029705757803</v>
      </c>
      <c r="H19" s="28" t="n">
        <f aca="false">H18+1/38</f>
        <v>0.421052631578947</v>
      </c>
      <c r="I19" s="28" t="n">
        <f aca="false">I18+1/38</f>
        <v>0.421052631578947</v>
      </c>
      <c r="J19" s="19"/>
      <c r="K19" s="20"/>
      <c r="L19" s="19"/>
      <c r="M19" s="20"/>
      <c r="N19" s="20"/>
      <c r="O19" s="20"/>
      <c r="P19" s="25"/>
    </row>
    <row r="20" customFormat="false" ht="14.25" hidden="false" customHeight="false" outlineLevel="0" collapsed="false">
      <c r="A20" s="0" t="n">
        <v>151000</v>
      </c>
      <c r="B20" s="0" t="n">
        <v>175500</v>
      </c>
      <c r="C20" s="0" t="n">
        <v>115342</v>
      </c>
      <c r="D20" s="0" t="n">
        <v>710</v>
      </c>
      <c r="E20" s="27" t="n">
        <f aca="false">C20/D20</f>
        <v>162.453521126761</v>
      </c>
      <c r="F20" s="19" t="n">
        <f aca="false">SUM(D$4:D20)/$D$43</f>
        <v>0.988240578538382</v>
      </c>
      <c r="G20" s="19" t="n">
        <f aca="false">SUM(C$4:C20)/C$43</f>
        <v>0.479822751765827</v>
      </c>
      <c r="H20" s="28" t="n">
        <f aca="false">H19+1/38</f>
        <v>0.447368421052631</v>
      </c>
      <c r="I20" s="28" t="n">
        <f aca="false">I19+1/38</f>
        <v>0.447368421052631</v>
      </c>
      <c r="J20" s="19"/>
      <c r="K20" s="20"/>
      <c r="L20" s="19"/>
      <c r="M20" s="20"/>
      <c r="N20" s="20"/>
      <c r="O20" s="20"/>
      <c r="P20" s="25"/>
    </row>
    <row r="21" customFormat="false" ht="14.25" hidden="false" customHeight="false" outlineLevel="0" collapsed="false">
      <c r="A21" s="0" t="n">
        <v>176000</v>
      </c>
      <c r="B21" s="0" t="n">
        <v>200500</v>
      </c>
      <c r="C21" s="0" t="n">
        <v>107290</v>
      </c>
      <c r="D21" s="0" t="n">
        <v>571</v>
      </c>
      <c r="E21" s="27" t="n">
        <f aca="false">C21/D21</f>
        <v>187.898423817863</v>
      </c>
      <c r="F21" s="19" t="n">
        <f aca="false">SUM(D$4:D21)/$D$43</f>
        <v>0.989950440940874</v>
      </c>
      <c r="G21" s="19" t="n">
        <f aca="false">SUM(C$4:C21)/C$43</f>
        <v>0.504745381043982</v>
      </c>
      <c r="H21" s="28" t="n">
        <f aca="false">H20+1/38</f>
        <v>0.473684210526316</v>
      </c>
      <c r="I21" s="28" t="n">
        <f aca="false">I20+1/38</f>
        <v>0.473684210526316</v>
      </c>
      <c r="J21" s="19"/>
      <c r="K21" s="20"/>
      <c r="L21" s="19"/>
      <c r="M21" s="20"/>
      <c r="N21" s="20"/>
      <c r="O21" s="20"/>
      <c r="P21" s="25"/>
    </row>
    <row r="22" customFormat="false" ht="14.25" hidden="false" customHeight="false" outlineLevel="0" collapsed="false">
      <c r="A22" s="0" t="n">
        <v>201000</v>
      </c>
      <c r="B22" s="0" t="n">
        <v>250500</v>
      </c>
      <c r="C22" s="0" t="n">
        <v>168655</v>
      </c>
      <c r="D22" s="0" t="n">
        <v>755</v>
      </c>
      <c r="E22" s="27" t="n">
        <f aca="false">C22/D22</f>
        <v>223.384105960265</v>
      </c>
      <c r="F22" s="19" t="n">
        <f aca="false">SUM(D$4:D22)/$D$43</f>
        <v>0.992211292278669</v>
      </c>
      <c r="G22" s="19" t="n">
        <f aca="false">SUM(C$4:C22)/C$43</f>
        <v>0.543922620683343</v>
      </c>
      <c r="H22" s="28" t="n">
        <f aca="false">H21+1/38</f>
        <v>0.5</v>
      </c>
      <c r="I22" s="28" t="n">
        <f aca="false">I21+1/38</f>
        <v>0.5</v>
      </c>
      <c r="J22" s="19"/>
      <c r="K22" s="20"/>
      <c r="L22" s="19"/>
      <c r="M22" s="20"/>
      <c r="N22" s="20"/>
      <c r="O22" s="20"/>
      <c r="P22" s="25"/>
    </row>
    <row r="23" customFormat="false" ht="14.25" hidden="false" customHeight="false" outlineLevel="0" collapsed="false">
      <c r="A23" s="0" t="n">
        <v>251000</v>
      </c>
      <c r="B23" s="0" t="n">
        <v>300500</v>
      </c>
      <c r="C23" s="0" t="n">
        <v>138527</v>
      </c>
      <c r="D23" s="0" t="n">
        <v>503</v>
      </c>
      <c r="E23" s="27" t="n">
        <f aca="false">C23/D23</f>
        <v>275.401590457257</v>
      </c>
      <c r="F23" s="19" t="n">
        <f aca="false">SUM(D$4:D23)/$D$43</f>
        <v>0.993717528335504</v>
      </c>
      <c r="G23" s="19" t="n">
        <f aca="false">SUM(C$4:C23)/C$43</f>
        <v>0.576101361162557</v>
      </c>
      <c r="H23" s="28" t="n">
        <f aca="false">H22+1/38</f>
        <v>0.526315789473684</v>
      </c>
      <c r="I23" s="28" t="n">
        <f aca="false">I22+1/38</f>
        <v>0.526315789473684</v>
      </c>
      <c r="J23" s="19"/>
      <c r="K23" s="20"/>
      <c r="L23" s="19"/>
      <c r="M23" s="20"/>
      <c r="N23" s="20"/>
      <c r="O23" s="20"/>
      <c r="P23" s="25"/>
    </row>
    <row r="24" customFormat="false" ht="14.25" hidden="false" customHeight="false" outlineLevel="0" collapsed="false">
      <c r="A24" s="0" t="n">
        <v>301000</v>
      </c>
      <c r="B24" s="0" t="n">
        <v>350500</v>
      </c>
      <c r="C24" s="0" t="n">
        <v>101060</v>
      </c>
      <c r="D24" s="0" t="n">
        <v>311</v>
      </c>
      <c r="E24" s="27" t="n">
        <f aca="false">C24/D24</f>
        <v>324.951768488746</v>
      </c>
      <c r="F24" s="19" t="n">
        <f aca="false">SUM(D$4:D24)/$D$43</f>
        <v>0.994648819416371</v>
      </c>
      <c r="G24" s="19" t="n">
        <f aca="false">SUM(C$4:C24)/C$43</f>
        <v>0.59957681008464</v>
      </c>
      <c r="H24" s="28" t="n">
        <f aca="false">H23+1/38</f>
        <v>0.552631578947368</v>
      </c>
      <c r="I24" s="28" t="n">
        <f aca="false">I23+1/38</f>
        <v>0.552631578947368</v>
      </c>
      <c r="J24" s="19"/>
      <c r="K24" s="20"/>
      <c r="L24" s="19"/>
      <c r="M24" s="20"/>
      <c r="N24" s="20"/>
      <c r="O24" s="20"/>
      <c r="P24" s="25"/>
    </row>
    <row r="25" customFormat="false" ht="14.25" hidden="false" customHeight="false" outlineLevel="0" collapsed="false">
      <c r="A25" s="0" t="n">
        <v>351000</v>
      </c>
      <c r="B25" s="0" t="n">
        <v>400500</v>
      </c>
      <c r="C25" s="0" t="n">
        <v>114325</v>
      </c>
      <c r="D25" s="0" t="n">
        <v>305</v>
      </c>
      <c r="E25" s="27" t="n">
        <f aca="false">C25/D25</f>
        <v>374.836065573771</v>
      </c>
      <c r="F25" s="19" t="n">
        <f aca="false">SUM(D$4:D25)/$D$43</f>
        <v>0.995562143466739</v>
      </c>
      <c r="G25" s="19" t="n">
        <f aca="false">SUM(C$4:C25)/C$43</f>
        <v>0.626133614933415</v>
      </c>
      <c r="H25" s="28" t="n">
        <f aca="false">H24+1/38</f>
        <v>0.578947368421052</v>
      </c>
      <c r="I25" s="28" t="n">
        <f aca="false">I24+1/38</f>
        <v>0.578947368421052</v>
      </c>
      <c r="J25" s="19"/>
      <c r="K25" s="20"/>
      <c r="L25" s="19"/>
      <c r="M25" s="20"/>
      <c r="N25" s="20"/>
      <c r="O25" s="20"/>
      <c r="P25" s="25"/>
    </row>
    <row r="26" customFormat="false" ht="14.25" hidden="false" customHeight="false" outlineLevel="0" collapsed="false">
      <c r="A26" s="0" t="n">
        <v>401000</v>
      </c>
      <c r="B26" s="0" t="n">
        <v>450500</v>
      </c>
      <c r="C26" s="0" t="n">
        <v>82282</v>
      </c>
      <c r="D26" s="0" t="n">
        <v>194</v>
      </c>
      <c r="E26" s="27" t="n">
        <f aca="false">C26/D26</f>
        <v>424.134020618557</v>
      </c>
      <c r="F26" s="19" t="n">
        <f aca="false">SUM(D$4:D26)/$D$43</f>
        <v>0.996143077452874</v>
      </c>
      <c r="G26" s="19" t="n">
        <f aca="false">SUM(C$4:C26)/C$43</f>
        <v>0.645247081074389</v>
      </c>
      <c r="H26" s="28" t="n">
        <f aca="false">H25+1/38</f>
        <v>0.605263157894737</v>
      </c>
      <c r="I26" s="28" t="n">
        <f aca="false">I25+1/38</f>
        <v>0.605263157894737</v>
      </c>
      <c r="J26" s="19"/>
      <c r="K26" s="20"/>
      <c r="L26" s="19"/>
      <c r="M26" s="20"/>
      <c r="N26" s="20"/>
      <c r="O26" s="20"/>
      <c r="P26" s="25"/>
    </row>
    <row r="27" customFormat="false" ht="14.25" hidden="false" customHeight="false" outlineLevel="0" collapsed="false">
      <c r="A27" s="0" t="n">
        <v>451000</v>
      </c>
      <c r="B27" s="0" t="n">
        <v>500500</v>
      </c>
      <c r="C27" s="0" t="n">
        <v>83285</v>
      </c>
      <c r="D27" s="0" t="n">
        <v>174</v>
      </c>
      <c r="E27" s="27" t="n">
        <f aca="false">C27/D27</f>
        <v>478.649425287356</v>
      </c>
      <c r="F27" s="19" t="n">
        <f aca="false">SUM(D$4:D27)/$D$43</f>
        <v>0.996664121337346</v>
      </c>
      <c r="G27" s="19" t="n">
        <f aca="false">SUM(C$4:C27)/C$43</f>
        <v>0.664593536283924</v>
      </c>
      <c r="H27" s="28" t="n">
        <f aca="false">H26+1/38</f>
        <v>0.631578947368421</v>
      </c>
      <c r="I27" s="28" t="n">
        <f aca="false">I26+1/38</f>
        <v>0.631578947368421</v>
      </c>
      <c r="J27" s="19"/>
      <c r="K27" s="20"/>
      <c r="L27" s="19"/>
      <c r="M27" s="20"/>
      <c r="N27" s="20"/>
      <c r="O27" s="20"/>
      <c r="P27" s="25"/>
    </row>
    <row r="28" customFormat="false" ht="14.25" hidden="false" customHeight="false" outlineLevel="0" collapsed="false">
      <c r="A28" s="0" t="n">
        <v>501000</v>
      </c>
      <c r="B28" s="0" t="n">
        <v>600500</v>
      </c>
      <c r="C28" s="0" t="n">
        <v>124312</v>
      </c>
      <c r="D28" s="0" t="n">
        <v>225</v>
      </c>
      <c r="E28" s="27" t="n">
        <f aca="false">C28/D28</f>
        <v>552.497777777778</v>
      </c>
      <c r="F28" s="19" t="n">
        <f aca="false">SUM(D$4:D28)/$D$43</f>
        <v>0.99733788498106</v>
      </c>
      <c r="G28" s="19" t="n">
        <f aca="false">SUM(C$4:C28)/C$43</f>
        <v>0.693470243254061</v>
      </c>
      <c r="H28" s="28" t="n">
        <f aca="false">H27+1/38</f>
        <v>0.657894736842105</v>
      </c>
      <c r="I28" s="28" t="n">
        <f aca="false">I27+1/38</f>
        <v>0.657894736842105</v>
      </c>
      <c r="J28" s="19"/>
      <c r="K28" s="20"/>
      <c r="L28" s="19"/>
      <c r="M28" s="20"/>
      <c r="N28" s="20"/>
      <c r="O28" s="20"/>
      <c r="P28" s="25"/>
    </row>
    <row r="29" customFormat="false" ht="14.25" hidden="false" customHeight="false" outlineLevel="0" collapsed="false">
      <c r="A29" s="0" t="n">
        <v>601000</v>
      </c>
      <c r="B29" s="0" t="n">
        <v>700500</v>
      </c>
      <c r="C29" s="0" t="n">
        <v>112242</v>
      </c>
      <c r="D29" s="0" t="n">
        <v>173</v>
      </c>
      <c r="E29" s="27" t="n">
        <f aca="false">C29/D29</f>
        <v>648.797687861272</v>
      </c>
      <c r="F29" s="19" t="n">
        <f aca="false">SUM(D$4:D29)/$D$43</f>
        <v>0.997855934360449</v>
      </c>
      <c r="G29" s="19" t="n">
        <f aca="false">SUM(C$4:C29)/C$43</f>
        <v>0.719543183466929</v>
      </c>
      <c r="H29" s="28" t="n">
        <f aca="false">H28+1/38</f>
        <v>0.684210526315789</v>
      </c>
      <c r="I29" s="28" t="n">
        <f aca="false">I28+1/38</f>
        <v>0.684210526315789</v>
      </c>
      <c r="J29" s="19"/>
      <c r="K29" s="20"/>
      <c r="L29" s="19"/>
      <c r="M29" s="20"/>
      <c r="N29" s="20"/>
      <c r="O29" s="20"/>
      <c r="P29" s="25"/>
    </row>
    <row r="30" customFormat="false" ht="14.25" hidden="false" customHeight="false" outlineLevel="0" collapsed="false">
      <c r="A30" s="0" t="n">
        <v>701000</v>
      </c>
      <c r="B30" s="0" t="n">
        <v>800500</v>
      </c>
      <c r="C30" s="0" t="n">
        <v>83486</v>
      </c>
      <c r="D30" s="0" t="n">
        <v>111</v>
      </c>
      <c r="E30" s="27" t="n">
        <f aca="false">C30/D30</f>
        <v>752.126126126126</v>
      </c>
      <c r="F30" s="19" t="n">
        <f aca="false">SUM(D$4:D30)/$D$43</f>
        <v>0.998188324424681</v>
      </c>
      <c r="G30" s="19" t="n">
        <f aca="false">SUM(C$4:C30)/C$43</f>
        <v>0.738936329407053</v>
      </c>
      <c r="H30" s="28" t="n">
        <f aca="false">H29+1/38</f>
        <v>0.710526315789473</v>
      </c>
      <c r="I30" s="28" t="n">
        <f aca="false">I29+1/38</f>
        <v>0.710526315789473</v>
      </c>
      <c r="J30" s="19"/>
      <c r="K30" s="20"/>
      <c r="L30" s="19"/>
      <c r="M30" s="20"/>
      <c r="N30" s="20"/>
      <c r="O30" s="20"/>
      <c r="P30" s="25"/>
    </row>
    <row r="31" customFormat="false" ht="14.25" hidden="false" customHeight="false" outlineLevel="0" collapsed="false">
      <c r="A31" s="0" t="n">
        <v>801000</v>
      </c>
      <c r="B31" s="0" t="n">
        <v>900500</v>
      </c>
      <c r="C31" s="0" t="n">
        <v>66737</v>
      </c>
      <c r="D31" s="0" t="n">
        <v>79</v>
      </c>
      <c r="E31" s="27" t="n">
        <f aca="false">C31/D31</f>
        <v>844.772151898734</v>
      </c>
      <c r="F31" s="19" t="n">
        <f aca="false">SUM(D$4:D31)/$D$43</f>
        <v>0.998424890326251</v>
      </c>
      <c r="G31" s="19" t="n">
        <f aca="false">SUM(C$4:C31)/C$43</f>
        <v>0.754438813423608</v>
      </c>
      <c r="H31" s="28" t="n">
        <f aca="false">H30+1/38</f>
        <v>0.736842105263157</v>
      </c>
      <c r="I31" s="28" t="n">
        <f aca="false">I30+1/38</f>
        <v>0.736842105263157</v>
      </c>
      <c r="J31" s="19"/>
      <c r="K31" s="20"/>
      <c r="L31" s="19"/>
      <c r="M31" s="20"/>
      <c r="N31" s="20"/>
      <c r="O31" s="20"/>
      <c r="P31" s="25"/>
    </row>
    <row r="32" customFormat="false" ht="14.25" hidden="false" customHeight="false" outlineLevel="0" collapsed="false">
      <c r="A32" s="0" t="n">
        <v>901000</v>
      </c>
      <c r="B32" s="0" t="n">
        <v>1000500</v>
      </c>
      <c r="C32" s="0" t="n">
        <v>69845</v>
      </c>
      <c r="D32" s="0" t="n">
        <v>73</v>
      </c>
      <c r="E32" s="27" t="n">
        <f aca="false">C32/D32</f>
        <v>956.780821917808</v>
      </c>
      <c r="F32" s="19" t="n">
        <f aca="false">SUM(D$4:D32)/$D$43</f>
        <v>0.998643489197323</v>
      </c>
      <c r="G32" s="19" t="n">
        <f aca="false">SUM(C$4:C32)/C$43</f>
        <v>0.770663261572855</v>
      </c>
      <c r="H32" s="28" t="n">
        <f aca="false">H31+1/38</f>
        <v>0.763157894736842</v>
      </c>
      <c r="I32" s="28" t="n">
        <f aca="false">I31+1/38</f>
        <v>0.763157894736842</v>
      </c>
      <c r="J32" s="19"/>
      <c r="K32" s="20"/>
      <c r="L32" s="19"/>
      <c r="M32" s="20"/>
      <c r="N32" s="20"/>
      <c r="O32" s="20"/>
      <c r="P32" s="25"/>
    </row>
    <row r="33" customFormat="false" ht="14.25" hidden="false" customHeight="false" outlineLevel="0" collapsed="false">
      <c r="A33" s="0" t="n">
        <v>1001000</v>
      </c>
      <c r="B33" s="0" t="n">
        <v>1500500</v>
      </c>
      <c r="C33" s="0" t="n">
        <v>277345</v>
      </c>
      <c r="D33" s="0" t="n">
        <v>228</v>
      </c>
      <c r="E33" s="27" t="n">
        <f aca="false">C33/D33</f>
        <v>1216.42543859649</v>
      </c>
      <c r="F33" s="19" t="n">
        <f aca="false">SUM(D$4:D33)/$D$43</f>
        <v>0.999326236356286</v>
      </c>
      <c r="G33" s="19" t="n">
        <f aca="false">SUM(C$4:C33)/C$43</f>
        <v>0.835088339559151</v>
      </c>
      <c r="H33" s="28" t="n">
        <f aca="false">H32+1/38</f>
        <v>0.789473684210526</v>
      </c>
      <c r="I33" s="28" t="n">
        <f aca="false">I32+1/38</f>
        <v>0.789473684210526</v>
      </c>
      <c r="J33" s="19"/>
      <c r="K33" s="20"/>
      <c r="L33" s="19"/>
      <c r="M33" s="20"/>
      <c r="N33" s="20"/>
      <c r="O33" s="20"/>
    </row>
    <row r="34" customFormat="false" ht="14.25" hidden="false" customHeight="false" outlineLevel="0" collapsed="false">
      <c r="A34" s="0" t="n">
        <v>1501000</v>
      </c>
      <c r="B34" s="0" t="n">
        <v>2000500</v>
      </c>
      <c r="C34" s="0" t="n">
        <v>165845</v>
      </c>
      <c r="D34" s="0" t="n">
        <v>95</v>
      </c>
      <c r="E34" s="27" t="n">
        <f aca="false">C34/D34</f>
        <v>1745.73684210526</v>
      </c>
      <c r="F34" s="19" t="n">
        <f aca="false">SUM(D$4:D34)/$D$43</f>
        <v>0.999610714339188</v>
      </c>
      <c r="G34" s="19" t="n">
        <f aca="false">SUM(C$4:C34)/C$43</f>
        <v>0.873612838139033</v>
      </c>
      <c r="H34" s="28" t="n">
        <f aca="false">H33+1/38</f>
        <v>0.81578947368421</v>
      </c>
      <c r="I34" s="28" t="n">
        <f aca="false">I33+1/38</f>
        <v>0.81578947368421</v>
      </c>
      <c r="J34" s="19"/>
      <c r="K34" s="20"/>
      <c r="L34" s="19"/>
      <c r="M34" s="20"/>
      <c r="N34" s="20"/>
      <c r="O34" s="20"/>
    </row>
    <row r="35" customFormat="false" ht="14.25" hidden="false" customHeight="false" outlineLevel="0" collapsed="false">
      <c r="A35" s="0" t="n">
        <v>2001000</v>
      </c>
      <c r="B35" s="0" t="n">
        <v>2500500</v>
      </c>
      <c r="C35" s="0" t="n">
        <v>68903</v>
      </c>
      <c r="D35" s="0" t="n">
        <v>31</v>
      </c>
      <c r="E35" s="27" t="n">
        <f aca="false">C35/D35</f>
        <v>2222.67741935484</v>
      </c>
      <c r="F35" s="19" t="n">
        <f aca="false">SUM(D$4:D35)/$D$43</f>
        <v>0.999703543996766</v>
      </c>
      <c r="G35" s="19" t="n">
        <f aca="false">SUM(C$4:C35)/C$43</f>
        <v>0.889618467043429</v>
      </c>
      <c r="H35" s="28" t="n">
        <f aca="false">H34+1/38</f>
        <v>0.842105263157894</v>
      </c>
      <c r="I35" s="28" t="n">
        <f aca="false">I34+1/38</f>
        <v>0.842105263157894</v>
      </c>
      <c r="J35" s="19"/>
      <c r="K35" s="20"/>
      <c r="L35" s="19"/>
      <c r="M35" s="20"/>
      <c r="N35" s="20"/>
      <c r="O35" s="20"/>
    </row>
    <row r="36" customFormat="false" ht="14.25" hidden="false" customHeight="false" outlineLevel="0" collapsed="false">
      <c r="A36" s="0" t="n">
        <v>2501000</v>
      </c>
      <c r="B36" s="0" t="n">
        <v>3000500</v>
      </c>
      <c r="C36" s="0" t="n">
        <v>66648</v>
      </c>
      <c r="D36" s="0" t="n">
        <v>25</v>
      </c>
      <c r="E36" s="27" t="n">
        <f aca="false">C36/D36</f>
        <v>2665.92</v>
      </c>
      <c r="F36" s="19" t="n">
        <f aca="false">SUM(D$4:D36)/$D$43</f>
        <v>0.999778406623845</v>
      </c>
      <c r="G36" s="19" t="n">
        <f aca="false">SUM(C$4:C36)/C$43</f>
        <v>0.905100277054897</v>
      </c>
      <c r="H36" s="28" t="n">
        <f aca="false">H35+1/38</f>
        <v>0.868421052631578</v>
      </c>
      <c r="I36" s="28" t="n">
        <f aca="false">I35+1/38</f>
        <v>0.868421052631578</v>
      </c>
      <c r="J36" s="19"/>
      <c r="K36" s="20"/>
      <c r="L36" s="19"/>
      <c r="M36" s="20"/>
      <c r="N36" s="20"/>
      <c r="O36" s="20"/>
    </row>
    <row r="37" customFormat="false" ht="14.25" hidden="false" customHeight="false" outlineLevel="0" collapsed="false">
      <c r="A37" s="0" t="n">
        <v>3001000</v>
      </c>
      <c r="B37" s="0" t="n">
        <v>4000500</v>
      </c>
      <c r="C37" s="0" t="n">
        <v>99145</v>
      </c>
      <c r="D37" s="0" t="n">
        <v>28</v>
      </c>
      <c r="E37" s="27" t="n">
        <f aca="false">C37/D37</f>
        <v>3540.89285714286</v>
      </c>
      <c r="F37" s="19" t="n">
        <f aca="false">SUM(D$4:D37)/$D$43</f>
        <v>0.999862252766174</v>
      </c>
      <c r="G37" s="19" t="n">
        <f aca="false">SUM(C$4:C37)/C$43</f>
        <v>0.928130886429328</v>
      </c>
      <c r="H37" s="28" t="n">
        <f aca="false">H36+1/38</f>
        <v>0.894736842105263</v>
      </c>
      <c r="I37" s="28" t="n">
        <f aca="false">I36+1/38</f>
        <v>0.894736842105263</v>
      </c>
      <c r="J37" s="19"/>
      <c r="K37" s="20"/>
      <c r="L37" s="19"/>
      <c r="M37" s="20"/>
      <c r="N37" s="20"/>
      <c r="O37" s="20"/>
    </row>
    <row r="38" customFormat="false" ht="14.25" hidden="false" customHeight="false" outlineLevel="0" collapsed="false">
      <c r="A38" s="0" t="n">
        <v>4001000</v>
      </c>
      <c r="B38" s="0" t="n">
        <v>5000500</v>
      </c>
      <c r="C38" s="0" t="n">
        <v>76088</v>
      </c>
      <c r="D38" s="0" t="n">
        <v>17</v>
      </c>
      <c r="E38" s="27" t="n">
        <f aca="false">C38/D38</f>
        <v>4475.76470588235</v>
      </c>
      <c r="F38" s="19" t="n">
        <f aca="false">SUM(D$4:D38)/$D$43</f>
        <v>0.999913159352588</v>
      </c>
      <c r="G38" s="19" t="n">
        <f aca="false">SUM(C$4:C38)/C$43</f>
        <v>0.945805534733142</v>
      </c>
      <c r="H38" s="28" t="n">
        <f aca="false">H37+1/38</f>
        <v>0.921052631578947</v>
      </c>
      <c r="I38" s="28" t="n">
        <f aca="false">I37+1/38</f>
        <v>0.921052631578947</v>
      </c>
      <c r="J38" s="19"/>
      <c r="K38" s="20"/>
      <c r="L38" s="19"/>
      <c r="M38" s="20"/>
      <c r="N38" s="20"/>
      <c r="O38" s="20"/>
    </row>
    <row r="39" customFormat="false" ht="14.25" hidden="false" customHeight="false" outlineLevel="0" collapsed="false">
      <c r="A39" s="0" t="n">
        <v>5001000</v>
      </c>
      <c r="B39" s="0" t="n">
        <v>7500500</v>
      </c>
      <c r="C39" s="0" t="n">
        <v>74532</v>
      </c>
      <c r="D39" s="0" t="n">
        <v>13</v>
      </c>
      <c r="E39" s="27" t="n">
        <f aca="false">C39/D39</f>
        <v>5733.23076923077</v>
      </c>
      <c r="F39" s="19" t="n">
        <f aca="false">SUM(D$4:D39)/$D$43</f>
        <v>0.999952087918669</v>
      </c>
      <c r="G39" s="19" t="n">
        <f aca="false">SUM(C$4:C39)/C$43</f>
        <v>0.963118736386226</v>
      </c>
      <c r="H39" s="28" t="n">
        <f aca="false">H38+1/38</f>
        <v>0.947368421052631</v>
      </c>
      <c r="I39" s="28" t="n">
        <f aca="false">I38+1/38</f>
        <v>0.947368421052631</v>
      </c>
      <c r="J39" s="19"/>
      <c r="K39" s="20"/>
      <c r="L39" s="19"/>
      <c r="M39" s="20"/>
      <c r="N39" s="20"/>
      <c r="O39" s="20"/>
    </row>
    <row r="40" customFormat="false" ht="14.25" hidden="false" customHeight="false" outlineLevel="0" collapsed="false">
      <c r="A40" s="0" t="n">
        <v>7501000</v>
      </c>
      <c r="B40" s="0" t="n">
        <v>10000500</v>
      </c>
      <c r="C40" s="0" t="n">
        <v>76325</v>
      </c>
      <c r="D40" s="0" t="n">
        <v>9</v>
      </c>
      <c r="E40" s="27" t="n">
        <f aca="false">C40/D40</f>
        <v>8480.55555555556</v>
      </c>
      <c r="F40" s="19" t="n">
        <f aca="false">SUM(D$4:D40)/$D$43</f>
        <v>0.999979038464418</v>
      </c>
      <c r="G40" s="19" t="n">
        <f aca="false">SUM(C$4:C40)/C$43</f>
        <v>0.98084843793954</v>
      </c>
      <c r="H40" s="28" t="n">
        <f aca="false">H39+1/38</f>
        <v>0.973684210526315</v>
      </c>
      <c r="I40" s="28" t="n">
        <f aca="false">I39+1/38</f>
        <v>0.973684210526315</v>
      </c>
      <c r="J40" s="19"/>
      <c r="K40" s="20"/>
      <c r="L40" s="19"/>
      <c r="M40" s="20"/>
      <c r="N40" s="20"/>
      <c r="O40" s="20"/>
    </row>
    <row r="41" customFormat="false" ht="14.25" hidden="false" customHeight="false" outlineLevel="0" collapsed="false">
      <c r="A41" s="0" t="n">
        <v>10001000</v>
      </c>
      <c r="B41" s="0" t="s">
        <v>18</v>
      </c>
      <c r="C41" s="0" t="n">
        <v>82446</v>
      </c>
      <c r="D41" s="0" t="n">
        <v>7</v>
      </c>
      <c r="E41" s="27" t="n">
        <f aca="false">C41/D41</f>
        <v>11778</v>
      </c>
      <c r="F41" s="19" t="n">
        <f aca="false">SUM(D$4:D41)/$D$43</f>
        <v>1</v>
      </c>
      <c r="G41" s="19" t="n">
        <f aca="false">SUM(C$4:C41)/C$43</f>
        <v>1</v>
      </c>
      <c r="H41" s="28" t="n">
        <f aca="false">H40+1/38</f>
        <v>0.999999999999999</v>
      </c>
      <c r="I41" s="28" t="n">
        <f aca="false">I40+1/38</f>
        <v>0.999999999999999</v>
      </c>
      <c r="J41" s="19"/>
      <c r="K41" s="20"/>
      <c r="L41" s="19"/>
      <c r="M41" s="20"/>
      <c r="N41" s="20"/>
      <c r="O41" s="20"/>
    </row>
    <row r="43" customFormat="false" ht="14.25" hidden="false" customHeight="false" outlineLevel="0" collapsed="false">
      <c r="B43" s="0" t="s">
        <v>19</v>
      </c>
      <c r="C43" s="20" t="n">
        <f aca="false">SUM(C4:C41)</f>
        <v>4304923</v>
      </c>
      <c r="D43" s="20" t="n">
        <f aca="false">SUM(D4:D41)</f>
        <v>333945</v>
      </c>
      <c r="I43" s="22" t="s">
        <v>20</v>
      </c>
      <c r="J43" s="20"/>
      <c r="N43" s="22" t="s">
        <v>21</v>
      </c>
      <c r="O43" s="23"/>
    </row>
    <row r="44" customFormat="false" ht="14.25" hidden="false" customHeight="false" outlineLevel="0" collapsed="false">
      <c r="I44" s="0" t="s">
        <v>22</v>
      </c>
      <c r="J44" s="20"/>
      <c r="N44" s="22" t="s">
        <v>23</v>
      </c>
      <c r="O44" s="23"/>
    </row>
    <row r="45" customFormat="false" ht="14.25" hidden="false" customHeight="false" outlineLevel="0" collapsed="false">
      <c r="I45" s="0" t="s">
        <v>24</v>
      </c>
      <c r="J45" s="20"/>
    </row>
    <row r="46" customFormat="false" ht="14.25" hidden="false" customHeight="false" outlineLevel="0" collapsed="false">
      <c r="I46" s="0" t="s">
        <v>1</v>
      </c>
      <c r="J46" s="20"/>
    </row>
  </sheetData>
  <mergeCells count="3">
    <mergeCell ref="F1:I1"/>
    <mergeCell ref="J1:K1"/>
    <mergeCell ref="L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J27" activeCellId="0" sqref="J27"/>
    </sheetView>
  </sheetViews>
  <sheetFormatPr defaultColWidth="10.50390625" defaultRowHeight="14.25" zeroHeight="false" outlineLevelRow="0" outlineLevelCol="0"/>
  <cols>
    <col collapsed="false" customWidth="true" hidden="false" outlineLevel="0" max="5" min="1" style="0" width="17.11"/>
    <col collapsed="false" customWidth="true" hidden="false" outlineLevel="0" max="6" min="6" style="0" width="19.33"/>
    <col collapsed="false" customWidth="true" hidden="false" outlineLevel="0" max="7" min="7" style="0" width="21.44"/>
    <col collapsed="false" customWidth="true" hidden="false" outlineLevel="0" max="10" min="10" style="0" width="11.89"/>
    <col collapsed="false" customWidth="true" hidden="false" outlineLevel="0" max="11" min="11" style="0" width="13.44"/>
  </cols>
  <sheetData>
    <row r="1" customFormat="false" ht="14.25" hidden="false" customHeight="false" outlineLevel="0" collapsed="false">
      <c r="F1" s="1" t="s">
        <v>0</v>
      </c>
      <c r="G1" s="1"/>
      <c r="H1" s="1"/>
      <c r="I1" s="1"/>
      <c r="J1" s="2" t="s">
        <v>1</v>
      </c>
      <c r="K1" s="2"/>
      <c r="L1" s="3" t="s">
        <v>2</v>
      </c>
      <c r="M1" s="3"/>
      <c r="N1" s="3"/>
      <c r="O1" s="3"/>
      <c r="P1" s="3"/>
      <c r="Q1" s="3"/>
    </row>
    <row r="2" customFormat="false" ht="57" hidden="false" customHeight="true" outlineLevel="0" collapsed="false">
      <c r="A2" s="5" t="s">
        <v>26</v>
      </c>
      <c r="B2" s="5" t="s">
        <v>27</v>
      </c>
      <c r="C2" s="5" t="s">
        <v>5</v>
      </c>
      <c r="D2" s="5" t="s">
        <v>6</v>
      </c>
      <c r="E2" s="5" t="s">
        <v>25</v>
      </c>
      <c r="F2" s="6" t="s">
        <v>8</v>
      </c>
      <c r="G2" s="7" t="s">
        <v>9</v>
      </c>
      <c r="H2" s="7" t="s">
        <v>10</v>
      </c>
      <c r="I2" s="8" t="s">
        <v>11</v>
      </c>
      <c r="J2" s="6" t="s">
        <v>12</v>
      </c>
      <c r="K2" s="7" t="s">
        <v>13</v>
      </c>
      <c r="L2" s="9" t="s">
        <v>14</v>
      </c>
      <c r="M2" s="7" t="s">
        <v>15</v>
      </c>
      <c r="N2" s="10" t="s">
        <v>16</v>
      </c>
      <c r="O2" s="7" t="s">
        <v>17</v>
      </c>
    </row>
    <row r="3" customFormat="false" ht="13.5" hidden="false" customHeight="true" outlineLevel="0" collapsed="false">
      <c r="A3" s="5"/>
      <c r="B3" s="5"/>
      <c r="C3" s="5"/>
      <c r="D3" s="5"/>
      <c r="E3" s="5"/>
      <c r="F3" s="29" t="n">
        <v>0</v>
      </c>
      <c r="G3" s="13" t="n">
        <v>0</v>
      </c>
      <c r="H3" s="28" t="n">
        <v>0</v>
      </c>
      <c r="I3" s="30" t="n">
        <v>0</v>
      </c>
      <c r="J3" s="25"/>
      <c r="L3" s="19"/>
      <c r="M3" s="20"/>
      <c r="N3" s="20"/>
      <c r="O3" s="20"/>
    </row>
    <row r="4" customFormat="false" ht="14.25" hidden="false" customHeight="false" outlineLevel="0" collapsed="false">
      <c r="A4" s="0" t="n">
        <v>0</v>
      </c>
      <c r="B4" s="0" t="n">
        <v>0.9</v>
      </c>
      <c r="C4" s="31" t="n">
        <f aca="false">0.5*D4</f>
        <v>124113.5</v>
      </c>
      <c r="D4" s="0" t="n">
        <v>248227</v>
      </c>
      <c r="E4" s="27" t="n">
        <f aca="false">C4/D4</f>
        <v>0.5</v>
      </c>
      <c r="F4" s="32" t="n">
        <f aca="false">D4/D44</f>
        <v>0.602640453120789</v>
      </c>
      <c r="G4" s="32" t="n">
        <f aca="false">C4/C44</f>
        <v>0.014098355720984</v>
      </c>
      <c r="H4" s="28" t="n">
        <v>0.0256410256410256</v>
      </c>
      <c r="I4" s="30" t="n">
        <v>0.0256410256410256</v>
      </c>
      <c r="J4" s="19"/>
      <c r="K4" s="20"/>
      <c r="L4" s="19"/>
      <c r="M4" s="33"/>
      <c r="N4" s="34"/>
      <c r="O4" s="35"/>
    </row>
    <row r="5" customFormat="false" ht="14.25" hidden="false" customHeight="false" outlineLevel="0" collapsed="false">
      <c r="A5" s="0" t="n">
        <v>1</v>
      </c>
      <c r="B5" s="0" t="n">
        <v>4</v>
      </c>
      <c r="C5" s="31" t="n">
        <v>95583</v>
      </c>
      <c r="D5" s="0" t="n">
        <v>39820</v>
      </c>
      <c r="E5" s="27" t="n">
        <f aca="false">C5/D5</f>
        <v>2.40037669512808</v>
      </c>
      <c r="F5" s="32" t="n">
        <f aca="false">SUM(D$4:D5)/D$44</f>
        <v>0.699314637811697</v>
      </c>
      <c r="G5" s="32" t="n">
        <f aca="false">SUM(C$4:C5)/C$44</f>
        <v>0.0249558622362206</v>
      </c>
      <c r="H5" s="28" t="n">
        <v>0.0512820512820513</v>
      </c>
      <c r="I5" s="30" t="n">
        <v>0.0512820512820513</v>
      </c>
      <c r="J5" s="19"/>
      <c r="K5" s="36"/>
      <c r="L5" s="19"/>
      <c r="M5" s="33"/>
      <c r="N5" s="34"/>
      <c r="O5" s="35"/>
    </row>
    <row r="6" customFormat="false" ht="14.25" hidden="false" customHeight="false" outlineLevel="0" collapsed="false">
      <c r="A6" s="0" t="n">
        <v>5</v>
      </c>
      <c r="B6" s="0" t="n">
        <v>9</v>
      </c>
      <c r="C6" s="31" t="n">
        <v>209182</v>
      </c>
      <c r="D6" s="0" t="n">
        <v>30883</v>
      </c>
      <c r="E6" s="27" t="n">
        <f aca="false">C6/D6</f>
        <v>6.77337046271412</v>
      </c>
      <c r="F6" s="32" t="n">
        <f aca="false">SUM(D$4:D6)/D$44</f>
        <v>0.774291755988725</v>
      </c>
      <c r="G6" s="32" t="n">
        <f aca="false">SUM(C$4:C6)/C$44</f>
        <v>0.0487173567265611</v>
      </c>
      <c r="H6" s="28" t="n">
        <v>0.0769230769230769</v>
      </c>
      <c r="I6" s="30" t="n">
        <v>0.0769230769230769</v>
      </c>
      <c r="J6" s="19"/>
      <c r="K6" s="36"/>
      <c r="L6" s="19"/>
      <c r="M6" s="33"/>
      <c r="N6" s="34"/>
      <c r="O6" s="35"/>
    </row>
    <row r="7" customFormat="false" ht="14.25" hidden="false" customHeight="false" outlineLevel="0" collapsed="false">
      <c r="A7" s="0" t="n">
        <v>10</v>
      </c>
      <c r="B7" s="0" t="n">
        <v>14</v>
      </c>
      <c r="C7" s="31" t="n">
        <v>206631</v>
      </c>
      <c r="D7" s="0" t="n">
        <v>17614</v>
      </c>
      <c r="E7" s="27" t="n">
        <f aca="false">C7/D7</f>
        <v>11.731066197343</v>
      </c>
      <c r="F7" s="32" t="n">
        <f aca="false">SUM(D$4:D7)/D$44</f>
        <v>0.817054666313829</v>
      </c>
      <c r="G7" s="32" t="n">
        <f aca="false">SUM(C$4:C7)/C$44</f>
        <v>0.0721890768938487</v>
      </c>
      <c r="H7" s="28" t="n">
        <v>0.102564102564103</v>
      </c>
      <c r="I7" s="30" t="n">
        <v>0.102564102564103</v>
      </c>
      <c r="J7" s="19"/>
      <c r="K7" s="36"/>
      <c r="L7" s="19"/>
      <c r="M7" s="33"/>
      <c r="N7" s="34"/>
      <c r="O7" s="35"/>
    </row>
    <row r="8" customFormat="false" ht="14.25" hidden="false" customHeight="false" outlineLevel="0" collapsed="false">
      <c r="A8" s="0" t="n">
        <v>15</v>
      </c>
      <c r="B8" s="0" t="n">
        <v>19</v>
      </c>
      <c r="C8" s="31" t="n">
        <v>219772</v>
      </c>
      <c r="D8" s="0" t="n">
        <v>13077</v>
      </c>
      <c r="E8" s="27" t="n">
        <f aca="false">C8/D8</f>
        <v>16.8059952588514</v>
      </c>
      <c r="F8" s="32" t="n">
        <f aca="false">SUM(D$4:D8)/D$44</f>
        <v>0.848802740477641</v>
      </c>
      <c r="G8" s="32" t="n">
        <f aca="false">SUM(C$4:C8)/C$44</f>
        <v>0.0971535153595442</v>
      </c>
      <c r="H8" s="28" t="n">
        <v>0.128205128205128</v>
      </c>
      <c r="I8" s="30" t="n">
        <v>0.128205128205128</v>
      </c>
      <c r="J8" s="19"/>
      <c r="K8" s="36"/>
      <c r="L8" s="19"/>
      <c r="M8" s="33"/>
      <c r="N8" s="34"/>
      <c r="O8" s="35"/>
    </row>
    <row r="9" customFormat="false" ht="14.25" hidden="false" customHeight="false" outlineLevel="0" collapsed="false">
      <c r="A9" s="0" t="n">
        <v>20</v>
      </c>
      <c r="B9" s="0" t="n">
        <v>24</v>
      </c>
      <c r="C9" s="31" t="n">
        <v>198070</v>
      </c>
      <c r="D9" s="0" t="n">
        <v>9103</v>
      </c>
      <c r="E9" s="27" t="n">
        <f aca="false">C9/D9</f>
        <v>21.7587608480721</v>
      </c>
      <c r="F9" s="32" t="n">
        <f aca="false">SUM(D$4:D9)/D$44</f>
        <v>0.870902818409367</v>
      </c>
      <c r="G9" s="32" t="n">
        <f aca="false">SUM(C$4:C9)/C$44</f>
        <v>0.119652770619087</v>
      </c>
      <c r="H9" s="28" t="n">
        <v>0.153846153846154</v>
      </c>
      <c r="I9" s="30" t="n">
        <v>0.153846153846154</v>
      </c>
      <c r="J9" s="19"/>
      <c r="K9" s="36"/>
      <c r="L9" s="19"/>
      <c r="M9" s="33"/>
      <c r="N9" s="34"/>
      <c r="O9" s="35"/>
    </row>
    <row r="10" customFormat="false" ht="14.25" hidden="false" customHeight="false" outlineLevel="0" collapsed="false">
      <c r="A10" s="0" t="n">
        <v>25</v>
      </c>
      <c r="B10" s="0" t="n">
        <v>29</v>
      </c>
      <c r="C10" s="31" t="n">
        <v>182530</v>
      </c>
      <c r="D10" s="0" t="n">
        <v>6800</v>
      </c>
      <c r="E10" s="27" t="n">
        <f aca="false">C10/D10</f>
        <v>26.8426470588235</v>
      </c>
      <c r="F10" s="32" t="n">
        <f aca="false">SUM(D$4:D10)/D$44</f>
        <v>0.887411719863365</v>
      </c>
      <c r="G10" s="32" t="n">
        <f aca="false">SUM(C$4:C10)/C$44</f>
        <v>0.140386799308563</v>
      </c>
      <c r="H10" s="28" t="n">
        <v>0.179487179487179</v>
      </c>
      <c r="I10" s="30" t="n">
        <v>0.179487179487179</v>
      </c>
      <c r="J10" s="19"/>
      <c r="K10" s="36"/>
      <c r="L10" s="19"/>
      <c r="M10" s="33"/>
      <c r="N10" s="34"/>
      <c r="O10" s="35"/>
    </row>
    <row r="11" customFormat="false" ht="14.25" hidden="false" customHeight="false" outlineLevel="0" collapsed="false">
      <c r="A11" s="0" t="n">
        <v>30</v>
      </c>
      <c r="B11" s="0" t="n">
        <v>34</v>
      </c>
      <c r="C11" s="31" t="n">
        <v>182451</v>
      </c>
      <c r="D11" s="0" t="n">
        <v>5737</v>
      </c>
      <c r="E11" s="27" t="n">
        <f aca="false">C11/D11</f>
        <v>31.8025100226599</v>
      </c>
      <c r="F11" s="32" t="n">
        <f aca="false">SUM(D$4:D11)/D$44</f>
        <v>0.901339891575362</v>
      </c>
      <c r="G11" s="32" t="n">
        <f aca="false">SUM(C$4:C11)/C$44</f>
        <v>0.161111854195012</v>
      </c>
      <c r="H11" s="28" t="n">
        <v>0.205128205128205</v>
      </c>
      <c r="I11" s="30" t="n">
        <v>0.205128205128205</v>
      </c>
      <c r="J11" s="19"/>
      <c r="K11" s="36"/>
      <c r="L11" s="19"/>
      <c r="M11" s="33"/>
      <c r="N11" s="34"/>
      <c r="O11" s="35"/>
    </row>
    <row r="12" customFormat="false" ht="14.25" hidden="false" customHeight="false" outlineLevel="0" collapsed="false">
      <c r="A12" s="0" t="n">
        <v>35</v>
      </c>
      <c r="B12" s="0" t="n">
        <v>39</v>
      </c>
      <c r="C12" s="31" t="n">
        <v>157889</v>
      </c>
      <c r="D12" s="0" t="n">
        <v>4279</v>
      </c>
      <c r="E12" s="27" t="n">
        <f aca="false">C12/D12</f>
        <v>36.8985744332788</v>
      </c>
      <c r="F12" s="32" t="n">
        <f aca="false">SUM(D$4:D12)/D$44</f>
        <v>0.911728360593252</v>
      </c>
      <c r="G12" s="32" t="n">
        <f aca="false">SUM(C$4:C12)/C$44</f>
        <v>0.179046851487252</v>
      </c>
      <c r="H12" s="28" t="n">
        <v>0.230769230769231</v>
      </c>
      <c r="I12" s="30" t="n">
        <v>0.230769230769231</v>
      </c>
      <c r="J12" s="19"/>
      <c r="K12" s="36"/>
      <c r="L12" s="19"/>
      <c r="M12" s="33"/>
      <c r="N12" s="34"/>
      <c r="O12" s="35"/>
    </row>
    <row r="13" customFormat="false" ht="14.25" hidden="false" customHeight="false" outlineLevel="0" collapsed="false">
      <c r="A13" s="0" t="n">
        <v>40</v>
      </c>
      <c r="B13" s="0" t="n">
        <v>44</v>
      </c>
      <c r="C13" s="31" t="n">
        <v>141439</v>
      </c>
      <c r="D13" s="0" t="n">
        <v>3373</v>
      </c>
      <c r="E13" s="27" t="n">
        <f aca="false">C13/D13</f>
        <v>41.9327008597688</v>
      </c>
      <c r="F13" s="32" t="n">
        <f aca="false">SUM(D$4:D13)/D$44</f>
        <v>0.91991726127036</v>
      </c>
      <c r="G13" s="32" t="n">
        <f aca="false">SUM(C$4:C13)/C$44</f>
        <v>0.195113253085952</v>
      </c>
      <c r="H13" s="28" t="n">
        <v>0.256410256410256</v>
      </c>
      <c r="I13" s="30" t="n">
        <v>0.256410256410256</v>
      </c>
      <c r="J13" s="19"/>
      <c r="K13" s="36"/>
      <c r="L13" s="19"/>
      <c r="M13" s="33"/>
      <c r="N13" s="34"/>
      <c r="O13" s="35"/>
    </row>
    <row r="14" customFormat="false" ht="14.25" hidden="false" customHeight="false" outlineLevel="0" collapsed="false">
      <c r="A14" s="0" t="n">
        <v>45</v>
      </c>
      <c r="B14" s="0" t="n">
        <v>49</v>
      </c>
      <c r="C14" s="31" t="n">
        <v>151855</v>
      </c>
      <c r="D14" s="0" t="n">
        <v>3240</v>
      </c>
      <c r="E14" s="27" t="n">
        <f aca="false">C14/D14</f>
        <v>46.8688271604938</v>
      </c>
      <c r="F14" s="32" t="n">
        <f aca="false">SUM(D$4:D14)/D$44</f>
        <v>0.927783267257265</v>
      </c>
      <c r="G14" s="32" t="n">
        <f aca="false">SUM(C$4:C14)/C$44</f>
        <v>0.212362833574859</v>
      </c>
      <c r="H14" s="28" t="n">
        <v>0.282051282051282</v>
      </c>
      <c r="I14" s="30" t="n">
        <v>0.282051282051282</v>
      </c>
      <c r="J14" s="19"/>
      <c r="K14" s="36"/>
      <c r="L14" s="19"/>
      <c r="M14" s="33"/>
      <c r="N14" s="34"/>
      <c r="O14" s="35"/>
    </row>
    <row r="15" customFormat="false" ht="14.25" hidden="false" customHeight="false" outlineLevel="0" collapsed="false">
      <c r="A15" s="0" t="n">
        <v>50</v>
      </c>
      <c r="B15" s="0" t="n">
        <v>59</v>
      </c>
      <c r="C15" s="31" t="n">
        <v>241926</v>
      </c>
      <c r="D15" s="0" t="n">
        <v>4465</v>
      </c>
      <c r="E15" s="27" t="n">
        <f aca="false">C15/D15</f>
        <v>54.1827547592385</v>
      </c>
      <c r="F15" s="32" t="n">
        <f aca="false">SUM(D$4:D15)/D$44</f>
        <v>0.938623303285514</v>
      </c>
      <c r="G15" s="32" t="n">
        <f aca="false">SUM(C$4:C15)/C$44</f>
        <v>0.239843799031113</v>
      </c>
      <c r="H15" s="28" t="n">
        <v>0.307692307692308</v>
      </c>
      <c r="I15" s="30" t="n">
        <v>0.307692307692308</v>
      </c>
      <c r="J15" s="19"/>
      <c r="K15" s="36"/>
      <c r="L15" s="19"/>
      <c r="M15" s="33"/>
      <c r="N15" s="34"/>
      <c r="O15" s="35"/>
    </row>
    <row r="16" customFormat="false" ht="14.25" hidden="false" customHeight="false" outlineLevel="0" collapsed="false">
      <c r="A16" s="0" t="n">
        <v>60</v>
      </c>
      <c r="B16" s="0" t="n">
        <v>69</v>
      </c>
      <c r="C16" s="31" t="n">
        <v>203887</v>
      </c>
      <c r="D16" s="0" t="n">
        <v>3170</v>
      </c>
      <c r="E16" s="27" t="n">
        <f aca="false">C16/D16</f>
        <v>64.317665615142</v>
      </c>
      <c r="F16" s="32" t="n">
        <f aca="false">SUM(D$4:D16)/D$44</f>
        <v>0.946319364698628</v>
      </c>
      <c r="G16" s="32" t="n">
        <f aca="false">SUM(C$4:C16)/C$44</f>
        <v>0.263003821533776</v>
      </c>
      <c r="H16" s="28" t="n">
        <v>0.333333333333333</v>
      </c>
      <c r="I16" s="30" t="n">
        <v>0.333333333333333</v>
      </c>
      <c r="J16" s="19"/>
      <c r="K16" s="36"/>
      <c r="L16" s="19"/>
      <c r="M16" s="33"/>
      <c r="N16" s="34"/>
      <c r="O16" s="35"/>
    </row>
    <row r="17" customFormat="false" ht="14.25" hidden="false" customHeight="false" outlineLevel="0" collapsed="false">
      <c r="A17" s="0" t="n">
        <v>70</v>
      </c>
      <c r="B17" s="0" t="n">
        <v>79</v>
      </c>
      <c r="C17" s="31" t="n">
        <v>225648</v>
      </c>
      <c r="D17" s="0" t="n">
        <v>3041</v>
      </c>
      <c r="E17" s="27" t="n">
        <f aca="false">C17/D17</f>
        <v>74.2019072673463</v>
      </c>
      <c r="F17" s="32" t="n">
        <f aca="false">SUM(D$4:D17)/D$44</f>
        <v>0.95370224254004</v>
      </c>
      <c r="G17" s="32" t="n">
        <f aca="false">SUM(C$4:C17)/C$44</f>
        <v>0.288635729196751</v>
      </c>
      <c r="H17" s="28" t="n">
        <v>0.358974358974359</v>
      </c>
      <c r="I17" s="30" t="n">
        <v>0.358974358974359</v>
      </c>
      <c r="J17" s="19"/>
      <c r="K17" s="36"/>
      <c r="L17" s="19"/>
      <c r="M17" s="33"/>
      <c r="N17" s="34"/>
      <c r="O17" s="35"/>
    </row>
    <row r="18" customFormat="false" ht="14.25" hidden="false" customHeight="false" outlineLevel="0" collapsed="false">
      <c r="A18" s="0" t="n">
        <v>80</v>
      </c>
      <c r="B18" s="0" t="n">
        <v>89</v>
      </c>
      <c r="C18" s="31" t="n">
        <v>175505</v>
      </c>
      <c r="D18" s="0" t="n">
        <v>2081</v>
      </c>
      <c r="E18" s="27" t="n">
        <f aca="false">C18/D18</f>
        <v>84.3368572801538</v>
      </c>
      <c r="F18" s="32" t="n">
        <f aca="false">SUM(D$4:D18)/D$44</f>
        <v>0.958754451940888</v>
      </c>
      <c r="G18" s="32" t="n">
        <f aca="false">SUM(C$4:C18)/C$44</f>
        <v>0.308571770971508</v>
      </c>
      <c r="H18" s="28" t="n">
        <v>0.384615384615385</v>
      </c>
      <c r="I18" s="30" t="n">
        <v>0.384615384615385</v>
      </c>
      <c r="J18" s="19"/>
      <c r="K18" s="36"/>
      <c r="L18" s="19"/>
      <c r="M18" s="33"/>
      <c r="N18" s="34"/>
      <c r="O18" s="35"/>
    </row>
    <row r="19" customFormat="false" ht="14.25" hidden="false" customHeight="false" outlineLevel="0" collapsed="false">
      <c r="A19" s="0" t="n">
        <v>90</v>
      </c>
      <c r="B19" s="0" t="n">
        <v>99</v>
      </c>
      <c r="C19" s="31" t="n">
        <v>194056</v>
      </c>
      <c r="D19" s="0" t="n">
        <v>2048</v>
      </c>
      <c r="E19" s="27" t="n">
        <f aca="false">C19/D19</f>
        <v>94.75390625</v>
      </c>
      <c r="F19" s="32" t="n">
        <f aca="false">SUM(D$4:D19)/D$44</f>
        <v>0.963726544614092</v>
      </c>
      <c r="G19" s="32" t="n">
        <f aca="false">SUM(C$4:C19)/C$44</f>
        <v>0.330615066163339</v>
      </c>
      <c r="H19" s="28" t="n">
        <v>0.41025641025641</v>
      </c>
      <c r="I19" s="30" t="n">
        <v>0.41025641025641</v>
      </c>
      <c r="J19" s="19"/>
      <c r="K19" s="36"/>
      <c r="L19" s="19"/>
      <c r="M19" s="33"/>
      <c r="N19" s="34"/>
      <c r="O19" s="35"/>
    </row>
    <row r="20" customFormat="false" ht="14.25" hidden="false" customHeight="false" outlineLevel="0" collapsed="false">
      <c r="A20" s="0" t="n">
        <v>100</v>
      </c>
      <c r="B20" s="0" t="n">
        <v>124</v>
      </c>
      <c r="C20" s="31" t="n">
        <v>356980</v>
      </c>
      <c r="D20" s="0" t="n">
        <v>3218</v>
      </c>
      <c r="E20" s="27" t="n">
        <f aca="false">C20/D20</f>
        <v>110.932256059664</v>
      </c>
      <c r="F20" s="32" t="n">
        <f aca="false">SUM(D$4:D20)/D$44</f>
        <v>0.971539139449234</v>
      </c>
      <c r="G20" s="32" t="n">
        <f aca="false">SUM(C$4:C20)/C$44</f>
        <v>0.371165296599809</v>
      </c>
      <c r="H20" s="28" t="n">
        <v>0.435897435897436</v>
      </c>
      <c r="I20" s="30" t="n">
        <v>0.435897435897436</v>
      </c>
      <c r="J20" s="19"/>
      <c r="K20" s="36"/>
      <c r="L20" s="19"/>
      <c r="M20" s="33"/>
      <c r="N20" s="34"/>
      <c r="O20" s="35"/>
    </row>
    <row r="21" customFormat="false" ht="14.25" hidden="false" customHeight="false" outlineLevel="0" collapsed="false">
      <c r="A21" s="0" t="n">
        <v>125</v>
      </c>
      <c r="B21" s="0" t="n">
        <v>149</v>
      </c>
      <c r="C21" s="31" t="n">
        <v>285475</v>
      </c>
      <c r="D21" s="0" t="n">
        <v>2094</v>
      </c>
      <c r="E21" s="27" t="n">
        <f aca="false">C21/D21</f>
        <v>136.329990448902</v>
      </c>
      <c r="F21" s="32" t="n">
        <f aca="false">SUM(D$4:D21)/D$44</f>
        <v>0.976622909985215</v>
      </c>
      <c r="G21" s="32" t="n">
        <f aca="false">SUM(C$4:C21)/C$44</f>
        <v>0.403593099372657</v>
      </c>
      <c r="H21" s="28" t="n">
        <v>0.461538461538462</v>
      </c>
      <c r="I21" s="30" t="n">
        <v>0.461538461538462</v>
      </c>
      <c r="J21" s="19"/>
      <c r="K21" s="36"/>
      <c r="L21" s="19"/>
      <c r="M21" s="33"/>
      <c r="N21" s="34"/>
      <c r="O21" s="35"/>
    </row>
    <row r="22" customFormat="false" ht="14.25" hidden="false" customHeight="false" outlineLevel="0" collapsed="false">
      <c r="A22" s="0" t="n">
        <v>150</v>
      </c>
      <c r="B22" s="0" t="n">
        <v>174</v>
      </c>
      <c r="C22" s="31" t="n">
        <v>253911</v>
      </c>
      <c r="D22" s="0" t="n">
        <v>1571</v>
      </c>
      <c r="E22" s="27" t="n">
        <f aca="false">C22/D22</f>
        <v>161.62380649268</v>
      </c>
      <c r="F22" s="32" t="n">
        <f aca="false">SUM(D$4:D22)/D$44</f>
        <v>0.980436951777013</v>
      </c>
      <c r="G22" s="32" t="n">
        <f aca="false">SUM(C$4:C22)/C$44</f>
        <v>0.432435470262776</v>
      </c>
      <c r="H22" s="28" t="n">
        <v>0.487179487179487</v>
      </c>
      <c r="I22" s="30" t="n">
        <v>0.487179487179487</v>
      </c>
      <c r="J22" s="19"/>
      <c r="K22" s="36"/>
      <c r="L22" s="19"/>
      <c r="M22" s="33"/>
      <c r="N22" s="34"/>
      <c r="O22" s="35"/>
    </row>
    <row r="23" customFormat="false" ht="14.25" hidden="false" customHeight="false" outlineLevel="0" collapsed="false">
      <c r="A23" s="0" t="n">
        <v>175</v>
      </c>
      <c r="B23" s="0" t="n">
        <v>199</v>
      </c>
      <c r="C23" s="31" t="n">
        <v>207506</v>
      </c>
      <c r="D23" s="0" t="n">
        <v>1115</v>
      </c>
      <c r="E23" s="27" t="n">
        <f aca="false">C23/D23</f>
        <v>186.104035874439</v>
      </c>
      <c r="F23" s="32" t="n">
        <f aca="false">SUM(D$4:D23)/D$44</f>
        <v>0.983143926059544</v>
      </c>
      <c r="G23" s="32" t="n">
        <f aca="false">SUM(C$4:C23)/C$44</f>
        <v>0.456006583818018</v>
      </c>
      <c r="H23" s="28" t="n">
        <v>0.512820512820513</v>
      </c>
      <c r="I23" s="30" t="n">
        <v>0.512820512820513</v>
      </c>
      <c r="J23" s="19"/>
      <c r="K23" s="36"/>
      <c r="L23" s="19"/>
      <c r="M23" s="33"/>
      <c r="N23" s="34"/>
      <c r="O23" s="35"/>
    </row>
    <row r="24" customFormat="false" ht="14.25" hidden="false" customHeight="false" outlineLevel="0" collapsed="false">
      <c r="A24" s="0" t="n">
        <v>200</v>
      </c>
      <c r="B24" s="0" t="n">
        <v>249</v>
      </c>
      <c r="C24" s="31" t="n">
        <v>346575</v>
      </c>
      <c r="D24" s="0" t="n">
        <v>1557</v>
      </c>
      <c r="E24" s="27" t="n">
        <f aca="false">C24/D24</f>
        <v>222.591522157996</v>
      </c>
      <c r="F24" s="32" t="n">
        <f aca="false">SUM(D$4:D24)/D$44</f>
        <v>0.986923978936584</v>
      </c>
      <c r="G24" s="32" t="n">
        <f aca="false">SUM(C$4:C24)/C$44</f>
        <v>0.495374884881158</v>
      </c>
      <c r="H24" s="28" t="n">
        <v>0.538461538461539</v>
      </c>
      <c r="I24" s="30" t="n">
        <v>0.538461538461539</v>
      </c>
      <c r="J24" s="19"/>
      <c r="K24" s="36"/>
      <c r="L24" s="19"/>
      <c r="M24" s="33"/>
      <c r="N24" s="34"/>
      <c r="O24" s="35"/>
    </row>
    <row r="25" customFormat="false" ht="14.25" hidden="false" customHeight="false" outlineLevel="0" collapsed="false">
      <c r="A25" s="0" t="n">
        <v>250</v>
      </c>
      <c r="B25" s="0" t="n">
        <v>299</v>
      </c>
      <c r="C25" s="31" t="n">
        <v>281294</v>
      </c>
      <c r="D25" s="0" t="n">
        <v>1031</v>
      </c>
      <c r="E25" s="27" t="n">
        <f aca="false">C25/D25</f>
        <v>272.836081474297</v>
      </c>
      <c r="F25" s="32" t="n">
        <f aca="false">SUM(D$4:D25)/D$44</f>
        <v>0.989427019730565</v>
      </c>
      <c r="G25" s="32" t="n">
        <f aca="false">SUM(C$4:C25)/C$44</f>
        <v>0.52732775764825</v>
      </c>
      <c r="H25" s="28" t="n">
        <v>0.564102564102564</v>
      </c>
      <c r="I25" s="30" t="n">
        <v>0.564102564102564</v>
      </c>
      <c r="J25" s="19"/>
      <c r="K25" s="36"/>
      <c r="L25" s="19"/>
      <c r="M25" s="33"/>
      <c r="N25" s="34"/>
      <c r="O25" s="35"/>
    </row>
    <row r="26" customFormat="false" ht="14.25" hidden="false" customHeight="false" outlineLevel="0" collapsed="false">
      <c r="A26" s="0" t="n">
        <v>300</v>
      </c>
      <c r="B26" s="0" t="n">
        <v>349</v>
      </c>
      <c r="C26" s="31" t="n">
        <v>248235</v>
      </c>
      <c r="D26" s="0" t="n">
        <v>770</v>
      </c>
      <c r="E26" s="27" t="n">
        <f aca="false">C26/D26</f>
        <v>322.383116883117</v>
      </c>
      <c r="F26" s="32" t="n">
        <f aca="false">SUM(D$4:D26)/D$44</f>
        <v>0.991296410042268</v>
      </c>
      <c r="G26" s="32" t="n">
        <f aca="false">SUM(C$4:C26)/C$44</f>
        <v>0.555525377829765</v>
      </c>
      <c r="H26" s="28" t="n">
        <v>0.58974358974359</v>
      </c>
      <c r="I26" s="30" t="n">
        <v>0.58974358974359</v>
      </c>
      <c r="J26" s="19"/>
      <c r="K26" s="36"/>
      <c r="L26" s="19"/>
      <c r="M26" s="33"/>
      <c r="N26" s="34"/>
      <c r="O26" s="35"/>
    </row>
    <row r="27" customFormat="false" ht="14.25" hidden="false" customHeight="false" outlineLevel="0" collapsed="false">
      <c r="A27" s="0" t="n">
        <v>350</v>
      </c>
      <c r="B27" s="0" t="n">
        <v>399</v>
      </c>
      <c r="C27" s="31" t="n">
        <v>200853</v>
      </c>
      <c r="D27" s="0" t="n">
        <v>538</v>
      </c>
      <c r="E27" s="27" t="n">
        <f aca="false">C27/D27</f>
        <v>373.332713754647</v>
      </c>
      <c r="F27" s="32" t="n">
        <f aca="false">SUM(D$4:D27)/D$44</f>
        <v>0.992602555480834</v>
      </c>
      <c r="G27" s="32" t="n">
        <f aca="false">SUM(C$4:C27)/C$44</f>
        <v>0.578340760859225</v>
      </c>
      <c r="H27" s="28" t="n">
        <v>0.615384615384616</v>
      </c>
      <c r="I27" s="30" t="n">
        <v>0.615384615384616</v>
      </c>
      <c r="J27" s="19"/>
      <c r="K27" s="36"/>
      <c r="L27" s="19"/>
      <c r="M27" s="33"/>
      <c r="N27" s="34"/>
      <c r="O27" s="35"/>
    </row>
    <row r="28" customFormat="false" ht="14.25" hidden="false" customHeight="false" outlineLevel="0" collapsed="false">
      <c r="A28" s="0" t="n">
        <v>400</v>
      </c>
      <c r="B28" s="0" t="n">
        <v>449</v>
      </c>
      <c r="C28" s="31" t="n">
        <v>184118</v>
      </c>
      <c r="D28" s="0" t="n">
        <v>435</v>
      </c>
      <c r="E28" s="27" t="n">
        <f aca="false">C28/D28</f>
        <v>423.259770114943</v>
      </c>
      <c r="F28" s="32" t="n">
        <f aca="false">SUM(D$4:D28)/D$44</f>
        <v>0.993658639617965</v>
      </c>
      <c r="G28" s="32" t="n">
        <f aca="false">SUM(C$4:C28)/C$44</f>
        <v>0.599255174348782</v>
      </c>
      <c r="H28" s="28" t="n">
        <v>0.641025641025641</v>
      </c>
      <c r="I28" s="30" t="n">
        <v>0.641025641025641</v>
      </c>
      <c r="J28" s="19"/>
      <c r="K28" s="36"/>
      <c r="L28" s="19"/>
      <c r="M28" s="33"/>
      <c r="N28" s="34"/>
      <c r="O28" s="35"/>
    </row>
    <row r="29" customFormat="false" ht="14.25" hidden="false" customHeight="false" outlineLevel="0" collapsed="false">
      <c r="A29" s="0" t="n">
        <v>450</v>
      </c>
      <c r="B29" s="0" t="n">
        <v>499</v>
      </c>
      <c r="C29" s="31" t="n">
        <v>169008</v>
      </c>
      <c r="D29" s="0" t="n">
        <v>357</v>
      </c>
      <c r="E29" s="27" t="n">
        <f aca="false">C29/D29</f>
        <v>473.411764705882</v>
      </c>
      <c r="F29" s="32" t="n">
        <f aca="false">SUM(D$4:D29)/D$44</f>
        <v>0.994525356944299</v>
      </c>
      <c r="G29" s="32" t="n">
        <f aca="false">SUM(C$4:C29)/C$44</f>
        <v>0.618453206018923</v>
      </c>
      <c r="H29" s="28" t="n">
        <v>0.666666666666667</v>
      </c>
      <c r="I29" s="30" t="n">
        <v>0.666666666666667</v>
      </c>
      <c r="J29" s="19"/>
      <c r="K29" s="36"/>
      <c r="L29" s="19"/>
      <c r="M29" s="33"/>
      <c r="N29" s="34"/>
      <c r="O29" s="35"/>
    </row>
    <row r="30" customFormat="false" ht="14.25" hidden="false" customHeight="false" outlineLevel="0" collapsed="false">
      <c r="A30" s="0" t="n">
        <v>500</v>
      </c>
      <c r="B30" s="0" t="n">
        <v>599</v>
      </c>
      <c r="C30" s="31" t="n">
        <v>250097</v>
      </c>
      <c r="D30" s="0" t="n">
        <v>459</v>
      </c>
      <c r="E30" s="27" t="n">
        <f aca="false">C30/D30</f>
        <v>544.873638344227</v>
      </c>
      <c r="F30" s="32" t="n">
        <f aca="false">SUM(D$4:D30)/D$44</f>
        <v>0.995639707792444</v>
      </c>
      <c r="G30" s="32" t="n">
        <f aca="false">SUM(C$4:C30)/C$44</f>
        <v>0.646862335330005</v>
      </c>
      <c r="H30" s="28" t="n">
        <v>0.692307692307693</v>
      </c>
      <c r="I30" s="30" t="n">
        <v>0.692307692307693</v>
      </c>
      <c r="J30" s="19"/>
      <c r="K30" s="36"/>
      <c r="L30" s="19"/>
      <c r="M30" s="33"/>
      <c r="N30" s="34"/>
      <c r="O30" s="35"/>
    </row>
    <row r="31" customFormat="false" ht="14.25" hidden="false" customHeight="false" outlineLevel="0" collapsed="false">
      <c r="A31" s="0" t="n">
        <v>600</v>
      </c>
      <c r="B31" s="0" t="n">
        <v>699</v>
      </c>
      <c r="C31" s="31" t="n">
        <v>222121</v>
      </c>
      <c r="D31" s="0" t="n">
        <v>343</v>
      </c>
      <c r="E31" s="27" t="n">
        <f aca="false">C31/D31</f>
        <v>647.583090379009</v>
      </c>
      <c r="F31" s="32" t="n">
        <f aca="false">SUM(D$4:D31)/D$44</f>
        <v>0.996472436204021</v>
      </c>
      <c r="G31" s="32" t="n">
        <f aca="false">SUM(C$4:C31)/C$44</f>
        <v>0.672093602445191</v>
      </c>
      <c r="H31" s="28" t="n">
        <v>0.717948717948718</v>
      </c>
      <c r="I31" s="30" t="n">
        <v>0.717948717948718</v>
      </c>
      <c r="J31" s="19"/>
      <c r="K31" s="36"/>
      <c r="L31" s="19"/>
      <c r="M31" s="33"/>
      <c r="N31" s="34"/>
      <c r="O31" s="35"/>
    </row>
    <row r="32" customFormat="false" ht="14.25" hidden="false" customHeight="false" outlineLevel="0" collapsed="false">
      <c r="A32" s="0" t="n">
        <v>700</v>
      </c>
      <c r="B32" s="0" t="n">
        <v>799</v>
      </c>
      <c r="C32" s="31" t="n">
        <v>182774</v>
      </c>
      <c r="D32" s="0" t="n">
        <v>245</v>
      </c>
      <c r="E32" s="27" t="n">
        <f aca="false">C32/D32</f>
        <v>746.016326530612</v>
      </c>
      <c r="F32" s="32" t="n">
        <f aca="false">SUM(D$4:D32)/D$44</f>
        <v>0.99706724221229</v>
      </c>
      <c r="G32" s="32" t="n">
        <f aca="false">SUM(C$4:C32)/C$44</f>
        <v>0.69285534769085</v>
      </c>
      <c r="H32" s="28" t="n">
        <v>0.743589743589744</v>
      </c>
      <c r="I32" s="30" t="n">
        <v>0.743589743589744</v>
      </c>
      <c r="J32" s="19"/>
      <c r="K32" s="36"/>
      <c r="L32" s="19"/>
      <c r="M32" s="33"/>
      <c r="N32" s="34"/>
      <c r="O32" s="35"/>
    </row>
    <row r="33" customFormat="false" ht="14.25" hidden="false" customHeight="false" outlineLevel="0" collapsed="false">
      <c r="A33" s="0" t="n">
        <v>800</v>
      </c>
      <c r="B33" s="0" t="n">
        <v>899</v>
      </c>
      <c r="C33" s="31" t="n">
        <v>152013</v>
      </c>
      <c r="D33" s="0" t="n">
        <v>180</v>
      </c>
      <c r="E33" s="27" t="n">
        <f aca="false">C33/D33</f>
        <v>844.516666666667</v>
      </c>
      <c r="F33" s="32" t="n">
        <f aca="false">SUM(D$4:D33)/D$44</f>
        <v>0.997504242544896</v>
      </c>
      <c r="G33" s="32" t="n">
        <f aca="false">SUM(C$4:C33)/C$44</f>
        <v>0.710122875785811</v>
      </c>
      <c r="H33" s="28" t="n">
        <v>0.76923076923077</v>
      </c>
      <c r="I33" s="30" t="n">
        <v>0.76923076923077</v>
      </c>
      <c r="J33" s="19"/>
      <c r="K33" s="36"/>
      <c r="L33" s="19"/>
      <c r="M33" s="33"/>
      <c r="N33" s="34"/>
      <c r="O33" s="35"/>
    </row>
    <row r="34" customFormat="false" ht="14.25" hidden="false" customHeight="false" outlineLevel="0" collapsed="false">
      <c r="A34" s="0" t="n">
        <v>900</v>
      </c>
      <c r="B34" s="0" t="n">
        <v>999</v>
      </c>
      <c r="C34" s="31" t="n">
        <v>120491</v>
      </c>
      <c r="D34" s="0" t="n">
        <v>127</v>
      </c>
      <c r="E34" s="27" t="n">
        <f aca="false">C34/D34</f>
        <v>948.748031496063</v>
      </c>
      <c r="F34" s="32" t="n">
        <f aca="false">SUM(D$4:D34)/D$44</f>
        <v>0.997812570557345</v>
      </c>
      <c r="G34" s="32" t="n">
        <f aca="false">SUM(C$4:C34)/C$44</f>
        <v>0.723809742880665</v>
      </c>
      <c r="H34" s="28" t="n">
        <v>0.794871794871795</v>
      </c>
      <c r="I34" s="30" t="n">
        <v>0.794871794871795</v>
      </c>
      <c r="J34" s="19"/>
      <c r="K34" s="36"/>
      <c r="L34" s="19"/>
      <c r="M34" s="33"/>
      <c r="N34" s="34"/>
      <c r="O34" s="35"/>
    </row>
    <row r="35" customFormat="false" ht="14.25" hidden="false" customHeight="false" outlineLevel="0" collapsed="false">
      <c r="A35" s="0" t="n">
        <v>1000</v>
      </c>
      <c r="B35" s="0" t="n">
        <v>1499</v>
      </c>
      <c r="C35" s="31" t="n">
        <v>507427</v>
      </c>
      <c r="D35" s="0" t="n">
        <v>418</v>
      </c>
      <c r="E35" s="27" t="n">
        <f aca="false">C35/D35</f>
        <v>1213.94019138756</v>
      </c>
      <c r="F35" s="32" t="n">
        <f aca="false">SUM(D$4:D35)/D$44</f>
        <v>0.998827382440841</v>
      </c>
      <c r="G35" s="32" t="n">
        <f aca="false">SUM(C$4:C35)/C$44</f>
        <v>0.781449615645769</v>
      </c>
      <c r="H35" s="28" t="n">
        <v>0.820512820512821</v>
      </c>
      <c r="I35" s="30" t="n">
        <v>0.820512820512821</v>
      </c>
      <c r="J35" s="19"/>
      <c r="K35" s="36"/>
      <c r="L35" s="19"/>
      <c r="M35" s="33"/>
      <c r="N35" s="34"/>
      <c r="O35" s="35"/>
    </row>
    <row r="36" customFormat="false" ht="14.25" hidden="false" customHeight="false" outlineLevel="0" collapsed="false">
      <c r="A36" s="0" t="n">
        <v>1500</v>
      </c>
      <c r="B36" s="0" t="n">
        <v>1999</v>
      </c>
      <c r="C36" s="31" t="n">
        <v>328114</v>
      </c>
      <c r="D36" s="0" t="n">
        <v>190</v>
      </c>
      <c r="E36" s="27" t="n">
        <f aca="false">C36/D36</f>
        <v>1726.91578947368</v>
      </c>
      <c r="F36" s="32" t="n">
        <f aca="false">SUM(D$4:D36)/D$44</f>
        <v>0.999288660569703</v>
      </c>
      <c r="G36" s="32" t="n">
        <f aca="false">SUM(C$4:C36)/C$44</f>
        <v>0.818720886611739</v>
      </c>
      <c r="H36" s="28" t="n">
        <v>0.846153846153847</v>
      </c>
      <c r="I36" s="30" t="n">
        <v>0.846153846153847</v>
      </c>
      <c r="J36" s="19"/>
      <c r="K36" s="36"/>
      <c r="L36" s="19"/>
      <c r="M36" s="23"/>
      <c r="N36" s="34"/>
      <c r="O36" s="37"/>
    </row>
    <row r="37" customFormat="false" ht="14.25" hidden="false" customHeight="false" outlineLevel="0" collapsed="false">
      <c r="A37" s="0" t="n">
        <v>2000</v>
      </c>
      <c r="B37" s="0" t="n">
        <v>2999</v>
      </c>
      <c r="C37" s="31" t="n">
        <v>299528</v>
      </c>
      <c r="D37" s="0" t="n">
        <v>122</v>
      </c>
      <c r="E37" s="27" t="n">
        <f aca="false">C37/D37</f>
        <v>2455.14754098361</v>
      </c>
      <c r="F37" s="32" t="n">
        <f aca="false">SUM(D$4:D37)/D$44</f>
        <v>0.999584849684025</v>
      </c>
      <c r="G37" s="32" t="n">
        <f aca="false">SUM(C$4:C37)/C$44</f>
        <v>0.852745003991354</v>
      </c>
      <c r="H37" s="28" t="n">
        <v>0.871794871794872</v>
      </c>
      <c r="I37" s="30" t="n">
        <v>0.871794871794872</v>
      </c>
      <c r="J37" s="19"/>
      <c r="K37" s="36"/>
      <c r="L37" s="19"/>
      <c r="M37" s="23"/>
      <c r="N37" s="34"/>
      <c r="O37" s="37"/>
    </row>
    <row r="38" customFormat="false" ht="14.25" hidden="false" customHeight="false" outlineLevel="0" collapsed="false">
      <c r="A38" s="0" t="n">
        <v>3000</v>
      </c>
      <c r="B38" s="0" t="n">
        <v>3999</v>
      </c>
      <c r="C38" s="31" t="n">
        <v>250309</v>
      </c>
      <c r="D38" s="0" t="n">
        <v>73</v>
      </c>
      <c r="E38" s="27" t="n">
        <f aca="false">C38/D38</f>
        <v>3428.8904109589</v>
      </c>
      <c r="F38" s="32" t="n">
        <f aca="false">SUM(D$4:D38)/D$44</f>
        <v>0.999762077596692</v>
      </c>
      <c r="G38" s="32" t="n">
        <f aca="false">SUM(C$4:C38)/C$44</f>
        <v>0.881178214900432</v>
      </c>
      <c r="H38" s="28" t="n">
        <v>0.897435897435898</v>
      </c>
      <c r="I38" s="30" t="n">
        <v>0.897435897435898</v>
      </c>
      <c r="J38" s="19"/>
      <c r="K38" s="36"/>
      <c r="L38" s="19"/>
      <c r="M38" s="33"/>
      <c r="N38" s="34"/>
      <c r="O38" s="35"/>
    </row>
    <row r="39" customFormat="false" ht="14.25" hidden="false" customHeight="false" outlineLevel="0" collapsed="false">
      <c r="A39" s="0" t="n">
        <v>4000</v>
      </c>
      <c r="B39" s="0" t="n">
        <v>4999</v>
      </c>
      <c r="C39" s="31" t="n">
        <v>125151</v>
      </c>
      <c r="D39" s="0" t="n">
        <v>28</v>
      </c>
      <c r="E39" s="27" t="n">
        <f aca="false">C39/D39</f>
        <v>4469.67857142857</v>
      </c>
      <c r="F39" s="32" t="n">
        <f aca="false">SUM(D$4:D39)/D$44</f>
        <v>0.999830055426209</v>
      </c>
      <c r="G39" s="32" t="n">
        <f aca="false">SUM(C$4:C39)/C$44</f>
        <v>0.895394422781419</v>
      </c>
      <c r="H39" s="28" t="n">
        <v>0.923076923076924</v>
      </c>
      <c r="I39" s="30" t="n">
        <v>0.923076923076924</v>
      </c>
      <c r="J39" s="19"/>
      <c r="K39" s="36"/>
      <c r="L39" s="19"/>
      <c r="M39" s="33"/>
      <c r="N39" s="34"/>
      <c r="O39" s="35"/>
    </row>
    <row r="40" customFormat="false" ht="14.25" hidden="false" customHeight="false" outlineLevel="0" collapsed="false">
      <c r="A40" s="0" t="n">
        <v>5000</v>
      </c>
      <c r="B40" s="0" t="n">
        <v>7499</v>
      </c>
      <c r="C40" s="31" t="n">
        <v>288869</v>
      </c>
      <c r="D40" s="0" t="n">
        <v>48</v>
      </c>
      <c r="E40" s="27" t="n">
        <f aca="false">C40/D40</f>
        <v>6018.10416666667</v>
      </c>
      <c r="F40" s="32" t="n">
        <f aca="false">SUM(D$4:D40)/D$44</f>
        <v>0.999946588848237</v>
      </c>
      <c r="G40" s="32" t="n">
        <f aca="false">SUM(C$4:C40)/C$44</f>
        <v>0.928207758307086</v>
      </c>
      <c r="H40" s="28" t="n">
        <v>0.948717948717949</v>
      </c>
      <c r="I40" s="30" t="n">
        <v>0.948717948717949</v>
      </c>
      <c r="J40" s="19"/>
      <c r="K40" s="36"/>
      <c r="L40" s="19"/>
      <c r="M40" s="33"/>
      <c r="N40" s="34"/>
      <c r="O40" s="35"/>
    </row>
    <row r="41" customFormat="false" ht="14.25" hidden="false" customHeight="false" outlineLevel="0" collapsed="false">
      <c r="A41" s="0" t="n">
        <v>7500</v>
      </c>
      <c r="B41" s="0" t="n">
        <v>9999</v>
      </c>
      <c r="C41" s="31" t="n">
        <v>32391</v>
      </c>
      <c r="D41" s="0" t="n">
        <v>4</v>
      </c>
      <c r="E41" s="27" t="n">
        <f aca="false">C41/D41</f>
        <v>8097.75</v>
      </c>
      <c r="F41" s="32" t="n">
        <f aca="false">SUM(D$4:D41)/D$44</f>
        <v>0.999956299966739</v>
      </c>
      <c r="G41" s="32" t="n">
        <f aca="false">SUM(C$4:C41)/C$44</f>
        <v>0.931887131140488</v>
      </c>
      <c r="H41" s="28" t="n">
        <v>0.974358974358975</v>
      </c>
      <c r="I41" s="30" t="n">
        <v>0.974358974358975</v>
      </c>
      <c r="J41" s="19"/>
      <c r="K41" s="36"/>
      <c r="L41" s="19"/>
      <c r="M41" s="33"/>
      <c r="N41" s="34"/>
      <c r="O41" s="35"/>
    </row>
    <row r="42" customFormat="false" ht="14.25" hidden="false" customHeight="false" outlineLevel="0" collapsed="false">
      <c r="A42" s="0" t="n">
        <v>10000</v>
      </c>
      <c r="B42" s="0" t="s">
        <v>18</v>
      </c>
      <c r="C42" s="31" t="n">
        <v>599625</v>
      </c>
      <c r="D42" s="0" t="n">
        <v>18</v>
      </c>
      <c r="E42" s="27" t="n">
        <f aca="false">C42/D42</f>
        <v>33312.5</v>
      </c>
      <c r="F42" s="32" t="n">
        <f aca="false">SUM(D$4:D42)/D$44</f>
        <v>1</v>
      </c>
      <c r="G42" s="32" t="n">
        <f aca="false">SUM(C$4:C42)/C$44</f>
        <v>1</v>
      </c>
      <c r="H42" s="28" t="n">
        <v>1</v>
      </c>
      <c r="I42" s="30" t="n">
        <v>1</v>
      </c>
      <c r="J42" s="19"/>
      <c r="K42" s="36"/>
      <c r="L42" s="19"/>
      <c r="M42" s="33"/>
      <c r="N42" s="34"/>
      <c r="O42" s="35"/>
    </row>
    <row r="43" customFormat="false" ht="14.25" hidden="false" customHeight="false" outlineLevel="0" collapsed="false">
      <c r="C43" s="31"/>
    </row>
    <row r="44" customFormat="false" ht="14.25" hidden="false" customHeight="false" outlineLevel="0" collapsed="false">
      <c r="B44" s="0" t="s">
        <v>19</v>
      </c>
      <c r="C44" s="34" t="n">
        <f aca="false">SUM(C4:C42)</f>
        <v>8803402.5</v>
      </c>
      <c r="D44" s="34" t="n">
        <f aca="false">SUM(D4:D42)</f>
        <v>411899</v>
      </c>
      <c r="I44" s="22" t="s">
        <v>20</v>
      </c>
      <c r="J44" s="20"/>
      <c r="N44" s="22" t="s">
        <v>21</v>
      </c>
      <c r="O44" s="23"/>
    </row>
    <row r="45" customFormat="false" ht="14.25" hidden="false" customHeight="false" outlineLevel="0" collapsed="false">
      <c r="I45" s="0" t="s">
        <v>22</v>
      </c>
      <c r="J45" s="20"/>
      <c r="N45" s="22" t="s">
        <v>23</v>
      </c>
      <c r="O45" s="23"/>
    </row>
    <row r="46" customFormat="false" ht="14.25" hidden="false" customHeight="false" outlineLevel="0" collapsed="false">
      <c r="I46" s="0" t="s">
        <v>24</v>
      </c>
      <c r="J46" s="20"/>
    </row>
    <row r="47" customFormat="false" ht="14.25" hidden="false" customHeight="false" outlineLevel="0" collapsed="false">
      <c r="I47" s="0" t="s">
        <v>1</v>
      </c>
      <c r="J47" s="20"/>
      <c r="O47" s="38"/>
    </row>
    <row r="48" customFormat="false" ht="14.25" hidden="false" customHeight="false" outlineLevel="0" collapsed="false">
      <c r="O48" s="38"/>
    </row>
    <row r="49" customFormat="false" ht="14.25" hidden="false" customHeight="false" outlineLevel="0" collapsed="false">
      <c r="A49" s="4"/>
      <c r="O49" s="38"/>
    </row>
    <row r="50" customFormat="false" ht="14.25" hidden="false" customHeight="false" outlineLevel="0" collapsed="false">
      <c r="O50" s="18"/>
    </row>
    <row r="54" customFormat="false" ht="14.25" hidden="false" customHeight="false" outlineLevel="0" collapsed="false">
      <c r="A54" s="4"/>
    </row>
    <row r="61" customFormat="false" ht="14.25" hidden="false" customHeight="false" outlineLevel="0" collapsed="false">
      <c r="A61" s="4"/>
    </row>
  </sheetData>
  <mergeCells count="3">
    <mergeCell ref="F1:I1"/>
    <mergeCell ref="J1:K1"/>
    <mergeCell ref="L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5" colorId="64" zoomScale="70" zoomScaleNormal="70" zoomScalePageLayoutView="100" workbookViewId="0">
      <selection pane="topLeft" activeCell="G5" activeCellId="0" sqref="G5"/>
    </sheetView>
  </sheetViews>
  <sheetFormatPr defaultColWidth="10.50390625" defaultRowHeight="14.25" zeroHeight="false" outlineLevelRow="0" outlineLevelCol="0"/>
  <cols>
    <col collapsed="false" customWidth="true" hidden="false" outlineLevel="0" max="15" min="1" style="0" width="15"/>
  </cols>
  <sheetData>
    <row r="1" customFormat="false" ht="14.25" hidden="false" customHeight="false" outlineLevel="0" collapsed="false">
      <c r="F1" s="39" t="s">
        <v>0</v>
      </c>
      <c r="G1" s="39"/>
      <c r="H1" s="39"/>
      <c r="I1" s="39"/>
      <c r="J1" s="2" t="s">
        <v>1</v>
      </c>
      <c r="K1" s="2"/>
      <c r="L1" s="3" t="s">
        <v>2</v>
      </c>
      <c r="M1" s="3"/>
      <c r="N1" s="3"/>
      <c r="O1" s="3"/>
      <c r="P1" s="3"/>
      <c r="Q1" s="3"/>
    </row>
    <row r="2" customFormat="false" ht="60.75" hidden="false" customHeight="true" outlineLevel="0" collapsed="false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7" t="s">
        <v>33</v>
      </c>
      <c r="G2" s="7" t="s">
        <v>34</v>
      </c>
      <c r="H2" s="7" t="s">
        <v>10</v>
      </c>
      <c r="I2" s="7" t="s">
        <v>11</v>
      </c>
      <c r="J2" s="6" t="s">
        <v>12</v>
      </c>
      <c r="K2" s="7" t="s">
        <v>13</v>
      </c>
      <c r="L2" s="9" t="s">
        <v>35</v>
      </c>
      <c r="M2" s="7" t="s">
        <v>36</v>
      </c>
      <c r="N2" s="10" t="s">
        <v>37</v>
      </c>
      <c r="O2" s="7" t="s">
        <v>38</v>
      </c>
    </row>
    <row r="3" customFormat="false" ht="14.25" hidden="false" customHeight="true" outlineLevel="0" collapsed="false">
      <c r="A3" s="5"/>
      <c r="B3" s="5"/>
      <c r="C3" s="5"/>
      <c r="D3" s="5"/>
      <c r="E3" s="5"/>
      <c r="F3" s="12" t="n">
        <v>0</v>
      </c>
      <c r="G3" s="12" t="n">
        <v>0</v>
      </c>
      <c r="H3" s="13" t="n">
        <v>0</v>
      </c>
      <c r="I3" s="13" t="n">
        <v>0</v>
      </c>
      <c r="J3" s="5"/>
      <c r="K3" s="5"/>
      <c r="L3" s="40"/>
      <c r="M3" s="7"/>
      <c r="N3" s="10"/>
      <c r="O3" s="7"/>
    </row>
    <row r="4" customFormat="false" ht="16.25" hidden="false" customHeight="false" outlineLevel="0" collapsed="false">
      <c r="A4" s="0" t="n">
        <v>0</v>
      </c>
      <c r="B4" s="0" t="n">
        <v>1.4</v>
      </c>
      <c r="C4" s="31" t="n">
        <v>17842</v>
      </c>
      <c r="D4" s="31" t="n">
        <v>61240</v>
      </c>
      <c r="E4" s="27" t="n">
        <f aca="false">C4/D4</f>
        <v>0.291345525800131</v>
      </c>
      <c r="F4" s="41" t="n">
        <f aca="false">D4/D46</f>
        <v>0.148677224270998</v>
      </c>
      <c r="G4" s="41" t="n">
        <f aca="false">C4/C46</f>
        <v>0.00655600122874499</v>
      </c>
      <c r="H4" s="28" t="n">
        <v>0.024390243902439</v>
      </c>
      <c r="I4" s="28" t="n">
        <v>0.024390243902439</v>
      </c>
      <c r="J4" s="42"/>
      <c r="K4" s="7"/>
      <c r="L4" s="40"/>
      <c r="M4" s="7"/>
      <c r="N4" s="10"/>
      <c r="O4" s="7"/>
    </row>
    <row r="5" customFormat="false" ht="14.25" hidden="false" customHeight="false" outlineLevel="0" collapsed="false">
      <c r="A5" s="0" t="n">
        <v>1.5</v>
      </c>
      <c r="B5" s="0" t="n">
        <v>1.9</v>
      </c>
      <c r="C5" s="31" t="n">
        <v>20774</v>
      </c>
      <c r="D5" s="31" t="n">
        <v>12190</v>
      </c>
      <c r="E5" s="27" t="n">
        <f aca="false">C5/D5</f>
        <v>1.70418375717801</v>
      </c>
      <c r="F5" s="35" t="n">
        <f aca="false">SUM(D$4:D5)/D$46</f>
        <v>0.178271857906914</v>
      </c>
      <c r="G5" s="35" t="n">
        <f aca="false">SUM(C$4:C5)/C$46</f>
        <v>0.0141893590095963</v>
      </c>
      <c r="H5" s="28" t="n">
        <v>0.0487804878048781</v>
      </c>
      <c r="I5" s="28" t="n">
        <v>0.0487804878048781</v>
      </c>
      <c r="J5" s="20"/>
      <c r="K5" s="20"/>
      <c r="L5" s="20"/>
      <c r="M5" s="20"/>
      <c r="N5" s="20"/>
      <c r="O5" s="20"/>
    </row>
    <row r="6" customFormat="false" ht="14.25" hidden="false" customHeight="false" outlineLevel="0" collapsed="false">
      <c r="A6" s="0" t="n">
        <v>2</v>
      </c>
      <c r="B6" s="0" t="n">
        <v>2.4</v>
      </c>
      <c r="C6" s="31" t="n">
        <v>34251</v>
      </c>
      <c r="D6" s="31" t="n">
        <v>15518</v>
      </c>
      <c r="E6" s="27" t="n">
        <f aca="false">C6/D6</f>
        <v>2.2071787601495</v>
      </c>
      <c r="F6" s="35" t="n">
        <f aca="false">SUM(D$4:D6)/D$46</f>
        <v>0.215946142136786</v>
      </c>
      <c r="G6" s="35" t="n">
        <f aca="false">SUM(C$4:C6)/C$46</f>
        <v>0.0267748089639593</v>
      </c>
      <c r="H6" s="28" t="n">
        <v>0.0731707317073171</v>
      </c>
      <c r="I6" s="28" t="n">
        <v>0.0731707317073171</v>
      </c>
      <c r="J6" s="20"/>
      <c r="K6" s="20"/>
      <c r="L6" s="20"/>
      <c r="M6" s="20"/>
      <c r="N6" s="20"/>
      <c r="O6" s="20"/>
    </row>
    <row r="7" customFormat="false" ht="14.25" hidden="false" customHeight="false" outlineLevel="0" collapsed="false">
      <c r="A7" s="0" t="n">
        <v>2.5</v>
      </c>
      <c r="B7" s="0" t="n">
        <v>2.9</v>
      </c>
      <c r="C7" s="31" t="n">
        <v>62603</v>
      </c>
      <c r="D7" s="31" t="n">
        <v>23077</v>
      </c>
      <c r="E7" s="27" t="n">
        <f aca="false">C7/D7</f>
        <v>2.71278762404125</v>
      </c>
      <c r="F7" s="35" t="n">
        <f aca="false">SUM(D$4:D7)/D$46</f>
        <v>0.271972012556476</v>
      </c>
      <c r="G7" s="35" t="n">
        <f aca="false">SUM(C$4:C7)/C$46</f>
        <v>0.0497781351002177</v>
      </c>
      <c r="H7" s="28" t="n">
        <v>0.0975609756097561</v>
      </c>
      <c r="I7" s="28" t="n">
        <v>0.0975609756097561</v>
      </c>
      <c r="J7" s="20"/>
      <c r="K7" s="20"/>
      <c r="L7" s="20"/>
      <c r="M7" s="20"/>
      <c r="N7" s="20"/>
      <c r="O7" s="20"/>
    </row>
    <row r="8" customFormat="false" ht="14.25" hidden="false" customHeight="false" outlineLevel="0" collapsed="false">
      <c r="A8" s="0" t="n">
        <v>3</v>
      </c>
      <c r="B8" s="0" t="n">
        <v>3.4</v>
      </c>
      <c r="C8" s="31" t="n">
        <v>78067</v>
      </c>
      <c r="D8" s="31" t="n">
        <v>24481</v>
      </c>
      <c r="E8" s="27" t="n">
        <f aca="false">C8/D8</f>
        <v>3.18888117315469</v>
      </c>
      <c r="F8" s="35" t="n">
        <f aca="false">SUM(D$4:D8)/D$46</f>
        <v>0.331406485570492</v>
      </c>
      <c r="G8" s="35" t="n">
        <f aca="false">SUM(C$4:C8)/C$46</f>
        <v>0.0784636719192085</v>
      </c>
      <c r="H8" s="28" t="n">
        <v>0.121951219512195</v>
      </c>
      <c r="I8" s="28" t="n">
        <v>0.121951219512195</v>
      </c>
      <c r="J8" s="20"/>
      <c r="K8" s="20"/>
      <c r="L8" s="20"/>
      <c r="M8" s="20"/>
      <c r="N8" s="20"/>
      <c r="O8" s="20"/>
    </row>
    <row r="9" customFormat="false" ht="14.25" hidden="false" customHeight="false" outlineLevel="0" collapsed="false">
      <c r="A9" s="0" t="n">
        <v>3.5</v>
      </c>
      <c r="B9" s="0" t="n">
        <v>3.9</v>
      </c>
      <c r="C9" s="31" t="n">
        <v>70682</v>
      </c>
      <c r="D9" s="31" t="n">
        <v>19151</v>
      </c>
      <c r="E9" s="27" t="n">
        <f aca="false">C9/D9</f>
        <v>3.69077332776356</v>
      </c>
      <c r="F9" s="35" t="n">
        <f aca="false">SUM(D$4:D9)/D$46</f>
        <v>0.377900893180124</v>
      </c>
      <c r="G9" s="35" t="n">
        <f aca="false">SUM(C$4:C9)/C$46</f>
        <v>0.10443560773639</v>
      </c>
      <c r="H9" s="28" t="n">
        <v>0.146341463414634</v>
      </c>
      <c r="I9" s="28" t="n">
        <v>0.146341463414634</v>
      </c>
      <c r="J9" s="20"/>
      <c r="K9" s="20"/>
      <c r="L9" s="20"/>
      <c r="M9" s="20"/>
      <c r="N9" s="20"/>
      <c r="O9" s="20"/>
    </row>
    <row r="10" customFormat="false" ht="14.25" hidden="false" customHeight="false" outlineLevel="0" collapsed="false">
      <c r="A10" s="0" t="n">
        <v>4</v>
      </c>
      <c r="B10" s="0" t="n">
        <v>4.4</v>
      </c>
      <c r="C10" s="31" t="n">
        <v>89646</v>
      </c>
      <c r="D10" s="31" t="n">
        <v>21351</v>
      </c>
      <c r="E10" s="27" t="n">
        <f aca="false">C10/D10</f>
        <v>4.19867921877196</v>
      </c>
      <c r="F10" s="35" t="n">
        <f aca="false">SUM(D$4:D10)/D$46</f>
        <v>0.42973641596605</v>
      </c>
      <c r="G10" s="35" t="n">
        <f aca="false">SUM(C$4:C10)/C$46</f>
        <v>0.137375821061806</v>
      </c>
      <c r="H10" s="28" t="n">
        <v>0.170731707317073</v>
      </c>
      <c r="I10" s="28" t="n">
        <v>0.170731707317073</v>
      </c>
      <c r="J10" s="20"/>
      <c r="K10" s="20"/>
      <c r="L10" s="20"/>
      <c r="M10" s="20"/>
      <c r="N10" s="20"/>
      <c r="O10" s="20"/>
    </row>
    <row r="11" customFormat="false" ht="14.25" hidden="false" customHeight="false" outlineLevel="0" collapsed="false">
      <c r="A11" s="0" t="n">
        <v>4.5</v>
      </c>
      <c r="B11" s="0" t="n">
        <v>4.9</v>
      </c>
      <c r="C11" s="31" t="n">
        <v>98059</v>
      </c>
      <c r="D11" s="31" t="n">
        <v>20866</v>
      </c>
      <c r="E11" s="27" t="n">
        <f aca="false">C11/D11</f>
        <v>4.69946324163711</v>
      </c>
      <c r="F11" s="35" t="n">
        <f aca="false">SUM(D$4:D11)/D$46</f>
        <v>0.480394465633566</v>
      </c>
      <c r="G11" s="35" t="n">
        <f aca="false">SUM(C$4:C11)/C$46</f>
        <v>0.173407371588065</v>
      </c>
      <c r="H11" s="28" t="n">
        <v>0.195121951219512</v>
      </c>
      <c r="I11" s="28" t="n">
        <v>0.195121951219512</v>
      </c>
      <c r="J11" s="20"/>
      <c r="K11" s="20"/>
      <c r="L11" s="20"/>
      <c r="M11" s="20"/>
      <c r="N11" s="20"/>
      <c r="O11" s="20"/>
    </row>
    <row r="12" customFormat="false" ht="14.25" hidden="false" customHeight="false" outlineLevel="0" collapsed="false">
      <c r="A12" s="0" t="n">
        <v>5</v>
      </c>
      <c r="B12" s="0" t="n">
        <v>5.9</v>
      </c>
      <c r="C12" s="31" t="n">
        <v>247817</v>
      </c>
      <c r="D12" s="31" t="n">
        <v>45523</v>
      </c>
      <c r="E12" s="27" t="n">
        <f aca="false">C12/D12</f>
        <v>5.4437756738352</v>
      </c>
      <c r="F12" s="35" t="n">
        <f aca="false">SUM(D$4:D12)/D$46</f>
        <v>0.5909142775292</v>
      </c>
      <c r="G12" s="35" t="n">
        <f aca="false">SUM(C$4:C12)/C$46</f>
        <v>0.264467149443905</v>
      </c>
      <c r="H12" s="28" t="n">
        <v>0.219512195121951</v>
      </c>
      <c r="I12" s="28" t="n">
        <v>0.219512195121951</v>
      </c>
      <c r="J12" s="20"/>
      <c r="K12" s="20"/>
      <c r="L12" s="20"/>
      <c r="M12" s="20"/>
      <c r="N12" s="20"/>
      <c r="O12" s="20"/>
    </row>
    <row r="13" customFormat="false" ht="14.25" hidden="false" customHeight="false" outlineLevel="0" collapsed="false">
      <c r="A13" s="0" t="n">
        <v>6</v>
      </c>
      <c r="B13" s="0" t="n">
        <v>6.9</v>
      </c>
      <c r="C13" s="31" t="n">
        <v>254779</v>
      </c>
      <c r="D13" s="31" t="n">
        <v>39646</v>
      </c>
      <c r="E13" s="27" t="n">
        <f aca="false">C13/D13</f>
        <v>6.42634818140544</v>
      </c>
      <c r="F13" s="35" t="n">
        <f aca="false">SUM(D$4:D13)/D$46</f>
        <v>0.687166028565255</v>
      </c>
      <c r="G13" s="35" t="n">
        <f aca="false">SUM(C$4:C13)/C$46</f>
        <v>0.358085097939501</v>
      </c>
      <c r="H13" s="28" t="n">
        <v>0.24390243902439</v>
      </c>
      <c r="I13" s="28" t="n">
        <v>0.24390243902439</v>
      </c>
      <c r="J13" s="20"/>
      <c r="K13" s="20"/>
      <c r="L13" s="20"/>
      <c r="M13" s="20"/>
      <c r="N13" s="20"/>
      <c r="O13" s="20"/>
    </row>
    <row r="14" customFormat="false" ht="14.25" hidden="false" customHeight="false" outlineLevel="0" collapsed="false">
      <c r="A14" s="0" t="n">
        <v>7</v>
      </c>
      <c r="B14" s="0" t="n">
        <v>7.9</v>
      </c>
      <c r="C14" s="31" t="n">
        <v>233568</v>
      </c>
      <c r="D14" s="31" t="n">
        <v>31452</v>
      </c>
      <c r="E14" s="27" t="n">
        <f aca="false">C14/D14</f>
        <v>7.42617321632965</v>
      </c>
      <c r="F14" s="35" t="n">
        <f aca="false">SUM(D$4:D14)/D$46</f>
        <v>0.763524553349243</v>
      </c>
      <c r="G14" s="35" t="n">
        <f aca="false">SUM(C$4:C14)/C$46</f>
        <v>0.443909114024889</v>
      </c>
      <c r="H14" s="28" t="n">
        <v>0.268292682926829</v>
      </c>
      <c r="I14" s="28" t="n">
        <v>0.268292682926829</v>
      </c>
      <c r="J14" s="20"/>
      <c r="K14" s="20"/>
      <c r="L14" s="20"/>
      <c r="M14" s="20"/>
      <c r="N14" s="20"/>
      <c r="O14" s="20"/>
    </row>
    <row r="15" customFormat="false" ht="14.25" hidden="false" customHeight="false" outlineLevel="0" collapsed="false">
      <c r="A15" s="0" t="n">
        <v>8</v>
      </c>
      <c r="B15" s="0" t="n">
        <v>8.9</v>
      </c>
      <c r="C15" s="31" t="n">
        <v>191901</v>
      </c>
      <c r="D15" s="31" t="n">
        <v>22836</v>
      </c>
      <c r="E15" s="27" t="n">
        <f aca="false">C15/D15</f>
        <v>8.40344193378875</v>
      </c>
      <c r="F15" s="35" t="n">
        <f aca="false">SUM(D$4:D15)/D$46</f>
        <v>0.818965328879167</v>
      </c>
      <c r="G15" s="35" t="n">
        <f aca="false">SUM(C$4:C15)/C$46</f>
        <v>0.514422688276509</v>
      </c>
      <c r="H15" s="28" t="n">
        <v>0.292682926829268</v>
      </c>
      <c r="I15" s="28" t="n">
        <v>0.292682926829268</v>
      </c>
      <c r="J15" s="20"/>
      <c r="K15" s="20"/>
      <c r="L15" s="20"/>
      <c r="M15" s="20"/>
      <c r="N15" s="20"/>
      <c r="O15" s="20"/>
    </row>
    <row r="16" customFormat="false" ht="14.25" hidden="false" customHeight="false" outlineLevel="0" collapsed="false">
      <c r="A16" s="0" t="n">
        <v>9</v>
      </c>
      <c r="B16" s="0" t="n">
        <v>9.9</v>
      </c>
      <c r="C16" s="31" t="n">
        <v>154483</v>
      </c>
      <c r="D16" s="31" t="n">
        <v>16423</v>
      </c>
      <c r="E16" s="27" t="n">
        <f aca="false">C16/D16</f>
        <v>9.40650307495585</v>
      </c>
      <c r="F16" s="35" t="n">
        <f aca="false">SUM(D$4:D16)/D$46</f>
        <v>0.858836753670196</v>
      </c>
      <c r="G16" s="35" t="n">
        <f aca="false">SUM(C$4:C16)/C$46</f>
        <v>0.571187105820518</v>
      </c>
      <c r="H16" s="28" t="n">
        <v>0.317073170731707</v>
      </c>
      <c r="I16" s="28" t="n">
        <v>0.317073170731707</v>
      </c>
      <c r="J16" s="20"/>
      <c r="K16" s="20"/>
      <c r="L16" s="20"/>
      <c r="M16" s="20"/>
      <c r="N16" s="20"/>
      <c r="O16" s="20"/>
    </row>
    <row r="17" customFormat="false" ht="14.25" hidden="false" customHeight="false" outlineLevel="0" collapsed="false">
      <c r="A17" s="0" t="n">
        <v>10</v>
      </c>
      <c r="B17" s="0" t="n">
        <v>10.9</v>
      </c>
      <c r="C17" s="31" t="n">
        <v>121939</v>
      </c>
      <c r="D17" s="31" t="n">
        <v>11700</v>
      </c>
      <c r="E17" s="27" t="n">
        <f aca="false">C17/D17</f>
        <v>10.4221367521368</v>
      </c>
      <c r="F17" s="35" t="n">
        <f aca="false">SUM(D$4:D17)/D$46</f>
        <v>0.887241775289573</v>
      </c>
      <c r="G17" s="35" t="n">
        <f aca="false">SUM(C$4:C17)/C$46</f>
        <v>0.615993306573345</v>
      </c>
      <c r="H17" s="28" t="n">
        <v>0.341463414634146</v>
      </c>
      <c r="I17" s="28" t="n">
        <v>0.341463414634146</v>
      </c>
      <c r="J17" s="20"/>
      <c r="K17" s="20"/>
      <c r="L17" s="20"/>
      <c r="M17" s="20"/>
      <c r="N17" s="20"/>
      <c r="O17" s="20"/>
    </row>
    <row r="18" customFormat="false" ht="14.25" hidden="false" customHeight="false" outlineLevel="0" collapsed="false">
      <c r="A18" s="0" t="n">
        <v>11</v>
      </c>
      <c r="B18" s="0" t="n">
        <v>11.9</v>
      </c>
      <c r="C18" s="31" t="n">
        <v>96323</v>
      </c>
      <c r="D18" s="31" t="n">
        <v>8438</v>
      </c>
      <c r="E18" s="27" t="n">
        <f aca="false">C18/D18</f>
        <v>11.4153827921308</v>
      </c>
      <c r="F18" s="35" t="n">
        <f aca="false">SUM(D$4:D18)/D$46</f>
        <v>0.907727379770284</v>
      </c>
      <c r="G18" s="35" t="n">
        <f aca="false">SUM(C$4:C18)/C$46</f>
        <v>0.651386967954154</v>
      </c>
      <c r="H18" s="28" t="n">
        <v>0.365853658536585</v>
      </c>
      <c r="I18" s="28" t="n">
        <v>0.365853658536585</v>
      </c>
      <c r="J18" s="20"/>
      <c r="K18" s="20"/>
      <c r="L18" s="20"/>
      <c r="M18" s="20"/>
      <c r="N18" s="20"/>
      <c r="O18" s="20"/>
    </row>
    <row r="19" customFormat="false" ht="14.25" hidden="false" customHeight="false" outlineLevel="0" collapsed="false">
      <c r="A19" s="0" t="n">
        <v>12</v>
      </c>
      <c r="B19" s="0" t="n">
        <v>12.9</v>
      </c>
      <c r="C19" s="31" t="n">
        <v>82356</v>
      </c>
      <c r="D19" s="31" t="n">
        <v>6635</v>
      </c>
      <c r="E19" s="27" t="n">
        <f aca="false">C19/D19</f>
        <v>12.4123587038433</v>
      </c>
      <c r="F19" s="35" t="n">
        <f aca="false">SUM(D$4:D19)/D$46</f>
        <v>0.923835697586059</v>
      </c>
      <c r="G19" s="35" t="n">
        <f aca="false">SUM(C$4:C19)/C$46</f>
        <v>0.681648487805882</v>
      </c>
      <c r="H19" s="28" t="n">
        <v>0.390243902439024</v>
      </c>
      <c r="I19" s="28" t="n">
        <v>0.390243902439024</v>
      </c>
      <c r="J19" s="20"/>
      <c r="K19" s="20"/>
      <c r="L19" s="20"/>
      <c r="M19" s="20"/>
      <c r="N19" s="20"/>
      <c r="O19" s="20"/>
    </row>
    <row r="20" customFormat="false" ht="14.25" hidden="false" customHeight="false" outlineLevel="0" collapsed="false">
      <c r="A20" s="0" t="n">
        <v>13</v>
      </c>
      <c r="B20" s="0" t="n">
        <v>13.9</v>
      </c>
      <c r="C20" s="31" t="n">
        <v>64092</v>
      </c>
      <c r="D20" s="31" t="n">
        <v>4780</v>
      </c>
      <c r="E20" s="27" t="n">
        <f aca="false">C20/D20</f>
        <v>13.4083682008368</v>
      </c>
      <c r="F20" s="35" t="n">
        <f aca="false">SUM(D$4:D20)/D$46</f>
        <v>0.935440484196369</v>
      </c>
      <c r="G20" s="35" t="n">
        <f aca="false">SUM(C$4:C20)/C$46</f>
        <v>0.705198943514475</v>
      </c>
      <c r="H20" s="28" t="n">
        <v>0.414634146341464</v>
      </c>
      <c r="I20" s="28" t="n">
        <v>0.414634146341464</v>
      </c>
      <c r="J20" s="20"/>
      <c r="K20" s="20"/>
      <c r="L20" s="20"/>
      <c r="M20" s="20"/>
      <c r="N20" s="20"/>
      <c r="O20" s="20"/>
    </row>
    <row r="21" customFormat="false" ht="14.25" hidden="false" customHeight="false" outlineLevel="0" collapsed="false">
      <c r="A21" s="0" t="n">
        <v>14</v>
      </c>
      <c r="B21" s="0" t="n">
        <v>14.9</v>
      </c>
      <c r="C21" s="31" t="n">
        <v>59403</v>
      </c>
      <c r="D21" s="31" t="n">
        <v>4117</v>
      </c>
      <c r="E21" s="27" t="n">
        <f aca="false">C21/D21</f>
        <v>14.4287102258926</v>
      </c>
      <c r="F21" s="35" t="n">
        <f aca="false">SUM(D$4:D21)/D$46</f>
        <v>0.945435652914914</v>
      </c>
      <c r="G21" s="35" t="n">
        <f aca="false">SUM(C$4:C21)/C$46</f>
        <v>0.72702643712456</v>
      </c>
      <c r="H21" s="28" t="n">
        <v>0.439024390243903</v>
      </c>
      <c r="I21" s="28" t="n">
        <v>0.439024390243903</v>
      </c>
      <c r="J21" s="20"/>
      <c r="K21" s="20"/>
      <c r="L21" s="20"/>
      <c r="M21" s="20"/>
      <c r="N21" s="20"/>
      <c r="O21" s="20"/>
    </row>
    <row r="22" customFormat="false" ht="14.25" hidden="false" customHeight="false" outlineLevel="0" collapsed="false">
      <c r="A22" s="0" t="n">
        <v>15</v>
      </c>
      <c r="B22" s="0" t="n">
        <v>15.9</v>
      </c>
      <c r="C22" s="31" t="n">
        <v>44484</v>
      </c>
      <c r="D22" s="31" t="n">
        <v>2885</v>
      </c>
      <c r="E22" s="27" t="n">
        <f aca="false">C22/D22</f>
        <v>15.4190641247834</v>
      </c>
      <c r="F22" s="35" t="n">
        <f aca="false">SUM(D$4:D22)/D$46</f>
        <v>0.952439797134735</v>
      </c>
      <c r="G22" s="35" t="n">
        <f aca="false">SUM(C$4:C22)/C$46</f>
        <v>0.743371979029027</v>
      </c>
      <c r="H22" s="28" t="n">
        <v>0.463414634146342</v>
      </c>
      <c r="I22" s="28" t="n">
        <v>0.463414634146342</v>
      </c>
      <c r="J22" s="20"/>
      <c r="K22" s="20"/>
      <c r="L22" s="20"/>
      <c r="M22" s="20"/>
      <c r="N22" s="20"/>
      <c r="O22" s="20"/>
    </row>
    <row r="23" customFormat="false" ht="14.25" hidden="false" customHeight="false" outlineLevel="0" collapsed="false">
      <c r="A23" s="0" t="n">
        <v>16</v>
      </c>
      <c r="B23" s="0" t="n">
        <v>16.9</v>
      </c>
      <c r="C23" s="31" t="n">
        <v>39720</v>
      </c>
      <c r="D23" s="31" t="n">
        <v>2417</v>
      </c>
      <c r="E23" s="27" t="n">
        <f aca="false">C23/D23</f>
        <v>16.4335953661564</v>
      </c>
      <c r="F23" s="35" t="n">
        <f aca="false">SUM(D$4:D23)/D$46</f>
        <v>0.95830774048978</v>
      </c>
      <c r="G23" s="35" t="n">
        <f aca="false">SUM(C$4:C23)/C$46</f>
        <v>0.757967000260153</v>
      </c>
      <c r="H23" s="28" t="n">
        <v>0.487804878048781</v>
      </c>
      <c r="I23" s="28" t="n">
        <v>0.487804878048781</v>
      </c>
      <c r="J23" s="20"/>
      <c r="K23" s="20"/>
      <c r="L23" s="20"/>
      <c r="M23" s="20"/>
      <c r="N23" s="20"/>
      <c r="O23" s="20"/>
    </row>
    <row r="24" customFormat="false" ht="14.25" hidden="false" customHeight="false" outlineLevel="0" collapsed="false">
      <c r="A24" s="0" t="n">
        <v>17</v>
      </c>
      <c r="B24" s="0" t="n">
        <v>17.9</v>
      </c>
      <c r="C24" s="31" t="n">
        <v>30660</v>
      </c>
      <c r="D24" s="31" t="n">
        <v>1760</v>
      </c>
      <c r="E24" s="27" t="n">
        <f aca="false">C24/D24</f>
        <v>17.4204545454545</v>
      </c>
      <c r="F24" s="35" t="n">
        <f aca="false">SUM(D$4:D24)/D$46</f>
        <v>0.962580632630815</v>
      </c>
      <c r="G24" s="35" t="n">
        <f aca="false">SUM(C$4:C24)/C$46</f>
        <v>0.769232945651551</v>
      </c>
      <c r="H24" s="28" t="n">
        <v>0.51219512195122</v>
      </c>
      <c r="I24" s="28" t="n">
        <v>0.51219512195122</v>
      </c>
      <c r="J24" s="20"/>
      <c r="K24" s="20"/>
      <c r="L24" s="20"/>
      <c r="M24" s="20"/>
      <c r="N24" s="20"/>
      <c r="O24" s="20"/>
    </row>
    <row r="25" customFormat="false" ht="14.25" hidden="false" customHeight="false" outlineLevel="0" collapsed="false">
      <c r="A25" s="0" t="n">
        <v>18</v>
      </c>
      <c r="B25" s="0" t="n">
        <v>18.9</v>
      </c>
      <c r="C25" s="31" t="n">
        <v>29571</v>
      </c>
      <c r="D25" s="31" t="n">
        <v>1605</v>
      </c>
      <c r="E25" s="27" t="n">
        <f aca="false">C25/D25</f>
        <v>18.4242990654206</v>
      </c>
      <c r="F25" s="35" t="n">
        <f aca="false">SUM(D$4:D25)/D$46</f>
        <v>0.966477218929883</v>
      </c>
      <c r="G25" s="35" t="n">
        <f aca="false">SUM(C$4:C25)/C$46</f>
        <v>0.780098740536385</v>
      </c>
      <c r="H25" s="28" t="n">
        <v>0.536585365853659</v>
      </c>
      <c r="I25" s="28" t="n">
        <v>0.536585365853659</v>
      </c>
      <c r="J25" s="20"/>
      <c r="K25" s="20"/>
      <c r="L25" s="20"/>
      <c r="M25" s="20"/>
      <c r="N25" s="20"/>
      <c r="O25" s="20"/>
    </row>
    <row r="26" customFormat="false" ht="14.25" hidden="false" customHeight="false" outlineLevel="0" collapsed="false">
      <c r="A26" s="0" t="n">
        <v>19</v>
      </c>
      <c r="B26" s="0" t="n">
        <v>19.9</v>
      </c>
      <c r="C26" s="31" t="n">
        <v>23561</v>
      </c>
      <c r="D26" s="31" t="n">
        <v>1211</v>
      </c>
      <c r="E26" s="27" t="n">
        <f aca="false">C26/D26</f>
        <v>19.4558216350124</v>
      </c>
      <c r="F26" s="35" t="n">
        <f aca="false">SUM(D$4:D26)/D$46</f>
        <v>0.96941726005647</v>
      </c>
      <c r="G26" s="35" t="n">
        <f aca="false">SUM(C$4:C26)/C$46</f>
        <v>0.788756174958001</v>
      </c>
      <c r="H26" s="28" t="n">
        <v>0.560975609756098</v>
      </c>
      <c r="I26" s="28" t="n">
        <v>0.560975609756098</v>
      </c>
      <c r="J26" s="20"/>
      <c r="K26" s="20"/>
      <c r="L26" s="20"/>
      <c r="M26" s="20"/>
      <c r="N26" s="20"/>
      <c r="O26" s="20"/>
    </row>
    <row r="27" customFormat="false" ht="14.25" hidden="false" customHeight="false" outlineLevel="0" collapsed="false">
      <c r="A27" s="0" t="n">
        <v>20</v>
      </c>
      <c r="B27" s="0" t="n">
        <v>24.9</v>
      </c>
      <c r="C27" s="31" t="n">
        <v>94329</v>
      </c>
      <c r="D27" s="31" t="n">
        <v>4238</v>
      </c>
      <c r="E27" s="27" t="n">
        <f aca="false">C27/D27</f>
        <v>22.2579046720151</v>
      </c>
      <c r="F27" s="35" t="n">
        <f aca="false">SUM(D$4:D27)/D$46</f>
        <v>0.979706190109711</v>
      </c>
      <c r="G27" s="35" t="n">
        <f aca="false">SUM(C$4:C27)/C$46</f>
        <v>0.823417145695939</v>
      </c>
      <c r="H27" s="28" t="n">
        <v>0.585365853658537</v>
      </c>
      <c r="I27" s="28" t="n">
        <v>0.585365853658537</v>
      </c>
      <c r="J27" s="20"/>
      <c r="K27" s="20"/>
      <c r="L27" s="20"/>
      <c r="M27" s="20"/>
      <c r="N27" s="20"/>
      <c r="O27" s="20"/>
    </row>
    <row r="28" customFormat="false" ht="14.25" hidden="false" customHeight="false" outlineLevel="0" collapsed="false">
      <c r="A28" s="0" t="n">
        <v>25</v>
      </c>
      <c r="B28" s="0" t="n">
        <v>29.9</v>
      </c>
      <c r="C28" s="31" t="n">
        <v>61620</v>
      </c>
      <c r="D28" s="31" t="n">
        <v>2262</v>
      </c>
      <c r="E28" s="27" t="n">
        <f aca="false">C28/D28</f>
        <v>27.2413793103448</v>
      </c>
      <c r="F28" s="35" t="n">
        <f aca="false">SUM(D$4:D28)/D$46</f>
        <v>0.985197827622791</v>
      </c>
      <c r="G28" s="35" t="n">
        <f aca="false">SUM(C$4:C28)/C$46</f>
        <v>0.846059270778063</v>
      </c>
      <c r="H28" s="28" t="n">
        <v>0.609756097560976</v>
      </c>
      <c r="I28" s="28" t="n">
        <v>0.609756097560976</v>
      </c>
      <c r="J28" s="20"/>
      <c r="K28" s="20"/>
      <c r="L28" s="20"/>
      <c r="M28" s="20"/>
      <c r="N28" s="20"/>
      <c r="O28" s="20"/>
    </row>
    <row r="29" customFormat="false" ht="14.25" hidden="false" customHeight="false" outlineLevel="0" collapsed="false">
      <c r="A29" s="0" t="n">
        <v>30</v>
      </c>
      <c r="B29" s="0" t="n">
        <v>34.9</v>
      </c>
      <c r="C29" s="31" t="n">
        <v>46786</v>
      </c>
      <c r="D29" s="31" t="n">
        <v>1450</v>
      </c>
      <c r="E29" s="27" t="n">
        <f aca="false">C29/D29</f>
        <v>32.2662068965517</v>
      </c>
      <c r="F29" s="35" t="n">
        <f aca="false">SUM(D$4:D29)/D$46</f>
        <v>0.988718108079893</v>
      </c>
      <c r="G29" s="35" t="n">
        <f aca="false">SUM(C$4:C29)/C$46</f>
        <v>0.863250677206046</v>
      </c>
      <c r="H29" s="28" t="n">
        <v>0.634146341463415</v>
      </c>
      <c r="I29" s="28" t="n">
        <v>0.634146341463415</v>
      </c>
      <c r="J29" s="20"/>
      <c r="K29" s="20"/>
      <c r="L29" s="20"/>
      <c r="M29" s="20"/>
      <c r="N29" s="20"/>
      <c r="O29" s="20"/>
    </row>
    <row r="30" customFormat="false" ht="14.25" hidden="false" customHeight="false" outlineLevel="0" collapsed="false">
      <c r="A30" s="0" t="n">
        <v>35</v>
      </c>
      <c r="B30" s="0" t="n">
        <v>39.9</v>
      </c>
      <c r="C30" s="31" t="n">
        <v>35190</v>
      </c>
      <c r="D30" s="31" t="n">
        <v>945</v>
      </c>
      <c r="E30" s="27" t="n">
        <f aca="false">C30/D30</f>
        <v>37.2380952380952</v>
      </c>
      <c r="F30" s="35" t="n">
        <f aca="false">SUM(D$4:D30)/D$46</f>
        <v>0.991012359826074</v>
      </c>
      <c r="G30" s="35" t="n">
        <f aca="false">SUM(C$4:C30)/C$46</f>
        <v>0.876181160517308</v>
      </c>
      <c r="H30" s="28" t="n">
        <v>0.658536585365854</v>
      </c>
      <c r="I30" s="28" t="n">
        <v>0.658536585365854</v>
      </c>
      <c r="J30" s="20"/>
      <c r="K30" s="20"/>
      <c r="L30" s="20"/>
      <c r="M30" s="20"/>
      <c r="N30" s="20"/>
      <c r="O30" s="20"/>
    </row>
    <row r="31" customFormat="false" ht="14.25" hidden="false" customHeight="false" outlineLevel="0" collapsed="false">
      <c r="A31" s="0" t="n">
        <v>40</v>
      </c>
      <c r="B31" s="0" t="n">
        <v>44.9</v>
      </c>
      <c r="C31" s="31" t="n">
        <v>29874</v>
      </c>
      <c r="D31" s="31" t="n">
        <v>707</v>
      </c>
      <c r="E31" s="27" t="n">
        <f aca="false">C31/D31</f>
        <v>42.2545968882603</v>
      </c>
      <c r="F31" s="35" t="n">
        <f aca="false">SUM(D$4:D31)/D$46</f>
        <v>0.992728800021364</v>
      </c>
      <c r="G31" s="35" t="n">
        <f aca="false">SUM(C$4:C31)/C$46</f>
        <v>0.887158292044464</v>
      </c>
      <c r="H31" s="28" t="n">
        <v>0.682926829268293</v>
      </c>
      <c r="I31" s="28" t="n">
        <v>0.682926829268293</v>
      </c>
      <c r="J31" s="20"/>
      <c r="K31" s="20"/>
      <c r="L31" s="20"/>
      <c r="M31" s="20"/>
      <c r="N31" s="20"/>
      <c r="O31" s="20"/>
    </row>
    <row r="32" customFormat="false" ht="14.25" hidden="false" customHeight="false" outlineLevel="0" collapsed="false">
      <c r="A32" s="0" t="n">
        <v>45</v>
      </c>
      <c r="B32" s="0" t="n">
        <v>49.9</v>
      </c>
      <c r="C32" s="31" t="n">
        <v>23769</v>
      </c>
      <c r="D32" s="31" t="n">
        <v>502</v>
      </c>
      <c r="E32" s="27" t="n">
        <f aca="false">C32/D32</f>
        <v>47.3486055776892</v>
      </c>
      <c r="F32" s="35" t="n">
        <f aca="false">SUM(D$4:D32)/D$46</f>
        <v>0.99394754539341</v>
      </c>
      <c r="G32" s="35" t="n">
        <f aca="false">SUM(C$4:C32)/C$46</f>
        <v>0.895892155580281</v>
      </c>
      <c r="H32" s="28" t="n">
        <v>0.707317073170732</v>
      </c>
      <c r="I32" s="28" t="n">
        <v>0.707317073170732</v>
      </c>
      <c r="J32" s="20"/>
      <c r="K32" s="20"/>
      <c r="L32" s="20"/>
      <c r="M32" s="20"/>
      <c r="N32" s="20"/>
      <c r="O32" s="20"/>
    </row>
    <row r="33" customFormat="false" ht="14.25" hidden="false" customHeight="false" outlineLevel="0" collapsed="false">
      <c r="A33" s="0" t="n">
        <v>50</v>
      </c>
      <c r="B33" s="0" t="n">
        <v>59.9</v>
      </c>
      <c r="C33" s="31" t="n">
        <v>36412</v>
      </c>
      <c r="D33" s="31" t="n">
        <v>669</v>
      </c>
      <c r="E33" s="27" t="n">
        <f aca="false">C33/D33</f>
        <v>54.4275037369208</v>
      </c>
      <c r="F33" s="35" t="n">
        <f aca="false">SUM(D$4:D33)/D$46</f>
        <v>0.995571729962928</v>
      </c>
      <c r="G33" s="35" t="n">
        <f aca="false">SUM(C$4:C33)/C$46</f>
        <v>0.909271659937475</v>
      </c>
      <c r="H33" s="28" t="n">
        <v>0.731707317073171</v>
      </c>
      <c r="I33" s="28" t="n">
        <v>0.731707317073171</v>
      </c>
      <c r="J33" s="20"/>
      <c r="K33" s="20"/>
      <c r="L33" s="20"/>
      <c r="M33" s="20"/>
      <c r="N33" s="20"/>
      <c r="O33" s="20"/>
    </row>
    <row r="34" customFormat="false" ht="14.25" hidden="false" customHeight="false" outlineLevel="0" collapsed="false">
      <c r="A34" s="0" t="n">
        <v>60</v>
      </c>
      <c r="B34" s="0" t="n">
        <v>69.9</v>
      </c>
      <c r="C34" s="31" t="n">
        <v>28790</v>
      </c>
      <c r="D34" s="31" t="n">
        <v>446</v>
      </c>
      <c r="E34" s="27" t="n">
        <f aca="false">C34/D34</f>
        <v>64.5515695067265</v>
      </c>
      <c r="F34" s="35" t="n">
        <f aca="false">SUM(D$4:D34)/D$46</f>
        <v>0.99665451967594</v>
      </c>
      <c r="G34" s="35" t="n">
        <f aca="false">SUM(C$4:C34)/C$46</f>
        <v>0.919850478196391</v>
      </c>
      <c r="H34" s="28" t="n">
        <v>0.75609756097561</v>
      </c>
      <c r="I34" s="28" t="n">
        <v>0.75609756097561</v>
      </c>
      <c r="J34" s="20"/>
      <c r="K34" s="20"/>
      <c r="L34" s="20"/>
      <c r="M34" s="20"/>
      <c r="N34" s="20"/>
      <c r="O34" s="20"/>
    </row>
    <row r="35" customFormat="false" ht="14.25" hidden="false" customHeight="false" outlineLevel="0" collapsed="false">
      <c r="A35" s="0" t="n">
        <v>70</v>
      </c>
      <c r="B35" s="0" t="n">
        <v>79.9</v>
      </c>
      <c r="C35" s="31" t="n">
        <v>24008</v>
      </c>
      <c r="D35" s="31" t="n">
        <v>321</v>
      </c>
      <c r="E35" s="27" t="n">
        <f aca="false">C35/D35</f>
        <v>74.791277258567</v>
      </c>
      <c r="F35" s="35" t="n">
        <f aca="false">SUM(D$4:D35)/D$46</f>
        <v>0.997433836935754</v>
      </c>
      <c r="G35" s="35" t="n">
        <f aca="false">SUM(C$4:C35)/C$46</f>
        <v>0.928672161724006</v>
      </c>
      <c r="H35" s="28" t="n">
        <v>0.780487804878049</v>
      </c>
      <c r="I35" s="28" t="n">
        <v>0.780487804878049</v>
      </c>
      <c r="J35" s="20"/>
      <c r="K35" s="20"/>
      <c r="L35" s="20"/>
      <c r="M35" s="20"/>
      <c r="N35" s="20"/>
      <c r="O35" s="20"/>
    </row>
    <row r="36" customFormat="false" ht="14.25" hidden="false" customHeight="false" outlineLevel="0" collapsed="false">
      <c r="A36" s="0" t="n">
        <v>80</v>
      </c>
      <c r="B36" s="0" t="n">
        <v>89.9</v>
      </c>
      <c r="C36" s="31" t="n">
        <v>17233</v>
      </c>
      <c r="D36" s="31" t="n">
        <v>204</v>
      </c>
      <c r="E36" s="27" t="n">
        <f aca="false">C36/D36</f>
        <v>84.4754901960784</v>
      </c>
      <c r="F36" s="35" t="n">
        <f aca="false">SUM(D$4:D36)/D$46</f>
        <v>0.997929103979374</v>
      </c>
      <c r="G36" s="35" t="n">
        <f aca="false">SUM(C$4:C36)/C$46</f>
        <v>0.935004387325113</v>
      </c>
      <c r="H36" s="28" t="n">
        <v>0.804878048780488</v>
      </c>
      <c r="I36" s="28" t="n">
        <v>0.804878048780488</v>
      </c>
      <c r="J36" s="20"/>
      <c r="K36" s="20"/>
      <c r="L36" s="20"/>
      <c r="M36" s="20"/>
      <c r="N36" s="20"/>
      <c r="O36" s="20"/>
    </row>
    <row r="37" customFormat="false" ht="14.25" hidden="false" customHeight="false" outlineLevel="0" collapsed="false">
      <c r="A37" s="0" t="n">
        <v>90</v>
      </c>
      <c r="B37" s="0" t="n">
        <v>99.9</v>
      </c>
      <c r="C37" s="31" t="n">
        <v>12646</v>
      </c>
      <c r="D37" s="31" t="n">
        <v>134</v>
      </c>
      <c r="E37" s="27" t="n">
        <f aca="false">C37/D37</f>
        <v>94.3731343283582</v>
      </c>
      <c r="F37" s="35" t="n">
        <f aca="false">SUM(D$4:D37)/D$46</f>
        <v>0.998254426449202</v>
      </c>
      <c r="G37" s="35" t="n">
        <f aca="false">SUM(C$4:C37)/C$46</f>
        <v>0.939651130489484</v>
      </c>
      <c r="H37" s="28" t="n">
        <v>0.829268292682927</v>
      </c>
      <c r="I37" s="28" t="n">
        <v>0.829268292682927</v>
      </c>
      <c r="J37" s="20"/>
      <c r="K37" s="20"/>
      <c r="L37" s="20"/>
      <c r="M37" s="20"/>
      <c r="N37" s="20"/>
      <c r="O37" s="20"/>
    </row>
    <row r="38" customFormat="false" ht="14.25" hidden="false" customHeight="false" outlineLevel="0" collapsed="false">
      <c r="A38" s="0" t="n">
        <v>100</v>
      </c>
      <c r="B38" s="0" t="n">
        <v>149.9</v>
      </c>
      <c r="C38" s="31" t="n">
        <v>45652</v>
      </c>
      <c r="D38" s="31" t="n">
        <v>379</v>
      </c>
      <c r="E38" s="27" t="n">
        <f aca="false">C38/D38</f>
        <v>120.45382585752</v>
      </c>
      <c r="F38" s="35" t="n">
        <f aca="false">SUM(D$4:D38)/D$46</f>
        <v>0.9991745549273</v>
      </c>
      <c r="G38" s="35" t="n">
        <f aca="false">SUM(C$4:C38)/C$46</f>
        <v>0.956425851266004</v>
      </c>
      <c r="H38" s="28" t="n">
        <v>0.853658536585366</v>
      </c>
      <c r="I38" s="28" t="n">
        <v>0.853658536585366</v>
      </c>
      <c r="J38" s="20"/>
      <c r="K38" s="20"/>
      <c r="L38" s="20"/>
      <c r="M38" s="20"/>
      <c r="N38" s="20"/>
      <c r="O38" s="20"/>
    </row>
    <row r="39" customFormat="false" ht="14.25" hidden="false" customHeight="false" outlineLevel="0" collapsed="false">
      <c r="A39" s="0" t="n">
        <v>150</v>
      </c>
      <c r="B39" s="0" t="n">
        <v>199.9</v>
      </c>
      <c r="C39" s="31" t="n">
        <v>22621</v>
      </c>
      <c r="D39" s="31" t="n">
        <v>131</v>
      </c>
      <c r="E39" s="27" t="n">
        <f aca="false">C39/D39</f>
        <v>172.679389312977</v>
      </c>
      <c r="F39" s="35" t="n">
        <f aca="false">SUM(D$4:D39)/D$46</f>
        <v>0.999492594058252</v>
      </c>
      <c r="G39" s="35" t="n">
        <f aca="false">SUM(C$4:C39)/C$46</f>
        <v>0.964737884883056</v>
      </c>
      <c r="H39" s="28" t="n">
        <v>0.878048780487805</v>
      </c>
      <c r="I39" s="28" t="n">
        <v>0.878048780487805</v>
      </c>
      <c r="J39" s="20"/>
      <c r="K39" s="20"/>
      <c r="L39" s="20"/>
      <c r="M39" s="20"/>
      <c r="N39" s="20"/>
      <c r="O39" s="20"/>
    </row>
    <row r="40" customFormat="false" ht="14.25" hidden="false" customHeight="false" outlineLevel="0" collapsed="false">
      <c r="A40" s="0" t="n">
        <v>200</v>
      </c>
      <c r="B40" s="0" t="n">
        <v>299.9</v>
      </c>
      <c r="C40" s="31" t="n">
        <v>27350</v>
      </c>
      <c r="D40" s="31" t="n">
        <v>113</v>
      </c>
      <c r="E40" s="27" t="n">
        <f aca="false">C40/D40</f>
        <v>242.035398230089</v>
      </c>
      <c r="F40" s="35" t="n">
        <f aca="false">SUM(D$4:D40)/D$46</f>
        <v>0.999766933155944</v>
      </c>
      <c r="G40" s="35" t="n">
        <f aca="false">SUM(C$4:C40)/C$46</f>
        <v>0.974787578505194</v>
      </c>
      <c r="H40" s="28" t="n">
        <v>0.902439024390244</v>
      </c>
      <c r="I40" s="28" t="n">
        <v>0.902439024390244</v>
      </c>
      <c r="J40" s="20"/>
      <c r="K40" s="20"/>
      <c r="L40" s="20"/>
      <c r="M40" s="20"/>
      <c r="N40" s="20"/>
      <c r="O40" s="20"/>
    </row>
    <row r="41" customFormat="false" ht="14.25" hidden="false" customHeight="false" outlineLevel="0" collapsed="false">
      <c r="A41" s="0" t="n">
        <v>300</v>
      </c>
      <c r="B41" s="0" t="n">
        <v>399.9</v>
      </c>
      <c r="C41" s="31" t="n">
        <v>13950</v>
      </c>
      <c r="D41" s="31" t="n">
        <v>39</v>
      </c>
      <c r="E41" s="27" t="n">
        <f aca="false">C41/D41</f>
        <v>357.692307692308</v>
      </c>
      <c r="F41" s="35" t="n">
        <f aca="false">SUM(D$4:D41)/D$46</f>
        <v>0.999861616561342</v>
      </c>
      <c r="G41" s="35" t="n">
        <f aca="false">SUM(C$4:C41)/C$46</f>
        <v>0.97991347342398</v>
      </c>
      <c r="H41" s="28" t="n">
        <v>0.926829268292683</v>
      </c>
      <c r="I41" s="28" t="n">
        <v>0.926829268292683</v>
      </c>
      <c r="J41" s="20"/>
      <c r="K41" s="20"/>
      <c r="L41" s="20"/>
      <c r="M41" s="20"/>
      <c r="N41" s="20"/>
      <c r="O41" s="20"/>
    </row>
    <row r="42" customFormat="false" ht="14.25" hidden="false" customHeight="false" outlineLevel="0" collapsed="false">
      <c r="A42" s="0" t="n">
        <v>400</v>
      </c>
      <c r="B42" s="0" t="n">
        <v>499.9</v>
      </c>
      <c r="C42" s="31" t="n">
        <v>7822</v>
      </c>
      <c r="D42" s="31" t="n">
        <v>18</v>
      </c>
      <c r="E42" s="27" t="n">
        <f aca="false">C42/D42</f>
        <v>434.555555555556</v>
      </c>
      <c r="F42" s="35" t="n">
        <f aca="false">SUM(D$4:D42)/D$46</f>
        <v>0.999905316594602</v>
      </c>
      <c r="G42" s="35" t="n">
        <f aca="false">SUM(C$4:C42)/C$46</f>
        <v>0.982787649055145</v>
      </c>
      <c r="H42" s="28" t="n">
        <v>0.951219512195123</v>
      </c>
      <c r="I42" s="28" t="n">
        <v>0.951219512195123</v>
      </c>
      <c r="J42" s="20"/>
      <c r="K42" s="20"/>
      <c r="L42" s="20"/>
      <c r="M42" s="20"/>
      <c r="N42" s="20"/>
      <c r="O42" s="20"/>
    </row>
    <row r="43" customFormat="false" ht="14.25" hidden="false" customHeight="false" outlineLevel="0" collapsed="false">
      <c r="A43" s="0" t="n">
        <v>500</v>
      </c>
      <c r="B43" s="0" t="n">
        <v>999.9</v>
      </c>
      <c r="C43" s="31" t="n">
        <v>12316</v>
      </c>
      <c r="D43" s="31" t="n">
        <v>19</v>
      </c>
      <c r="E43" s="27" t="n">
        <f aca="false">C43/D43</f>
        <v>648.21052631579</v>
      </c>
      <c r="F43" s="35" t="n">
        <f aca="false">SUM(D$4:D43)/D$46</f>
        <v>0.999951444407488</v>
      </c>
      <c r="G43" s="35" t="n">
        <f aca="false">SUM(C$4:C43)/C$46</f>
        <v>0.987313134490255</v>
      </c>
      <c r="H43" s="28" t="n">
        <v>0.975609756097562</v>
      </c>
      <c r="I43" s="28" t="n">
        <v>0.975609756097562</v>
      </c>
      <c r="J43" s="20"/>
      <c r="K43" s="20"/>
      <c r="L43" s="20"/>
      <c r="M43" s="20"/>
      <c r="N43" s="20"/>
      <c r="O43" s="20"/>
    </row>
    <row r="44" customFormat="false" ht="14.25" hidden="false" customHeight="false" outlineLevel="0" collapsed="false">
      <c r="A44" s="0" t="n">
        <v>1000</v>
      </c>
      <c r="B44" s="0" t="s">
        <v>18</v>
      </c>
      <c r="C44" s="31" t="n">
        <v>34527</v>
      </c>
      <c r="D44" s="31" t="n">
        <v>20</v>
      </c>
      <c r="E44" s="27" t="n">
        <f aca="false">C44/D44</f>
        <v>1726.35</v>
      </c>
      <c r="F44" s="35" t="n">
        <f aca="false">SUM(D$4:D44)/D$46</f>
        <v>1</v>
      </c>
      <c r="G44" s="35" t="n">
        <f aca="false">SUM(C$4:C44)/C$46</f>
        <v>1</v>
      </c>
      <c r="H44" s="28" t="n">
        <v>1</v>
      </c>
      <c r="I44" s="28" t="n">
        <v>1</v>
      </c>
      <c r="J44" s="20"/>
      <c r="K44" s="20"/>
      <c r="L44" s="20"/>
      <c r="M44" s="20"/>
      <c r="N44" s="20"/>
      <c r="O44" s="20"/>
    </row>
    <row r="46" customFormat="false" ht="14.25" hidden="false" customHeight="false" outlineLevel="0" collapsed="false">
      <c r="B46" s="0" t="s">
        <v>19</v>
      </c>
      <c r="C46" s="34" t="n">
        <f aca="false">SUM(C4:C44)</f>
        <v>2721476</v>
      </c>
      <c r="D46" s="34" t="n">
        <f aca="false">SUM(D4:D44)</f>
        <v>411899</v>
      </c>
      <c r="I46" s="22" t="s">
        <v>20</v>
      </c>
      <c r="J46" s="20"/>
    </row>
    <row r="47" customFormat="false" ht="14.25" hidden="false" customHeight="false" outlineLevel="0" collapsed="false">
      <c r="I47" s="0" t="s">
        <v>22</v>
      </c>
      <c r="J47" s="20"/>
      <c r="N47" s="22" t="s">
        <v>23</v>
      </c>
      <c r="O47" s="23"/>
    </row>
    <row r="48" customFormat="false" ht="14.25" hidden="false" customHeight="false" outlineLevel="0" collapsed="false">
      <c r="I48" s="0" t="s">
        <v>24</v>
      </c>
      <c r="J48" s="20"/>
    </row>
    <row r="49" customFormat="false" ht="14.25" hidden="false" customHeight="false" outlineLevel="0" collapsed="false">
      <c r="I49" s="0" t="s">
        <v>1</v>
      </c>
      <c r="J49" s="20"/>
    </row>
  </sheetData>
  <mergeCells count="3">
    <mergeCell ref="F1:I1"/>
    <mergeCell ref="J1:K1"/>
    <mergeCell ref="L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University of Zurich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2025-02-18T11:23:51Z</dcterms:created>
  <dc:creator>Geoffroy Legentilhomme</dc:creator>
  <dc:description/>
  <dc:language>en-US</dc:language>
  <cp:lastModifiedBy>Geoffroy Legentilhomme</cp:lastModifiedBy>
  <dcterms:modified xsi:type="dcterms:W3CDTF">2025-04-14T07:37:04Z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